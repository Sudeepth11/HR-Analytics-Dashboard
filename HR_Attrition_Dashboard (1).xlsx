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afabcb1921f36e1/Desktop/itvedant/"/>
    </mc:Choice>
  </mc:AlternateContent>
  <xr:revisionPtr revIDLastSave="13" documentId="8_{9803C6B4-257F-4D09-856A-87B570DEBAB6}" xr6:coauthVersionLast="47" xr6:coauthVersionMax="47" xr10:uidLastSave="{17F94D89-194B-427A-A0F2-E46579408B3A}"/>
  <bookViews>
    <workbookView xWindow="-108" yWindow="-108" windowWidth="23256" windowHeight="12456" tabRatio="500" xr2:uid="{00000000-000D-0000-FFFF-FFFF00000000}"/>
  </bookViews>
  <sheets>
    <sheet name="Dashboard" sheetId="1" r:id="rId1"/>
    <sheet name="HRData" sheetId="4" r:id="rId2"/>
    <sheet name="Data" sheetId="2" r:id="rId3"/>
    <sheet name="Summary" sheetId="3" r:id="rId4"/>
  </sheets>
  <definedNames>
    <definedName name="ExternalData_1" localSheetId="1" hidden="1">HRData!$A$1:$AO$1479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9" i="3" l="1"/>
  <c r="H29" i="3" s="1"/>
  <c r="F29" i="3"/>
  <c r="G28" i="3"/>
  <c r="H28" i="3" s="1"/>
  <c r="F28" i="3"/>
  <c r="G27" i="3"/>
  <c r="H27" i="3" s="1"/>
  <c r="F27" i="3"/>
  <c r="G26" i="3"/>
  <c r="H26" i="3" s="1"/>
  <c r="F26" i="3"/>
  <c r="G22" i="3"/>
  <c r="H22" i="3" s="1"/>
  <c r="F22" i="3"/>
  <c r="G21" i="3"/>
  <c r="F21" i="3"/>
  <c r="G20" i="3"/>
  <c r="H20" i="3" s="1"/>
  <c r="F20" i="3"/>
  <c r="G19" i="3"/>
  <c r="H19" i="3" s="1"/>
  <c r="F19" i="3"/>
  <c r="G18" i="3"/>
  <c r="H18" i="3" s="1"/>
  <c r="F18" i="3"/>
  <c r="L17" i="3"/>
  <c r="K17" i="3"/>
  <c r="G17" i="3"/>
  <c r="F17" i="3"/>
  <c r="L16" i="3"/>
  <c r="K16" i="3"/>
  <c r="G16" i="3"/>
  <c r="H16" i="3" s="1"/>
  <c r="F16" i="3"/>
  <c r="Q15" i="3"/>
  <c r="P15" i="3"/>
  <c r="L15" i="3"/>
  <c r="K15" i="3"/>
  <c r="G15" i="3"/>
  <c r="F15" i="3"/>
  <c r="Q14" i="3"/>
  <c r="R14" i="3" s="1"/>
  <c r="P14" i="3"/>
  <c r="L14" i="3"/>
  <c r="K14" i="3"/>
  <c r="G14" i="3"/>
  <c r="H14" i="3" s="1"/>
  <c r="F14" i="3"/>
  <c r="G9" i="3"/>
  <c r="F9" i="3"/>
  <c r="G8" i="3"/>
  <c r="H8" i="3" s="1"/>
  <c r="F8" i="3"/>
  <c r="B8" i="3"/>
  <c r="R7" i="3"/>
  <c r="Q7" i="3"/>
  <c r="P7" i="3"/>
  <c r="G7" i="3"/>
  <c r="H7" i="3" s="1"/>
  <c r="F7" i="3"/>
  <c r="B7" i="3"/>
  <c r="R6" i="3"/>
  <c r="Q6" i="3"/>
  <c r="P6" i="3"/>
  <c r="G6" i="3"/>
  <c r="F6" i="3"/>
  <c r="B6" i="3"/>
  <c r="Q5" i="3"/>
  <c r="P5" i="3"/>
  <c r="G5" i="3"/>
  <c r="H5" i="3" s="1"/>
  <c r="F5" i="3"/>
  <c r="B5" i="3"/>
  <c r="R4" i="3"/>
  <c r="Q4" i="3"/>
  <c r="P4" i="3"/>
  <c r="L4" i="3"/>
  <c r="M4" i="3" s="1"/>
  <c r="K4" i="3"/>
  <c r="H4" i="3"/>
  <c r="G4" i="3"/>
  <c r="F4" i="3"/>
  <c r="B4" i="3"/>
  <c r="R3" i="3"/>
  <c r="Q3" i="3"/>
  <c r="P3" i="3"/>
  <c r="L3" i="3"/>
  <c r="K3" i="3"/>
  <c r="G3" i="3"/>
  <c r="F3" i="3"/>
  <c r="H3" i="3" s="1"/>
  <c r="B3" i="3"/>
  <c r="B2" i="3"/>
  <c r="AO1479" i="2"/>
  <c r="AN1479" i="2"/>
  <c r="AL1479" i="2"/>
  <c r="AM1479" i="2" s="1"/>
  <c r="AK1479" i="2"/>
  <c r="AJ1479" i="2"/>
  <c r="AI1479" i="2"/>
  <c r="AO1478" i="2"/>
  <c r="AN1478" i="2"/>
  <c r="AL1478" i="2"/>
  <c r="AM1478" i="2" s="1"/>
  <c r="AK1478" i="2"/>
  <c r="AJ1478" i="2"/>
  <c r="AI1478" i="2"/>
  <c r="AO1477" i="2"/>
  <c r="AN1477" i="2"/>
  <c r="AL1477" i="2"/>
  <c r="AM1477" i="2" s="1"/>
  <c r="AK1477" i="2"/>
  <c r="AJ1477" i="2"/>
  <c r="AI1477" i="2"/>
  <c r="AO1476" i="2"/>
  <c r="AN1476" i="2"/>
  <c r="AL1476" i="2"/>
  <c r="AM1476" i="2" s="1"/>
  <c r="AK1476" i="2"/>
  <c r="AJ1476" i="2"/>
  <c r="AI1476" i="2"/>
  <c r="AO1475" i="2"/>
  <c r="AN1475" i="2"/>
  <c r="AM1475" i="2"/>
  <c r="AL1475" i="2"/>
  <c r="AK1475" i="2"/>
  <c r="AJ1475" i="2"/>
  <c r="AI1475" i="2"/>
  <c r="AO1474" i="2"/>
  <c r="AN1474" i="2"/>
  <c r="AM1474" i="2"/>
  <c r="AL1474" i="2"/>
  <c r="AK1474" i="2"/>
  <c r="AJ1474" i="2"/>
  <c r="AI1474" i="2"/>
  <c r="AO1473" i="2"/>
  <c r="AN1473" i="2"/>
  <c r="AL1473" i="2"/>
  <c r="AM1473" i="2" s="1"/>
  <c r="AK1473" i="2"/>
  <c r="AJ1473" i="2"/>
  <c r="AI1473" i="2"/>
  <c r="AO1472" i="2"/>
  <c r="AN1472" i="2"/>
  <c r="AM1472" i="2"/>
  <c r="AL1472" i="2"/>
  <c r="AK1472" i="2"/>
  <c r="AJ1472" i="2"/>
  <c r="AI1472" i="2"/>
  <c r="AO1471" i="2"/>
  <c r="AN1471" i="2"/>
  <c r="AM1471" i="2"/>
  <c r="AL1471" i="2"/>
  <c r="AK1471" i="2"/>
  <c r="AJ1471" i="2"/>
  <c r="AI1471" i="2"/>
  <c r="AO1470" i="2"/>
  <c r="AN1470" i="2"/>
  <c r="AL1470" i="2"/>
  <c r="AM1470" i="2" s="1"/>
  <c r="AK1470" i="2"/>
  <c r="AJ1470" i="2"/>
  <c r="AI1470" i="2"/>
  <c r="AO1469" i="2"/>
  <c r="AN1469" i="2"/>
  <c r="AL1469" i="2"/>
  <c r="AM1469" i="2" s="1"/>
  <c r="AK1469" i="2"/>
  <c r="AJ1469" i="2"/>
  <c r="AI1469" i="2"/>
  <c r="AO1468" i="2"/>
  <c r="AN1468" i="2"/>
  <c r="AM1468" i="2"/>
  <c r="AL1468" i="2"/>
  <c r="AK1468" i="2"/>
  <c r="AJ1468" i="2"/>
  <c r="AI1468" i="2"/>
  <c r="AO1467" i="2"/>
  <c r="AN1467" i="2"/>
  <c r="AL1467" i="2"/>
  <c r="AM1467" i="2" s="1"/>
  <c r="AK1467" i="2"/>
  <c r="AJ1467" i="2"/>
  <c r="AI1467" i="2"/>
  <c r="AO1466" i="2"/>
  <c r="AN1466" i="2"/>
  <c r="AM1466" i="2"/>
  <c r="AL1466" i="2"/>
  <c r="AK1466" i="2"/>
  <c r="AJ1466" i="2"/>
  <c r="AI1466" i="2"/>
  <c r="AO1465" i="2"/>
  <c r="AN1465" i="2"/>
  <c r="AM1465" i="2"/>
  <c r="AL1465" i="2"/>
  <c r="AK1465" i="2"/>
  <c r="AJ1465" i="2"/>
  <c r="AI1465" i="2"/>
  <c r="AO1464" i="2"/>
  <c r="AN1464" i="2"/>
  <c r="AL1464" i="2"/>
  <c r="AM1464" i="2" s="1"/>
  <c r="AK1464" i="2"/>
  <c r="AJ1464" i="2"/>
  <c r="AI1464" i="2"/>
  <c r="AO1463" i="2"/>
  <c r="AN1463" i="2"/>
  <c r="AL1463" i="2"/>
  <c r="AM1463" i="2" s="1"/>
  <c r="AK1463" i="2"/>
  <c r="AJ1463" i="2"/>
  <c r="AI1463" i="2"/>
  <c r="AO1462" i="2"/>
  <c r="AN1462" i="2"/>
  <c r="AM1462" i="2"/>
  <c r="AL1462" i="2"/>
  <c r="AK1462" i="2"/>
  <c r="AJ1462" i="2"/>
  <c r="AI1462" i="2"/>
  <c r="AO1461" i="2"/>
  <c r="AN1461" i="2"/>
  <c r="AL1461" i="2"/>
  <c r="AM1461" i="2" s="1"/>
  <c r="AK1461" i="2"/>
  <c r="AJ1461" i="2"/>
  <c r="AI1461" i="2"/>
  <c r="AO1460" i="2"/>
  <c r="AN1460" i="2"/>
  <c r="AM1460" i="2"/>
  <c r="AL1460" i="2"/>
  <c r="AK1460" i="2"/>
  <c r="AJ1460" i="2"/>
  <c r="AI1460" i="2"/>
  <c r="AO1459" i="2"/>
  <c r="AN1459" i="2"/>
  <c r="AM1459" i="2"/>
  <c r="AL1459" i="2"/>
  <c r="AK1459" i="2"/>
  <c r="AJ1459" i="2"/>
  <c r="AI1459" i="2"/>
  <c r="AO1458" i="2"/>
  <c r="AN1458" i="2"/>
  <c r="AL1458" i="2"/>
  <c r="AM1458" i="2" s="1"/>
  <c r="AK1458" i="2"/>
  <c r="AJ1458" i="2"/>
  <c r="AI1458" i="2"/>
  <c r="AO1457" i="2"/>
  <c r="AN1457" i="2"/>
  <c r="AM1457" i="2"/>
  <c r="AL1457" i="2"/>
  <c r="AK1457" i="2"/>
  <c r="AJ1457" i="2"/>
  <c r="AI1457" i="2"/>
  <c r="AO1456" i="2"/>
  <c r="AN1456" i="2"/>
  <c r="AM1456" i="2"/>
  <c r="AL1456" i="2"/>
  <c r="AK1456" i="2"/>
  <c r="AJ1456" i="2"/>
  <c r="AI1456" i="2"/>
  <c r="AO1455" i="2"/>
  <c r="AN1455" i="2"/>
  <c r="AL1455" i="2"/>
  <c r="AM1455" i="2" s="1"/>
  <c r="AK1455" i="2"/>
  <c r="AJ1455" i="2"/>
  <c r="AI1455" i="2"/>
  <c r="AO1454" i="2"/>
  <c r="AN1454" i="2"/>
  <c r="AL1454" i="2"/>
  <c r="AM1454" i="2" s="1"/>
  <c r="AK1454" i="2"/>
  <c r="AJ1454" i="2"/>
  <c r="AI1454" i="2"/>
  <c r="AO1453" i="2"/>
  <c r="AN1453" i="2"/>
  <c r="AM1453" i="2"/>
  <c r="AL1453" i="2"/>
  <c r="AK1453" i="2"/>
  <c r="AJ1453" i="2"/>
  <c r="AI1453" i="2"/>
  <c r="AO1452" i="2"/>
  <c r="AN1452" i="2"/>
  <c r="AL1452" i="2"/>
  <c r="AM1452" i="2" s="1"/>
  <c r="AK1452" i="2"/>
  <c r="AJ1452" i="2"/>
  <c r="AI1452" i="2"/>
  <c r="AO1451" i="2"/>
  <c r="AN1451" i="2"/>
  <c r="AL1451" i="2"/>
  <c r="AM1451" i="2" s="1"/>
  <c r="AK1451" i="2"/>
  <c r="AJ1451" i="2"/>
  <c r="AI1451" i="2"/>
  <c r="AO1450" i="2"/>
  <c r="AN1450" i="2"/>
  <c r="AM1450" i="2"/>
  <c r="AL1450" i="2"/>
  <c r="AK1450" i="2"/>
  <c r="AJ1450" i="2"/>
  <c r="AI1450" i="2"/>
  <c r="AO1449" i="2"/>
  <c r="AN1449" i="2"/>
  <c r="AL1449" i="2"/>
  <c r="AM1449" i="2" s="1"/>
  <c r="AK1449" i="2"/>
  <c r="AJ1449" i="2"/>
  <c r="AI1449" i="2"/>
  <c r="AO1448" i="2"/>
  <c r="AN1448" i="2"/>
  <c r="AM1448" i="2"/>
  <c r="AL1448" i="2"/>
  <c r="AK1448" i="2"/>
  <c r="AJ1448" i="2"/>
  <c r="AI1448" i="2"/>
  <c r="AO1447" i="2"/>
  <c r="AN1447" i="2"/>
  <c r="AM1447" i="2"/>
  <c r="AL1447" i="2"/>
  <c r="AK1447" i="2"/>
  <c r="AJ1447" i="2"/>
  <c r="AI1447" i="2"/>
  <c r="AO1446" i="2"/>
  <c r="AN1446" i="2"/>
  <c r="AL1446" i="2"/>
  <c r="AM1446" i="2" s="1"/>
  <c r="AK1446" i="2"/>
  <c r="AJ1446" i="2"/>
  <c r="AI1446" i="2"/>
  <c r="AO1445" i="2"/>
  <c r="AN1445" i="2"/>
  <c r="AL1445" i="2"/>
  <c r="AM1445" i="2" s="1"/>
  <c r="AK1445" i="2"/>
  <c r="AJ1445" i="2"/>
  <c r="AI1445" i="2"/>
  <c r="AO1444" i="2"/>
  <c r="AN1444" i="2"/>
  <c r="AM1444" i="2"/>
  <c r="AL1444" i="2"/>
  <c r="AK1444" i="2"/>
  <c r="AJ1444" i="2"/>
  <c r="AI1444" i="2"/>
  <c r="AO1443" i="2"/>
  <c r="AN1443" i="2"/>
  <c r="AL1443" i="2"/>
  <c r="AM1443" i="2" s="1"/>
  <c r="AK1443" i="2"/>
  <c r="AJ1443" i="2"/>
  <c r="AI1443" i="2"/>
  <c r="AO1442" i="2"/>
  <c r="AN1442" i="2"/>
  <c r="AL1442" i="2"/>
  <c r="AM1442" i="2" s="1"/>
  <c r="AK1442" i="2"/>
  <c r="AJ1442" i="2"/>
  <c r="AI1442" i="2"/>
  <c r="AO1441" i="2"/>
  <c r="AN1441" i="2"/>
  <c r="AM1441" i="2"/>
  <c r="AL1441" i="2"/>
  <c r="AK1441" i="2"/>
  <c r="AJ1441" i="2"/>
  <c r="AI1441" i="2"/>
  <c r="AO1440" i="2"/>
  <c r="AN1440" i="2"/>
  <c r="AL1440" i="2"/>
  <c r="AM1440" i="2" s="1"/>
  <c r="AK1440" i="2"/>
  <c r="AJ1440" i="2"/>
  <c r="AI1440" i="2"/>
  <c r="AO1439" i="2"/>
  <c r="AN1439" i="2"/>
  <c r="AM1439" i="2"/>
  <c r="AL1439" i="2"/>
  <c r="AK1439" i="2"/>
  <c r="AJ1439" i="2"/>
  <c r="AI1439" i="2"/>
  <c r="AO1438" i="2"/>
  <c r="AN1438" i="2"/>
  <c r="AM1438" i="2"/>
  <c r="AL1438" i="2"/>
  <c r="AK1438" i="2"/>
  <c r="AJ1438" i="2"/>
  <c r="AI1438" i="2"/>
  <c r="AO1437" i="2"/>
  <c r="AN1437" i="2"/>
  <c r="AL1437" i="2"/>
  <c r="AM1437" i="2" s="1"/>
  <c r="AK1437" i="2"/>
  <c r="AJ1437" i="2"/>
  <c r="AI1437" i="2"/>
  <c r="AO1436" i="2"/>
  <c r="AN1436" i="2"/>
  <c r="AM1436" i="2"/>
  <c r="AL1436" i="2"/>
  <c r="AK1436" i="2"/>
  <c r="AJ1436" i="2"/>
  <c r="AI1436" i="2"/>
  <c r="AO1435" i="2"/>
  <c r="AN1435" i="2"/>
  <c r="AM1435" i="2"/>
  <c r="AL1435" i="2"/>
  <c r="AK1435" i="2"/>
  <c r="AJ1435" i="2"/>
  <c r="AI1435" i="2"/>
  <c r="AO1434" i="2"/>
  <c r="AN1434" i="2"/>
  <c r="AL1434" i="2"/>
  <c r="AM1434" i="2" s="1"/>
  <c r="AK1434" i="2"/>
  <c r="AJ1434" i="2"/>
  <c r="AI1434" i="2"/>
  <c r="AO1433" i="2"/>
  <c r="AN1433" i="2"/>
  <c r="AL1433" i="2"/>
  <c r="AM1433" i="2" s="1"/>
  <c r="AK1433" i="2"/>
  <c r="AJ1433" i="2"/>
  <c r="AI1433" i="2"/>
  <c r="AO1432" i="2"/>
  <c r="AN1432" i="2"/>
  <c r="AM1432" i="2"/>
  <c r="AL1432" i="2"/>
  <c r="AK1432" i="2"/>
  <c r="AJ1432" i="2"/>
  <c r="AI1432" i="2"/>
  <c r="AO1431" i="2"/>
  <c r="AN1431" i="2"/>
  <c r="AL1431" i="2"/>
  <c r="AM1431" i="2" s="1"/>
  <c r="AK1431" i="2"/>
  <c r="AJ1431" i="2"/>
  <c r="AI1431" i="2"/>
  <c r="AO1430" i="2"/>
  <c r="AN1430" i="2"/>
  <c r="AM1430" i="2"/>
  <c r="AL1430" i="2"/>
  <c r="AK1430" i="2"/>
  <c r="AJ1430" i="2"/>
  <c r="AI1430" i="2"/>
  <c r="AO1429" i="2"/>
  <c r="AN1429" i="2"/>
  <c r="AM1429" i="2"/>
  <c r="AL1429" i="2"/>
  <c r="AK1429" i="2"/>
  <c r="AJ1429" i="2"/>
  <c r="AI1429" i="2"/>
  <c r="AO1428" i="2"/>
  <c r="AN1428" i="2"/>
  <c r="AM1428" i="2"/>
  <c r="AL1428" i="2"/>
  <c r="AK1428" i="2"/>
  <c r="AJ1428" i="2"/>
  <c r="AI1428" i="2"/>
  <c r="AO1427" i="2"/>
  <c r="AN1427" i="2"/>
  <c r="AM1427" i="2"/>
  <c r="AL1427" i="2"/>
  <c r="AK1427" i="2"/>
  <c r="AJ1427" i="2"/>
  <c r="AI1427" i="2"/>
  <c r="AO1426" i="2"/>
  <c r="AN1426" i="2"/>
  <c r="AM1426" i="2"/>
  <c r="AL1426" i="2"/>
  <c r="AK1426" i="2"/>
  <c r="AJ1426" i="2"/>
  <c r="AI1426" i="2"/>
  <c r="AO1425" i="2"/>
  <c r="AN1425" i="2"/>
  <c r="AL1425" i="2"/>
  <c r="AM1425" i="2" s="1"/>
  <c r="AK1425" i="2"/>
  <c r="AJ1425" i="2"/>
  <c r="AI1425" i="2"/>
  <c r="AO1424" i="2"/>
  <c r="AN1424" i="2"/>
  <c r="AM1424" i="2"/>
  <c r="AL1424" i="2"/>
  <c r="AK1424" i="2"/>
  <c r="AJ1424" i="2"/>
  <c r="AI1424" i="2"/>
  <c r="AO1423" i="2"/>
  <c r="AN1423" i="2"/>
  <c r="AM1423" i="2"/>
  <c r="AL1423" i="2"/>
  <c r="AK1423" i="2"/>
  <c r="AJ1423" i="2"/>
  <c r="AI1423" i="2"/>
  <c r="AO1422" i="2"/>
  <c r="AN1422" i="2"/>
  <c r="AL1422" i="2"/>
  <c r="AM1422" i="2" s="1"/>
  <c r="AK1422" i="2"/>
  <c r="AJ1422" i="2"/>
  <c r="AI1422" i="2"/>
  <c r="AO1421" i="2"/>
  <c r="AN1421" i="2"/>
  <c r="AL1421" i="2"/>
  <c r="AM1421" i="2" s="1"/>
  <c r="AK1421" i="2"/>
  <c r="AJ1421" i="2"/>
  <c r="AI1421" i="2"/>
  <c r="AO1420" i="2"/>
  <c r="AN1420" i="2"/>
  <c r="AM1420" i="2"/>
  <c r="AL1420" i="2"/>
  <c r="AK1420" i="2"/>
  <c r="AJ1420" i="2"/>
  <c r="AI1420" i="2"/>
  <c r="AO1419" i="2"/>
  <c r="AN1419" i="2"/>
  <c r="AL1419" i="2"/>
  <c r="AM1419" i="2" s="1"/>
  <c r="AK1419" i="2"/>
  <c r="AJ1419" i="2"/>
  <c r="AI1419" i="2"/>
  <c r="AO1418" i="2"/>
  <c r="AN1418" i="2"/>
  <c r="AM1418" i="2"/>
  <c r="AL1418" i="2"/>
  <c r="AK1418" i="2"/>
  <c r="AJ1418" i="2"/>
  <c r="AI1418" i="2"/>
  <c r="AO1417" i="2"/>
  <c r="AN1417" i="2"/>
  <c r="AM1417" i="2"/>
  <c r="AL1417" i="2"/>
  <c r="AK1417" i="2"/>
  <c r="AJ1417" i="2"/>
  <c r="AI1417" i="2"/>
  <c r="AO1416" i="2"/>
  <c r="AN1416" i="2"/>
  <c r="AL1416" i="2"/>
  <c r="AM1416" i="2" s="1"/>
  <c r="AK1416" i="2"/>
  <c r="AJ1416" i="2"/>
  <c r="AI1416" i="2"/>
  <c r="AO1415" i="2"/>
  <c r="AN1415" i="2"/>
  <c r="AL1415" i="2"/>
  <c r="AM1415" i="2" s="1"/>
  <c r="AK1415" i="2"/>
  <c r="AJ1415" i="2"/>
  <c r="AI1415" i="2"/>
  <c r="AO1414" i="2"/>
  <c r="AN1414" i="2"/>
  <c r="AM1414" i="2"/>
  <c r="AL1414" i="2"/>
  <c r="AK1414" i="2"/>
  <c r="AJ1414" i="2"/>
  <c r="AI1414" i="2"/>
  <c r="AO1413" i="2"/>
  <c r="AN1413" i="2"/>
  <c r="AL1413" i="2"/>
  <c r="AM1413" i="2" s="1"/>
  <c r="AK1413" i="2"/>
  <c r="AJ1413" i="2"/>
  <c r="AI1413" i="2"/>
  <c r="AO1412" i="2"/>
  <c r="AN1412" i="2"/>
  <c r="AM1412" i="2"/>
  <c r="AL1412" i="2"/>
  <c r="AK1412" i="2"/>
  <c r="AJ1412" i="2"/>
  <c r="AI1412" i="2"/>
  <c r="AO1411" i="2"/>
  <c r="AN1411" i="2"/>
  <c r="AM1411" i="2"/>
  <c r="AL1411" i="2"/>
  <c r="AK1411" i="2"/>
  <c r="AJ1411" i="2"/>
  <c r="AI1411" i="2"/>
  <c r="AO1410" i="2"/>
  <c r="AN1410" i="2"/>
  <c r="AL1410" i="2"/>
  <c r="AM1410" i="2" s="1"/>
  <c r="AK1410" i="2"/>
  <c r="AJ1410" i="2"/>
  <c r="AI1410" i="2"/>
  <c r="AO1409" i="2"/>
  <c r="AN1409" i="2"/>
  <c r="AM1409" i="2"/>
  <c r="AL1409" i="2"/>
  <c r="AK1409" i="2"/>
  <c r="AJ1409" i="2"/>
  <c r="AI1409" i="2"/>
  <c r="AO1408" i="2"/>
  <c r="AN1408" i="2"/>
  <c r="AM1408" i="2"/>
  <c r="AL1408" i="2"/>
  <c r="AK1408" i="2"/>
  <c r="AJ1408" i="2"/>
  <c r="AI1408" i="2"/>
  <c r="AO1407" i="2"/>
  <c r="AN1407" i="2"/>
  <c r="AL1407" i="2"/>
  <c r="AM1407" i="2" s="1"/>
  <c r="AK1407" i="2"/>
  <c r="AJ1407" i="2"/>
  <c r="AI1407" i="2"/>
  <c r="AO1406" i="2"/>
  <c r="AN1406" i="2"/>
  <c r="AL1406" i="2"/>
  <c r="AM1406" i="2" s="1"/>
  <c r="AK1406" i="2"/>
  <c r="AJ1406" i="2"/>
  <c r="AI1406" i="2"/>
  <c r="AO1405" i="2"/>
  <c r="AN1405" i="2"/>
  <c r="AM1405" i="2"/>
  <c r="AL1405" i="2"/>
  <c r="AK1405" i="2"/>
  <c r="AJ1405" i="2"/>
  <c r="AI1405" i="2"/>
  <c r="AO1404" i="2"/>
  <c r="AN1404" i="2"/>
  <c r="AL1404" i="2"/>
  <c r="AM1404" i="2" s="1"/>
  <c r="AK1404" i="2"/>
  <c r="AJ1404" i="2"/>
  <c r="AI1404" i="2"/>
  <c r="AO1403" i="2"/>
  <c r="AN1403" i="2"/>
  <c r="AL1403" i="2"/>
  <c r="AM1403" i="2" s="1"/>
  <c r="AK1403" i="2"/>
  <c r="AJ1403" i="2"/>
  <c r="AI1403" i="2"/>
  <c r="AO1402" i="2"/>
  <c r="AN1402" i="2"/>
  <c r="AM1402" i="2"/>
  <c r="AL1402" i="2"/>
  <c r="AK1402" i="2"/>
  <c r="AJ1402" i="2"/>
  <c r="AI1402" i="2"/>
  <c r="AO1401" i="2"/>
  <c r="AN1401" i="2"/>
  <c r="AL1401" i="2"/>
  <c r="AM1401" i="2" s="1"/>
  <c r="AK1401" i="2"/>
  <c r="AJ1401" i="2"/>
  <c r="AI1401" i="2"/>
  <c r="AO1400" i="2"/>
  <c r="AN1400" i="2"/>
  <c r="AM1400" i="2"/>
  <c r="AL1400" i="2"/>
  <c r="AK1400" i="2"/>
  <c r="AJ1400" i="2"/>
  <c r="AI1400" i="2"/>
  <c r="AO1399" i="2"/>
  <c r="AN1399" i="2"/>
  <c r="AL1399" i="2"/>
  <c r="AM1399" i="2" s="1"/>
  <c r="AK1399" i="2"/>
  <c r="AJ1399" i="2"/>
  <c r="AI1399" i="2"/>
  <c r="AO1398" i="2"/>
  <c r="AN1398" i="2"/>
  <c r="AL1398" i="2"/>
  <c r="AM1398" i="2" s="1"/>
  <c r="AK1398" i="2"/>
  <c r="AJ1398" i="2"/>
  <c r="AI1398" i="2"/>
  <c r="AO1397" i="2"/>
  <c r="AN1397" i="2"/>
  <c r="AM1397" i="2"/>
  <c r="AL1397" i="2"/>
  <c r="AK1397" i="2"/>
  <c r="AJ1397" i="2"/>
  <c r="AI1397" i="2"/>
  <c r="AO1396" i="2"/>
  <c r="AN1396" i="2"/>
  <c r="AM1396" i="2"/>
  <c r="AL1396" i="2"/>
  <c r="AK1396" i="2"/>
  <c r="AJ1396" i="2"/>
  <c r="AI1396" i="2"/>
  <c r="AO1395" i="2"/>
  <c r="AN1395" i="2"/>
  <c r="AL1395" i="2"/>
  <c r="AM1395" i="2" s="1"/>
  <c r="AK1395" i="2"/>
  <c r="AJ1395" i="2"/>
  <c r="AI1395" i="2"/>
  <c r="AO1394" i="2"/>
  <c r="AN1394" i="2"/>
  <c r="AL1394" i="2"/>
  <c r="AM1394" i="2" s="1"/>
  <c r="AK1394" i="2"/>
  <c r="AJ1394" i="2"/>
  <c r="AI1394" i="2"/>
  <c r="AO1393" i="2"/>
  <c r="AN1393" i="2"/>
  <c r="AM1393" i="2"/>
  <c r="AL1393" i="2"/>
  <c r="AK1393" i="2"/>
  <c r="AJ1393" i="2"/>
  <c r="AI1393" i="2"/>
  <c r="AO1392" i="2"/>
  <c r="AN1392" i="2"/>
  <c r="AL1392" i="2"/>
  <c r="AM1392" i="2" s="1"/>
  <c r="AK1392" i="2"/>
  <c r="AJ1392" i="2"/>
  <c r="AI1392" i="2"/>
  <c r="AO1391" i="2"/>
  <c r="AN1391" i="2"/>
  <c r="AM1391" i="2"/>
  <c r="AL1391" i="2"/>
  <c r="AK1391" i="2"/>
  <c r="AJ1391" i="2"/>
  <c r="AI1391" i="2"/>
  <c r="AO1390" i="2"/>
  <c r="AN1390" i="2"/>
  <c r="AM1390" i="2"/>
  <c r="AL1390" i="2"/>
  <c r="AK1390" i="2"/>
  <c r="AJ1390" i="2"/>
  <c r="AI1390" i="2"/>
  <c r="AO1389" i="2"/>
  <c r="AN1389" i="2"/>
  <c r="AL1389" i="2"/>
  <c r="AM1389" i="2" s="1"/>
  <c r="AK1389" i="2"/>
  <c r="AJ1389" i="2"/>
  <c r="AI1389" i="2"/>
  <c r="AO1388" i="2"/>
  <c r="AN1388" i="2"/>
  <c r="AL1388" i="2"/>
  <c r="AM1388" i="2" s="1"/>
  <c r="AK1388" i="2"/>
  <c r="AJ1388" i="2"/>
  <c r="AI1388" i="2"/>
  <c r="AO1387" i="2"/>
  <c r="AN1387" i="2"/>
  <c r="AL1387" i="2"/>
  <c r="AM1387" i="2" s="1"/>
  <c r="AK1387" i="2"/>
  <c r="AJ1387" i="2"/>
  <c r="AI1387" i="2"/>
  <c r="AO1386" i="2"/>
  <c r="AN1386" i="2"/>
  <c r="AL1386" i="2"/>
  <c r="AM1386" i="2" s="1"/>
  <c r="AK1386" i="2"/>
  <c r="AJ1386" i="2"/>
  <c r="AI1386" i="2"/>
  <c r="AO1385" i="2"/>
  <c r="AN1385" i="2"/>
  <c r="AL1385" i="2"/>
  <c r="AM1385" i="2" s="1"/>
  <c r="AK1385" i="2"/>
  <c r="AJ1385" i="2"/>
  <c r="AI1385" i="2"/>
  <c r="AO1384" i="2"/>
  <c r="AN1384" i="2"/>
  <c r="AM1384" i="2"/>
  <c r="AL1384" i="2"/>
  <c r="AK1384" i="2"/>
  <c r="AJ1384" i="2"/>
  <c r="AI1384" i="2"/>
  <c r="AO1383" i="2"/>
  <c r="AN1383" i="2"/>
  <c r="AL1383" i="2"/>
  <c r="AM1383" i="2" s="1"/>
  <c r="AK1383" i="2"/>
  <c r="AJ1383" i="2"/>
  <c r="AI1383" i="2"/>
  <c r="AO1382" i="2"/>
  <c r="AN1382" i="2"/>
  <c r="AM1382" i="2"/>
  <c r="AL1382" i="2"/>
  <c r="AK1382" i="2"/>
  <c r="AJ1382" i="2"/>
  <c r="AI1382" i="2"/>
  <c r="AO1381" i="2"/>
  <c r="AN1381" i="2"/>
  <c r="AM1381" i="2"/>
  <c r="AL1381" i="2"/>
  <c r="AK1381" i="2"/>
  <c r="AJ1381" i="2"/>
  <c r="AI1381" i="2"/>
  <c r="AO1380" i="2"/>
  <c r="AN1380" i="2"/>
  <c r="AM1380" i="2"/>
  <c r="AL1380" i="2"/>
  <c r="AK1380" i="2"/>
  <c r="AJ1380" i="2"/>
  <c r="AI1380" i="2"/>
  <c r="AO1379" i="2"/>
  <c r="AN1379" i="2"/>
  <c r="AL1379" i="2"/>
  <c r="AM1379" i="2" s="1"/>
  <c r="AK1379" i="2"/>
  <c r="AJ1379" i="2"/>
  <c r="AI1379" i="2"/>
  <c r="AO1378" i="2"/>
  <c r="AN1378" i="2"/>
  <c r="AM1378" i="2"/>
  <c r="AL1378" i="2"/>
  <c r="AK1378" i="2"/>
  <c r="AJ1378" i="2"/>
  <c r="AI1378" i="2"/>
  <c r="AO1377" i="2"/>
  <c r="AN1377" i="2"/>
  <c r="AL1377" i="2"/>
  <c r="AM1377" i="2" s="1"/>
  <c r="AK1377" i="2"/>
  <c r="AJ1377" i="2"/>
  <c r="AI1377" i="2"/>
  <c r="AO1376" i="2"/>
  <c r="AN1376" i="2"/>
  <c r="AL1376" i="2"/>
  <c r="AM1376" i="2" s="1"/>
  <c r="AK1376" i="2"/>
  <c r="AJ1376" i="2"/>
  <c r="AI1376" i="2"/>
  <c r="AO1375" i="2"/>
  <c r="AN1375" i="2"/>
  <c r="AM1375" i="2"/>
  <c r="AL1375" i="2"/>
  <c r="AK1375" i="2"/>
  <c r="AJ1375" i="2"/>
  <c r="AI1375" i="2"/>
  <c r="AO1374" i="2"/>
  <c r="AN1374" i="2"/>
  <c r="AL1374" i="2"/>
  <c r="AM1374" i="2" s="1"/>
  <c r="AK1374" i="2"/>
  <c r="AJ1374" i="2"/>
  <c r="AI1374" i="2"/>
  <c r="AO1373" i="2"/>
  <c r="AN1373" i="2"/>
  <c r="AL1373" i="2"/>
  <c r="AM1373" i="2" s="1"/>
  <c r="AK1373" i="2"/>
  <c r="AJ1373" i="2"/>
  <c r="AI1373" i="2"/>
  <c r="AO1372" i="2"/>
  <c r="AN1372" i="2"/>
  <c r="AM1372" i="2"/>
  <c r="AL1372" i="2"/>
  <c r="AK1372" i="2"/>
  <c r="AJ1372" i="2"/>
  <c r="AI1372" i="2"/>
  <c r="AO1371" i="2"/>
  <c r="AN1371" i="2"/>
  <c r="AL1371" i="2"/>
  <c r="AM1371" i="2" s="1"/>
  <c r="AK1371" i="2"/>
  <c r="AJ1371" i="2"/>
  <c r="AI1371" i="2"/>
  <c r="AO1370" i="2"/>
  <c r="AN1370" i="2"/>
  <c r="AL1370" i="2"/>
  <c r="AM1370" i="2" s="1"/>
  <c r="AK1370" i="2"/>
  <c r="AJ1370" i="2"/>
  <c r="AI1370" i="2"/>
  <c r="AO1369" i="2"/>
  <c r="AN1369" i="2"/>
  <c r="AM1369" i="2"/>
  <c r="AL1369" i="2"/>
  <c r="AK1369" i="2"/>
  <c r="AJ1369" i="2"/>
  <c r="AI1369" i="2"/>
  <c r="AO1368" i="2"/>
  <c r="AN1368" i="2"/>
  <c r="AM1368" i="2"/>
  <c r="AL1368" i="2"/>
  <c r="AK1368" i="2"/>
  <c r="AJ1368" i="2"/>
  <c r="AI1368" i="2"/>
  <c r="AO1367" i="2"/>
  <c r="AN1367" i="2"/>
  <c r="AL1367" i="2"/>
  <c r="AM1367" i="2" s="1"/>
  <c r="AK1367" i="2"/>
  <c r="AJ1367" i="2"/>
  <c r="AI1367" i="2"/>
  <c r="AO1366" i="2"/>
  <c r="AN1366" i="2"/>
  <c r="AM1366" i="2"/>
  <c r="AL1366" i="2"/>
  <c r="AK1366" i="2"/>
  <c r="AJ1366" i="2"/>
  <c r="AI1366" i="2"/>
  <c r="AO1365" i="2"/>
  <c r="AN1365" i="2"/>
  <c r="AL1365" i="2"/>
  <c r="AM1365" i="2" s="1"/>
  <c r="AK1365" i="2"/>
  <c r="AJ1365" i="2"/>
  <c r="AI1365" i="2"/>
  <c r="AO1364" i="2"/>
  <c r="AN1364" i="2"/>
  <c r="AM1364" i="2"/>
  <c r="AL1364" i="2"/>
  <c r="AK1364" i="2"/>
  <c r="AJ1364" i="2"/>
  <c r="AI1364" i="2"/>
  <c r="AO1363" i="2"/>
  <c r="AN1363" i="2"/>
  <c r="AL1363" i="2"/>
  <c r="AM1363" i="2" s="1"/>
  <c r="AK1363" i="2"/>
  <c r="AJ1363" i="2"/>
  <c r="AI1363" i="2"/>
  <c r="AO1362" i="2"/>
  <c r="AN1362" i="2"/>
  <c r="AL1362" i="2"/>
  <c r="AM1362" i="2" s="1"/>
  <c r="AK1362" i="2"/>
  <c r="AJ1362" i="2"/>
  <c r="AI1362" i="2"/>
  <c r="AO1361" i="2"/>
  <c r="AN1361" i="2"/>
  <c r="AL1361" i="2"/>
  <c r="AM1361" i="2" s="1"/>
  <c r="AK1361" i="2"/>
  <c r="AJ1361" i="2"/>
  <c r="AI1361" i="2"/>
  <c r="AO1360" i="2"/>
  <c r="AN1360" i="2"/>
  <c r="AM1360" i="2"/>
  <c r="AL1360" i="2"/>
  <c r="AK1360" i="2"/>
  <c r="AJ1360" i="2"/>
  <c r="AI1360" i="2"/>
  <c r="AO1359" i="2"/>
  <c r="AN1359" i="2"/>
  <c r="AL1359" i="2"/>
  <c r="AM1359" i="2" s="1"/>
  <c r="AK1359" i="2"/>
  <c r="AJ1359" i="2"/>
  <c r="AI1359" i="2"/>
  <c r="AO1358" i="2"/>
  <c r="AN1358" i="2"/>
  <c r="AL1358" i="2"/>
  <c r="AM1358" i="2" s="1"/>
  <c r="AK1358" i="2"/>
  <c r="AJ1358" i="2"/>
  <c r="AI1358" i="2"/>
  <c r="AO1357" i="2"/>
  <c r="AN1357" i="2"/>
  <c r="AM1357" i="2"/>
  <c r="AL1357" i="2"/>
  <c r="AK1357" i="2"/>
  <c r="AJ1357" i="2"/>
  <c r="AI1357" i="2"/>
  <c r="AO1356" i="2"/>
  <c r="AN1356" i="2"/>
  <c r="AL1356" i="2"/>
  <c r="AM1356" i="2" s="1"/>
  <c r="AK1356" i="2"/>
  <c r="AJ1356" i="2"/>
  <c r="AI1356" i="2"/>
  <c r="AO1355" i="2"/>
  <c r="AN1355" i="2"/>
  <c r="AL1355" i="2"/>
  <c r="AM1355" i="2" s="1"/>
  <c r="AK1355" i="2"/>
  <c r="AJ1355" i="2"/>
  <c r="AI1355" i="2"/>
  <c r="AO1354" i="2"/>
  <c r="AN1354" i="2"/>
  <c r="AM1354" i="2"/>
  <c r="AL1354" i="2"/>
  <c r="AK1354" i="2"/>
  <c r="AJ1354" i="2"/>
  <c r="AI1354" i="2"/>
  <c r="AO1353" i="2"/>
  <c r="AN1353" i="2"/>
  <c r="AL1353" i="2"/>
  <c r="AM1353" i="2" s="1"/>
  <c r="AK1353" i="2"/>
  <c r="AJ1353" i="2"/>
  <c r="AI1353" i="2"/>
  <c r="AO1352" i="2"/>
  <c r="AN1352" i="2"/>
  <c r="AL1352" i="2"/>
  <c r="AM1352" i="2" s="1"/>
  <c r="AK1352" i="2"/>
  <c r="AJ1352" i="2"/>
  <c r="AI1352" i="2"/>
  <c r="AO1351" i="2"/>
  <c r="AN1351" i="2"/>
  <c r="AM1351" i="2"/>
  <c r="AL1351" i="2"/>
  <c r="AK1351" i="2"/>
  <c r="AJ1351" i="2"/>
  <c r="AI1351" i="2"/>
  <c r="AO1350" i="2"/>
  <c r="AN1350" i="2"/>
  <c r="AL1350" i="2"/>
  <c r="AM1350" i="2" s="1"/>
  <c r="AK1350" i="2"/>
  <c r="AJ1350" i="2"/>
  <c r="AI1350" i="2"/>
  <c r="AO1349" i="2"/>
  <c r="AN1349" i="2"/>
  <c r="AM1349" i="2"/>
  <c r="AL1349" i="2"/>
  <c r="AK1349" i="2"/>
  <c r="AJ1349" i="2"/>
  <c r="AI1349" i="2"/>
  <c r="AO1348" i="2"/>
  <c r="AN1348" i="2"/>
  <c r="AM1348" i="2"/>
  <c r="AL1348" i="2"/>
  <c r="AK1348" i="2"/>
  <c r="AJ1348" i="2"/>
  <c r="AI1348" i="2"/>
  <c r="AO1347" i="2"/>
  <c r="AN1347" i="2"/>
  <c r="AL1347" i="2"/>
  <c r="AM1347" i="2" s="1"/>
  <c r="AK1347" i="2"/>
  <c r="AJ1347" i="2"/>
  <c r="AI1347" i="2"/>
  <c r="AO1346" i="2"/>
  <c r="AN1346" i="2"/>
  <c r="AL1346" i="2"/>
  <c r="AM1346" i="2" s="1"/>
  <c r="AK1346" i="2"/>
  <c r="AJ1346" i="2"/>
  <c r="AI1346" i="2"/>
  <c r="AO1345" i="2"/>
  <c r="AN1345" i="2"/>
  <c r="AM1345" i="2"/>
  <c r="AL1345" i="2"/>
  <c r="AK1345" i="2"/>
  <c r="AJ1345" i="2"/>
  <c r="AI1345" i="2"/>
  <c r="AO1344" i="2"/>
  <c r="AN1344" i="2"/>
  <c r="AL1344" i="2"/>
  <c r="AM1344" i="2" s="1"/>
  <c r="AK1344" i="2"/>
  <c r="AJ1344" i="2"/>
  <c r="AI1344" i="2"/>
  <c r="AO1343" i="2"/>
  <c r="AN1343" i="2"/>
  <c r="AM1343" i="2"/>
  <c r="AL1343" i="2"/>
  <c r="AK1343" i="2"/>
  <c r="AJ1343" i="2"/>
  <c r="AI1343" i="2"/>
  <c r="AO1342" i="2"/>
  <c r="AN1342" i="2"/>
  <c r="AM1342" i="2"/>
  <c r="AL1342" i="2"/>
  <c r="AK1342" i="2"/>
  <c r="AJ1342" i="2"/>
  <c r="AI1342" i="2"/>
  <c r="AO1341" i="2"/>
  <c r="AN1341" i="2"/>
  <c r="AL1341" i="2"/>
  <c r="AM1341" i="2" s="1"/>
  <c r="AK1341" i="2"/>
  <c r="AJ1341" i="2"/>
  <c r="AI1341" i="2"/>
  <c r="AO1340" i="2"/>
  <c r="AN1340" i="2"/>
  <c r="AL1340" i="2"/>
  <c r="AM1340" i="2" s="1"/>
  <c r="AK1340" i="2"/>
  <c r="AJ1340" i="2"/>
  <c r="AI1340" i="2"/>
  <c r="AO1339" i="2"/>
  <c r="AN1339" i="2"/>
  <c r="AL1339" i="2"/>
  <c r="AM1339" i="2" s="1"/>
  <c r="AK1339" i="2"/>
  <c r="AJ1339" i="2"/>
  <c r="AI1339" i="2"/>
  <c r="AO1338" i="2"/>
  <c r="AN1338" i="2"/>
  <c r="AL1338" i="2"/>
  <c r="AM1338" i="2" s="1"/>
  <c r="AK1338" i="2"/>
  <c r="AJ1338" i="2"/>
  <c r="AI1338" i="2"/>
  <c r="AO1337" i="2"/>
  <c r="AN1337" i="2"/>
  <c r="AL1337" i="2"/>
  <c r="AM1337" i="2" s="1"/>
  <c r="AK1337" i="2"/>
  <c r="AJ1337" i="2"/>
  <c r="AI1337" i="2"/>
  <c r="AO1336" i="2"/>
  <c r="AN1336" i="2"/>
  <c r="AM1336" i="2"/>
  <c r="AL1336" i="2"/>
  <c r="AK1336" i="2"/>
  <c r="AJ1336" i="2"/>
  <c r="AI1336" i="2"/>
  <c r="AO1335" i="2"/>
  <c r="AN1335" i="2"/>
  <c r="AL1335" i="2"/>
  <c r="AM1335" i="2" s="1"/>
  <c r="AK1335" i="2"/>
  <c r="AJ1335" i="2"/>
  <c r="AI1335" i="2"/>
  <c r="AO1334" i="2"/>
  <c r="AN1334" i="2"/>
  <c r="AM1334" i="2"/>
  <c r="AL1334" i="2"/>
  <c r="AK1334" i="2"/>
  <c r="AJ1334" i="2"/>
  <c r="AI1334" i="2"/>
  <c r="AO1333" i="2"/>
  <c r="AN1333" i="2"/>
  <c r="AM1333" i="2"/>
  <c r="AL1333" i="2"/>
  <c r="AK1333" i="2"/>
  <c r="AJ1333" i="2"/>
  <c r="AI1333" i="2"/>
  <c r="AO1332" i="2"/>
  <c r="AN1332" i="2"/>
  <c r="AM1332" i="2"/>
  <c r="AL1332" i="2"/>
  <c r="AK1332" i="2"/>
  <c r="AJ1332" i="2"/>
  <c r="AI1332" i="2"/>
  <c r="AO1331" i="2"/>
  <c r="AN1331" i="2"/>
  <c r="AM1331" i="2"/>
  <c r="AL1331" i="2"/>
  <c r="AK1331" i="2"/>
  <c r="AJ1331" i="2"/>
  <c r="AI1331" i="2"/>
  <c r="AO1330" i="2"/>
  <c r="AN1330" i="2"/>
  <c r="AM1330" i="2"/>
  <c r="AL1330" i="2"/>
  <c r="AK1330" i="2"/>
  <c r="AJ1330" i="2"/>
  <c r="AI1330" i="2"/>
  <c r="AO1329" i="2"/>
  <c r="AN1329" i="2"/>
  <c r="AL1329" i="2"/>
  <c r="AM1329" i="2" s="1"/>
  <c r="AK1329" i="2"/>
  <c r="AJ1329" i="2"/>
  <c r="AI1329" i="2"/>
  <c r="AO1328" i="2"/>
  <c r="AN1328" i="2"/>
  <c r="AL1328" i="2"/>
  <c r="AM1328" i="2" s="1"/>
  <c r="AK1328" i="2"/>
  <c r="AJ1328" i="2"/>
  <c r="AI1328" i="2"/>
  <c r="AO1327" i="2"/>
  <c r="AN1327" i="2"/>
  <c r="AM1327" i="2"/>
  <c r="AL1327" i="2"/>
  <c r="AK1327" i="2"/>
  <c r="AJ1327" i="2"/>
  <c r="AI1327" i="2"/>
  <c r="AO1326" i="2"/>
  <c r="AN1326" i="2"/>
  <c r="AL1326" i="2"/>
  <c r="AM1326" i="2" s="1"/>
  <c r="AK1326" i="2"/>
  <c r="AJ1326" i="2"/>
  <c r="AI1326" i="2"/>
  <c r="AO1325" i="2"/>
  <c r="AN1325" i="2"/>
  <c r="AM1325" i="2"/>
  <c r="AL1325" i="2"/>
  <c r="AK1325" i="2"/>
  <c r="AJ1325" i="2"/>
  <c r="AI1325" i="2"/>
  <c r="AO1324" i="2"/>
  <c r="AN1324" i="2"/>
  <c r="AM1324" i="2"/>
  <c r="AL1324" i="2"/>
  <c r="AK1324" i="2"/>
  <c r="AJ1324" i="2"/>
  <c r="AI1324" i="2"/>
  <c r="AO1323" i="2"/>
  <c r="AN1323" i="2"/>
  <c r="AL1323" i="2"/>
  <c r="AM1323" i="2" s="1"/>
  <c r="AK1323" i="2"/>
  <c r="AJ1323" i="2"/>
  <c r="AI1323" i="2"/>
  <c r="AO1322" i="2"/>
  <c r="AN1322" i="2"/>
  <c r="AM1322" i="2"/>
  <c r="AL1322" i="2"/>
  <c r="AK1322" i="2"/>
  <c r="AJ1322" i="2"/>
  <c r="AI1322" i="2"/>
  <c r="AO1321" i="2"/>
  <c r="AN1321" i="2"/>
  <c r="AM1321" i="2"/>
  <c r="AL1321" i="2"/>
  <c r="AK1321" i="2"/>
  <c r="AJ1321" i="2"/>
  <c r="AI1321" i="2"/>
  <c r="AO1320" i="2"/>
  <c r="AN1320" i="2"/>
  <c r="AM1320" i="2"/>
  <c r="AL1320" i="2"/>
  <c r="AK1320" i="2"/>
  <c r="AJ1320" i="2"/>
  <c r="AI1320" i="2"/>
  <c r="AO1319" i="2"/>
  <c r="AN1319" i="2"/>
  <c r="AM1319" i="2"/>
  <c r="AL1319" i="2"/>
  <c r="AK1319" i="2"/>
  <c r="AJ1319" i="2"/>
  <c r="AI1319" i="2"/>
  <c r="AO1318" i="2"/>
  <c r="AN1318" i="2"/>
  <c r="AM1318" i="2"/>
  <c r="AL1318" i="2"/>
  <c r="AK1318" i="2"/>
  <c r="AJ1318" i="2"/>
  <c r="AI1318" i="2"/>
  <c r="AO1317" i="2"/>
  <c r="AN1317" i="2"/>
  <c r="AL1317" i="2"/>
  <c r="AM1317" i="2" s="1"/>
  <c r="AK1317" i="2"/>
  <c r="AJ1317" i="2"/>
  <c r="AI1317" i="2"/>
  <c r="AO1316" i="2"/>
  <c r="AN1316" i="2"/>
  <c r="AL1316" i="2"/>
  <c r="AM1316" i="2" s="1"/>
  <c r="AK1316" i="2"/>
  <c r="AJ1316" i="2"/>
  <c r="AI1316" i="2"/>
  <c r="AO1315" i="2"/>
  <c r="AN1315" i="2"/>
  <c r="AL1315" i="2"/>
  <c r="AM1315" i="2" s="1"/>
  <c r="AK1315" i="2"/>
  <c r="AJ1315" i="2"/>
  <c r="AI1315" i="2"/>
  <c r="AO1314" i="2"/>
  <c r="AN1314" i="2"/>
  <c r="AL1314" i="2"/>
  <c r="AM1314" i="2" s="1"/>
  <c r="AK1314" i="2"/>
  <c r="AJ1314" i="2"/>
  <c r="AI1314" i="2"/>
  <c r="AO1313" i="2"/>
  <c r="AN1313" i="2"/>
  <c r="AM1313" i="2"/>
  <c r="AL1313" i="2"/>
  <c r="AK1313" i="2"/>
  <c r="AJ1313" i="2"/>
  <c r="AI1313" i="2"/>
  <c r="AO1312" i="2"/>
  <c r="AN1312" i="2"/>
  <c r="AM1312" i="2"/>
  <c r="AL1312" i="2"/>
  <c r="AK1312" i="2"/>
  <c r="AJ1312" i="2"/>
  <c r="AI1312" i="2"/>
  <c r="AO1311" i="2"/>
  <c r="AN1311" i="2"/>
  <c r="AL1311" i="2"/>
  <c r="AM1311" i="2" s="1"/>
  <c r="AK1311" i="2"/>
  <c r="AJ1311" i="2"/>
  <c r="AI1311" i="2"/>
  <c r="AO1310" i="2"/>
  <c r="AN1310" i="2"/>
  <c r="AL1310" i="2"/>
  <c r="AM1310" i="2" s="1"/>
  <c r="AK1310" i="2"/>
  <c r="AJ1310" i="2"/>
  <c r="AI1310" i="2"/>
  <c r="AO1309" i="2"/>
  <c r="AN1309" i="2"/>
  <c r="AM1309" i="2"/>
  <c r="AL1309" i="2"/>
  <c r="AK1309" i="2"/>
  <c r="AJ1309" i="2"/>
  <c r="AI1309" i="2"/>
  <c r="AO1308" i="2"/>
  <c r="AN1308" i="2"/>
  <c r="AL1308" i="2"/>
  <c r="AM1308" i="2" s="1"/>
  <c r="AK1308" i="2"/>
  <c r="AJ1308" i="2"/>
  <c r="AI1308" i="2"/>
  <c r="AO1307" i="2"/>
  <c r="AN1307" i="2"/>
  <c r="AL1307" i="2"/>
  <c r="AM1307" i="2" s="1"/>
  <c r="AK1307" i="2"/>
  <c r="AJ1307" i="2"/>
  <c r="AI1307" i="2"/>
  <c r="AO1306" i="2"/>
  <c r="AN1306" i="2"/>
  <c r="AM1306" i="2"/>
  <c r="AL1306" i="2"/>
  <c r="AK1306" i="2"/>
  <c r="AJ1306" i="2"/>
  <c r="AI1306" i="2"/>
  <c r="AO1305" i="2"/>
  <c r="AN1305" i="2"/>
  <c r="AL1305" i="2"/>
  <c r="AM1305" i="2" s="1"/>
  <c r="AK1305" i="2"/>
  <c r="AJ1305" i="2"/>
  <c r="AI1305" i="2"/>
  <c r="AO1304" i="2"/>
  <c r="AN1304" i="2"/>
  <c r="AL1304" i="2"/>
  <c r="AM1304" i="2" s="1"/>
  <c r="AK1304" i="2"/>
  <c r="AJ1304" i="2"/>
  <c r="AI1304" i="2"/>
  <c r="AO1303" i="2"/>
  <c r="AN1303" i="2"/>
  <c r="AL1303" i="2"/>
  <c r="AM1303" i="2" s="1"/>
  <c r="AK1303" i="2"/>
  <c r="AJ1303" i="2"/>
  <c r="AI1303" i="2"/>
  <c r="AO1302" i="2"/>
  <c r="AN1302" i="2"/>
  <c r="AM1302" i="2"/>
  <c r="AL1302" i="2"/>
  <c r="AK1302" i="2"/>
  <c r="AJ1302" i="2"/>
  <c r="AI1302" i="2"/>
  <c r="AO1301" i="2"/>
  <c r="AN1301" i="2"/>
  <c r="AL1301" i="2"/>
  <c r="AM1301" i="2" s="1"/>
  <c r="AK1301" i="2"/>
  <c r="AJ1301" i="2"/>
  <c r="AI1301" i="2"/>
  <c r="AO1300" i="2"/>
  <c r="AN1300" i="2"/>
  <c r="AM1300" i="2"/>
  <c r="AL1300" i="2"/>
  <c r="AK1300" i="2"/>
  <c r="AJ1300" i="2"/>
  <c r="AI1300" i="2"/>
  <c r="AO1299" i="2"/>
  <c r="AN1299" i="2"/>
  <c r="AL1299" i="2"/>
  <c r="AM1299" i="2" s="1"/>
  <c r="AK1299" i="2"/>
  <c r="AJ1299" i="2"/>
  <c r="AI1299" i="2"/>
  <c r="AO1298" i="2"/>
  <c r="AN1298" i="2"/>
  <c r="AL1298" i="2"/>
  <c r="AM1298" i="2" s="1"/>
  <c r="AK1298" i="2"/>
  <c r="AJ1298" i="2"/>
  <c r="AI1298" i="2"/>
  <c r="AO1297" i="2"/>
  <c r="AN1297" i="2"/>
  <c r="AM1297" i="2"/>
  <c r="AL1297" i="2"/>
  <c r="AK1297" i="2"/>
  <c r="AJ1297" i="2"/>
  <c r="AI1297" i="2"/>
  <c r="AO1296" i="2"/>
  <c r="AN1296" i="2"/>
  <c r="AL1296" i="2"/>
  <c r="AM1296" i="2" s="1"/>
  <c r="AK1296" i="2"/>
  <c r="AJ1296" i="2"/>
  <c r="AI1296" i="2"/>
  <c r="AO1295" i="2"/>
  <c r="AN1295" i="2"/>
  <c r="AL1295" i="2"/>
  <c r="AM1295" i="2" s="1"/>
  <c r="AK1295" i="2"/>
  <c r="AJ1295" i="2"/>
  <c r="AI1295" i="2"/>
  <c r="AO1294" i="2"/>
  <c r="AN1294" i="2"/>
  <c r="AM1294" i="2"/>
  <c r="AL1294" i="2"/>
  <c r="AK1294" i="2"/>
  <c r="AJ1294" i="2"/>
  <c r="AI1294" i="2"/>
  <c r="AO1293" i="2"/>
  <c r="AN1293" i="2"/>
  <c r="AL1293" i="2"/>
  <c r="AM1293" i="2" s="1"/>
  <c r="AK1293" i="2"/>
  <c r="AJ1293" i="2"/>
  <c r="AI1293" i="2"/>
  <c r="AO1292" i="2"/>
  <c r="AN1292" i="2"/>
  <c r="AL1292" i="2"/>
  <c r="AM1292" i="2" s="1"/>
  <c r="AK1292" i="2"/>
  <c r="AJ1292" i="2"/>
  <c r="AI1292" i="2"/>
  <c r="AO1291" i="2"/>
  <c r="AN1291" i="2"/>
  <c r="AL1291" i="2"/>
  <c r="AM1291" i="2" s="1"/>
  <c r="AK1291" i="2"/>
  <c r="AJ1291" i="2"/>
  <c r="AI1291" i="2"/>
  <c r="AO1290" i="2"/>
  <c r="AN1290" i="2"/>
  <c r="AL1290" i="2"/>
  <c r="AM1290" i="2" s="1"/>
  <c r="AK1290" i="2"/>
  <c r="AJ1290" i="2"/>
  <c r="AI1290" i="2"/>
  <c r="AO1289" i="2"/>
  <c r="AN1289" i="2"/>
  <c r="AM1289" i="2"/>
  <c r="AL1289" i="2"/>
  <c r="AK1289" i="2"/>
  <c r="AJ1289" i="2"/>
  <c r="AI1289" i="2"/>
  <c r="AO1288" i="2"/>
  <c r="AN1288" i="2"/>
  <c r="AM1288" i="2"/>
  <c r="AL1288" i="2"/>
  <c r="AK1288" i="2"/>
  <c r="AJ1288" i="2"/>
  <c r="AI1288" i="2"/>
  <c r="AO1287" i="2"/>
  <c r="AN1287" i="2"/>
  <c r="AL1287" i="2"/>
  <c r="AM1287" i="2" s="1"/>
  <c r="AK1287" i="2"/>
  <c r="AJ1287" i="2"/>
  <c r="AI1287" i="2"/>
  <c r="AO1286" i="2"/>
  <c r="AN1286" i="2"/>
  <c r="AL1286" i="2"/>
  <c r="AM1286" i="2" s="1"/>
  <c r="AK1286" i="2"/>
  <c r="AJ1286" i="2"/>
  <c r="AI1286" i="2"/>
  <c r="AO1285" i="2"/>
  <c r="AN1285" i="2"/>
  <c r="AL1285" i="2"/>
  <c r="AM1285" i="2" s="1"/>
  <c r="AK1285" i="2"/>
  <c r="AJ1285" i="2"/>
  <c r="AI1285" i="2"/>
  <c r="AO1284" i="2"/>
  <c r="AN1284" i="2"/>
  <c r="AL1284" i="2"/>
  <c r="AM1284" i="2" s="1"/>
  <c r="AK1284" i="2"/>
  <c r="AJ1284" i="2"/>
  <c r="AI1284" i="2"/>
  <c r="AO1283" i="2"/>
  <c r="AN1283" i="2"/>
  <c r="AL1283" i="2"/>
  <c r="AM1283" i="2" s="1"/>
  <c r="AK1283" i="2"/>
  <c r="AJ1283" i="2"/>
  <c r="AI1283" i="2"/>
  <c r="AO1282" i="2"/>
  <c r="AN1282" i="2"/>
  <c r="AM1282" i="2"/>
  <c r="AL1282" i="2"/>
  <c r="AK1282" i="2"/>
  <c r="AJ1282" i="2"/>
  <c r="AI1282" i="2"/>
  <c r="AO1281" i="2"/>
  <c r="AN1281" i="2"/>
  <c r="AL1281" i="2"/>
  <c r="AM1281" i="2" s="1"/>
  <c r="AK1281" i="2"/>
  <c r="AJ1281" i="2"/>
  <c r="AI1281" i="2"/>
  <c r="AO1280" i="2"/>
  <c r="AN1280" i="2"/>
  <c r="AM1280" i="2"/>
  <c r="AL1280" i="2"/>
  <c r="AK1280" i="2"/>
  <c r="AJ1280" i="2"/>
  <c r="AI1280" i="2"/>
  <c r="AO1279" i="2"/>
  <c r="AN1279" i="2"/>
  <c r="AL1279" i="2"/>
  <c r="AM1279" i="2" s="1"/>
  <c r="AK1279" i="2"/>
  <c r="AJ1279" i="2"/>
  <c r="AI1279" i="2"/>
  <c r="AO1278" i="2"/>
  <c r="AN1278" i="2"/>
  <c r="AM1278" i="2"/>
  <c r="AL1278" i="2"/>
  <c r="AK1278" i="2"/>
  <c r="AJ1278" i="2"/>
  <c r="AI1278" i="2"/>
  <c r="AO1277" i="2"/>
  <c r="AN1277" i="2"/>
  <c r="AL1277" i="2"/>
  <c r="AM1277" i="2" s="1"/>
  <c r="AK1277" i="2"/>
  <c r="AJ1277" i="2"/>
  <c r="AI1277" i="2"/>
  <c r="AO1276" i="2"/>
  <c r="AN1276" i="2"/>
  <c r="AM1276" i="2"/>
  <c r="AL1276" i="2"/>
  <c r="AK1276" i="2"/>
  <c r="AJ1276" i="2"/>
  <c r="AI1276" i="2"/>
  <c r="AO1275" i="2"/>
  <c r="AN1275" i="2"/>
  <c r="AL1275" i="2"/>
  <c r="AM1275" i="2" s="1"/>
  <c r="AK1275" i="2"/>
  <c r="AJ1275" i="2"/>
  <c r="AI1275" i="2"/>
  <c r="AO1274" i="2"/>
  <c r="AN1274" i="2"/>
  <c r="AM1274" i="2"/>
  <c r="AL1274" i="2"/>
  <c r="AK1274" i="2"/>
  <c r="AJ1274" i="2"/>
  <c r="AI1274" i="2"/>
  <c r="AO1273" i="2"/>
  <c r="AN1273" i="2"/>
  <c r="AM1273" i="2"/>
  <c r="AL1273" i="2"/>
  <c r="AK1273" i="2"/>
  <c r="AJ1273" i="2"/>
  <c r="AI1273" i="2"/>
  <c r="AO1272" i="2"/>
  <c r="AN1272" i="2"/>
  <c r="AL1272" i="2"/>
  <c r="AM1272" i="2" s="1"/>
  <c r="AK1272" i="2"/>
  <c r="AJ1272" i="2"/>
  <c r="AI1272" i="2"/>
  <c r="AO1271" i="2"/>
  <c r="AN1271" i="2"/>
  <c r="AL1271" i="2"/>
  <c r="AM1271" i="2" s="1"/>
  <c r="AK1271" i="2"/>
  <c r="AJ1271" i="2"/>
  <c r="AI1271" i="2"/>
  <c r="AO1270" i="2"/>
  <c r="AN1270" i="2"/>
  <c r="AM1270" i="2"/>
  <c r="AL1270" i="2"/>
  <c r="AK1270" i="2"/>
  <c r="AJ1270" i="2"/>
  <c r="AI1270" i="2"/>
  <c r="AO1269" i="2"/>
  <c r="AN1269" i="2"/>
  <c r="AL1269" i="2"/>
  <c r="AM1269" i="2" s="1"/>
  <c r="AK1269" i="2"/>
  <c r="AJ1269" i="2"/>
  <c r="AI1269" i="2"/>
  <c r="AO1268" i="2"/>
  <c r="AN1268" i="2"/>
  <c r="AL1268" i="2"/>
  <c r="AM1268" i="2" s="1"/>
  <c r="AK1268" i="2"/>
  <c r="AJ1268" i="2"/>
  <c r="AI1268" i="2"/>
  <c r="AO1267" i="2"/>
  <c r="AN1267" i="2"/>
  <c r="AM1267" i="2"/>
  <c r="AL1267" i="2"/>
  <c r="AK1267" i="2"/>
  <c r="AJ1267" i="2"/>
  <c r="AI1267" i="2"/>
  <c r="AO1266" i="2"/>
  <c r="AN1266" i="2"/>
  <c r="AM1266" i="2"/>
  <c r="AL1266" i="2"/>
  <c r="AK1266" i="2"/>
  <c r="AJ1266" i="2"/>
  <c r="AI1266" i="2"/>
  <c r="AO1265" i="2"/>
  <c r="AN1265" i="2"/>
  <c r="AL1265" i="2"/>
  <c r="AM1265" i="2" s="1"/>
  <c r="AK1265" i="2"/>
  <c r="AJ1265" i="2"/>
  <c r="AI1265" i="2"/>
  <c r="AO1264" i="2"/>
  <c r="AN1264" i="2"/>
  <c r="AM1264" i="2"/>
  <c r="AL1264" i="2"/>
  <c r="AK1264" i="2"/>
  <c r="AJ1264" i="2"/>
  <c r="AI1264" i="2"/>
  <c r="AO1263" i="2"/>
  <c r="AN1263" i="2"/>
  <c r="AL1263" i="2"/>
  <c r="AM1263" i="2" s="1"/>
  <c r="AK1263" i="2"/>
  <c r="AJ1263" i="2"/>
  <c r="AI1263" i="2"/>
  <c r="AO1262" i="2"/>
  <c r="AN1262" i="2"/>
  <c r="AL1262" i="2"/>
  <c r="AM1262" i="2" s="1"/>
  <c r="AK1262" i="2"/>
  <c r="AJ1262" i="2"/>
  <c r="AI1262" i="2"/>
  <c r="AO1261" i="2"/>
  <c r="AN1261" i="2"/>
  <c r="AM1261" i="2"/>
  <c r="AL1261" i="2"/>
  <c r="AK1261" i="2"/>
  <c r="AJ1261" i="2"/>
  <c r="AI1261" i="2"/>
  <c r="AO1260" i="2"/>
  <c r="AN1260" i="2"/>
  <c r="AM1260" i="2"/>
  <c r="AL1260" i="2"/>
  <c r="AK1260" i="2"/>
  <c r="AJ1260" i="2"/>
  <c r="AI1260" i="2"/>
  <c r="AO1259" i="2"/>
  <c r="AN1259" i="2"/>
  <c r="AM1259" i="2"/>
  <c r="AL1259" i="2"/>
  <c r="AK1259" i="2"/>
  <c r="AJ1259" i="2"/>
  <c r="AI1259" i="2"/>
  <c r="AO1258" i="2"/>
  <c r="AN1258" i="2"/>
  <c r="AM1258" i="2"/>
  <c r="AL1258" i="2"/>
  <c r="AK1258" i="2"/>
  <c r="AJ1258" i="2"/>
  <c r="AI1258" i="2"/>
  <c r="AO1257" i="2"/>
  <c r="AN1257" i="2"/>
  <c r="AL1257" i="2"/>
  <c r="AM1257" i="2" s="1"/>
  <c r="AK1257" i="2"/>
  <c r="AJ1257" i="2"/>
  <c r="AI1257" i="2"/>
  <c r="AO1256" i="2"/>
  <c r="AN1256" i="2"/>
  <c r="AL1256" i="2"/>
  <c r="AM1256" i="2" s="1"/>
  <c r="AK1256" i="2"/>
  <c r="AJ1256" i="2"/>
  <c r="AI1256" i="2"/>
  <c r="AO1255" i="2"/>
  <c r="AN1255" i="2"/>
  <c r="AL1255" i="2"/>
  <c r="AM1255" i="2" s="1"/>
  <c r="AK1255" i="2"/>
  <c r="AJ1255" i="2"/>
  <c r="AI1255" i="2"/>
  <c r="AO1254" i="2"/>
  <c r="AN1254" i="2"/>
  <c r="AL1254" i="2"/>
  <c r="AM1254" i="2" s="1"/>
  <c r="AK1254" i="2"/>
  <c r="AJ1254" i="2"/>
  <c r="AI1254" i="2"/>
  <c r="AO1253" i="2"/>
  <c r="AN1253" i="2"/>
  <c r="AM1253" i="2"/>
  <c r="AL1253" i="2"/>
  <c r="AK1253" i="2"/>
  <c r="AJ1253" i="2"/>
  <c r="AI1253" i="2"/>
  <c r="AO1252" i="2"/>
  <c r="AN1252" i="2"/>
  <c r="AM1252" i="2"/>
  <c r="AL1252" i="2"/>
  <c r="AK1252" i="2"/>
  <c r="AJ1252" i="2"/>
  <c r="AI1252" i="2"/>
  <c r="AO1251" i="2"/>
  <c r="AN1251" i="2"/>
  <c r="AL1251" i="2"/>
  <c r="AM1251" i="2" s="1"/>
  <c r="AK1251" i="2"/>
  <c r="AJ1251" i="2"/>
  <c r="AI1251" i="2"/>
  <c r="AO1250" i="2"/>
  <c r="AN1250" i="2"/>
  <c r="AL1250" i="2"/>
  <c r="AM1250" i="2" s="1"/>
  <c r="AK1250" i="2"/>
  <c r="AJ1250" i="2"/>
  <c r="AI1250" i="2"/>
  <c r="AO1249" i="2"/>
  <c r="AN1249" i="2"/>
  <c r="AL1249" i="2"/>
  <c r="AM1249" i="2" s="1"/>
  <c r="AK1249" i="2"/>
  <c r="AJ1249" i="2"/>
  <c r="AI1249" i="2"/>
  <c r="AO1248" i="2"/>
  <c r="AN1248" i="2"/>
  <c r="AM1248" i="2"/>
  <c r="AL1248" i="2"/>
  <c r="AK1248" i="2"/>
  <c r="AJ1248" i="2"/>
  <c r="AI1248" i="2"/>
  <c r="AO1247" i="2"/>
  <c r="AN1247" i="2"/>
  <c r="AM1247" i="2"/>
  <c r="AL1247" i="2"/>
  <c r="AK1247" i="2"/>
  <c r="AJ1247" i="2"/>
  <c r="AI1247" i="2"/>
  <c r="AO1246" i="2"/>
  <c r="AN1246" i="2"/>
  <c r="AM1246" i="2"/>
  <c r="AL1246" i="2"/>
  <c r="AK1246" i="2"/>
  <c r="AJ1246" i="2"/>
  <c r="AI1246" i="2"/>
  <c r="AO1245" i="2"/>
  <c r="AN1245" i="2"/>
  <c r="AL1245" i="2"/>
  <c r="AM1245" i="2" s="1"/>
  <c r="AK1245" i="2"/>
  <c r="AJ1245" i="2"/>
  <c r="AI1245" i="2"/>
  <c r="AO1244" i="2"/>
  <c r="AN1244" i="2"/>
  <c r="AM1244" i="2"/>
  <c r="AL1244" i="2"/>
  <c r="AK1244" i="2"/>
  <c r="AJ1244" i="2"/>
  <c r="AI1244" i="2"/>
  <c r="AO1243" i="2"/>
  <c r="AN1243" i="2"/>
  <c r="AL1243" i="2"/>
  <c r="AM1243" i="2" s="1"/>
  <c r="AK1243" i="2"/>
  <c r="AJ1243" i="2"/>
  <c r="AI1243" i="2"/>
  <c r="AO1242" i="2"/>
  <c r="AN1242" i="2"/>
  <c r="AL1242" i="2"/>
  <c r="AM1242" i="2" s="1"/>
  <c r="AK1242" i="2"/>
  <c r="AJ1242" i="2"/>
  <c r="AI1242" i="2"/>
  <c r="AO1241" i="2"/>
  <c r="AN1241" i="2"/>
  <c r="AM1241" i="2"/>
  <c r="AL1241" i="2"/>
  <c r="AK1241" i="2"/>
  <c r="AJ1241" i="2"/>
  <c r="AI1241" i="2"/>
  <c r="AO1240" i="2"/>
  <c r="AN1240" i="2"/>
  <c r="AM1240" i="2"/>
  <c r="AL1240" i="2"/>
  <c r="AK1240" i="2"/>
  <c r="AJ1240" i="2"/>
  <c r="AI1240" i="2"/>
  <c r="AO1239" i="2"/>
  <c r="AN1239" i="2"/>
  <c r="AL1239" i="2"/>
  <c r="AM1239" i="2" s="1"/>
  <c r="AK1239" i="2"/>
  <c r="AJ1239" i="2"/>
  <c r="AI1239" i="2"/>
  <c r="AO1238" i="2"/>
  <c r="AN1238" i="2"/>
  <c r="AL1238" i="2"/>
  <c r="AM1238" i="2" s="1"/>
  <c r="AK1238" i="2"/>
  <c r="AJ1238" i="2"/>
  <c r="AI1238" i="2"/>
  <c r="AO1237" i="2"/>
  <c r="AN1237" i="2"/>
  <c r="AM1237" i="2"/>
  <c r="AL1237" i="2"/>
  <c r="AK1237" i="2"/>
  <c r="AJ1237" i="2"/>
  <c r="AI1237" i="2"/>
  <c r="AO1236" i="2"/>
  <c r="AN1236" i="2"/>
  <c r="AL1236" i="2"/>
  <c r="AM1236" i="2" s="1"/>
  <c r="AK1236" i="2"/>
  <c r="AJ1236" i="2"/>
  <c r="AI1236" i="2"/>
  <c r="AO1235" i="2"/>
  <c r="AN1235" i="2"/>
  <c r="AL1235" i="2"/>
  <c r="AM1235" i="2" s="1"/>
  <c r="AK1235" i="2"/>
  <c r="AJ1235" i="2"/>
  <c r="AI1235" i="2"/>
  <c r="AO1234" i="2"/>
  <c r="AN1234" i="2"/>
  <c r="AM1234" i="2"/>
  <c r="AL1234" i="2"/>
  <c r="AK1234" i="2"/>
  <c r="AJ1234" i="2"/>
  <c r="AI1234" i="2"/>
  <c r="AO1233" i="2"/>
  <c r="AN1233" i="2"/>
  <c r="AL1233" i="2"/>
  <c r="AM1233" i="2" s="1"/>
  <c r="AK1233" i="2"/>
  <c r="AJ1233" i="2"/>
  <c r="AI1233" i="2"/>
  <c r="AO1232" i="2"/>
  <c r="AN1232" i="2"/>
  <c r="AL1232" i="2"/>
  <c r="AM1232" i="2" s="1"/>
  <c r="AK1232" i="2"/>
  <c r="AJ1232" i="2"/>
  <c r="AI1232" i="2"/>
  <c r="AO1231" i="2"/>
  <c r="AN1231" i="2"/>
  <c r="AM1231" i="2"/>
  <c r="AL1231" i="2"/>
  <c r="AK1231" i="2"/>
  <c r="AJ1231" i="2"/>
  <c r="AI1231" i="2"/>
  <c r="AO1230" i="2"/>
  <c r="AN1230" i="2"/>
  <c r="AL1230" i="2"/>
  <c r="AM1230" i="2" s="1"/>
  <c r="AK1230" i="2"/>
  <c r="AJ1230" i="2"/>
  <c r="AI1230" i="2"/>
  <c r="AO1229" i="2"/>
  <c r="AN1229" i="2"/>
  <c r="AL1229" i="2"/>
  <c r="AM1229" i="2" s="1"/>
  <c r="AK1229" i="2"/>
  <c r="AJ1229" i="2"/>
  <c r="AI1229" i="2"/>
  <c r="AO1228" i="2"/>
  <c r="AN1228" i="2"/>
  <c r="AM1228" i="2"/>
  <c r="AL1228" i="2"/>
  <c r="AK1228" i="2"/>
  <c r="AJ1228" i="2"/>
  <c r="AI1228" i="2"/>
  <c r="AO1227" i="2"/>
  <c r="AN1227" i="2"/>
  <c r="AL1227" i="2"/>
  <c r="AM1227" i="2" s="1"/>
  <c r="AK1227" i="2"/>
  <c r="AJ1227" i="2"/>
  <c r="AI1227" i="2"/>
  <c r="AO1226" i="2"/>
  <c r="AN1226" i="2"/>
  <c r="AL1226" i="2"/>
  <c r="AM1226" i="2" s="1"/>
  <c r="AK1226" i="2"/>
  <c r="AJ1226" i="2"/>
  <c r="AI1226" i="2"/>
  <c r="AO1225" i="2"/>
  <c r="AN1225" i="2"/>
  <c r="AL1225" i="2"/>
  <c r="AM1225" i="2" s="1"/>
  <c r="AK1225" i="2"/>
  <c r="AJ1225" i="2"/>
  <c r="AI1225" i="2"/>
  <c r="AO1224" i="2"/>
  <c r="AN1224" i="2"/>
  <c r="AL1224" i="2"/>
  <c r="AM1224" i="2" s="1"/>
  <c r="AK1224" i="2"/>
  <c r="AJ1224" i="2"/>
  <c r="AI1224" i="2"/>
  <c r="AO1223" i="2"/>
  <c r="AN1223" i="2"/>
  <c r="AL1223" i="2"/>
  <c r="AM1223" i="2" s="1"/>
  <c r="AK1223" i="2"/>
  <c r="AJ1223" i="2"/>
  <c r="AI1223" i="2"/>
  <c r="AO1222" i="2"/>
  <c r="AN1222" i="2"/>
  <c r="AM1222" i="2"/>
  <c r="AL1222" i="2"/>
  <c r="AK1222" i="2"/>
  <c r="AJ1222" i="2"/>
  <c r="AI1222" i="2"/>
  <c r="AO1221" i="2"/>
  <c r="AN1221" i="2"/>
  <c r="AL1221" i="2"/>
  <c r="AM1221" i="2" s="1"/>
  <c r="AK1221" i="2"/>
  <c r="AJ1221" i="2"/>
  <c r="AI1221" i="2"/>
  <c r="AO1220" i="2"/>
  <c r="AN1220" i="2"/>
  <c r="AM1220" i="2"/>
  <c r="AL1220" i="2"/>
  <c r="AK1220" i="2"/>
  <c r="AJ1220" i="2"/>
  <c r="AI1220" i="2"/>
  <c r="AO1219" i="2"/>
  <c r="AN1219" i="2"/>
  <c r="AL1219" i="2"/>
  <c r="AM1219" i="2" s="1"/>
  <c r="AK1219" i="2"/>
  <c r="AJ1219" i="2"/>
  <c r="AI1219" i="2"/>
  <c r="AO1218" i="2"/>
  <c r="AN1218" i="2"/>
  <c r="AM1218" i="2"/>
  <c r="AL1218" i="2"/>
  <c r="AK1218" i="2"/>
  <c r="AJ1218" i="2"/>
  <c r="AI1218" i="2"/>
  <c r="AO1217" i="2"/>
  <c r="AN1217" i="2"/>
  <c r="AL1217" i="2"/>
  <c r="AM1217" i="2" s="1"/>
  <c r="AK1217" i="2"/>
  <c r="AJ1217" i="2"/>
  <c r="AI1217" i="2"/>
  <c r="AO1216" i="2"/>
  <c r="AN1216" i="2"/>
  <c r="AM1216" i="2"/>
  <c r="AL1216" i="2"/>
  <c r="AK1216" i="2"/>
  <c r="AJ1216" i="2"/>
  <c r="AI1216" i="2"/>
  <c r="AO1215" i="2"/>
  <c r="AN1215" i="2"/>
  <c r="AL1215" i="2"/>
  <c r="AM1215" i="2" s="1"/>
  <c r="AK1215" i="2"/>
  <c r="AJ1215" i="2"/>
  <c r="AI1215" i="2"/>
  <c r="AO1214" i="2"/>
  <c r="AN1214" i="2"/>
  <c r="AL1214" i="2"/>
  <c r="AM1214" i="2" s="1"/>
  <c r="AK1214" i="2"/>
  <c r="AJ1214" i="2"/>
  <c r="AI1214" i="2"/>
  <c r="AO1213" i="2"/>
  <c r="AN1213" i="2"/>
  <c r="AL1213" i="2"/>
  <c r="AM1213" i="2" s="1"/>
  <c r="AK1213" i="2"/>
  <c r="AJ1213" i="2"/>
  <c r="AI1213" i="2"/>
  <c r="AO1212" i="2"/>
  <c r="AN1212" i="2"/>
  <c r="AL1212" i="2"/>
  <c r="AM1212" i="2" s="1"/>
  <c r="AK1212" i="2"/>
  <c r="AJ1212" i="2"/>
  <c r="AI1212" i="2"/>
  <c r="AO1211" i="2"/>
  <c r="AN1211" i="2"/>
  <c r="AM1211" i="2"/>
  <c r="AL1211" i="2"/>
  <c r="AK1211" i="2"/>
  <c r="AJ1211" i="2"/>
  <c r="AI1211" i="2"/>
  <c r="AO1210" i="2"/>
  <c r="AN1210" i="2"/>
  <c r="AM1210" i="2"/>
  <c r="AL1210" i="2"/>
  <c r="AK1210" i="2"/>
  <c r="AJ1210" i="2"/>
  <c r="AI1210" i="2"/>
  <c r="AO1209" i="2"/>
  <c r="AN1209" i="2"/>
  <c r="AL1209" i="2"/>
  <c r="AM1209" i="2" s="1"/>
  <c r="AK1209" i="2"/>
  <c r="AJ1209" i="2"/>
  <c r="AI1209" i="2"/>
  <c r="AO1208" i="2"/>
  <c r="AN1208" i="2"/>
  <c r="AM1208" i="2"/>
  <c r="AL1208" i="2"/>
  <c r="AK1208" i="2"/>
  <c r="AJ1208" i="2"/>
  <c r="AI1208" i="2"/>
  <c r="AO1207" i="2"/>
  <c r="AN1207" i="2"/>
  <c r="AL1207" i="2"/>
  <c r="AM1207" i="2" s="1"/>
  <c r="AK1207" i="2"/>
  <c r="AJ1207" i="2"/>
  <c r="AI1207" i="2"/>
  <c r="AO1206" i="2"/>
  <c r="AN1206" i="2"/>
  <c r="AL1206" i="2"/>
  <c r="AM1206" i="2" s="1"/>
  <c r="AK1206" i="2"/>
  <c r="AJ1206" i="2"/>
  <c r="AI1206" i="2"/>
  <c r="AO1205" i="2"/>
  <c r="AN1205" i="2"/>
  <c r="AL1205" i="2"/>
  <c r="AM1205" i="2" s="1"/>
  <c r="AK1205" i="2"/>
  <c r="AJ1205" i="2"/>
  <c r="AI1205" i="2"/>
  <c r="AO1204" i="2"/>
  <c r="AN1204" i="2"/>
  <c r="AM1204" i="2"/>
  <c r="AL1204" i="2"/>
  <c r="AK1204" i="2"/>
  <c r="AJ1204" i="2"/>
  <c r="AI1204" i="2"/>
  <c r="AO1203" i="2"/>
  <c r="AN1203" i="2"/>
  <c r="AL1203" i="2"/>
  <c r="AM1203" i="2" s="1"/>
  <c r="AK1203" i="2"/>
  <c r="AJ1203" i="2"/>
  <c r="AI1203" i="2"/>
  <c r="AO1202" i="2"/>
  <c r="AN1202" i="2"/>
  <c r="AM1202" i="2"/>
  <c r="AL1202" i="2"/>
  <c r="AK1202" i="2"/>
  <c r="AJ1202" i="2"/>
  <c r="AI1202" i="2"/>
  <c r="AO1201" i="2"/>
  <c r="AN1201" i="2"/>
  <c r="AM1201" i="2"/>
  <c r="AL1201" i="2"/>
  <c r="AK1201" i="2"/>
  <c r="AJ1201" i="2"/>
  <c r="AI1201" i="2"/>
  <c r="AO1200" i="2"/>
  <c r="AN1200" i="2"/>
  <c r="AL1200" i="2"/>
  <c r="AM1200" i="2" s="1"/>
  <c r="AK1200" i="2"/>
  <c r="AJ1200" i="2"/>
  <c r="AI1200" i="2"/>
  <c r="AO1199" i="2"/>
  <c r="AN1199" i="2"/>
  <c r="AL1199" i="2"/>
  <c r="AM1199" i="2" s="1"/>
  <c r="AK1199" i="2"/>
  <c r="AJ1199" i="2"/>
  <c r="AI1199" i="2"/>
  <c r="AO1198" i="2"/>
  <c r="AN1198" i="2"/>
  <c r="AM1198" i="2"/>
  <c r="AL1198" i="2"/>
  <c r="AK1198" i="2"/>
  <c r="AJ1198" i="2"/>
  <c r="AI1198" i="2"/>
  <c r="AO1197" i="2"/>
  <c r="AN1197" i="2"/>
  <c r="AL1197" i="2"/>
  <c r="AM1197" i="2" s="1"/>
  <c r="AK1197" i="2"/>
  <c r="AJ1197" i="2"/>
  <c r="AI1197" i="2"/>
  <c r="AO1196" i="2"/>
  <c r="AN1196" i="2"/>
  <c r="AM1196" i="2"/>
  <c r="AL1196" i="2"/>
  <c r="AK1196" i="2"/>
  <c r="AJ1196" i="2"/>
  <c r="AI1196" i="2"/>
  <c r="AO1195" i="2"/>
  <c r="AN1195" i="2"/>
  <c r="AM1195" i="2"/>
  <c r="AL1195" i="2"/>
  <c r="AK1195" i="2"/>
  <c r="AJ1195" i="2"/>
  <c r="AI1195" i="2"/>
  <c r="AO1194" i="2"/>
  <c r="AN1194" i="2"/>
  <c r="AM1194" i="2"/>
  <c r="AL1194" i="2"/>
  <c r="AK1194" i="2"/>
  <c r="AJ1194" i="2"/>
  <c r="AI1194" i="2"/>
  <c r="AO1193" i="2"/>
  <c r="AN1193" i="2"/>
  <c r="AL1193" i="2"/>
  <c r="AM1193" i="2" s="1"/>
  <c r="AK1193" i="2"/>
  <c r="AJ1193" i="2"/>
  <c r="AI1193" i="2"/>
  <c r="AO1192" i="2"/>
  <c r="AN1192" i="2"/>
  <c r="AM1192" i="2"/>
  <c r="AL1192" i="2"/>
  <c r="AK1192" i="2"/>
  <c r="AJ1192" i="2"/>
  <c r="AI1192" i="2"/>
  <c r="AO1191" i="2"/>
  <c r="AN1191" i="2"/>
  <c r="AL1191" i="2"/>
  <c r="AM1191" i="2" s="1"/>
  <c r="AK1191" i="2"/>
  <c r="AJ1191" i="2"/>
  <c r="AI1191" i="2"/>
  <c r="AO1190" i="2"/>
  <c r="AN1190" i="2"/>
  <c r="AL1190" i="2"/>
  <c r="AM1190" i="2" s="1"/>
  <c r="AK1190" i="2"/>
  <c r="AJ1190" i="2"/>
  <c r="AI1190" i="2"/>
  <c r="AO1189" i="2"/>
  <c r="AN1189" i="2"/>
  <c r="AM1189" i="2"/>
  <c r="AL1189" i="2"/>
  <c r="AK1189" i="2"/>
  <c r="AJ1189" i="2"/>
  <c r="AI1189" i="2"/>
  <c r="AO1188" i="2"/>
  <c r="AN1188" i="2"/>
  <c r="AM1188" i="2"/>
  <c r="AL1188" i="2"/>
  <c r="AK1188" i="2"/>
  <c r="AJ1188" i="2"/>
  <c r="AI1188" i="2"/>
  <c r="AO1187" i="2"/>
  <c r="AN1187" i="2"/>
  <c r="AM1187" i="2"/>
  <c r="AL1187" i="2"/>
  <c r="AK1187" i="2"/>
  <c r="AJ1187" i="2"/>
  <c r="AI1187" i="2"/>
  <c r="AO1186" i="2"/>
  <c r="AN1186" i="2"/>
  <c r="AM1186" i="2"/>
  <c r="AL1186" i="2"/>
  <c r="AK1186" i="2"/>
  <c r="AJ1186" i="2"/>
  <c r="AI1186" i="2"/>
  <c r="AO1185" i="2"/>
  <c r="AN1185" i="2"/>
  <c r="AL1185" i="2"/>
  <c r="AM1185" i="2" s="1"/>
  <c r="AK1185" i="2"/>
  <c r="AJ1185" i="2"/>
  <c r="AI1185" i="2"/>
  <c r="AO1184" i="2"/>
  <c r="AN1184" i="2"/>
  <c r="AL1184" i="2"/>
  <c r="AM1184" i="2" s="1"/>
  <c r="AK1184" i="2"/>
  <c r="AJ1184" i="2"/>
  <c r="AI1184" i="2"/>
  <c r="AO1183" i="2"/>
  <c r="AN1183" i="2"/>
  <c r="AL1183" i="2"/>
  <c r="AM1183" i="2" s="1"/>
  <c r="AK1183" i="2"/>
  <c r="AJ1183" i="2"/>
  <c r="AI1183" i="2"/>
  <c r="AO1182" i="2"/>
  <c r="AN1182" i="2"/>
  <c r="AL1182" i="2"/>
  <c r="AM1182" i="2" s="1"/>
  <c r="AK1182" i="2"/>
  <c r="AJ1182" i="2"/>
  <c r="AI1182" i="2"/>
  <c r="AO1181" i="2"/>
  <c r="AN1181" i="2"/>
  <c r="AM1181" i="2"/>
  <c r="AL1181" i="2"/>
  <c r="AK1181" i="2"/>
  <c r="AJ1181" i="2"/>
  <c r="AI1181" i="2"/>
  <c r="AO1180" i="2"/>
  <c r="AN1180" i="2"/>
  <c r="AM1180" i="2"/>
  <c r="AL1180" i="2"/>
  <c r="AK1180" i="2"/>
  <c r="AJ1180" i="2"/>
  <c r="AI1180" i="2"/>
  <c r="AO1179" i="2"/>
  <c r="AN1179" i="2"/>
  <c r="AL1179" i="2"/>
  <c r="AM1179" i="2" s="1"/>
  <c r="AK1179" i="2"/>
  <c r="AJ1179" i="2"/>
  <c r="AI1179" i="2"/>
  <c r="AO1178" i="2"/>
  <c r="AN1178" i="2"/>
  <c r="AL1178" i="2"/>
  <c r="AM1178" i="2" s="1"/>
  <c r="AK1178" i="2"/>
  <c r="AJ1178" i="2"/>
  <c r="AI1178" i="2"/>
  <c r="AO1177" i="2"/>
  <c r="AN1177" i="2"/>
  <c r="AL1177" i="2"/>
  <c r="AM1177" i="2" s="1"/>
  <c r="AK1177" i="2"/>
  <c r="AJ1177" i="2"/>
  <c r="AI1177" i="2"/>
  <c r="AO1176" i="2"/>
  <c r="AN1176" i="2"/>
  <c r="AL1176" i="2"/>
  <c r="AM1176" i="2" s="1"/>
  <c r="AK1176" i="2"/>
  <c r="AJ1176" i="2"/>
  <c r="AI1176" i="2"/>
  <c r="AO1175" i="2"/>
  <c r="AN1175" i="2"/>
  <c r="AL1175" i="2"/>
  <c r="AM1175" i="2" s="1"/>
  <c r="AK1175" i="2"/>
  <c r="AJ1175" i="2"/>
  <c r="AI1175" i="2"/>
  <c r="AO1174" i="2"/>
  <c r="AN1174" i="2"/>
  <c r="AM1174" i="2"/>
  <c r="AL1174" i="2"/>
  <c r="AK1174" i="2"/>
  <c r="AJ1174" i="2"/>
  <c r="AI1174" i="2"/>
  <c r="AO1173" i="2"/>
  <c r="AN1173" i="2"/>
  <c r="AL1173" i="2"/>
  <c r="AM1173" i="2" s="1"/>
  <c r="AK1173" i="2"/>
  <c r="AJ1173" i="2"/>
  <c r="AI1173" i="2"/>
  <c r="AO1172" i="2"/>
  <c r="AN1172" i="2"/>
  <c r="AM1172" i="2"/>
  <c r="AL1172" i="2"/>
  <c r="AK1172" i="2"/>
  <c r="AJ1172" i="2"/>
  <c r="AI1172" i="2"/>
  <c r="AO1171" i="2"/>
  <c r="AN1171" i="2"/>
  <c r="AL1171" i="2"/>
  <c r="AM1171" i="2" s="1"/>
  <c r="AK1171" i="2"/>
  <c r="AJ1171" i="2"/>
  <c r="AI1171" i="2"/>
  <c r="AO1170" i="2"/>
  <c r="AN1170" i="2"/>
  <c r="AL1170" i="2"/>
  <c r="AM1170" i="2" s="1"/>
  <c r="AK1170" i="2"/>
  <c r="AJ1170" i="2"/>
  <c r="AI1170" i="2"/>
  <c r="AO1169" i="2"/>
  <c r="AN1169" i="2"/>
  <c r="AM1169" i="2"/>
  <c r="AL1169" i="2"/>
  <c r="AK1169" i="2"/>
  <c r="AJ1169" i="2"/>
  <c r="AI1169" i="2"/>
  <c r="AO1168" i="2"/>
  <c r="AN1168" i="2"/>
  <c r="AM1168" i="2"/>
  <c r="AL1168" i="2"/>
  <c r="AK1168" i="2"/>
  <c r="AJ1168" i="2"/>
  <c r="AI1168" i="2"/>
  <c r="AO1167" i="2"/>
  <c r="AN1167" i="2"/>
  <c r="AL1167" i="2"/>
  <c r="AM1167" i="2" s="1"/>
  <c r="AK1167" i="2"/>
  <c r="AJ1167" i="2"/>
  <c r="AI1167" i="2"/>
  <c r="AO1166" i="2"/>
  <c r="AN1166" i="2"/>
  <c r="AM1166" i="2"/>
  <c r="AL1166" i="2"/>
  <c r="AK1166" i="2"/>
  <c r="AJ1166" i="2"/>
  <c r="AI1166" i="2"/>
  <c r="AO1165" i="2"/>
  <c r="AN1165" i="2"/>
  <c r="AM1165" i="2"/>
  <c r="AL1165" i="2"/>
  <c r="AK1165" i="2"/>
  <c r="AJ1165" i="2"/>
  <c r="AI1165" i="2"/>
  <c r="AO1164" i="2"/>
  <c r="AN1164" i="2"/>
  <c r="AL1164" i="2"/>
  <c r="AM1164" i="2" s="1"/>
  <c r="AK1164" i="2"/>
  <c r="AJ1164" i="2"/>
  <c r="AI1164" i="2"/>
  <c r="AO1163" i="2"/>
  <c r="AN1163" i="2"/>
  <c r="AL1163" i="2"/>
  <c r="AM1163" i="2" s="1"/>
  <c r="AK1163" i="2"/>
  <c r="AJ1163" i="2"/>
  <c r="AI1163" i="2"/>
  <c r="AO1162" i="2"/>
  <c r="AN1162" i="2"/>
  <c r="AM1162" i="2"/>
  <c r="AL1162" i="2"/>
  <c r="AK1162" i="2"/>
  <c r="AJ1162" i="2"/>
  <c r="AI1162" i="2"/>
  <c r="AO1161" i="2"/>
  <c r="AN1161" i="2"/>
  <c r="AL1161" i="2"/>
  <c r="AM1161" i="2" s="1"/>
  <c r="AK1161" i="2"/>
  <c r="AJ1161" i="2"/>
  <c r="AI1161" i="2"/>
  <c r="AO1160" i="2"/>
  <c r="AN1160" i="2"/>
  <c r="AL1160" i="2"/>
  <c r="AM1160" i="2" s="1"/>
  <c r="AK1160" i="2"/>
  <c r="AJ1160" i="2"/>
  <c r="AI1160" i="2"/>
  <c r="AO1159" i="2"/>
  <c r="AN1159" i="2"/>
  <c r="AL1159" i="2"/>
  <c r="AM1159" i="2" s="1"/>
  <c r="AK1159" i="2"/>
  <c r="AJ1159" i="2"/>
  <c r="AI1159" i="2"/>
  <c r="AO1158" i="2"/>
  <c r="AN1158" i="2"/>
  <c r="AL1158" i="2"/>
  <c r="AM1158" i="2" s="1"/>
  <c r="AK1158" i="2"/>
  <c r="AJ1158" i="2"/>
  <c r="AI1158" i="2"/>
  <c r="AO1157" i="2"/>
  <c r="AN1157" i="2"/>
  <c r="AL1157" i="2"/>
  <c r="AM1157" i="2" s="1"/>
  <c r="AK1157" i="2"/>
  <c r="AJ1157" i="2"/>
  <c r="AI1157" i="2"/>
  <c r="AO1156" i="2"/>
  <c r="AN1156" i="2"/>
  <c r="AM1156" i="2"/>
  <c r="AL1156" i="2"/>
  <c r="AK1156" i="2"/>
  <c r="AJ1156" i="2"/>
  <c r="AI1156" i="2"/>
  <c r="AO1155" i="2"/>
  <c r="AN1155" i="2"/>
  <c r="AL1155" i="2"/>
  <c r="AM1155" i="2" s="1"/>
  <c r="AK1155" i="2"/>
  <c r="AJ1155" i="2"/>
  <c r="AI1155" i="2"/>
  <c r="AO1154" i="2"/>
  <c r="AN1154" i="2"/>
  <c r="AL1154" i="2"/>
  <c r="AM1154" i="2" s="1"/>
  <c r="AK1154" i="2"/>
  <c r="AJ1154" i="2"/>
  <c r="AI1154" i="2"/>
  <c r="AO1153" i="2"/>
  <c r="AN1153" i="2"/>
  <c r="AM1153" i="2"/>
  <c r="AL1153" i="2"/>
  <c r="AK1153" i="2"/>
  <c r="AJ1153" i="2"/>
  <c r="AI1153" i="2"/>
  <c r="AO1152" i="2"/>
  <c r="AN1152" i="2"/>
  <c r="AM1152" i="2"/>
  <c r="AL1152" i="2"/>
  <c r="AK1152" i="2"/>
  <c r="AJ1152" i="2"/>
  <c r="AI1152" i="2"/>
  <c r="AO1151" i="2"/>
  <c r="AN1151" i="2"/>
  <c r="AL1151" i="2"/>
  <c r="AM1151" i="2" s="1"/>
  <c r="AK1151" i="2"/>
  <c r="AJ1151" i="2"/>
  <c r="AI1151" i="2"/>
  <c r="AO1150" i="2"/>
  <c r="AN1150" i="2"/>
  <c r="AM1150" i="2"/>
  <c r="AL1150" i="2"/>
  <c r="AK1150" i="2"/>
  <c r="AJ1150" i="2"/>
  <c r="AI1150" i="2"/>
  <c r="AO1149" i="2"/>
  <c r="AN1149" i="2"/>
  <c r="AL1149" i="2"/>
  <c r="AM1149" i="2" s="1"/>
  <c r="AK1149" i="2"/>
  <c r="AJ1149" i="2"/>
  <c r="AI1149" i="2"/>
  <c r="AO1148" i="2"/>
  <c r="AN1148" i="2"/>
  <c r="AL1148" i="2"/>
  <c r="AM1148" i="2" s="1"/>
  <c r="AK1148" i="2"/>
  <c r="AJ1148" i="2"/>
  <c r="AI1148" i="2"/>
  <c r="AO1147" i="2"/>
  <c r="AN1147" i="2"/>
  <c r="AL1147" i="2"/>
  <c r="AM1147" i="2" s="1"/>
  <c r="AK1147" i="2"/>
  <c r="AJ1147" i="2"/>
  <c r="AI1147" i="2"/>
  <c r="AO1146" i="2"/>
  <c r="AN1146" i="2"/>
  <c r="AM1146" i="2"/>
  <c r="AL1146" i="2"/>
  <c r="AK1146" i="2"/>
  <c r="AJ1146" i="2"/>
  <c r="AI1146" i="2"/>
  <c r="AO1145" i="2"/>
  <c r="AN1145" i="2"/>
  <c r="AM1145" i="2"/>
  <c r="AL1145" i="2"/>
  <c r="AK1145" i="2"/>
  <c r="AJ1145" i="2"/>
  <c r="AI1145" i="2"/>
  <c r="AO1144" i="2"/>
  <c r="AN1144" i="2"/>
  <c r="AM1144" i="2"/>
  <c r="AL1144" i="2"/>
  <c r="AK1144" i="2"/>
  <c r="AJ1144" i="2"/>
  <c r="AI1144" i="2"/>
  <c r="AO1143" i="2"/>
  <c r="AN1143" i="2"/>
  <c r="AL1143" i="2"/>
  <c r="AM1143" i="2" s="1"/>
  <c r="AK1143" i="2"/>
  <c r="AJ1143" i="2"/>
  <c r="AI1143" i="2"/>
  <c r="AO1142" i="2"/>
  <c r="AN1142" i="2"/>
  <c r="AM1142" i="2"/>
  <c r="AL1142" i="2"/>
  <c r="AK1142" i="2"/>
  <c r="AJ1142" i="2"/>
  <c r="AI1142" i="2"/>
  <c r="AO1141" i="2"/>
  <c r="AN1141" i="2"/>
  <c r="AL1141" i="2"/>
  <c r="AM1141" i="2" s="1"/>
  <c r="AK1141" i="2"/>
  <c r="AJ1141" i="2"/>
  <c r="AI1141" i="2"/>
  <c r="AO1140" i="2"/>
  <c r="AN1140" i="2"/>
  <c r="AL1140" i="2"/>
  <c r="AM1140" i="2" s="1"/>
  <c r="AK1140" i="2"/>
  <c r="AJ1140" i="2"/>
  <c r="AI1140" i="2"/>
  <c r="AO1139" i="2"/>
  <c r="AN1139" i="2"/>
  <c r="AL1139" i="2"/>
  <c r="AM1139" i="2" s="1"/>
  <c r="AK1139" i="2"/>
  <c r="AJ1139" i="2"/>
  <c r="AI1139" i="2"/>
  <c r="AO1138" i="2"/>
  <c r="AN1138" i="2"/>
  <c r="AM1138" i="2"/>
  <c r="AL1138" i="2"/>
  <c r="AK1138" i="2"/>
  <c r="AJ1138" i="2"/>
  <c r="AI1138" i="2"/>
  <c r="AO1137" i="2"/>
  <c r="AN1137" i="2"/>
  <c r="AL1137" i="2"/>
  <c r="AM1137" i="2" s="1"/>
  <c r="AK1137" i="2"/>
  <c r="AJ1137" i="2"/>
  <c r="AI1137" i="2"/>
  <c r="AO1136" i="2"/>
  <c r="AN1136" i="2"/>
  <c r="AM1136" i="2"/>
  <c r="AL1136" i="2"/>
  <c r="AK1136" i="2"/>
  <c r="AJ1136" i="2"/>
  <c r="AI1136" i="2"/>
  <c r="AO1135" i="2"/>
  <c r="AN1135" i="2"/>
  <c r="AL1135" i="2"/>
  <c r="AM1135" i="2" s="1"/>
  <c r="AK1135" i="2"/>
  <c r="AJ1135" i="2"/>
  <c r="AI1135" i="2"/>
  <c r="AO1134" i="2"/>
  <c r="AN1134" i="2"/>
  <c r="AL1134" i="2"/>
  <c r="AM1134" i="2" s="1"/>
  <c r="AK1134" i="2"/>
  <c r="AJ1134" i="2"/>
  <c r="AI1134" i="2"/>
  <c r="AO1133" i="2"/>
  <c r="AN1133" i="2"/>
  <c r="AL1133" i="2"/>
  <c r="AM1133" i="2" s="1"/>
  <c r="AK1133" i="2"/>
  <c r="AJ1133" i="2"/>
  <c r="AI1133" i="2"/>
  <c r="AO1132" i="2"/>
  <c r="AN1132" i="2"/>
  <c r="AM1132" i="2"/>
  <c r="AL1132" i="2"/>
  <c r="AK1132" i="2"/>
  <c r="AJ1132" i="2"/>
  <c r="AI1132" i="2"/>
  <c r="AO1131" i="2"/>
  <c r="AN1131" i="2"/>
  <c r="AL1131" i="2"/>
  <c r="AM1131" i="2" s="1"/>
  <c r="AK1131" i="2"/>
  <c r="AJ1131" i="2"/>
  <c r="AI1131" i="2"/>
  <c r="AO1130" i="2"/>
  <c r="AN1130" i="2"/>
  <c r="AM1130" i="2"/>
  <c r="AL1130" i="2"/>
  <c r="AK1130" i="2"/>
  <c r="AJ1130" i="2"/>
  <c r="AI1130" i="2"/>
  <c r="AO1129" i="2"/>
  <c r="AN1129" i="2"/>
  <c r="AM1129" i="2"/>
  <c r="AL1129" i="2"/>
  <c r="AK1129" i="2"/>
  <c r="AJ1129" i="2"/>
  <c r="AI1129" i="2"/>
  <c r="AO1128" i="2"/>
  <c r="AN1128" i="2"/>
  <c r="AL1128" i="2"/>
  <c r="AM1128" i="2" s="1"/>
  <c r="AK1128" i="2"/>
  <c r="AJ1128" i="2"/>
  <c r="AI1128" i="2"/>
  <c r="AO1127" i="2"/>
  <c r="AN1127" i="2"/>
  <c r="AM1127" i="2"/>
  <c r="AL1127" i="2"/>
  <c r="AK1127" i="2"/>
  <c r="AJ1127" i="2"/>
  <c r="AI1127" i="2"/>
  <c r="AO1126" i="2"/>
  <c r="AN1126" i="2"/>
  <c r="AM1126" i="2"/>
  <c r="AL1126" i="2"/>
  <c r="AK1126" i="2"/>
  <c r="AJ1126" i="2"/>
  <c r="AI1126" i="2"/>
  <c r="AO1125" i="2"/>
  <c r="AN1125" i="2"/>
  <c r="AL1125" i="2"/>
  <c r="AM1125" i="2" s="1"/>
  <c r="AK1125" i="2"/>
  <c r="AJ1125" i="2"/>
  <c r="AI1125" i="2"/>
  <c r="AO1124" i="2"/>
  <c r="AN1124" i="2"/>
  <c r="AM1124" i="2"/>
  <c r="AL1124" i="2"/>
  <c r="AK1124" i="2"/>
  <c r="AJ1124" i="2"/>
  <c r="AI1124" i="2"/>
  <c r="AO1123" i="2"/>
  <c r="AN1123" i="2"/>
  <c r="AM1123" i="2"/>
  <c r="AL1123" i="2"/>
  <c r="AK1123" i="2"/>
  <c r="AJ1123" i="2"/>
  <c r="AI1123" i="2"/>
  <c r="AO1122" i="2"/>
  <c r="AN1122" i="2"/>
  <c r="AM1122" i="2"/>
  <c r="AL1122" i="2"/>
  <c r="AK1122" i="2"/>
  <c r="AJ1122" i="2"/>
  <c r="AI1122" i="2"/>
  <c r="AO1121" i="2"/>
  <c r="AN1121" i="2"/>
  <c r="AL1121" i="2"/>
  <c r="AM1121" i="2" s="1"/>
  <c r="AK1121" i="2"/>
  <c r="AJ1121" i="2"/>
  <c r="AI1121" i="2"/>
  <c r="AO1120" i="2"/>
  <c r="AN1120" i="2"/>
  <c r="AM1120" i="2"/>
  <c r="AL1120" i="2"/>
  <c r="AK1120" i="2"/>
  <c r="AJ1120" i="2"/>
  <c r="AI1120" i="2"/>
  <c r="AO1119" i="2"/>
  <c r="AN1119" i="2"/>
  <c r="AL1119" i="2"/>
  <c r="AM1119" i="2" s="1"/>
  <c r="AK1119" i="2"/>
  <c r="AJ1119" i="2"/>
  <c r="AI1119" i="2"/>
  <c r="AO1118" i="2"/>
  <c r="AN1118" i="2"/>
  <c r="AM1118" i="2"/>
  <c r="AL1118" i="2"/>
  <c r="AK1118" i="2"/>
  <c r="AJ1118" i="2"/>
  <c r="AI1118" i="2"/>
  <c r="AO1117" i="2"/>
  <c r="AN1117" i="2"/>
  <c r="AM1117" i="2"/>
  <c r="AL1117" i="2"/>
  <c r="AK1117" i="2"/>
  <c r="AJ1117" i="2"/>
  <c r="AI1117" i="2"/>
  <c r="AO1116" i="2"/>
  <c r="AN1116" i="2"/>
  <c r="AM1116" i="2"/>
  <c r="AL1116" i="2"/>
  <c r="AK1116" i="2"/>
  <c r="AJ1116" i="2"/>
  <c r="AI1116" i="2"/>
  <c r="AO1115" i="2"/>
  <c r="AN1115" i="2"/>
  <c r="AM1115" i="2"/>
  <c r="AL1115" i="2"/>
  <c r="AK1115" i="2"/>
  <c r="AJ1115" i="2"/>
  <c r="AI1115" i="2"/>
  <c r="AO1114" i="2"/>
  <c r="AN1114" i="2"/>
  <c r="AM1114" i="2"/>
  <c r="AL1114" i="2"/>
  <c r="AK1114" i="2"/>
  <c r="AJ1114" i="2"/>
  <c r="AI1114" i="2"/>
  <c r="AO1113" i="2"/>
  <c r="AN1113" i="2"/>
  <c r="AL1113" i="2"/>
  <c r="AM1113" i="2" s="1"/>
  <c r="AK1113" i="2"/>
  <c r="AJ1113" i="2"/>
  <c r="AI1113" i="2"/>
  <c r="AO1112" i="2"/>
  <c r="AN1112" i="2"/>
  <c r="AL1112" i="2"/>
  <c r="AM1112" i="2" s="1"/>
  <c r="AK1112" i="2"/>
  <c r="AJ1112" i="2"/>
  <c r="AI1112" i="2"/>
  <c r="AO1111" i="2"/>
  <c r="AN1111" i="2"/>
  <c r="AL1111" i="2"/>
  <c r="AM1111" i="2" s="1"/>
  <c r="AK1111" i="2"/>
  <c r="AJ1111" i="2"/>
  <c r="AI1111" i="2"/>
  <c r="AO1110" i="2"/>
  <c r="AN1110" i="2"/>
  <c r="AL1110" i="2"/>
  <c r="AM1110" i="2" s="1"/>
  <c r="AK1110" i="2"/>
  <c r="AJ1110" i="2"/>
  <c r="AI1110" i="2"/>
  <c r="AO1109" i="2"/>
  <c r="AN1109" i="2"/>
  <c r="AM1109" i="2"/>
  <c r="AL1109" i="2"/>
  <c r="AK1109" i="2"/>
  <c r="AJ1109" i="2"/>
  <c r="AI1109" i="2"/>
  <c r="AO1108" i="2"/>
  <c r="AN1108" i="2"/>
  <c r="AM1108" i="2"/>
  <c r="AL1108" i="2"/>
  <c r="AK1108" i="2"/>
  <c r="AJ1108" i="2"/>
  <c r="AI1108" i="2"/>
  <c r="AO1107" i="2"/>
  <c r="AN1107" i="2"/>
  <c r="AL1107" i="2"/>
  <c r="AM1107" i="2" s="1"/>
  <c r="AK1107" i="2"/>
  <c r="AJ1107" i="2"/>
  <c r="AI1107" i="2"/>
  <c r="AO1106" i="2"/>
  <c r="AN1106" i="2"/>
  <c r="AL1106" i="2"/>
  <c r="AM1106" i="2" s="1"/>
  <c r="AK1106" i="2"/>
  <c r="AJ1106" i="2"/>
  <c r="AI1106" i="2"/>
  <c r="AO1105" i="2"/>
  <c r="AN1105" i="2"/>
  <c r="AL1105" i="2"/>
  <c r="AM1105" i="2" s="1"/>
  <c r="AK1105" i="2"/>
  <c r="AJ1105" i="2"/>
  <c r="AI1105" i="2"/>
  <c r="AO1104" i="2"/>
  <c r="AN1104" i="2"/>
  <c r="AL1104" i="2"/>
  <c r="AM1104" i="2" s="1"/>
  <c r="AK1104" i="2"/>
  <c r="AJ1104" i="2"/>
  <c r="AI1104" i="2"/>
  <c r="AO1103" i="2"/>
  <c r="AN1103" i="2"/>
  <c r="AL1103" i="2"/>
  <c r="AM1103" i="2" s="1"/>
  <c r="AK1103" i="2"/>
  <c r="AJ1103" i="2"/>
  <c r="AI1103" i="2"/>
  <c r="AO1102" i="2"/>
  <c r="AN1102" i="2"/>
  <c r="AM1102" i="2"/>
  <c r="AL1102" i="2"/>
  <c r="AK1102" i="2"/>
  <c r="AJ1102" i="2"/>
  <c r="AI1102" i="2"/>
  <c r="AO1101" i="2"/>
  <c r="AN1101" i="2"/>
  <c r="AL1101" i="2"/>
  <c r="AM1101" i="2" s="1"/>
  <c r="AK1101" i="2"/>
  <c r="AJ1101" i="2"/>
  <c r="AI1101" i="2"/>
  <c r="AO1100" i="2"/>
  <c r="AN1100" i="2"/>
  <c r="AM1100" i="2"/>
  <c r="AL1100" i="2"/>
  <c r="AK1100" i="2"/>
  <c r="AJ1100" i="2"/>
  <c r="AI1100" i="2"/>
  <c r="AO1099" i="2"/>
  <c r="AN1099" i="2"/>
  <c r="AL1099" i="2"/>
  <c r="AM1099" i="2" s="1"/>
  <c r="AK1099" i="2"/>
  <c r="AJ1099" i="2"/>
  <c r="AI1099" i="2"/>
  <c r="AO1098" i="2"/>
  <c r="AN1098" i="2"/>
  <c r="AL1098" i="2"/>
  <c r="AM1098" i="2" s="1"/>
  <c r="AK1098" i="2"/>
  <c r="AJ1098" i="2"/>
  <c r="AI1098" i="2"/>
  <c r="AO1097" i="2"/>
  <c r="AN1097" i="2"/>
  <c r="AL1097" i="2"/>
  <c r="AM1097" i="2" s="1"/>
  <c r="AK1097" i="2"/>
  <c r="AJ1097" i="2"/>
  <c r="AI1097" i="2"/>
  <c r="AO1096" i="2"/>
  <c r="AN1096" i="2"/>
  <c r="AM1096" i="2"/>
  <c r="AL1096" i="2"/>
  <c r="AK1096" i="2"/>
  <c r="AJ1096" i="2"/>
  <c r="AI1096" i="2"/>
  <c r="AO1095" i="2"/>
  <c r="AN1095" i="2"/>
  <c r="AL1095" i="2"/>
  <c r="AM1095" i="2" s="1"/>
  <c r="AK1095" i="2"/>
  <c r="AJ1095" i="2"/>
  <c r="AI1095" i="2"/>
  <c r="AO1094" i="2"/>
  <c r="AN1094" i="2"/>
  <c r="AM1094" i="2"/>
  <c r="AL1094" i="2"/>
  <c r="AK1094" i="2"/>
  <c r="AJ1094" i="2"/>
  <c r="AI1094" i="2"/>
  <c r="AO1093" i="2"/>
  <c r="AN1093" i="2"/>
  <c r="AM1093" i="2"/>
  <c r="AL1093" i="2"/>
  <c r="AK1093" i="2"/>
  <c r="AJ1093" i="2"/>
  <c r="AI1093" i="2"/>
  <c r="AO1092" i="2"/>
  <c r="AN1092" i="2"/>
  <c r="AL1092" i="2"/>
  <c r="AM1092" i="2" s="1"/>
  <c r="AK1092" i="2"/>
  <c r="AJ1092" i="2"/>
  <c r="AI1092" i="2"/>
  <c r="AO1091" i="2"/>
  <c r="AN1091" i="2"/>
  <c r="AL1091" i="2"/>
  <c r="AM1091" i="2" s="1"/>
  <c r="AK1091" i="2"/>
  <c r="AJ1091" i="2"/>
  <c r="AI1091" i="2"/>
  <c r="AO1090" i="2"/>
  <c r="AN1090" i="2"/>
  <c r="AM1090" i="2"/>
  <c r="AL1090" i="2"/>
  <c r="AK1090" i="2"/>
  <c r="AJ1090" i="2"/>
  <c r="AI1090" i="2"/>
  <c r="AO1089" i="2"/>
  <c r="AN1089" i="2"/>
  <c r="AL1089" i="2"/>
  <c r="AM1089" i="2" s="1"/>
  <c r="AK1089" i="2"/>
  <c r="AJ1089" i="2"/>
  <c r="AI1089" i="2"/>
  <c r="AO1088" i="2"/>
  <c r="AN1088" i="2"/>
  <c r="AL1088" i="2"/>
  <c r="AM1088" i="2" s="1"/>
  <c r="AK1088" i="2"/>
  <c r="AJ1088" i="2"/>
  <c r="AI1088" i="2"/>
  <c r="AO1087" i="2"/>
  <c r="AN1087" i="2"/>
  <c r="AM1087" i="2"/>
  <c r="AL1087" i="2"/>
  <c r="AK1087" i="2"/>
  <c r="AJ1087" i="2"/>
  <c r="AI1087" i="2"/>
  <c r="AO1086" i="2"/>
  <c r="AN1086" i="2"/>
  <c r="AL1086" i="2"/>
  <c r="AM1086" i="2" s="1"/>
  <c r="AK1086" i="2"/>
  <c r="AJ1086" i="2"/>
  <c r="AI1086" i="2"/>
  <c r="AO1085" i="2"/>
  <c r="AN1085" i="2"/>
  <c r="AL1085" i="2"/>
  <c r="AM1085" i="2" s="1"/>
  <c r="AK1085" i="2"/>
  <c r="AJ1085" i="2"/>
  <c r="AI1085" i="2"/>
  <c r="AO1084" i="2"/>
  <c r="AN1084" i="2"/>
  <c r="AM1084" i="2"/>
  <c r="AL1084" i="2"/>
  <c r="AK1084" i="2"/>
  <c r="AJ1084" i="2"/>
  <c r="AI1084" i="2"/>
  <c r="AO1083" i="2"/>
  <c r="AN1083" i="2"/>
  <c r="AL1083" i="2"/>
  <c r="AM1083" i="2" s="1"/>
  <c r="AK1083" i="2"/>
  <c r="AJ1083" i="2"/>
  <c r="AI1083" i="2"/>
  <c r="AO1082" i="2"/>
  <c r="AN1082" i="2"/>
  <c r="AL1082" i="2"/>
  <c r="AM1082" i="2" s="1"/>
  <c r="AK1082" i="2"/>
  <c r="AJ1082" i="2"/>
  <c r="AI1082" i="2"/>
  <c r="AO1081" i="2"/>
  <c r="AN1081" i="2"/>
  <c r="AM1081" i="2"/>
  <c r="AL1081" i="2"/>
  <c r="AK1081" i="2"/>
  <c r="AJ1081" i="2"/>
  <c r="AI1081" i="2"/>
  <c r="AO1080" i="2"/>
  <c r="AN1080" i="2"/>
  <c r="AM1080" i="2"/>
  <c r="AL1080" i="2"/>
  <c r="AK1080" i="2"/>
  <c r="AJ1080" i="2"/>
  <c r="AI1080" i="2"/>
  <c r="AO1079" i="2"/>
  <c r="AN1079" i="2"/>
  <c r="AL1079" i="2"/>
  <c r="AM1079" i="2" s="1"/>
  <c r="AK1079" i="2"/>
  <c r="AJ1079" i="2"/>
  <c r="AI1079" i="2"/>
  <c r="AO1078" i="2"/>
  <c r="AN1078" i="2"/>
  <c r="AM1078" i="2"/>
  <c r="AL1078" i="2"/>
  <c r="AK1078" i="2"/>
  <c r="AJ1078" i="2"/>
  <c r="AI1078" i="2"/>
  <c r="AO1077" i="2"/>
  <c r="AN1077" i="2"/>
  <c r="AL1077" i="2"/>
  <c r="AM1077" i="2" s="1"/>
  <c r="AK1077" i="2"/>
  <c r="AJ1077" i="2"/>
  <c r="AI1077" i="2"/>
  <c r="AO1076" i="2"/>
  <c r="AN1076" i="2"/>
  <c r="AM1076" i="2"/>
  <c r="AL1076" i="2"/>
  <c r="AK1076" i="2"/>
  <c r="AJ1076" i="2"/>
  <c r="AI1076" i="2"/>
  <c r="AO1075" i="2"/>
  <c r="AN1075" i="2"/>
  <c r="AL1075" i="2"/>
  <c r="AM1075" i="2" s="1"/>
  <c r="AK1075" i="2"/>
  <c r="AJ1075" i="2"/>
  <c r="AI1075" i="2"/>
  <c r="AO1074" i="2"/>
  <c r="AN1074" i="2"/>
  <c r="AM1074" i="2"/>
  <c r="AL1074" i="2"/>
  <c r="AK1074" i="2"/>
  <c r="AJ1074" i="2"/>
  <c r="AI1074" i="2"/>
  <c r="AO1073" i="2"/>
  <c r="AN1073" i="2"/>
  <c r="AM1073" i="2"/>
  <c r="AL1073" i="2"/>
  <c r="AK1073" i="2"/>
  <c r="AJ1073" i="2"/>
  <c r="AI1073" i="2"/>
  <c r="AO1072" i="2"/>
  <c r="AN1072" i="2"/>
  <c r="AM1072" i="2"/>
  <c r="AL1072" i="2"/>
  <c r="AK1072" i="2"/>
  <c r="AJ1072" i="2"/>
  <c r="AI1072" i="2"/>
  <c r="AO1071" i="2"/>
  <c r="AN1071" i="2"/>
  <c r="AL1071" i="2"/>
  <c r="AM1071" i="2" s="1"/>
  <c r="AK1071" i="2"/>
  <c r="AJ1071" i="2"/>
  <c r="AI1071" i="2"/>
  <c r="AO1070" i="2"/>
  <c r="AN1070" i="2"/>
  <c r="AM1070" i="2"/>
  <c r="AL1070" i="2"/>
  <c r="AK1070" i="2"/>
  <c r="AJ1070" i="2"/>
  <c r="AI1070" i="2"/>
  <c r="AO1069" i="2"/>
  <c r="AN1069" i="2"/>
  <c r="AL1069" i="2"/>
  <c r="AM1069" i="2" s="1"/>
  <c r="AK1069" i="2"/>
  <c r="AJ1069" i="2"/>
  <c r="AI1069" i="2"/>
  <c r="AO1068" i="2"/>
  <c r="AN1068" i="2"/>
  <c r="AL1068" i="2"/>
  <c r="AM1068" i="2" s="1"/>
  <c r="AK1068" i="2"/>
  <c r="AJ1068" i="2"/>
  <c r="AI1068" i="2"/>
  <c r="AO1067" i="2"/>
  <c r="AN1067" i="2"/>
  <c r="AM1067" i="2"/>
  <c r="AL1067" i="2"/>
  <c r="AK1067" i="2"/>
  <c r="AJ1067" i="2"/>
  <c r="AI1067" i="2"/>
  <c r="AO1066" i="2"/>
  <c r="AN1066" i="2"/>
  <c r="AM1066" i="2"/>
  <c r="AL1066" i="2"/>
  <c r="AK1066" i="2"/>
  <c r="AJ1066" i="2"/>
  <c r="AI1066" i="2"/>
  <c r="AO1065" i="2"/>
  <c r="AN1065" i="2"/>
  <c r="AL1065" i="2"/>
  <c r="AM1065" i="2" s="1"/>
  <c r="AK1065" i="2"/>
  <c r="AJ1065" i="2"/>
  <c r="AI1065" i="2"/>
  <c r="AO1064" i="2"/>
  <c r="AN1064" i="2"/>
  <c r="AM1064" i="2"/>
  <c r="AL1064" i="2"/>
  <c r="AK1064" i="2"/>
  <c r="AJ1064" i="2"/>
  <c r="AI1064" i="2"/>
  <c r="AO1063" i="2"/>
  <c r="AN1063" i="2"/>
  <c r="AL1063" i="2"/>
  <c r="AM1063" i="2" s="1"/>
  <c r="AK1063" i="2"/>
  <c r="AJ1063" i="2"/>
  <c r="AI1063" i="2"/>
  <c r="AO1062" i="2"/>
  <c r="AN1062" i="2"/>
  <c r="AL1062" i="2"/>
  <c r="AM1062" i="2" s="1"/>
  <c r="AK1062" i="2"/>
  <c r="AJ1062" i="2"/>
  <c r="AI1062" i="2"/>
  <c r="AO1061" i="2"/>
  <c r="AN1061" i="2"/>
  <c r="AL1061" i="2"/>
  <c r="AM1061" i="2" s="1"/>
  <c r="AK1061" i="2"/>
  <c r="AJ1061" i="2"/>
  <c r="AI1061" i="2"/>
  <c r="AO1060" i="2"/>
  <c r="AN1060" i="2"/>
  <c r="AM1060" i="2"/>
  <c r="AL1060" i="2"/>
  <c r="AK1060" i="2"/>
  <c r="AJ1060" i="2"/>
  <c r="AI1060" i="2"/>
  <c r="AO1059" i="2"/>
  <c r="AN1059" i="2"/>
  <c r="AL1059" i="2"/>
  <c r="AM1059" i="2" s="1"/>
  <c r="AK1059" i="2"/>
  <c r="AJ1059" i="2"/>
  <c r="AI1059" i="2"/>
  <c r="AO1058" i="2"/>
  <c r="AN1058" i="2"/>
  <c r="AM1058" i="2"/>
  <c r="AL1058" i="2"/>
  <c r="AK1058" i="2"/>
  <c r="AJ1058" i="2"/>
  <c r="AI1058" i="2"/>
  <c r="AO1057" i="2"/>
  <c r="AN1057" i="2"/>
  <c r="AM1057" i="2"/>
  <c r="AL1057" i="2"/>
  <c r="AK1057" i="2"/>
  <c r="AJ1057" i="2"/>
  <c r="AI1057" i="2"/>
  <c r="AO1056" i="2"/>
  <c r="AN1056" i="2"/>
  <c r="AL1056" i="2"/>
  <c r="AM1056" i="2" s="1"/>
  <c r="AK1056" i="2"/>
  <c r="AJ1056" i="2"/>
  <c r="AI1056" i="2"/>
  <c r="AO1055" i="2"/>
  <c r="AN1055" i="2"/>
  <c r="AL1055" i="2"/>
  <c r="AM1055" i="2" s="1"/>
  <c r="AK1055" i="2"/>
  <c r="AJ1055" i="2"/>
  <c r="AI1055" i="2"/>
  <c r="AO1054" i="2"/>
  <c r="AN1054" i="2"/>
  <c r="AM1054" i="2"/>
  <c r="AL1054" i="2"/>
  <c r="AK1054" i="2"/>
  <c r="AJ1054" i="2"/>
  <c r="AI1054" i="2"/>
  <c r="AO1053" i="2"/>
  <c r="AN1053" i="2"/>
  <c r="AL1053" i="2"/>
  <c r="AM1053" i="2" s="1"/>
  <c r="AK1053" i="2"/>
  <c r="AJ1053" i="2"/>
  <c r="AI1053" i="2"/>
  <c r="AO1052" i="2"/>
  <c r="AN1052" i="2"/>
  <c r="AM1052" i="2"/>
  <c r="AL1052" i="2"/>
  <c r="AK1052" i="2"/>
  <c r="AJ1052" i="2"/>
  <c r="AI1052" i="2"/>
  <c r="AO1051" i="2"/>
  <c r="AN1051" i="2"/>
  <c r="AM1051" i="2"/>
  <c r="AL1051" i="2"/>
  <c r="AK1051" i="2"/>
  <c r="AJ1051" i="2"/>
  <c r="AI1051" i="2"/>
  <c r="AO1050" i="2"/>
  <c r="AN1050" i="2"/>
  <c r="AM1050" i="2"/>
  <c r="AL1050" i="2"/>
  <c r="AK1050" i="2"/>
  <c r="AJ1050" i="2"/>
  <c r="AI1050" i="2"/>
  <c r="AO1049" i="2"/>
  <c r="AN1049" i="2"/>
  <c r="AL1049" i="2"/>
  <c r="AM1049" i="2" s="1"/>
  <c r="AK1049" i="2"/>
  <c r="AJ1049" i="2"/>
  <c r="AI1049" i="2"/>
  <c r="AO1048" i="2"/>
  <c r="AN1048" i="2"/>
  <c r="AM1048" i="2"/>
  <c r="AL1048" i="2"/>
  <c r="AK1048" i="2"/>
  <c r="AJ1048" i="2"/>
  <c r="AI1048" i="2"/>
  <c r="AO1047" i="2"/>
  <c r="AN1047" i="2"/>
  <c r="AL1047" i="2"/>
  <c r="AM1047" i="2" s="1"/>
  <c r="AK1047" i="2"/>
  <c r="AJ1047" i="2"/>
  <c r="AI1047" i="2"/>
  <c r="AO1046" i="2"/>
  <c r="AN1046" i="2"/>
  <c r="AL1046" i="2"/>
  <c r="AM1046" i="2" s="1"/>
  <c r="AK1046" i="2"/>
  <c r="AJ1046" i="2"/>
  <c r="AI1046" i="2"/>
  <c r="AO1045" i="2"/>
  <c r="AN1045" i="2"/>
  <c r="AL1045" i="2"/>
  <c r="AM1045" i="2" s="1"/>
  <c r="AK1045" i="2"/>
  <c r="AJ1045" i="2"/>
  <c r="AI1045" i="2"/>
  <c r="AO1044" i="2"/>
  <c r="AN1044" i="2"/>
  <c r="AM1044" i="2"/>
  <c r="AL1044" i="2"/>
  <c r="AK1044" i="2"/>
  <c r="AJ1044" i="2"/>
  <c r="AI1044" i="2"/>
  <c r="AO1043" i="2"/>
  <c r="AN1043" i="2"/>
  <c r="AM1043" i="2"/>
  <c r="AL1043" i="2"/>
  <c r="AK1043" i="2"/>
  <c r="AJ1043" i="2"/>
  <c r="AI1043" i="2"/>
  <c r="AO1042" i="2"/>
  <c r="AN1042" i="2"/>
  <c r="AM1042" i="2"/>
  <c r="AL1042" i="2"/>
  <c r="AK1042" i="2"/>
  <c r="AJ1042" i="2"/>
  <c r="AI1042" i="2"/>
  <c r="AO1041" i="2"/>
  <c r="AN1041" i="2"/>
  <c r="AL1041" i="2"/>
  <c r="AM1041" i="2" s="1"/>
  <c r="AK1041" i="2"/>
  <c r="AJ1041" i="2"/>
  <c r="AI1041" i="2"/>
  <c r="AO1040" i="2"/>
  <c r="AN1040" i="2"/>
  <c r="AL1040" i="2"/>
  <c r="AM1040" i="2" s="1"/>
  <c r="AK1040" i="2"/>
  <c r="AJ1040" i="2"/>
  <c r="AI1040" i="2"/>
  <c r="AO1039" i="2"/>
  <c r="AN1039" i="2"/>
  <c r="AL1039" i="2"/>
  <c r="AM1039" i="2" s="1"/>
  <c r="AK1039" i="2"/>
  <c r="AJ1039" i="2"/>
  <c r="AI1039" i="2"/>
  <c r="AO1038" i="2"/>
  <c r="AN1038" i="2"/>
  <c r="AM1038" i="2"/>
  <c r="AL1038" i="2"/>
  <c r="AK1038" i="2"/>
  <c r="AJ1038" i="2"/>
  <c r="AI1038" i="2"/>
  <c r="AO1037" i="2"/>
  <c r="AN1037" i="2"/>
  <c r="AM1037" i="2"/>
  <c r="AL1037" i="2"/>
  <c r="AK1037" i="2"/>
  <c r="AJ1037" i="2"/>
  <c r="AI1037" i="2"/>
  <c r="AO1036" i="2"/>
  <c r="AN1036" i="2"/>
  <c r="AM1036" i="2"/>
  <c r="AL1036" i="2"/>
  <c r="AK1036" i="2"/>
  <c r="AJ1036" i="2"/>
  <c r="AI1036" i="2"/>
  <c r="AO1035" i="2"/>
  <c r="AN1035" i="2"/>
  <c r="AL1035" i="2"/>
  <c r="AM1035" i="2" s="1"/>
  <c r="AK1035" i="2"/>
  <c r="AJ1035" i="2"/>
  <c r="AI1035" i="2"/>
  <c r="AO1034" i="2"/>
  <c r="AN1034" i="2"/>
  <c r="AL1034" i="2"/>
  <c r="AM1034" i="2" s="1"/>
  <c r="AK1034" i="2"/>
  <c r="AJ1034" i="2"/>
  <c r="AI1034" i="2"/>
  <c r="AO1033" i="2"/>
  <c r="AN1033" i="2"/>
  <c r="AL1033" i="2"/>
  <c r="AM1033" i="2" s="1"/>
  <c r="AK1033" i="2"/>
  <c r="AJ1033" i="2"/>
  <c r="AI1033" i="2"/>
  <c r="AO1032" i="2"/>
  <c r="AN1032" i="2"/>
  <c r="AL1032" i="2"/>
  <c r="AM1032" i="2" s="1"/>
  <c r="AK1032" i="2"/>
  <c r="AJ1032" i="2"/>
  <c r="AI1032" i="2"/>
  <c r="AO1031" i="2"/>
  <c r="AN1031" i="2"/>
  <c r="AL1031" i="2"/>
  <c r="AM1031" i="2" s="1"/>
  <c r="AK1031" i="2"/>
  <c r="AJ1031" i="2"/>
  <c r="AI1031" i="2"/>
  <c r="AO1030" i="2"/>
  <c r="AN1030" i="2"/>
  <c r="AM1030" i="2"/>
  <c r="AL1030" i="2"/>
  <c r="AK1030" i="2"/>
  <c r="AJ1030" i="2"/>
  <c r="AI1030" i="2"/>
  <c r="AO1029" i="2"/>
  <c r="AN1029" i="2"/>
  <c r="AM1029" i="2"/>
  <c r="AL1029" i="2"/>
  <c r="AK1029" i="2"/>
  <c r="AJ1029" i="2"/>
  <c r="AI1029" i="2"/>
  <c r="AO1028" i="2"/>
  <c r="AN1028" i="2"/>
  <c r="AL1028" i="2"/>
  <c r="AM1028" i="2" s="1"/>
  <c r="AK1028" i="2"/>
  <c r="AJ1028" i="2"/>
  <c r="AI1028" i="2"/>
  <c r="AO1027" i="2"/>
  <c r="AN1027" i="2"/>
  <c r="AL1027" i="2"/>
  <c r="AM1027" i="2" s="1"/>
  <c r="AK1027" i="2"/>
  <c r="AJ1027" i="2"/>
  <c r="AI1027" i="2"/>
  <c r="AO1026" i="2"/>
  <c r="AN1026" i="2"/>
  <c r="AL1026" i="2"/>
  <c r="AM1026" i="2" s="1"/>
  <c r="AK1026" i="2"/>
  <c r="AJ1026" i="2"/>
  <c r="AI1026" i="2"/>
  <c r="AO1025" i="2"/>
  <c r="AN1025" i="2"/>
  <c r="AM1025" i="2"/>
  <c r="AL1025" i="2"/>
  <c r="AK1025" i="2"/>
  <c r="AJ1025" i="2"/>
  <c r="AI1025" i="2"/>
  <c r="AO1024" i="2"/>
  <c r="AN1024" i="2"/>
  <c r="AL1024" i="2"/>
  <c r="AM1024" i="2" s="1"/>
  <c r="AK1024" i="2"/>
  <c r="AJ1024" i="2"/>
  <c r="AI1024" i="2"/>
  <c r="AO1023" i="2"/>
  <c r="AN1023" i="2"/>
  <c r="AL1023" i="2"/>
  <c r="AM1023" i="2" s="1"/>
  <c r="AK1023" i="2"/>
  <c r="AJ1023" i="2"/>
  <c r="AI1023" i="2"/>
  <c r="AO1022" i="2"/>
  <c r="AN1022" i="2"/>
  <c r="AM1022" i="2"/>
  <c r="AL1022" i="2"/>
  <c r="AK1022" i="2"/>
  <c r="AJ1022" i="2"/>
  <c r="AI1022" i="2"/>
  <c r="AO1021" i="2"/>
  <c r="AN1021" i="2"/>
  <c r="AL1021" i="2"/>
  <c r="AM1021" i="2" s="1"/>
  <c r="AK1021" i="2"/>
  <c r="AJ1021" i="2"/>
  <c r="AI1021" i="2"/>
  <c r="AO1020" i="2"/>
  <c r="AN1020" i="2"/>
  <c r="AM1020" i="2"/>
  <c r="AL1020" i="2"/>
  <c r="AK1020" i="2"/>
  <c r="AJ1020" i="2"/>
  <c r="AI1020" i="2"/>
  <c r="AO1019" i="2"/>
  <c r="AN1019" i="2"/>
  <c r="AL1019" i="2"/>
  <c r="AM1019" i="2" s="1"/>
  <c r="AK1019" i="2"/>
  <c r="AJ1019" i="2"/>
  <c r="AI1019" i="2"/>
  <c r="AO1018" i="2"/>
  <c r="AN1018" i="2"/>
  <c r="AM1018" i="2"/>
  <c r="AL1018" i="2"/>
  <c r="AK1018" i="2"/>
  <c r="AJ1018" i="2"/>
  <c r="AI1018" i="2"/>
  <c r="AO1017" i="2"/>
  <c r="AN1017" i="2"/>
  <c r="AM1017" i="2"/>
  <c r="AL1017" i="2"/>
  <c r="AK1017" i="2"/>
  <c r="AJ1017" i="2"/>
  <c r="AI1017" i="2"/>
  <c r="AO1016" i="2"/>
  <c r="AN1016" i="2"/>
  <c r="AM1016" i="2"/>
  <c r="AL1016" i="2"/>
  <c r="AK1016" i="2"/>
  <c r="AJ1016" i="2"/>
  <c r="AI1016" i="2"/>
  <c r="AO1015" i="2"/>
  <c r="AN1015" i="2"/>
  <c r="AL1015" i="2"/>
  <c r="AM1015" i="2" s="1"/>
  <c r="AK1015" i="2"/>
  <c r="AJ1015" i="2"/>
  <c r="AI1015" i="2"/>
  <c r="AO1014" i="2"/>
  <c r="AN1014" i="2"/>
  <c r="AL1014" i="2"/>
  <c r="AM1014" i="2" s="1"/>
  <c r="AK1014" i="2"/>
  <c r="AJ1014" i="2"/>
  <c r="AI1014" i="2"/>
  <c r="AO1013" i="2"/>
  <c r="AN1013" i="2"/>
  <c r="AL1013" i="2"/>
  <c r="AM1013" i="2" s="1"/>
  <c r="AK1013" i="2"/>
  <c r="AJ1013" i="2"/>
  <c r="AI1013" i="2"/>
  <c r="AO1012" i="2"/>
  <c r="AN1012" i="2"/>
  <c r="AL1012" i="2"/>
  <c r="AM1012" i="2" s="1"/>
  <c r="AK1012" i="2"/>
  <c r="AJ1012" i="2"/>
  <c r="AI1012" i="2"/>
  <c r="AO1011" i="2"/>
  <c r="AN1011" i="2"/>
  <c r="AL1011" i="2"/>
  <c r="AM1011" i="2" s="1"/>
  <c r="AK1011" i="2"/>
  <c r="AJ1011" i="2"/>
  <c r="AI1011" i="2"/>
  <c r="AO1010" i="2"/>
  <c r="AN1010" i="2"/>
  <c r="AL1010" i="2"/>
  <c r="AM1010" i="2" s="1"/>
  <c r="AK1010" i="2"/>
  <c r="AJ1010" i="2"/>
  <c r="AI1010" i="2"/>
  <c r="AO1009" i="2"/>
  <c r="AN1009" i="2"/>
  <c r="AM1009" i="2"/>
  <c r="AL1009" i="2"/>
  <c r="AK1009" i="2"/>
  <c r="AJ1009" i="2"/>
  <c r="AI1009" i="2"/>
  <c r="AO1008" i="2"/>
  <c r="AN1008" i="2"/>
  <c r="AL1008" i="2"/>
  <c r="AM1008" i="2" s="1"/>
  <c r="AK1008" i="2"/>
  <c r="AJ1008" i="2"/>
  <c r="AI1008" i="2"/>
  <c r="AO1007" i="2"/>
  <c r="AN1007" i="2"/>
  <c r="AL1007" i="2"/>
  <c r="AM1007" i="2" s="1"/>
  <c r="AK1007" i="2"/>
  <c r="AJ1007" i="2"/>
  <c r="AI1007" i="2"/>
  <c r="AO1006" i="2"/>
  <c r="AN1006" i="2"/>
  <c r="AM1006" i="2"/>
  <c r="AL1006" i="2"/>
  <c r="AK1006" i="2"/>
  <c r="AJ1006" i="2"/>
  <c r="AI1006" i="2"/>
  <c r="AO1005" i="2"/>
  <c r="AN1005" i="2"/>
  <c r="AM1005" i="2"/>
  <c r="AL1005" i="2"/>
  <c r="AK1005" i="2"/>
  <c r="AJ1005" i="2"/>
  <c r="AI1005" i="2"/>
  <c r="AO1004" i="2"/>
  <c r="AN1004" i="2"/>
  <c r="AM1004" i="2"/>
  <c r="AL1004" i="2"/>
  <c r="AK1004" i="2"/>
  <c r="AJ1004" i="2"/>
  <c r="AI1004" i="2"/>
  <c r="AO1003" i="2"/>
  <c r="AN1003" i="2"/>
  <c r="AM1003" i="2"/>
  <c r="AL1003" i="2"/>
  <c r="AK1003" i="2"/>
  <c r="AJ1003" i="2"/>
  <c r="AI1003" i="2"/>
  <c r="AO1002" i="2"/>
  <c r="AN1002" i="2"/>
  <c r="AL1002" i="2"/>
  <c r="AM1002" i="2" s="1"/>
  <c r="AK1002" i="2"/>
  <c r="AJ1002" i="2"/>
  <c r="AI1002" i="2"/>
  <c r="AO1001" i="2"/>
  <c r="AN1001" i="2"/>
  <c r="AL1001" i="2"/>
  <c r="AM1001" i="2" s="1"/>
  <c r="AK1001" i="2"/>
  <c r="AJ1001" i="2"/>
  <c r="AI1001" i="2"/>
  <c r="AO1000" i="2"/>
  <c r="AN1000" i="2"/>
  <c r="AL1000" i="2"/>
  <c r="AM1000" i="2" s="1"/>
  <c r="AK1000" i="2"/>
  <c r="AJ1000" i="2"/>
  <c r="AI1000" i="2"/>
  <c r="AO999" i="2"/>
  <c r="AN999" i="2"/>
  <c r="AL999" i="2"/>
  <c r="AM999" i="2" s="1"/>
  <c r="AK999" i="2"/>
  <c r="AJ999" i="2"/>
  <c r="AI999" i="2"/>
  <c r="AO998" i="2"/>
  <c r="AN998" i="2"/>
  <c r="AM998" i="2"/>
  <c r="AL998" i="2"/>
  <c r="AK998" i="2"/>
  <c r="AJ998" i="2"/>
  <c r="AI998" i="2"/>
  <c r="AO997" i="2"/>
  <c r="AN997" i="2"/>
  <c r="AM997" i="2"/>
  <c r="AL997" i="2"/>
  <c r="AK997" i="2"/>
  <c r="AJ997" i="2"/>
  <c r="AI997" i="2"/>
  <c r="AO996" i="2"/>
  <c r="AN996" i="2"/>
  <c r="AM996" i="2"/>
  <c r="AL996" i="2"/>
  <c r="AK996" i="2"/>
  <c r="AJ996" i="2"/>
  <c r="AI996" i="2"/>
  <c r="AO995" i="2"/>
  <c r="AN995" i="2"/>
  <c r="AL995" i="2"/>
  <c r="AM995" i="2" s="1"/>
  <c r="AK995" i="2"/>
  <c r="AJ995" i="2"/>
  <c r="AI995" i="2"/>
  <c r="AO994" i="2"/>
  <c r="AN994" i="2"/>
  <c r="AM994" i="2"/>
  <c r="AL994" i="2"/>
  <c r="AK994" i="2"/>
  <c r="AJ994" i="2"/>
  <c r="AI994" i="2"/>
  <c r="AO993" i="2"/>
  <c r="AN993" i="2"/>
  <c r="AL993" i="2"/>
  <c r="AM993" i="2" s="1"/>
  <c r="AK993" i="2"/>
  <c r="AJ993" i="2"/>
  <c r="AI993" i="2"/>
  <c r="AO992" i="2"/>
  <c r="AN992" i="2"/>
  <c r="AL992" i="2"/>
  <c r="AM992" i="2" s="1"/>
  <c r="AK992" i="2"/>
  <c r="AJ992" i="2"/>
  <c r="AI992" i="2"/>
  <c r="AO991" i="2"/>
  <c r="AN991" i="2"/>
  <c r="AM991" i="2"/>
  <c r="AL991" i="2"/>
  <c r="AK991" i="2"/>
  <c r="AJ991" i="2"/>
  <c r="AI991" i="2"/>
  <c r="AO990" i="2"/>
  <c r="AN990" i="2"/>
  <c r="AM990" i="2"/>
  <c r="AL990" i="2"/>
  <c r="AK990" i="2"/>
  <c r="AJ990" i="2"/>
  <c r="AI990" i="2"/>
  <c r="AO989" i="2"/>
  <c r="AN989" i="2"/>
  <c r="AL989" i="2"/>
  <c r="AM989" i="2" s="1"/>
  <c r="AK989" i="2"/>
  <c r="AJ989" i="2"/>
  <c r="AI989" i="2"/>
  <c r="AO988" i="2"/>
  <c r="AN988" i="2"/>
  <c r="AL988" i="2"/>
  <c r="AM988" i="2" s="1"/>
  <c r="AK988" i="2"/>
  <c r="AJ988" i="2"/>
  <c r="AI988" i="2"/>
  <c r="AO987" i="2"/>
  <c r="AN987" i="2"/>
  <c r="AL987" i="2"/>
  <c r="AM987" i="2" s="1"/>
  <c r="AK987" i="2"/>
  <c r="AJ987" i="2"/>
  <c r="AI987" i="2"/>
  <c r="AO986" i="2"/>
  <c r="AN986" i="2"/>
  <c r="AL986" i="2"/>
  <c r="AM986" i="2" s="1"/>
  <c r="AK986" i="2"/>
  <c r="AJ986" i="2"/>
  <c r="AI986" i="2"/>
  <c r="AO985" i="2"/>
  <c r="AN985" i="2"/>
  <c r="AL985" i="2"/>
  <c r="AM985" i="2" s="1"/>
  <c r="AK985" i="2"/>
  <c r="AJ985" i="2"/>
  <c r="AI985" i="2"/>
  <c r="AO984" i="2"/>
  <c r="AN984" i="2"/>
  <c r="AL984" i="2"/>
  <c r="AM984" i="2" s="1"/>
  <c r="AK984" i="2"/>
  <c r="AJ984" i="2"/>
  <c r="AI984" i="2"/>
  <c r="AO983" i="2"/>
  <c r="AN983" i="2"/>
  <c r="AM983" i="2"/>
  <c r="AL983" i="2"/>
  <c r="AK983" i="2"/>
  <c r="AJ983" i="2"/>
  <c r="AI983" i="2"/>
  <c r="AO982" i="2"/>
  <c r="AN982" i="2"/>
  <c r="AM982" i="2"/>
  <c r="AL982" i="2"/>
  <c r="AK982" i="2"/>
  <c r="AJ982" i="2"/>
  <c r="AI982" i="2"/>
  <c r="AO981" i="2"/>
  <c r="AN981" i="2"/>
  <c r="AL981" i="2"/>
  <c r="AM981" i="2" s="1"/>
  <c r="AK981" i="2"/>
  <c r="AJ981" i="2"/>
  <c r="AI981" i="2"/>
  <c r="AO980" i="2"/>
  <c r="AN980" i="2"/>
  <c r="AM980" i="2"/>
  <c r="AL980" i="2"/>
  <c r="AK980" i="2"/>
  <c r="AJ980" i="2"/>
  <c r="AI980" i="2"/>
  <c r="AO979" i="2"/>
  <c r="AN979" i="2"/>
  <c r="AL979" i="2"/>
  <c r="AM979" i="2" s="1"/>
  <c r="AK979" i="2"/>
  <c r="AJ979" i="2"/>
  <c r="AI979" i="2"/>
  <c r="AO978" i="2"/>
  <c r="AN978" i="2"/>
  <c r="AM978" i="2"/>
  <c r="AL978" i="2"/>
  <c r="AK978" i="2"/>
  <c r="AJ978" i="2"/>
  <c r="AI978" i="2"/>
  <c r="AO977" i="2"/>
  <c r="AN977" i="2"/>
  <c r="AM977" i="2"/>
  <c r="AL977" i="2"/>
  <c r="AK977" i="2"/>
  <c r="AJ977" i="2"/>
  <c r="AI977" i="2"/>
  <c r="AO976" i="2"/>
  <c r="AN976" i="2"/>
  <c r="AL976" i="2"/>
  <c r="AM976" i="2" s="1"/>
  <c r="AK976" i="2"/>
  <c r="AJ976" i="2"/>
  <c r="AI976" i="2"/>
  <c r="AO975" i="2"/>
  <c r="AN975" i="2"/>
  <c r="AL975" i="2"/>
  <c r="AM975" i="2" s="1"/>
  <c r="AK975" i="2"/>
  <c r="AJ975" i="2"/>
  <c r="AI975" i="2"/>
  <c r="AO974" i="2"/>
  <c r="AN974" i="2"/>
  <c r="AL974" i="2"/>
  <c r="AM974" i="2" s="1"/>
  <c r="AK974" i="2"/>
  <c r="AJ974" i="2"/>
  <c r="AI974" i="2"/>
  <c r="AO973" i="2"/>
  <c r="AN973" i="2"/>
  <c r="AL973" i="2"/>
  <c r="AM973" i="2" s="1"/>
  <c r="AK973" i="2"/>
  <c r="AJ973" i="2"/>
  <c r="AI973" i="2"/>
  <c r="AO972" i="2"/>
  <c r="AN972" i="2"/>
  <c r="AL972" i="2"/>
  <c r="AM972" i="2" s="1"/>
  <c r="AK972" i="2"/>
  <c r="AJ972" i="2"/>
  <c r="AI972" i="2"/>
  <c r="AO971" i="2"/>
  <c r="AN971" i="2"/>
  <c r="AM971" i="2"/>
  <c r="AL971" i="2"/>
  <c r="AK971" i="2"/>
  <c r="AJ971" i="2"/>
  <c r="AI971" i="2"/>
  <c r="AO970" i="2"/>
  <c r="AN970" i="2"/>
  <c r="AM970" i="2"/>
  <c r="AL970" i="2"/>
  <c r="AK970" i="2"/>
  <c r="AJ970" i="2"/>
  <c r="AI970" i="2"/>
  <c r="AO969" i="2"/>
  <c r="AN969" i="2"/>
  <c r="AL969" i="2"/>
  <c r="AM969" i="2" s="1"/>
  <c r="AK969" i="2"/>
  <c r="AJ969" i="2"/>
  <c r="AI969" i="2"/>
  <c r="AO968" i="2"/>
  <c r="AN968" i="2"/>
  <c r="AM968" i="2"/>
  <c r="AL968" i="2"/>
  <c r="AK968" i="2"/>
  <c r="AJ968" i="2"/>
  <c r="AI968" i="2"/>
  <c r="AO967" i="2"/>
  <c r="AN967" i="2"/>
  <c r="AL967" i="2"/>
  <c r="AM967" i="2" s="1"/>
  <c r="AK967" i="2"/>
  <c r="AJ967" i="2"/>
  <c r="AI967" i="2"/>
  <c r="AO966" i="2"/>
  <c r="AN966" i="2"/>
  <c r="AL966" i="2"/>
  <c r="AM966" i="2" s="1"/>
  <c r="AK966" i="2"/>
  <c r="AJ966" i="2"/>
  <c r="AI966" i="2"/>
  <c r="AO965" i="2"/>
  <c r="AN965" i="2"/>
  <c r="AL965" i="2"/>
  <c r="AM965" i="2" s="1"/>
  <c r="AK965" i="2"/>
  <c r="AJ965" i="2"/>
  <c r="AI965" i="2"/>
  <c r="AO964" i="2"/>
  <c r="AN964" i="2"/>
  <c r="AM964" i="2"/>
  <c r="AL964" i="2"/>
  <c r="AK964" i="2"/>
  <c r="AJ964" i="2"/>
  <c r="AI964" i="2"/>
  <c r="AO963" i="2"/>
  <c r="AN963" i="2"/>
  <c r="AL963" i="2"/>
  <c r="AM963" i="2" s="1"/>
  <c r="AK963" i="2"/>
  <c r="AJ963" i="2"/>
  <c r="AI963" i="2"/>
  <c r="AO962" i="2"/>
  <c r="AN962" i="2"/>
  <c r="AL962" i="2"/>
  <c r="AM962" i="2" s="1"/>
  <c r="AK962" i="2"/>
  <c r="AJ962" i="2"/>
  <c r="AI962" i="2"/>
  <c r="AO961" i="2"/>
  <c r="AN961" i="2"/>
  <c r="AL961" i="2"/>
  <c r="AM961" i="2" s="1"/>
  <c r="AK961" i="2"/>
  <c r="AJ961" i="2"/>
  <c r="AI961" i="2"/>
  <c r="AO960" i="2"/>
  <c r="AN960" i="2"/>
  <c r="AL960" i="2"/>
  <c r="AM960" i="2" s="1"/>
  <c r="AK960" i="2"/>
  <c r="AJ960" i="2"/>
  <c r="AI960" i="2"/>
  <c r="AO959" i="2"/>
  <c r="AN959" i="2"/>
  <c r="AL959" i="2"/>
  <c r="AM959" i="2" s="1"/>
  <c r="AK959" i="2"/>
  <c r="AJ959" i="2"/>
  <c r="AI959" i="2"/>
  <c r="AO958" i="2"/>
  <c r="AN958" i="2"/>
  <c r="AM958" i="2"/>
  <c r="AL958" i="2"/>
  <c r="AK958" i="2"/>
  <c r="AJ958" i="2"/>
  <c r="AI958" i="2"/>
  <c r="AO957" i="2"/>
  <c r="AN957" i="2"/>
  <c r="AM957" i="2"/>
  <c r="AL957" i="2"/>
  <c r="AK957" i="2"/>
  <c r="AJ957" i="2"/>
  <c r="AI957" i="2"/>
  <c r="AO956" i="2"/>
  <c r="AN956" i="2"/>
  <c r="AL956" i="2"/>
  <c r="AM956" i="2" s="1"/>
  <c r="AK956" i="2"/>
  <c r="AJ956" i="2"/>
  <c r="AI956" i="2"/>
  <c r="AO955" i="2"/>
  <c r="AN955" i="2"/>
  <c r="AL955" i="2"/>
  <c r="AM955" i="2" s="1"/>
  <c r="AK955" i="2"/>
  <c r="AJ955" i="2"/>
  <c r="AI955" i="2"/>
  <c r="AO954" i="2"/>
  <c r="AN954" i="2"/>
  <c r="AL954" i="2"/>
  <c r="AM954" i="2" s="1"/>
  <c r="AK954" i="2"/>
  <c r="AJ954" i="2"/>
  <c r="AI954" i="2"/>
  <c r="AO953" i="2"/>
  <c r="AN953" i="2"/>
  <c r="AM953" i="2"/>
  <c r="AL953" i="2"/>
  <c r="AK953" i="2"/>
  <c r="AJ953" i="2"/>
  <c r="AI953" i="2"/>
  <c r="AO952" i="2"/>
  <c r="AN952" i="2"/>
  <c r="AM952" i="2"/>
  <c r="AL952" i="2"/>
  <c r="AK952" i="2"/>
  <c r="AJ952" i="2"/>
  <c r="AI952" i="2"/>
  <c r="AO951" i="2"/>
  <c r="AN951" i="2"/>
  <c r="AL951" i="2"/>
  <c r="AM951" i="2" s="1"/>
  <c r="AK951" i="2"/>
  <c r="AJ951" i="2"/>
  <c r="AI951" i="2"/>
  <c r="AO950" i="2"/>
  <c r="AN950" i="2"/>
  <c r="AM950" i="2"/>
  <c r="AL950" i="2"/>
  <c r="AK950" i="2"/>
  <c r="AJ950" i="2"/>
  <c r="AI950" i="2"/>
  <c r="AO949" i="2"/>
  <c r="AN949" i="2"/>
  <c r="AL949" i="2"/>
  <c r="AM949" i="2" s="1"/>
  <c r="AK949" i="2"/>
  <c r="AJ949" i="2"/>
  <c r="AI949" i="2"/>
  <c r="AO948" i="2"/>
  <c r="AN948" i="2"/>
  <c r="AL948" i="2"/>
  <c r="AM948" i="2" s="1"/>
  <c r="AK948" i="2"/>
  <c r="AJ948" i="2"/>
  <c r="AI948" i="2"/>
  <c r="AO947" i="2"/>
  <c r="AN947" i="2"/>
  <c r="AL947" i="2"/>
  <c r="AM947" i="2" s="1"/>
  <c r="AK947" i="2"/>
  <c r="AJ947" i="2"/>
  <c r="AI947" i="2"/>
  <c r="AO946" i="2"/>
  <c r="AN946" i="2"/>
  <c r="AM946" i="2"/>
  <c r="AL946" i="2"/>
  <c r="AK946" i="2"/>
  <c r="AJ946" i="2"/>
  <c r="AI946" i="2"/>
  <c r="AO945" i="2"/>
  <c r="AN945" i="2"/>
  <c r="AM945" i="2"/>
  <c r="AL945" i="2"/>
  <c r="AK945" i="2"/>
  <c r="AJ945" i="2"/>
  <c r="AI945" i="2"/>
  <c r="AO944" i="2"/>
  <c r="AN944" i="2"/>
  <c r="AM944" i="2"/>
  <c r="AL944" i="2"/>
  <c r="AK944" i="2"/>
  <c r="AJ944" i="2"/>
  <c r="AI944" i="2"/>
  <c r="AO943" i="2"/>
  <c r="AN943" i="2"/>
  <c r="AL943" i="2"/>
  <c r="AM943" i="2" s="1"/>
  <c r="AK943" i="2"/>
  <c r="AJ943" i="2"/>
  <c r="AI943" i="2"/>
  <c r="AO942" i="2"/>
  <c r="AN942" i="2"/>
  <c r="AM942" i="2"/>
  <c r="AL942" i="2"/>
  <c r="AK942" i="2"/>
  <c r="AJ942" i="2"/>
  <c r="AI942" i="2"/>
  <c r="AO941" i="2"/>
  <c r="AN941" i="2"/>
  <c r="AL941" i="2"/>
  <c r="AM941" i="2" s="1"/>
  <c r="AK941" i="2"/>
  <c r="AJ941" i="2"/>
  <c r="AI941" i="2"/>
  <c r="AO940" i="2"/>
  <c r="AN940" i="2"/>
  <c r="AM940" i="2"/>
  <c r="AL940" i="2"/>
  <c r="AK940" i="2"/>
  <c r="AJ940" i="2"/>
  <c r="AI940" i="2"/>
  <c r="AO939" i="2"/>
  <c r="AN939" i="2"/>
  <c r="AL939" i="2"/>
  <c r="AM939" i="2" s="1"/>
  <c r="AK939" i="2"/>
  <c r="AJ939" i="2"/>
  <c r="AI939" i="2"/>
  <c r="AO938" i="2"/>
  <c r="AN938" i="2"/>
  <c r="AM938" i="2"/>
  <c r="AL938" i="2"/>
  <c r="AK938" i="2"/>
  <c r="AJ938" i="2"/>
  <c r="AI938" i="2"/>
  <c r="AO937" i="2"/>
  <c r="AN937" i="2"/>
  <c r="AM937" i="2"/>
  <c r="AL937" i="2"/>
  <c r="AK937" i="2"/>
  <c r="AJ937" i="2"/>
  <c r="AI937" i="2"/>
  <c r="AO936" i="2"/>
  <c r="AN936" i="2"/>
  <c r="AL936" i="2"/>
  <c r="AM936" i="2" s="1"/>
  <c r="AK936" i="2"/>
  <c r="AJ936" i="2"/>
  <c r="AI936" i="2"/>
  <c r="AO935" i="2"/>
  <c r="AN935" i="2"/>
  <c r="AM935" i="2"/>
  <c r="AL935" i="2"/>
  <c r="AK935" i="2"/>
  <c r="AJ935" i="2"/>
  <c r="AI935" i="2"/>
  <c r="AO934" i="2"/>
  <c r="AN934" i="2"/>
  <c r="AM934" i="2"/>
  <c r="AL934" i="2"/>
  <c r="AK934" i="2"/>
  <c r="AJ934" i="2"/>
  <c r="AI934" i="2"/>
  <c r="AO933" i="2"/>
  <c r="AN933" i="2"/>
  <c r="AM933" i="2"/>
  <c r="AL933" i="2"/>
  <c r="AK933" i="2"/>
  <c r="AJ933" i="2"/>
  <c r="AI933" i="2"/>
  <c r="AO932" i="2"/>
  <c r="AN932" i="2"/>
  <c r="AL932" i="2"/>
  <c r="AM932" i="2" s="1"/>
  <c r="AK932" i="2"/>
  <c r="AJ932" i="2"/>
  <c r="AI932" i="2"/>
  <c r="AO931" i="2"/>
  <c r="AN931" i="2"/>
  <c r="AM931" i="2"/>
  <c r="AL931" i="2"/>
  <c r="AK931" i="2"/>
  <c r="AJ931" i="2"/>
  <c r="AI931" i="2"/>
  <c r="AO930" i="2"/>
  <c r="AN930" i="2"/>
  <c r="AL930" i="2"/>
  <c r="AM930" i="2" s="1"/>
  <c r="AK930" i="2"/>
  <c r="AJ930" i="2"/>
  <c r="AI930" i="2"/>
  <c r="AO929" i="2"/>
  <c r="AN929" i="2"/>
  <c r="AL929" i="2"/>
  <c r="AM929" i="2" s="1"/>
  <c r="AK929" i="2"/>
  <c r="AJ929" i="2"/>
  <c r="AI929" i="2"/>
  <c r="AO928" i="2"/>
  <c r="AN928" i="2"/>
  <c r="AL928" i="2"/>
  <c r="AM928" i="2" s="1"/>
  <c r="AK928" i="2"/>
  <c r="AJ928" i="2"/>
  <c r="AI928" i="2"/>
  <c r="AO927" i="2"/>
  <c r="AN927" i="2"/>
  <c r="AL927" i="2"/>
  <c r="AM927" i="2" s="1"/>
  <c r="AK927" i="2"/>
  <c r="AJ927" i="2"/>
  <c r="AI927" i="2"/>
  <c r="AO926" i="2"/>
  <c r="AN926" i="2"/>
  <c r="AL926" i="2"/>
  <c r="AM926" i="2" s="1"/>
  <c r="AK926" i="2"/>
  <c r="AJ926" i="2"/>
  <c r="AI926" i="2"/>
  <c r="AO925" i="2"/>
  <c r="AN925" i="2"/>
  <c r="AL925" i="2"/>
  <c r="AM925" i="2" s="1"/>
  <c r="AK925" i="2"/>
  <c r="AJ925" i="2"/>
  <c r="AI925" i="2"/>
  <c r="AO924" i="2"/>
  <c r="AN924" i="2"/>
  <c r="AM924" i="2"/>
  <c r="AL924" i="2"/>
  <c r="AK924" i="2"/>
  <c r="AJ924" i="2"/>
  <c r="AI924" i="2"/>
  <c r="AO923" i="2"/>
  <c r="AN923" i="2"/>
  <c r="AL923" i="2"/>
  <c r="AM923" i="2" s="1"/>
  <c r="AK923" i="2"/>
  <c r="AJ923" i="2"/>
  <c r="AI923" i="2"/>
  <c r="AO922" i="2"/>
  <c r="AN922" i="2"/>
  <c r="AM922" i="2"/>
  <c r="AL922" i="2"/>
  <c r="AK922" i="2"/>
  <c r="AJ922" i="2"/>
  <c r="AI922" i="2"/>
  <c r="AO921" i="2"/>
  <c r="AN921" i="2"/>
  <c r="AM921" i="2"/>
  <c r="AL921" i="2"/>
  <c r="AK921" i="2"/>
  <c r="AJ921" i="2"/>
  <c r="AI921" i="2"/>
  <c r="AO920" i="2"/>
  <c r="AN920" i="2"/>
  <c r="AM920" i="2"/>
  <c r="AL920" i="2"/>
  <c r="AK920" i="2"/>
  <c r="AJ920" i="2"/>
  <c r="AI920" i="2"/>
  <c r="AO919" i="2"/>
  <c r="AN919" i="2"/>
  <c r="AM919" i="2"/>
  <c r="AL919" i="2"/>
  <c r="AK919" i="2"/>
  <c r="AJ919" i="2"/>
  <c r="AI919" i="2"/>
  <c r="AO918" i="2"/>
  <c r="AN918" i="2"/>
  <c r="AM918" i="2"/>
  <c r="AL918" i="2"/>
  <c r="AK918" i="2"/>
  <c r="AJ918" i="2"/>
  <c r="AI918" i="2"/>
  <c r="AO917" i="2"/>
  <c r="AN917" i="2"/>
  <c r="AL917" i="2"/>
  <c r="AM917" i="2" s="1"/>
  <c r="AK917" i="2"/>
  <c r="AJ917" i="2"/>
  <c r="AI917" i="2"/>
  <c r="AO916" i="2"/>
  <c r="AN916" i="2"/>
  <c r="AL916" i="2"/>
  <c r="AM916" i="2" s="1"/>
  <c r="AK916" i="2"/>
  <c r="AJ916" i="2"/>
  <c r="AI916" i="2"/>
  <c r="AO915" i="2"/>
  <c r="AN915" i="2"/>
  <c r="AL915" i="2"/>
  <c r="AM915" i="2" s="1"/>
  <c r="AK915" i="2"/>
  <c r="AJ915" i="2"/>
  <c r="AI915" i="2"/>
  <c r="AO914" i="2"/>
  <c r="AN914" i="2"/>
  <c r="AL914" i="2"/>
  <c r="AM914" i="2" s="1"/>
  <c r="AK914" i="2"/>
  <c r="AJ914" i="2"/>
  <c r="AI914" i="2"/>
  <c r="AO913" i="2"/>
  <c r="AN913" i="2"/>
  <c r="AL913" i="2"/>
  <c r="AM913" i="2" s="1"/>
  <c r="AK913" i="2"/>
  <c r="AJ913" i="2"/>
  <c r="AI913" i="2"/>
  <c r="AO912" i="2"/>
  <c r="AN912" i="2"/>
  <c r="AM912" i="2"/>
  <c r="AL912" i="2"/>
  <c r="AK912" i="2"/>
  <c r="AJ912" i="2"/>
  <c r="AI912" i="2"/>
  <c r="AO911" i="2"/>
  <c r="AN911" i="2"/>
  <c r="AM911" i="2"/>
  <c r="AL911" i="2"/>
  <c r="AK911" i="2"/>
  <c r="AJ911" i="2"/>
  <c r="AI911" i="2"/>
  <c r="AO910" i="2"/>
  <c r="AN910" i="2"/>
  <c r="AM910" i="2"/>
  <c r="AL910" i="2"/>
  <c r="AK910" i="2"/>
  <c r="AJ910" i="2"/>
  <c r="AI910" i="2"/>
  <c r="AO909" i="2"/>
  <c r="AN909" i="2"/>
  <c r="AL909" i="2"/>
  <c r="AM909" i="2" s="1"/>
  <c r="AK909" i="2"/>
  <c r="AJ909" i="2"/>
  <c r="AI909" i="2"/>
  <c r="AO908" i="2"/>
  <c r="AN908" i="2"/>
  <c r="AL908" i="2"/>
  <c r="AM908" i="2" s="1"/>
  <c r="AK908" i="2"/>
  <c r="AJ908" i="2"/>
  <c r="AI908" i="2"/>
  <c r="AO907" i="2"/>
  <c r="AN907" i="2"/>
  <c r="AL907" i="2"/>
  <c r="AM907" i="2" s="1"/>
  <c r="AK907" i="2"/>
  <c r="AJ907" i="2"/>
  <c r="AI907" i="2"/>
  <c r="AO906" i="2"/>
  <c r="AN906" i="2"/>
  <c r="AL906" i="2"/>
  <c r="AM906" i="2" s="1"/>
  <c r="AK906" i="2"/>
  <c r="AJ906" i="2"/>
  <c r="AI906" i="2"/>
  <c r="AO905" i="2"/>
  <c r="AN905" i="2"/>
  <c r="AM905" i="2"/>
  <c r="AL905" i="2"/>
  <c r="AK905" i="2"/>
  <c r="AJ905" i="2"/>
  <c r="AI905" i="2"/>
  <c r="AO904" i="2"/>
  <c r="AN904" i="2"/>
  <c r="AL904" i="2"/>
  <c r="AM904" i="2" s="1"/>
  <c r="AK904" i="2"/>
  <c r="AJ904" i="2"/>
  <c r="AI904" i="2"/>
  <c r="AO903" i="2"/>
  <c r="AN903" i="2"/>
  <c r="AL903" i="2"/>
  <c r="AM903" i="2" s="1"/>
  <c r="AK903" i="2"/>
  <c r="AJ903" i="2"/>
  <c r="AI903" i="2"/>
  <c r="AO902" i="2"/>
  <c r="AN902" i="2"/>
  <c r="AL902" i="2"/>
  <c r="AM902" i="2" s="1"/>
  <c r="AK902" i="2"/>
  <c r="AJ902" i="2"/>
  <c r="AI902" i="2"/>
  <c r="AO901" i="2"/>
  <c r="AN901" i="2"/>
  <c r="AL901" i="2"/>
  <c r="AM901" i="2" s="1"/>
  <c r="AK901" i="2"/>
  <c r="AJ901" i="2"/>
  <c r="AI901" i="2"/>
  <c r="AO900" i="2"/>
  <c r="AN900" i="2"/>
  <c r="AL900" i="2"/>
  <c r="AM900" i="2" s="1"/>
  <c r="AK900" i="2"/>
  <c r="AJ900" i="2"/>
  <c r="AI900" i="2"/>
  <c r="AO899" i="2"/>
  <c r="AN899" i="2"/>
  <c r="AM899" i="2"/>
  <c r="AL899" i="2"/>
  <c r="AK899" i="2"/>
  <c r="AJ899" i="2"/>
  <c r="AI899" i="2"/>
  <c r="AO898" i="2"/>
  <c r="AN898" i="2"/>
  <c r="AM898" i="2"/>
  <c r="AL898" i="2"/>
  <c r="AK898" i="2"/>
  <c r="AJ898" i="2"/>
  <c r="AI898" i="2"/>
  <c r="AO897" i="2"/>
  <c r="AN897" i="2"/>
  <c r="AL897" i="2"/>
  <c r="AM897" i="2" s="1"/>
  <c r="AK897" i="2"/>
  <c r="AJ897" i="2"/>
  <c r="AI897" i="2"/>
  <c r="AO896" i="2"/>
  <c r="AN896" i="2"/>
  <c r="AL896" i="2"/>
  <c r="AM896" i="2" s="1"/>
  <c r="AK896" i="2"/>
  <c r="AJ896" i="2"/>
  <c r="AI896" i="2"/>
  <c r="AO895" i="2"/>
  <c r="AN895" i="2"/>
  <c r="AL895" i="2"/>
  <c r="AM895" i="2" s="1"/>
  <c r="AK895" i="2"/>
  <c r="AJ895" i="2"/>
  <c r="AI895" i="2"/>
  <c r="AO894" i="2"/>
  <c r="AN894" i="2"/>
  <c r="AL894" i="2"/>
  <c r="AM894" i="2" s="1"/>
  <c r="AK894" i="2"/>
  <c r="AJ894" i="2"/>
  <c r="AI894" i="2"/>
  <c r="AO893" i="2"/>
  <c r="AN893" i="2"/>
  <c r="AM893" i="2"/>
  <c r="AL893" i="2"/>
  <c r="AK893" i="2"/>
  <c r="AJ893" i="2"/>
  <c r="AI893" i="2"/>
  <c r="AO892" i="2"/>
  <c r="AN892" i="2"/>
  <c r="AM892" i="2"/>
  <c r="AL892" i="2"/>
  <c r="AK892" i="2"/>
  <c r="AJ892" i="2"/>
  <c r="AI892" i="2"/>
  <c r="AO891" i="2"/>
  <c r="AN891" i="2"/>
  <c r="AL891" i="2"/>
  <c r="AM891" i="2" s="1"/>
  <c r="AK891" i="2"/>
  <c r="AJ891" i="2"/>
  <c r="AI891" i="2"/>
  <c r="AO890" i="2"/>
  <c r="AN890" i="2"/>
  <c r="AL890" i="2"/>
  <c r="AM890" i="2" s="1"/>
  <c r="AK890" i="2"/>
  <c r="AJ890" i="2"/>
  <c r="AI890" i="2"/>
  <c r="AO889" i="2"/>
  <c r="AN889" i="2"/>
  <c r="AL889" i="2"/>
  <c r="AM889" i="2" s="1"/>
  <c r="AK889" i="2"/>
  <c r="AJ889" i="2"/>
  <c r="AI889" i="2"/>
  <c r="AO888" i="2"/>
  <c r="AN888" i="2"/>
  <c r="AM888" i="2"/>
  <c r="AL888" i="2"/>
  <c r="AK888" i="2"/>
  <c r="AJ888" i="2"/>
  <c r="AI888" i="2"/>
  <c r="AO887" i="2"/>
  <c r="AN887" i="2"/>
  <c r="AM887" i="2"/>
  <c r="AL887" i="2"/>
  <c r="AK887" i="2"/>
  <c r="AJ887" i="2"/>
  <c r="AI887" i="2"/>
  <c r="AO886" i="2"/>
  <c r="AN886" i="2"/>
  <c r="AM886" i="2"/>
  <c r="AL886" i="2"/>
  <c r="AK886" i="2"/>
  <c r="AJ886" i="2"/>
  <c r="AI886" i="2"/>
  <c r="AO885" i="2"/>
  <c r="AN885" i="2"/>
  <c r="AM885" i="2"/>
  <c r="AL885" i="2"/>
  <c r="AK885" i="2"/>
  <c r="AJ885" i="2"/>
  <c r="AI885" i="2"/>
  <c r="AO884" i="2"/>
  <c r="AN884" i="2"/>
  <c r="AL884" i="2"/>
  <c r="AM884" i="2" s="1"/>
  <c r="AK884" i="2"/>
  <c r="AJ884" i="2"/>
  <c r="AI884" i="2"/>
  <c r="AO883" i="2"/>
  <c r="AN883" i="2"/>
  <c r="AL883" i="2"/>
  <c r="AM883" i="2" s="1"/>
  <c r="AK883" i="2"/>
  <c r="AJ883" i="2"/>
  <c r="AI883" i="2"/>
  <c r="AO882" i="2"/>
  <c r="AN882" i="2"/>
  <c r="AL882" i="2"/>
  <c r="AM882" i="2" s="1"/>
  <c r="AK882" i="2"/>
  <c r="AJ882" i="2"/>
  <c r="AI882" i="2"/>
  <c r="AO881" i="2"/>
  <c r="AN881" i="2"/>
  <c r="AL881" i="2"/>
  <c r="AM881" i="2" s="1"/>
  <c r="AK881" i="2"/>
  <c r="AJ881" i="2"/>
  <c r="AI881" i="2"/>
  <c r="AO880" i="2"/>
  <c r="AN880" i="2"/>
  <c r="AM880" i="2"/>
  <c r="AL880" i="2"/>
  <c r="AK880" i="2"/>
  <c r="AJ880" i="2"/>
  <c r="AI880" i="2"/>
  <c r="AO879" i="2"/>
  <c r="AN879" i="2"/>
  <c r="AL879" i="2"/>
  <c r="AM879" i="2" s="1"/>
  <c r="AK879" i="2"/>
  <c r="AJ879" i="2"/>
  <c r="AI879" i="2"/>
  <c r="AO878" i="2"/>
  <c r="AN878" i="2"/>
  <c r="AM878" i="2"/>
  <c r="AL878" i="2"/>
  <c r="AK878" i="2"/>
  <c r="AJ878" i="2"/>
  <c r="AI878" i="2"/>
  <c r="AO877" i="2"/>
  <c r="AN877" i="2"/>
  <c r="AL877" i="2"/>
  <c r="AM877" i="2" s="1"/>
  <c r="AK877" i="2"/>
  <c r="AJ877" i="2"/>
  <c r="AI877" i="2"/>
  <c r="AO876" i="2"/>
  <c r="AN876" i="2"/>
  <c r="AM876" i="2"/>
  <c r="AL876" i="2"/>
  <c r="AK876" i="2"/>
  <c r="AJ876" i="2"/>
  <c r="AI876" i="2"/>
  <c r="AO875" i="2"/>
  <c r="AN875" i="2"/>
  <c r="AL875" i="2"/>
  <c r="AM875" i="2" s="1"/>
  <c r="AK875" i="2"/>
  <c r="AJ875" i="2"/>
  <c r="AI875" i="2"/>
  <c r="AO874" i="2"/>
  <c r="AN874" i="2"/>
  <c r="AM874" i="2"/>
  <c r="AL874" i="2"/>
  <c r="AK874" i="2"/>
  <c r="AJ874" i="2"/>
  <c r="AI874" i="2"/>
  <c r="AO873" i="2"/>
  <c r="AN873" i="2"/>
  <c r="AL873" i="2"/>
  <c r="AM873" i="2" s="1"/>
  <c r="AK873" i="2"/>
  <c r="AJ873" i="2"/>
  <c r="AI873" i="2"/>
  <c r="AO872" i="2"/>
  <c r="AN872" i="2"/>
  <c r="AM872" i="2"/>
  <c r="AL872" i="2"/>
  <c r="AK872" i="2"/>
  <c r="AJ872" i="2"/>
  <c r="AI872" i="2"/>
  <c r="AO871" i="2"/>
  <c r="AN871" i="2"/>
  <c r="AL871" i="2"/>
  <c r="AM871" i="2" s="1"/>
  <c r="AK871" i="2"/>
  <c r="AJ871" i="2"/>
  <c r="AI871" i="2"/>
  <c r="AO870" i="2"/>
  <c r="AN870" i="2"/>
  <c r="AL870" i="2"/>
  <c r="AM870" i="2" s="1"/>
  <c r="AK870" i="2"/>
  <c r="AJ870" i="2"/>
  <c r="AI870" i="2"/>
  <c r="AO869" i="2"/>
  <c r="AN869" i="2"/>
  <c r="AL869" i="2"/>
  <c r="AM869" i="2" s="1"/>
  <c r="AK869" i="2"/>
  <c r="AJ869" i="2"/>
  <c r="AI869" i="2"/>
  <c r="AO868" i="2"/>
  <c r="AN868" i="2"/>
  <c r="AM868" i="2"/>
  <c r="AL868" i="2"/>
  <c r="AK868" i="2"/>
  <c r="AJ868" i="2"/>
  <c r="AI868" i="2"/>
  <c r="AO867" i="2"/>
  <c r="AN867" i="2"/>
  <c r="AL867" i="2"/>
  <c r="AM867" i="2" s="1"/>
  <c r="AK867" i="2"/>
  <c r="AJ867" i="2"/>
  <c r="AI867" i="2"/>
  <c r="AO866" i="2"/>
  <c r="AN866" i="2"/>
  <c r="AL866" i="2"/>
  <c r="AM866" i="2" s="1"/>
  <c r="AK866" i="2"/>
  <c r="AJ866" i="2"/>
  <c r="AI866" i="2"/>
  <c r="AO865" i="2"/>
  <c r="AN865" i="2"/>
  <c r="AM865" i="2"/>
  <c r="AL865" i="2"/>
  <c r="AK865" i="2"/>
  <c r="AJ865" i="2"/>
  <c r="AI865" i="2"/>
  <c r="AO864" i="2"/>
  <c r="AN864" i="2"/>
  <c r="AL864" i="2"/>
  <c r="AM864" i="2" s="1"/>
  <c r="AK864" i="2"/>
  <c r="AJ864" i="2"/>
  <c r="AI864" i="2"/>
  <c r="AO863" i="2"/>
  <c r="AN863" i="2"/>
  <c r="AL863" i="2"/>
  <c r="AM863" i="2" s="1"/>
  <c r="AK863" i="2"/>
  <c r="AJ863" i="2"/>
  <c r="AI863" i="2"/>
  <c r="AO862" i="2"/>
  <c r="AN862" i="2"/>
  <c r="AM862" i="2"/>
  <c r="AL862" i="2"/>
  <c r="AK862" i="2"/>
  <c r="AJ862" i="2"/>
  <c r="AI862" i="2"/>
  <c r="AO861" i="2"/>
  <c r="AN861" i="2"/>
  <c r="AM861" i="2"/>
  <c r="AL861" i="2"/>
  <c r="AK861" i="2"/>
  <c r="AJ861" i="2"/>
  <c r="AI861" i="2"/>
  <c r="AO860" i="2"/>
  <c r="AN860" i="2"/>
  <c r="AM860" i="2"/>
  <c r="AL860" i="2"/>
  <c r="AK860" i="2"/>
  <c r="AJ860" i="2"/>
  <c r="AI860" i="2"/>
  <c r="AO859" i="2"/>
  <c r="AN859" i="2"/>
  <c r="AM859" i="2"/>
  <c r="AL859" i="2"/>
  <c r="AK859" i="2"/>
  <c r="AJ859" i="2"/>
  <c r="AI859" i="2"/>
  <c r="AO858" i="2"/>
  <c r="AN858" i="2"/>
  <c r="AL858" i="2"/>
  <c r="AM858" i="2" s="1"/>
  <c r="AK858" i="2"/>
  <c r="AJ858" i="2"/>
  <c r="AI858" i="2"/>
  <c r="AO857" i="2"/>
  <c r="AN857" i="2"/>
  <c r="AL857" i="2"/>
  <c r="AM857" i="2" s="1"/>
  <c r="AK857" i="2"/>
  <c r="AJ857" i="2"/>
  <c r="AI857" i="2"/>
  <c r="AO856" i="2"/>
  <c r="AN856" i="2"/>
  <c r="AL856" i="2"/>
  <c r="AM856" i="2" s="1"/>
  <c r="AK856" i="2"/>
  <c r="AJ856" i="2"/>
  <c r="AI856" i="2"/>
  <c r="AO855" i="2"/>
  <c r="AN855" i="2"/>
  <c r="AL855" i="2"/>
  <c r="AM855" i="2" s="1"/>
  <c r="AK855" i="2"/>
  <c r="AJ855" i="2"/>
  <c r="AI855" i="2"/>
  <c r="AO854" i="2"/>
  <c r="AN854" i="2"/>
  <c r="AL854" i="2"/>
  <c r="AM854" i="2" s="1"/>
  <c r="AK854" i="2"/>
  <c r="AJ854" i="2"/>
  <c r="AI854" i="2"/>
  <c r="AO853" i="2"/>
  <c r="AN853" i="2"/>
  <c r="AM853" i="2"/>
  <c r="AL853" i="2"/>
  <c r="AK853" i="2"/>
  <c r="AJ853" i="2"/>
  <c r="AI853" i="2"/>
  <c r="AO852" i="2"/>
  <c r="AN852" i="2"/>
  <c r="AM852" i="2"/>
  <c r="AL852" i="2"/>
  <c r="AK852" i="2"/>
  <c r="AJ852" i="2"/>
  <c r="AI852" i="2"/>
  <c r="AO851" i="2"/>
  <c r="AN851" i="2"/>
  <c r="AL851" i="2"/>
  <c r="AM851" i="2" s="1"/>
  <c r="AK851" i="2"/>
  <c r="AJ851" i="2"/>
  <c r="AI851" i="2"/>
  <c r="AO850" i="2"/>
  <c r="AN850" i="2"/>
  <c r="AM850" i="2"/>
  <c r="AL850" i="2"/>
  <c r="AK850" i="2"/>
  <c r="AJ850" i="2"/>
  <c r="AI850" i="2"/>
  <c r="AO849" i="2"/>
  <c r="AN849" i="2"/>
  <c r="AL849" i="2"/>
  <c r="AM849" i="2" s="1"/>
  <c r="AK849" i="2"/>
  <c r="AJ849" i="2"/>
  <c r="AI849" i="2"/>
  <c r="AO848" i="2"/>
  <c r="AN848" i="2"/>
  <c r="AM848" i="2"/>
  <c r="AL848" i="2"/>
  <c r="AK848" i="2"/>
  <c r="AJ848" i="2"/>
  <c r="AI848" i="2"/>
  <c r="AO847" i="2"/>
  <c r="AN847" i="2"/>
  <c r="AM847" i="2"/>
  <c r="AL847" i="2"/>
  <c r="AK847" i="2"/>
  <c r="AJ847" i="2"/>
  <c r="AI847" i="2"/>
  <c r="AO846" i="2"/>
  <c r="AN846" i="2"/>
  <c r="AM846" i="2"/>
  <c r="AL846" i="2"/>
  <c r="AK846" i="2"/>
  <c r="AJ846" i="2"/>
  <c r="AI846" i="2"/>
  <c r="AO845" i="2"/>
  <c r="AN845" i="2"/>
  <c r="AL845" i="2"/>
  <c r="AM845" i="2" s="1"/>
  <c r="AK845" i="2"/>
  <c r="AJ845" i="2"/>
  <c r="AI845" i="2"/>
  <c r="AO844" i="2"/>
  <c r="AN844" i="2"/>
  <c r="AL844" i="2"/>
  <c r="AM844" i="2" s="1"/>
  <c r="AK844" i="2"/>
  <c r="AJ844" i="2"/>
  <c r="AI844" i="2"/>
  <c r="AO843" i="2"/>
  <c r="AN843" i="2"/>
  <c r="AL843" i="2"/>
  <c r="AM843" i="2" s="1"/>
  <c r="AK843" i="2"/>
  <c r="AJ843" i="2"/>
  <c r="AI843" i="2"/>
  <c r="AO842" i="2"/>
  <c r="AN842" i="2"/>
  <c r="AL842" i="2"/>
  <c r="AM842" i="2" s="1"/>
  <c r="AK842" i="2"/>
  <c r="AJ842" i="2"/>
  <c r="AI842" i="2"/>
  <c r="AO841" i="2"/>
  <c r="AN841" i="2"/>
  <c r="AM841" i="2"/>
  <c r="AL841" i="2"/>
  <c r="AK841" i="2"/>
  <c r="AJ841" i="2"/>
  <c r="AI841" i="2"/>
  <c r="AO840" i="2"/>
  <c r="AN840" i="2"/>
  <c r="AL840" i="2"/>
  <c r="AM840" i="2" s="1"/>
  <c r="AK840" i="2"/>
  <c r="AJ840" i="2"/>
  <c r="AI840" i="2"/>
  <c r="AO839" i="2"/>
  <c r="AN839" i="2"/>
  <c r="AM839" i="2"/>
  <c r="AL839" i="2"/>
  <c r="AK839" i="2"/>
  <c r="AJ839" i="2"/>
  <c r="AI839" i="2"/>
  <c r="AO838" i="2"/>
  <c r="AN838" i="2"/>
  <c r="AM838" i="2"/>
  <c r="AL838" i="2"/>
  <c r="AK838" i="2"/>
  <c r="AJ838" i="2"/>
  <c r="AI838" i="2"/>
  <c r="AO837" i="2"/>
  <c r="AN837" i="2"/>
  <c r="AL837" i="2"/>
  <c r="AM837" i="2" s="1"/>
  <c r="AK837" i="2"/>
  <c r="AJ837" i="2"/>
  <c r="AI837" i="2"/>
  <c r="AO836" i="2"/>
  <c r="AN836" i="2"/>
  <c r="AL836" i="2"/>
  <c r="AM836" i="2" s="1"/>
  <c r="AK836" i="2"/>
  <c r="AJ836" i="2"/>
  <c r="AI836" i="2"/>
  <c r="AO835" i="2"/>
  <c r="AN835" i="2"/>
  <c r="AM835" i="2"/>
  <c r="AL835" i="2"/>
  <c r="AK835" i="2"/>
  <c r="AJ835" i="2"/>
  <c r="AI835" i="2"/>
  <c r="AO834" i="2"/>
  <c r="AN834" i="2"/>
  <c r="AM834" i="2"/>
  <c r="AL834" i="2"/>
  <c r="AK834" i="2"/>
  <c r="AJ834" i="2"/>
  <c r="AI834" i="2"/>
  <c r="AO833" i="2"/>
  <c r="AN833" i="2"/>
  <c r="AM833" i="2"/>
  <c r="AL833" i="2"/>
  <c r="AK833" i="2"/>
  <c r="AJ833" i="2"/>
  <c r="AI833" i="2"/>
  <c r="AO832" i="2"/>
  <c r="AN832" i="2"/>
  <c r="AL832" i="2"/>
  <c r="AM832" i="2" s="1"/>
  <c r="AK832" i="2"/>
  <c r="AJ832" i="2"/>
  <c r="AI832" i="2"/>
  <c r="AO831" i="2"/>
  <c r="AN831" i="2"/>
  <c r="AL831" i="2"/>
  <c r="AM831" i="2" s="1"/>
  <c r="AK831" i="2"/>
  <c r="AJ831" i="2"/>
  <c r="AI831" i="2"/>
  <c r="AO830" i="2"/>
  <c r="AN830" i="2"/>
  <c r="AL830" i="2"/>
  <c r="AM830" i="2" s="1"/>
  <c r="AK830" i="2"/>
  <c r="AJ830" i="2"/>
  <c r="AI830" i="2"/>
  <c r="AO829" i="2"/>
  <c r="AN829" i="2"/>
  <c r="AL829" i="2"/>
  <c r="AM829" i="2" s="1"/>
  <c r="AK829" i="2"/>
  <c r="AJ829" i="2"/>
  <c r="AI829" i="2"/>
  <c r="AO828" i="2"/>
  <c r="AN828" i="2"/>
  <c r="AM828" i="2"/>
  <c r="AL828" i="2"/>
  <c r="AK828" i="2"/>
  <c r="AJ828" i="2"/>
  <c r="AI828" i="2"/>
  <c r="AO827" i="2"/>
  <c r="AN827" i="2"/>
  <c r="AM827" i="2"/>
  <c r="AL827" i="2"/>
  <c r="AK827" i="2"/>
  <c r="AJ827" i="2"/>
  <c r="AI827" i="2"/>
  <c r="AO826" i="2"/>
  <c r="AN826" i="2"/>
  <c r="AM826" i="2"/>
  <c r="AL826" i="2"/>
  <c r="AK826" i="2"/>
  <c r="AJ826" i="2"/>
  <c r="AI826" i="2"/>
  <c r="AO825" i="2"/>
  <c r="AN825" i="2"/>
  <c r="AL825" i="2"/>
  <c r="AM825" i="2" s="1"/>
  <c r="AK825" i="2"/>
  <c r="AJ825" i="2"/>
  <c r="AI825" i="2"/>
  <c r="AO824" i="2"/>
  <c r="AN824" i="2"/>
  <c r="AL824" i="2"/>
  <c r="AM824" i="2" s="1"/>
  <c r="AK824" i="2"/>
  <c r="AJ824" i="2"/>
  <c r="AI824" i="2"/>
  <c r="AO823" i="2"/>
  <c r="AN823" i="2"/>
  <c r="AL823" i="2"/>
  <c r="AM823" i="2" s="1"/>
  <c r="AK823" i="2"/>
  <c r="AJ823" i="2"/>
  <c r="AI823" i="2"/>
  <c r="AO822" i="2"/>
  <c r="AN822" i="2"/>
  <c r="AL822" i="2"/>
  <c r="AM822" i="2" s="1"/>
  <c r="AK822" i="2"/>
  <c r="AJ822" i="2"/>
  <c r="AI822" i="2"/>
  <c r="AO821" i="2"/>
  <c r="AN821" i="2"/>
  <c r="AM821" i="2"/>
  <c r="AL821" i="2"/>
  <c r="AK821" i="2"/>
  <c r="AJ821" i="2"/>
  <c r="AI821" i="2"/>
  <c r="AO820" i="2"/>
  <c r="AN820" i="2"/>
  <c r="AM820" i="2"/>
  <c r="AL820" i="2"/>
  <c r="AK820" i="2"/>
  <c r="AJ820" i="2"/>
  <c r="AI820" i="2"/>
  <c r="AO819" i="2"/>
  <c r="AN819" i="2"/>
  <c r="AL819" i="2"/>
  <c r="AM819" i="2" s="1"/>
  <c r="AK819" i="2"/>
  <c r="AJ819" i="2"/>
  <c r="AI819" i="2"/>
  <c r="AO818" i="2"/>
  <c r="AN818" i="2"/>
  <c r="AL818" i="2"/>
  <c r="AM818" i="2" s="1"/>
  <c r="AK818" i="2"/>
  <c r="AJ818" i="2"/>
  <c r="AI818" i="2"/>
  <c r="AO817" i="2"/>
  <c r="AN817" i="2"/>
  <c r="AL817" i="2"/>
  <c r="AM817" i="2" s="1"/>
  <c r="AK817" i="2"/>
  <c r="AJ817" i="2"/>
  <c r="AI817" i="2"/>
  <c r="AO816" i="2"/>
  <c r="AN816" i="2"/>
  <c r="AL816" i="2"/>
  <c r="AM816" i="2" s="1"/>
  <c r="AK816" i="2"/>
  <c r="AJ816" i="2"/>
  <c r="AI816" i="2"/>
  <c r="AO815" i="2"/>
  <c r="AN815" i="2"/>
  <c r="AM815" i="2"/>
  <c r="AL815" i="2"/>
  <c r="AK815" i="2"/>
  <c r="AJ815" i="2"/>
  <c r="AI815" i="2"/>
  <c r="AO814" i="2"/>
  <c r="AN814" i="2"/>
  <c r="AM814" i="2"/>
  <c r="AL814" i="2"/>
  <c r="AK814" i="2"/>
  <c r="AJ814" i="2"/>
  <c r="AI814" i="2"/>
  <c r="AO813" i="2"/>
  <c r="AN813" i="2"/>
  <c r="AM813" i="2"/>
  <c r="AL813" i="2"/>
  <c r="AK813" i="2"/>
  <c r="AJ813" i="2"/>
  <c r="AI813" i="2"/>
  <c r="AO812" i="2"/>
  <c r="AN812" i="2"/>
  <c r="AL812" i="2"/>
  <c r="AM812" i="2" s="1"/>
  <c r="AK812" i="2"/>
  <c r="AJ812" i="2"/>
  <c r="AI812" i="2"/>
  <c r="AO811" i="2"/>
  <c r="AN811" i="2"/>
  <c r="AL811" i="2"/>
  <c r="AM811" i="2" s="1"/>
  <c r="AK811" i="2"/>
  <c r="AJ811" i="2"/>
  <c r="AI811" i="2"/>
  <c r="AO810" i="2"/>
  <c r="AN810" i="2"/>
  <c r="AM810" i="2"/>
  <c r="AL810" i="2"/>
  <c r="AK810" i="2"/>
  <c r="AJ810" i="2"/>
  <c r="AI810" i="2"/>
  <c r="AO809" i="2"/>
  <c r="AN809" i="2"/>
  <c r="AL809" i="2"/>
  <c r="AM809" i="2" s="1"/>
  <c r="AK809" i="2"/>
  <c r="AJ809" i="2"/>
  <c r="AI809" i="2"/>
  <c r="AO808" i="2"/>
  <c r="AN808" i="2"/>
  <c r="AM808" i="2"/>
  <c r="AL808" i="2"/>
  <c r="AK808" i="2"/>
  <c r="AJ808" i="2"/>
  <c r="AI808" i="2"/>
  <c r="AO807" i="2"/>
  <c r="AN807" i="2"/>
  <c r="AL807" i="2"/>
  <c r="AM807" i="2" s="1"/>
  <c r="AK807" i="2"/>
  <c r="AJ807" i="2"/>
  <c r="AI807" i="2"/>
  <c r="AO806" i="2"/>
  <c r="AN806" i="2"/>
  <c r="AM806" i="2"/>
  <c r="AL806" i="2"/>
  <c r="AK806" i="2"/>
  <c r="AJ806" i="2"/>
  <c r="AI806" i="2"/>
  <c r="AO805" i="2"/>
  <c r="AN805" i="2"/>
  <c r="AL805" i="2"/>
  <c r="AM805" i="2" s="1"/>
  <c r="AK805" i="2"/>
  <c r="AJ805" i="2"/>
  <c r="AI805" i="2"/>
  <c r="AO804" i="2"/>
  <c r="AN804" i="2"/>
  <c r="AL804" i="2"/>
  <c r="AM804" i="2" s="1"/>
  <c r="AK804" i="2"/>
  <c r="AJ804" i="2"/>
  <c r="AI804" i="2"/>
  <c r="AO803" i="2"/>
  <c r="AN803" i="2"/>
  <c r="AL803" i="2"/>
  <c r="AM803" i="2" s="1"/>
  <c r="AK803" i="2"/>
  <c r="AJ803" i="2"/>
  <c r="AI803" i="2"/>
  <c r="AO802" i="2"/>
  <c r="AN802" i="2"/>
  <c r="AM802" i="2"/>
  <c r="AL802" i="2"/>
  <c r="AK802" i="2"/>
  <c r="AJ802" i="2"/>
  <c r="AI802" i="2"/>
  <c r="AO801" i="2"/>
  <c r="AN801" i="2"/>
  <c r="AM801" i="2"/>
  <c r="AL801" i="2"/>
  <c r="AK801" i="2"/>
  <c r="AJ801" i="2"/>
  <c r="AI801" i="2"/>
  <c r="AO800" i="2"/>
  <c r="AN800" i="2"/>
  <c r="AM800" i="2"/>
  <c r="AL800" i="2"/>
  <c r="AK800" i="2"/>
  <c r="AJ800" i="2"/>
  <c r="AI800" i="2"/>
  <c r="AO799" i="2"/>
  <c r="AN799" i="2"/>
  <c r="AL799" i="2"/>
  <c r="AM799" i="2" s="1"/>
  <c r="AK799" i="2"/>
  <c r="AJ799" i="2"/>
  <c r="AI799" i="2"/>
  <c r="AO798" i="2"/>
  <c r="AN798" i="2"/>
  <c r="AL798" i="2"/>
  <c r="AM798" i="2" s="1"/>
  <c r="AK798" i="2"/>
  <c r="AJ798" i="2"/>
  <c r="AI798" i="2"/>
  <c r="AO797" i="2"/>
  <c r="AN797" i="2"/>
  <c r="AM797" i="2"/>
  <c r="AL797" i="2"/>
  <c r="AK797" i="2"/>
  <c r="AJ797" i="2"/>
  <c r="AI797" i="2"/>
  <c r="AO796" i="2"/>
  <c r="AN796" i="2"/>
  <c r="AL796" i="2"/>
  <c r="AM796" i="2" s="1"/>
  <c r="AK796" i="2"/>
  <c r="AJ796" i="2"/>
  <c r="AI796" i="2"/>
  <c r="AO795" i="2"/>
  <c r="AN795" i="2"/>
  <c r="AL795" i="2"/>
  <c r="AM795" i="2" s="1"/>
  <c r="AK795" i="2"/>
  <c r="AJ795" i="2"/>
  <c r="AI795" i="2"/>
  <c r="AO794" i="2"/>
  <c r="AN794" i="2"/>
  <c r="AM794" i="2"/>
  <c r="AL794" i="2"/>
  <c r="AK794" i="2"/>
  <c r="AJ794" i="2"/>
  <c r="AI794" i="2"/>
  <c r="AO793" i="2"/>
  <c r="AN793" i="2"/>
  <c r="AL793" i="2"/>
  <c r="AM793" i="2" s="1"/>
  <c r="AK793" i="2"/>
  <c r="AJ793" i="2"/>
  <c r="AI793" i="2"/>
  <c r="AO792" i="2"/>
  <c r="AN792" i="2"/>
  <c r="AL792" i="2"/>
  <c r="AM792" i="2" s="1"/>
  <c r="AK792" i="2"/>
  <c r="AJ792" i="2"/>
  <c r="AI792" i="2"/>
  <c r="AO791" i="2"/>
  <c r="AN791" i="2"/>
  <c r="AL791" i="2"/>
  <c r="AM791" i="2" s="1"/>
  <c r="AK791" i="2"/>
  <c r="AJ791" i="2"/>
  <c r="AI791" i="2"/>
  <c r="AO790" i="2"/>
  <c r="AN790" i="2"/>
  <c r="AM790" i="2"/>
  <c r="AL790" i="2"/>
  <c r="AK790" i="2"/>
  <c r="AJ790" i="2"/>
  <c r="AI790" i="2"/>
  <c r="AO789" i="2"/>
  <c r="AN789" i="2"/>
  <c r="AL789" i="2"/>
  <c r="AM789" i="2" s="1"/>
  <c r="AK789" i="2"/>
  <c r="AJ789" i="2"/>
  <c r="AI789" i="2"/>
  <c r="AO788" i="2"/>
  <c r="AN788" i="2"/>
  <c r="AL788" i="2"/>
  <c r="AM788" i="2" s="1"/>
  <c r="AK788" i="2"/>
  <c r="AJ788" i="2"/>
  <c r="AI788" i="2"/>
  <c r="AO787" i="2"/>
  <c r="AN787" i="2"/>
  <c r="AM787" i="2"/>
  <c r="AL787" i="2"/>
  <c r="AK787" i="2"/>
  <c r="AJ787" i="2"/>
  <c r="AI787" i="2"/>
  <c r="AO786" i="2"/>
  <c r="AN786" i="2"/>
  <c r="AL786" i="2"/>
  <c r="AM786" i="2" s="1"/>
  <c r="AK786" i="2"/>
  <c r="AJ786" i="2"/>
  <c r="AI786" i="2"/>
  <c r="AO785" i="2"/>
  <c r="AN785" i="2"/>
  <c r="AL785" i="2"/>
  <c r="AM785" i="2" s="1"/>
  <c r="AK785" i="2"/>
  <c r="AJ785" i="2"/>
  <c r="AI785" i="2"/>
  <c r="AO784" i="2"/>
  <c r="AN784" i="2"/>
  <c r="AL784" i="2"/>
  <c r="AM784" i="2" s="1"/>
  <c r="AK784" i="2"/>
  <c r="AJ784" i="2"/>
  <c r="AI784" i="2"/>
  <c r="AO783" i="2"/>
  <c r="AN783" i="2"/>
  <c r="AL783" i="2"/>
  <c r="AM783" i="2" s="1"/>
  <c r="AK783" i="2"/>
  <c r="AJ783" i="2"/>
  <c r="AI783" i="2"/>
  <c r="AO782" i="2"/>
  <c r="AN782" i="2"/>
  <c r="AL782" i="2"/>
  <c r="AM782" i="2" s="1"/>
  <c r="AK782" i="2"/>
  <c r="AJ782" i="2"/>
  <c r="AI782" i="2"/>
  <c r="AO781" i="2"/>
  <c r="AN781" i="2"/>
  <c r="AM781" i="2"/>
  <c r="AL781" i="2"/>
  <c r="AK781" i="2"/>
  <c r="AJ781" i="2"/>
  <c r="AI781" i="2"/>
  <c r="AO780" i="2"/>
  <c r="AN780" i="2"/>
  <c r="AM780" i="2"/>
  <c r="AL780" i="2"/>
  <c r="AK780" i="2"/>
  <c r="AJ780" i="2"/>
  <c r="AI780" i="2"/>
  <c r="AO779" i="2"/>
  <c r="AN779" i="2"/>
  <c r="AL779" i="2"/>
  <c r="AM779" i="2" s="1"/>
  <c r="AK779" i="2"/>
  <c r="AJ779" i="2"/>
  <c r="AI779" i="2"/>
  <c r="AO778" i="2"/>
  <c r="AN778" i="2"/>
  <c r="AM778" i="2"/>
  <c r="AL778" i="2"/>
  <c r="AK778" i="2"/>
  <c r="AJ778" i="2"/>
  <c r="AI778" i="2"/>
  <c r="AO777" i="2"/>
  <c r="AN777" i="2"/>
  <c r="AL777" i="2"/>
  <c r="AM777" i="2" s="1"/>
  <c r="AK777" i="2"/>
  <c r="AJ777" i="2"/>
  <c r="AI777" i="2"/>
  <c r="AO776" i="2"/>
  <c r="AN776" i="2"/>
  <c r="AL776" i="2"/>
  <c r="AM776" i="2" s="1"/>
  <c r="AK776" i="2"/>
  <c r="AJ776" i="2"/>
  <c r="AI776" i="2"/>
  <c r="AO775" i="2"/>
  <c r="AN775" i="2"/>
  <c r="AM775" i="2"/>
  <c r="AL775" i="2"/>
  <c r="AK775" i="2"/>
  <c r="AJ775" i="2"/>
  <c r="AI775" i="2"/>
  <c r="AO774" i="2"/>
  <c r="AN774" i="2"/>
  <c r="AL774" i="2"/>
  <c r="AM774" i="2" s="1"/>
  <c r="AK774" i="2"/>
  <c r="AJ774" i="2"/>
  <c r="AI774" i="2"/>
  <c r="AO773" i="2"/>
  <c r="AN773" i="2"/>
  <c r="AL773" i="2"/>
  <c r="AM773" i="2" s="1"/>
  <c r="AK773" i="2"/>
  <c r="AJ773" i="2"/>
  <c r="AI773" i="2"/>
  <c r="AO772" i="2"/>
  <c r="AN772" i="2"/>
  <c r="AL772" i="2"/>
  <c r="AM772" i="2" s="1"/>
  <c r="AK772" i="2"/>
  <c r="AJ772" i="2"/>
  <c r="AI772" i="2"/>
  <c r="AO771" i="2"/>
  <c r="AN771" i="2"/>
  <c r="AL771" i="2"/>
  <c r="AM771" i="2" s="1"/>
  <c r="AK771" i="2"/>
  <c r="AJ771" i="2"/>
  <c r="AI771" i="2"/>
  <c r="AO770" i="2"/>
  <c r="AN770" i="2"/>
  <c r="AL770" i="2"/>
  <c r="AM770" i="2" s="1"/>
  <c r="AK770" i="2"/>
  <c r="AJ770" i="2"/>
  <c r="AI770" i="2"/>
  <c r="AO769" i="2"/>
  <c r="AN769" i="2"/>
  <c r="AM769" i="2"/>
  <c r="AL769" i="2"/>
  <c r="AK769" i="2"/>
  <c r="AJ769" i="2"/>
  <c r="AI769" i="2"/>
  <c r="AO768" i="2"/>
  <c r="AN768" i="2"/>
  <c r="AM768" i="2"/>
  <c r="AL768" i="2"/>
  <c r="AK768" i="2"/>
  <c r="AJ768" i="2"/>
  <c r="AI768" i="2"/>
  <c r="AO767" i="2"/>
  <c r="AN767" i="2"/>
  <c r="AM767" i="2"/>
  <c r="AL767" i="2"/>
  <c r="AK767" i="2"/>
  <c r="AJ767" i="2"/>
  <c r="AI767" i="2"/>
  <c r="AO766" i="2"/>
  <c r="AN766" i="2"/>
  <c r="AM766" i="2"/>
  <c r="AL766" i="2"/>
  <c r="AK766" i="2"/>
  <c r="AJ766" i="2"/>
  <c r="AI766" i="2"/>
  <c r="AO765" i="2"/>
  <c r="AN765" i="2"/>
  <c r="AL765" i="2"/>
  <c r="AM765" i="2" s="1"/>
  <c r="AK765" i="2"/>
  <c r="AJ765" i="2"/>
  <c r="AI765" i="2"/>
  <c r="AO764" i="2"/>
  <c r="AN764" i="2"/>
  <c r="AM764" i="2"/>
  <c r="AL764" i="2"/>
  <c r="AK764" i="2"/>
  <c r="AJ764" i="2"/>
  <c r="AI764" i="2"/>
  <c r="AO763" i="2"/>
  <c r="AN763" i="2"/>
  <c r="AL763" i="2"/>
  <c r="AM763" i="2" s="1"/>
  <c r="AK763" i="2"/>
  <c r="AJ763" i="2"/>
  <c r="AI763" i="2"/>
  <c r="AO762" i="2"/>
  <c r="AN762" i="2"/>
  <c r="AL762" i="2"/>
  <c r="AM762" i="2" s="1"/>
  <c r="AK762" i="2"/>
  <c r="AJ762" i="2"/>
  <c r="AI762" i="2"/>
  <c r="AO761" i="2"/>
  <c r="AN761" i="2"/>
  <c r="AM761" i="2"/>
  <c r="AL761" i="2"/>
  <c r="AK761" i="2"/>
  <c r="AJ761" i="2"/>
  <c r="AI761" i="2"/>
  <c r="AO760" i="2"/>
  <c r="AN760" i="2"/>
  <c r="AL760" i="2"/>
  <c r="AM760" i="2" s="1"/>
  <c r="AK760" i="2"/>
  <c r="AJ760" i="2"/>
  <c r="AI760" i="2"/>
  <c r="AO759" i="2"/>
  <c r="AN759" i="2"/>
  <c r="AL759" i="2"/>
  <c r="AM759" i="2" s="1"/>
  <c r="AK759" i="2"/>
  <c r="AJ759" i="2"/>
  <c r="AI759" i="2"/>
  <c r="AO758" i="2"/>
  <c r="AN758" i="2"/>
  <c r="AL758" i="2"/>
  <c r="AM758" i="2" s="1"/>
  <c r="AK758" i="2"/>
  <c r="AJ758" i="2"/>
  <c r="AI758" i="2"/>
  <c r="AO757" i="2"/>
  <c r="AN757" i="2"/>
  <c r="AM757" i="2"/>
  <c r="AL757" i="2"/>
  <c r="AK757" i="2"/>
  <c r="AJ757" i="2"/>
  <c r="AI757" i="2"/>
  <c r="AO756" i="2"/>
  <c r="AN756" i="2"/>
  <c r="AL756" i="2"/>
  <c r="AM756" i="2" s="1"/>
  <c r="AK756" i="2"/>
  <c r="AJ756" i="2"/>
  <c r="AI756" i="2"/>
  <c r="AO755" i="2"/>
  <c r="AN755" i="2"/>
  <c r="AL755" i="2"/>
  <c r="AM755" i="2" s="1"/>
  <c r="AK755" i="2"/>
  <c r="AJ755" i="2"/>
  <c r="AI755" i="2"/>
  <c r="AO754" i="2"/>
  <c r="AN754" i="2"/>
  <c r="AM754" i="2"/>
  <c r="AL754" i="2"/>
  <c r="AK754" i="2"/>
  <c r="AJ754" i="2"/>
  <c r="AI754" i="2"/>
  <c r="AO753" i="2"/>
  <c r="AN753" i="2"/>
  <c r="AL753" i="2"/>
  <c r="AM753" i="2" s="1"/>
  <c r="AK753" i="2"/>
  <c r="AJ753" i="2"/>
  <c r="AI753" i="2"/>
  <c r="AO752" i="2"/>
  <c r="AN752" i="2"/>
  <c r="AL752" i="2"/>
  <c r="AM752" i="2" s="1"/>
  <c r="AK752" i="2"/>
  <c r="AJ752" i="2"/>
  <c r="AI752" i="2"/>
  <c r="AO751" i="2"/>
  <c r="AN751" i="2"/>
  <c r="AL751" i="2"/>
  <c r="AM751" i="2" s="1"/>
  <c r="AK751" i="2"/>
  <c r="AJ751" i="2"/>
  <c r="AI751" i="2"/>
  <c r="AO750" i="2"/>
  <c r="AN750" i="2"/>
  <c r="AM750" i="2"/>
  <c r="AL750" i="2"/>
  <c r="AK750" i="2"/>
  <c r="AJ750" i="2"/>
  <c r="AI750" i="2"/>
  <c r="AO749" i="2"/>
  <c r="AN749" i="2"/>
  <c r="AM749" i="2"/>
  <c r="AL749" i="2"/>
  <c r="AK749" i="2"/>
  <c r="AJ749" i="2"/>
  <c r="AI749" i="2"/>
  <c r="AO748" i="2"/>
  <c r="AN748" i="2"/>
  <c r="AL748" i="2"/>
  <c r="AM748" i="2" s="1"/>
  <c r="AK748" i="2"/>
  <c r="AJ748" i="2"/>
  <c r="AI748" i="2"/>
  <c r="AO747" i="2"/>
  <c r="AN747" i="2"/>
  <c r="AL747" i="2"/>
  <c r="AM747" i="2" s="1"/>
  <c r="AK747" i="2"/>
  <c r="AJ747" i="2"/>
  <c r="AI747" i="2"/>
  <c r="AO746" i="2"/>
  <c r="AN746" i="2"/>
  <c r="AL746" i="2"/>
  <c r="AM746" i="2" s="1"/>
  <c r="AK746" i="2"/>
  <c r="AJ746" i="2"/>
  <c r="AI746" i="2"/>
  <c r="AO745" i="2"/>
  <c r="AN745" i="2"/>
  <c r="AL745" i="2"/>
  <c r="AM745" i="2" s="1"/>
  <c r="AK745" i="2"/>
  <c r="AJ745" i="2"/>
  <c r="AI745" i="2"/>
  <c r="AO744" i="2"/>
  <c r="AN744" i="2"/>
  <c r="AL744" i="2"/>
  <c r="AM744" i="2" s="1"/>
  <c r="AK744" i="2"/>
  <c r="AJ744" i="2"/>
  <c r="AI744" i="2"/>
  <c r="AO743" i="2"/>
  <c r="AN743" i="2"/>
  <c r="AL743" i="2"/>
  <c r="AM743" i="2" s="1"/>
  <c r="AK743" i="2"/>
  <c r="AJ743" i="2"/>
  <c r="AI743" i="2"/>
  <c r="AO742" i="2"/>
  <c r="AN742" i="2"/>
  <c r="AM742" i="2"/>
  <c r="AL742" i="2"/>
  <c r="AK742" i="2"/>
  <c r="AJ742" i="2"/>
  <c r="AI742" i="2"/>
  <c r="AO741" i="2"/>
  <c r="AN741" i="2"/>
  <c r="AM741" i="2"/>
  <c r="AL741" i="2"/>
  <c r="AK741" i="2"/>
  <c r="AJ741" i="2"/>
  <c r="AI741" i="2"/>
  <c r="AO740" i="2"/>
  <c r="AN740" i="2"/>
  <c r="AL740" i="2"/>
  <c r="AM740" i="2" s="1"/>
  <c r="AK740" i="2"/>
  <c r="AJ740" i="2"/>
  <c r="AI740" i="2"/>
  <c r="AO739" i="2"/>
  <c r="AN739" i="2"/>
  <c r="AL739" i="2"/>
  <c r="AM739" i="2" s="1"/>
  <c r="AK739" i="2"/>
  <c r="AJ739" i="2"/>
  <c r="AI739" i="2"/>
  <c r="AO738" i="2"/>
  <c r="AN738" i="2"/>
  <c r="AL738" i="2"/>
  <c r="AM738" i="2" s="1"/>
  <c r="AK738" i="2"/>
  <c r="AJ738" i="2"/>
  <c r="AI738" i="2"/>
  <c r="AO737" i="2"/>
  <c r="AN737" i="2"/>
  <c r="AL737" i="2"/>
  <c r="AM737" i="2" s="1"/>
  <c r="AK737" i="2"/>
  <c r="AJ737" i="2"/>
  <c r="AI737" i="2"/>
  <c r="AO736" i="2"/>
  <c r="AN736" i="2"/>
  <c r="AL736" i="2"/>
  <c r="AM736" i="2" s="1"/>
  <c r="AK736" i="2"/>
  <c r="AJ736" i="2"/>
  <c r="AI736" i="2"/>
  <c r="AO735" i="2"/>
  <c r="AN735" i="2"/>
  <c r="AL735" i="2"/>
  <c r="AM735" i="2" s="1"/>
  <c r="AK735" i="2"/>
  <c r="AJ735" i="2"/>
  <c r="AI735" i="2"/>
  <c r="AO734" i="2"/>
  <c r="AN734" i="2"/>
  <c r="AM734" i="2"/>
  <c r="AL734" i="2"/>
  <c r="AK734" i="2"/>
  <c r="AJ734" i="2"/>
  <c r="AI734" i="2"/>
  <c r="AO733" i="2"/>
  <c r="AN733" i="2"/>
  <c r="AL733" i="2"/>
  <c r="AM733" i="2" s="1"/>
  <c r="AK733" i="2"/>
  <c r="AJ733" i="2"/>
  <c r="AI733" i="2"/>
  <c r="AO732" i="2"/>
  <c r="AN732" i="2"/>
  <c r="AM732" i="2"/>
  <c r="AL732" i="2"/>
  <c r="AK732" i="2"/>
  <c r="AJ732" i="2"/>
  <c r="AI732" i="2"/>
  <c r="AO731" i="2"/>
  <c r="AN731" i="2"/>
  <c r="AM731" i="2"/>
  <c r="AL731" i="2"/>
  <c r="AK731" i="2"/>
  <c r="AJ731" i="2"/>
  <c r="AI731" i="2"/>
  <c r="AO730" i="2"/>
  <c r="AN730" i="2"/>
  <c r="AM730" i="2"/>
  <c r="AL730" i="2"/>
  <c r="AK730" i="2"/>
  <c r="AJ730" i="2"/>
  <c r="AI730" i="2"/>
  <c r="AO729" i="2"/>
  <c r="AN729" i="2"/>
  <c r="AL729" i="2"/>
  <c r="AM729" i="2" s="1"/>
  <c r="AK729" i="2"/>
  <c r="AJ729" i="2"/>
  <c r="AI729" i="2"/>
  <c r="AO728" i="2"/>
  <c r="AN728" i="2"/>
  <c r="AM728" i="2"/>
  <c r="AL728" i="2"/>
  <c r="AK728" i="2"/>
  <c r="AJ728" i="2"/>
  <c r="AI728" i="2"/>
  <c r="AO727" i="2"/>
  <c r="AN727" i="2"/>
  <c r="AM727" i="2"/>
  <c r="AL727" i="2"/>
  <c r="AK727" i="2"/>
  <c r="AJ727" i="2"/>
  <c r="AI727" i="2"/>
  <c r="AO726" i="2"/>
  <c r="AN726" i="2"/>
  <c r="AL726" i="2"/>
  <c r="AM726" i="2" s="1"/>
  <c r="AK726" i="2"/>
  <c r="AJ726" i="2"/>
  <c r="AI726" i="2"/>
  <c r="AO725" i="2"/>
  <c r="AN725" i="2"/>
  <c r="AM725" i="2"/>
  <c r="AL725" i="2"/>
  <c r="AK725" i="2"/>
  <c r="AJ725" i="2"/>
  <c r="AI725" i="2"/>
  <c r="AO724" i="2"/>
  <c r="AN724" i="2"/>
  <c r="AM724" i="2"/>
  <c r="AL724" i="2"/>
  <c r="AK724" i="2"/>
  <c r="AJ724" i="2"/>
  <c r="AI724" i="2"/>
  <c r="AO723" i="2"/>
  <c r="AN723" i="2"/>
  <c r="AL723" i="2"/>
  <c r="AM723" i="2" s="1"/>
  <c r="AK723" i="2"/>
  <c r="AJ723" i="2"/>
  <c r="AI723" i="2"/>
  <c r="AO722" i="2"/>
  <c r="AN722" i="2"/>
  <c r="AM722" i="2"/>
  <c r="AL722" i="2"/>
  <c r="AK722" i="2"/>
  <c r="AJ722" i="2"/>
  <c r="AI722" i="2"/>
  <c r="AO721" i="2"/>
  <c r="AN721" i="2"/>
  <c r="AM721" i="2"/>
  <c r="AL721" i="2"/>
  <c r="AK721" i="2"/>
  <c r="AJ721" i="2"/>
  <c r="AI721" i="2"/>
  <c r="AO720" i="2"/>
  <c r="AN720" i="2"/>
  <c r="AL720" i="2"/>
  <c r="AM720" i="2" s="1"/>
  <c r="AK720" i="2"/>
  <c r="AJ720" i="2"/>
  <c r="AI720" i="2"/>
  <c r="AO719" i="2"/>
  <c r="AN719" i="2"/>
  <c r="AL719" i="2"/>
  <c r="AM719" i="2" s="1"/>
  <c r="AK719" i="2"/>
  <c r="AJ719" i="2"/>
  <c r="AI719" i="2"/>
  <c r="AO718" i="2"/>
  <c r="AN718" i="2"/>
  <c r="AM718" i="2"/>
  <c r="AL718" i="2"/>
  <c r="AK718" i="2"/>
  <c r="AJ718" i="2"/>
  <c r="AI718" i="2"/>
  <c r="AO717" i="2"/>
  <c r="AN717" i="2"/>
  <c r="AM717" i="2"/>
  <c r="AL717" i="2"/>
  <c r="AK717" i="2"/>
  <c r="AJ717" i="2"/>
  <c r="AI717" i="2"/>
  <c r="AO716" i="2"/>
  <c r="AN716" i="2"/>
  <c r="AM716" i="2"/>
  <c r="AL716" i="2"/>
  <c r="AK716" i="2"/>
  <c r="AJ716" i="2"/>
  <c r="AI716" i="2"/>
  <c r="AO715" i="2"/>
  <c r="AN715" i="2"/>
  <c r="AM715" i="2"/>
  <c r="AL715" i="2"/>
  <c r="AK715" i="2"/>
  <c r="AJ715" i="2"/>
  <c r="AI715" i="2"/>
  <c r="AO714" i="2"/>
  <c r="AN714" i="2"/>
  <c r="AL714" i="2"/>
  <c r="AM714" i="2" s="1"/>
  <c r="AK714" i="2"/>
  <c r="AJ714" i="2"/>
  <c r="AI714" i="2"/>
  <c r="AO713" i="2"/>
  <c r="AN713" i="2"/>
  <c r="AL713" i="2"/>
  <c r="AM713" i="2" s="1"/>
  <c r="AK713" i="2"/>
  <c r="AJ713" i="2"/>
  <c r="AI713" i="2"/>
  <c r="AO712" i="2"/>
  <c r="AN712" i="2"/>
  <c r="AL712" i="2"/>
  <c r="AM712" i="2" s="1"/>
  <c r="AK712" i="2"/>
  <c r="AJ712" i="2"/>
  <c r="AI712" i="2"/>
  <c r="AO711" i="2"/>
  <c r="AN711" i="2"/>
  <c r="AL711" i="2"/>
  <c r="AM711" i="2" s="1"/>
  <c r="AK711" i="2"/>
  <c r="AJ711" i="2"/>
  <c r="AI711" i="2"/>
  <c r="AO710" i="2"/>
  <c r="AN710" i="2"/>
  <c r="AL710" i="2"/>
  <c r="AM710" i="2" s="1"/>
  <c r="AK710" i="2"/>
  <c r="AJ710" i="2"/>
  <c r="AI710" i="2"/>
  <c r="AO709" i="2"/>
  <c r="AN709" i="2"/>
  <c r="AM709" i="2"/>
  <c r="AL709" i="2"/>
  <c r="AK709" i="2"/>
  <c r="AJ709" i="2"/>
  <c r="AI709" i="2"/>
  <c r="AO708" i="2"/>
  <c r="AN708" i="2"/>
  <c r="AM708" i="2"/>
  <c r="AL708" i="2"/>
  <c r="AK708" i="2"/>
  <c r="AJ708" i="2"/>
  <c r="AI708" i="2"/>
  <c r="AO707" i="2"/>
  <c r="AN707" i="2"/>
  <c r="AL707" i="2"/>
  <c r="AM707" i="2" s="1"/>
  <c r="AK707" i="2"/>
  <c r="AJ707" i="2"/>
  <c r="AI707" i="2"/>
  <c r="AO706" i="2"/>
  <c r="AN706" i="2"/>
  <c r="AM706" i="2"/>
  <c r="AL706" i="2"/>
  <c r="AK706" i="2"/>
  <c r="AJ706" i="2"/>
  <c r="AI706" i="2"/>
  <c r="AO705" i="2"/>
  <c r="AN705" i="2"/>
  <c r="AL705" i="2"/>
  <c r="AM705" i="2" s="1"/>
  <c r="AK705" i="2"/>
  <c r="AJ705" i="2"/>
  <c r="AI705" i="2"/>
  <c r="AO704" i="2"/>
  <c r="AN704" i="2"/>
  <c r="AM704" i="2"/>
  <c r="AL704" i="2"/>
  <c r="AK704" i="2"/>
  <c r="AJ704" i="2"/>
  <c r="AI704" i="2"/>
  <c r="AO703" i="2"/>
  <c r="AN703" i="2"/>
  <c r="AL703" i="2"/>
  <c r="AM703" i="2" s="1"/>
  <c r="AK703" i="2"/>
  <c r="AJ703" i="2"/>
  <c r="AI703" i="2"/>
  <c r="AO702" i="2"/>
  <c r="AN702" i="2"/>
  <c r="AM702" i="2"/>
  <c r="AL702" i="2"/>
  <c r="AK702" i="2"/>
  <c r="AJ702" i="2"/>
  <c r="AI702" i="2"/>
  <c r="AO701" i="2"/>
  <c r="AN701" i="2"/>
  <c r="AL701" i="2"/>
  <c r="AM701" i="2" s="1"/>
  <c r="AK701" i="2"/>
  <c r="AJ701" i="2"/>
  <c r="AI701" i="2"/>
  <c r="AO700" i="2"/>
  <c r="AN700" i="2"/>
  <c r="AL700" i="2"/>
  <c r="AM700" i="2" s="1"/>
  <c r="AK700" i="2"/>
  <c r="AJ700" i="2"/>
  <c r="AI700" i="2"/>
  <c r="AO699" i="2"/>
  <c r="AN699" i="2"/>
  <c r="AL699" i="2"/>
  <c r="AM699" i="2" s="1"/>
  <c r="AK699" i="2"/>
  <c r="AJ699" i="2"/>
  <c r="AI699" i="2"/>
  <c r="AO698" i="2"/>
  <c r="AN698" i="2"/>
  <c r="AM698" i="2"/>
  <c r="AL698" i="2"/>
  <c r="AK698" i="2"/>
  <c r="AJ698" i="2"/>
  <c r="AI698" i="2"/>
  <c r="AO697" i="2"/>
  <c r="AN697" i="2"/>
  <c r="AM697" i="2"/>
  <c r="AL697" i="2"/>
  <c r="AK697" i="2"/>
  <c r="AJ697" i="2"/>
  <c r="AI697" i="2"/>
  <c r="AO696" i="2"/>
  <c r="AN696" i="2"/>
  <c r="AL696" i="2"/>
  <c r="AM696" i="2" s="1"/>
  <c r="AK696" i="2"/>
  <c r="AJ696" i="2"/>
  <c r="AI696" i="2"/>
  <c r="AO695" i="2"/>
  <c r="AN695" i="2"/>
  <c r="AM695" i="2"/>
  <c r="AL695" i="2"/>
  <c r="AK695" i="2"/>
  <c r="AJ695" i="2"/>
  <c r="AI695" i="2"/>
  <c r="AO694" i="2"/>
  <c r="AN694" i="2"/>
  <c r="AM694" i="2"/>
  <c r="AL694" i="2"/>
  <c r="AK694" i="2"/>
  <c r="AJ694" i="2"/>
  <c r="AI694" i="2"/>
  <c r="AO693" i="2"/>
  <c r="AN693" i="2"/>
  <c r="AL693" i="2"/>
  <c r="AM693" i="2" s="1"/>
  <c r="AK693" i="2"/>
  <c r="AJ693" i="2"/>
  <c r="AI693" i="2"/>
  <c r="AO692" i="2"/>
  <c r="AN692" i="2"/>
  <c r="AL692" i="2"/>
  <c r="AM692" i="2" s="1"/>
  <c r="AK692" i="2"/>
  <c r="AJ692" i="2"/>
  <c r="AI692" i="2"/>
  <c r="AO691" i="2"/>
  <c r="AN691" i="2"/>
  <c r="AM691" i="2"/>
  <c r="AL691" i="2"/>
  <c r="AK691" i="2"/>
  <c r="AJ691" i="2"/>
  <c r="AI691" i="2"/>
  <c r="AO690" i="2"/>
  <c r="AN690" i="2"/>
  <c r="AM690" i="2"/>
  <c r="AL690" i="2"/>
  <c r="AK690" i="2"/>
  <c r="AJ690" i="2"/>
  <c r="AI690" i="2"/>
  <c r="AO689" i="2"/>
  <c r="AN689" i="2"/>
  <c r="AL689" i="2"/>
  <c r="AM689" i="2" s="1"/>
  <c r="AK689" i="2"/>
  <c r="AJ689" i="2"/>
  <c r="AI689" i="2"/>
  <c r="AO688" i="2"/>
  <c r="AN688" i="2"/>
  <c r="AL688" i="2"/>
  <c r="AM688" i="2" s="1"/>
  <c r="AK688" i="2"/>
  <c r="AJ688" i="2"/>
  <c r="AI688" i="2"/>
  <c r="AO687" i="2"/>
  <c r="AN687" i="2"/>
  <c r="AL687" i="2"/>
  <c r="AM687" i="2" s="1"/>
  <c r="AK687" i="2"/>
  <c r="AJ687" i="2"/>
  <c r="AI687" i="2"/>
  <c r="AO686" i="2"/>
  <c r="AN686" i="2"/>
  <c r="AL686" i="2"/>
  <c r="AM686" i="2" s="1"/>
  <c r="AK686" i="2"/>
  <c r="AJ686" i="2"/>
  <c r="AI686" i="2"/>
  <c r="AO685" i="2"/>
  <c r="AN685" i="2"/>
  <c r="AL685" i="2"/>
  <c r="AM685" i="2" s="1"/>
  <c r="AK685" i="2"/>
  <c r="AJ685" i="2"/>
  <c r="AI685" i="2"/>
  <c r="AO684" i="2"/>
  <c r="AN684" i="2"/>
  <c r="AM684" i="2"/>
  <c r="AL684" i="2"/>
  <c r="AK684" i="2"/>
  <c r="AJ684" i="2"/>
  <c r="AI684" i="2"/>
  <c r="AO683" i="2"/>
  <c r="AN683" i="2"/>
  <c r="AM683" i="2"/>
  <c r="AL683" i="2"/>
  <c r="AK683" i="2"/>
  <c r="AJ683" i="2"/>
  <c r="AI683" i="2"/>
  <c r="AO682" i="2"/>
  <c r="AN682" i="2"/>
  <c r="AM682" i="2"/>
  <c r="AL682" i="2"/>
  <c r="AK682" i="2"/>
  <c r="AJ682" i="2"/>
  <c r="AI682" i="2"/>
  <c r="AO681" i="2"/>
  <c r="AN681" i="2"/>
  <c r="AL681" i="2"/>
  <c r="AM681" i="2" s="1"/>
  <c r="AK681" i="2"/>
  <c r="AJ681" i="2"/>
  <c r="AI681" i="2"/>
  <c r="AO680" i="2"/>
  <c r="AN680" i="2"/>
  <c r="AL680" i="2"/>
  <c r="AM680" i="2" s="1"/>
  <c r="AK680" i="2"/>
  <c r="AJ680" i="2"/>
  <c r="AI680" i="2"/>
  <c r="AO679" i="2"/>
  <c r="AN679" i="2"/>
  <c r="AL679" i="2"/>
  <c r="AM679" i="2" s="1"/>
  <c r="AK679" i="2"/>
  <c r="AJ679" i="2"/>
  <c r="AI679" i="2"/>
  <c r="AO678" i="2"/>
  <c r="AN678" i="2"/>
  <c r="AL678" i="2"/>
  <c r="AM678" i="2" s="1"/>
  <c r="AK678" i="2"/>
  <c r="AJ678" i="2"/>
  <c r="AI678" i="2"/>
  <c r="AO677" i="2"/>
  <c r="AN677" i="2"/>
  <c r="AM677" i="2"/>
  <c r="AL677" i="2"/>
  <c r="AK677" i="2"/>
  <c r="AJ677" i="2"/>
  <c r="AI677" i="2"/>
  <c r="AO676" i="2"/>
  <c r="AN676" i="2"/>
  <c r="AM676" i="2"/>
  <c r="AL676" i="2"/>
  <c r="AK676" i="2"/>
  <c r="AJ676" i="2"/>
  <c r="AI676" i="2"/>
  <c r="AO675" i="2"/>
  <c r="AN675" i="2"/>
  <c r="AL675" i="2"/>
  <c r="AM675" i="2" s="1"/>
  <c r="AK675" i="2"/>
  <c r="AJ675" i="2"/>
  <c r="AI675" i="2"/>
  <c r="AO674" i="2"/>
  <c r="AN674" i="2"/>
  <c r="AL674" i="2"/>
  <c r="AM674" i="2" s="1"/>
  <c r="AK674" i="2"/>
  <c r="AJ674" i="2"/>
  <c r="AI674" i="2"/>
  <c r="AO673" i="2"/>
  <c r="AN673" i="2"/>
  <c r="AM673" i="2"/>
  <c r="AL673" i="2"/>
  <c r="AK673" i="2"/>
  <c r="AJ673" i="2"/>
  <c r="AI673" i="2"/>
  <c r="AO672" i="2"/>
  <c r="AN672" i="2"/>
  <c r="AL672" i="2"/>
  <c r="AM672" i="2" s="1"/>
  <c r="AK672" i="2"/>
  <c r="AJ672" i="2"/>
  <c r="AI672" i="2"/>
  <c r="AO671" i="2"/>
  <c r="AN671" i="2"/>
  <c r="AL671" i="2"/>
  <c r="AM671" i="2" s="1"/>
  <c r="AK671" i="2"/>
  <c r="AJ671" i="2"/>
  <c r="AI671" i="2"/>
  <c r="AO670" i="2"/>
  <c r="AN670" i="2"/>
  <c r="AM670" i="2"/>
  <c r="AL670" i="2"/>
  <c r="AK670" i="2"/>
  <c r="AJ670" i="2"/>
  <c r="AI670" i="2"/>
  <c r="AO669" i="2"/>
  <c r="AN669" i="2"/>
  <c r="AM669" i="2"/>
  <c r="AL669" i="2"/>
  <c r="AK669" i="2"/>
  <c r="AJ669" i="2"/>
  <c r="AI669" i="2"/>
  <c r="AO668" i="2"/>
  <c r="AN668" i="2"/>
  <c r="AL668" i="2"/>
  <c r="AM668" i="2" s="1"/>
  <c r="AK668" i="2"/>
  <c r="AJ668" i="2"/>
  <c r="AI668" i="2"/>
  <c r="AO667" i="2"/>
  <c r="AN667" i="2"/>
  <c r="AL667" i="2"/>
  <c r="AM667" i="2" s="1"/>
  <c r="AK667" i="2"/>
  <c r="AJ667" i="2"/>
  <c r="AI667" i="2"/>
  <c r="AO666" i="2"/>
  <c r="AN666" i="2"/>
  <c r="AM666" i="2"/>
  <c r="AL666" i="2"/>
  <c r="AK666" i="2"/>
  <c r="AJ666" i="2"/>
  <c r="AI666" i="2"/>
  <c r="AO665" i="2"/>
  <c r="AN665" i="2"/>
  <c r="AL665" i="2"/>
  <c r="AM665" i="2" s="1"/>
  <c r="AK665" i="2"/>
  <c r="AJ665" i="2"/>
  <c r="AI665" i="2"/>
  <c r="AO664" i="2"/>
  <c r="AN664" i="2"/>
  <c r="AM664" i="2"/>
  <c r="AL664" i="2"/>
  <c r="AK664" i="2"/>
  <c r="AJ664" i="2"/>
  <c r="AI664" i="2"/>
  <c r="AO663" i="2"/>
  <c r="AN663" i="2"/>
  <c r="AL663" i="2"/>
  <c r="AM663" i="2" s="1"/>
  <c r="AK663" i="2"/>
  <c r="AJ663" i="2"/>
  <c r="AI663" i="2"/>
  <c r="AO662" i="2"/>
  <c r="AN662" i="2"/>
  <c r="AM662" i="2"/>
  <c r="AL662" i="2"/>
  <c r="AK662" i="2"/>
  <c r="AJ662" i="2"/>
  <c r="AI662" i="2"/>
  <c r="AO661" i="2"/>
  <c r="AN661" i="2"/>
  <c r="AM661" i="2"/>
  <c r="AL661" i="2"/>
  <c r="AK661" i="2"/>
  <c r="AJ661" i="2"/>
  <c r="AI661" i="2"/>
  <c r="AO660" i="2"/>
  <c r="AN660" i="2"/>
  <c r="AL660" i="2"/>
  <c r="AM660" i="2" s="1"/>
  <c r="AK660" i="2"/>
  <c r="AJ660" i="2"/>
  <c r="AI660" i="2"/>
  <c r="AO659" i="2"/>
  <c r="AN659" i="2"/>
  <c r="AL659" i="2"/>
  <c r="AM659" i="2" s="1"/>
  <c r="AK659" i="2"/>
  <c r="AJ659" i="2"/>
  <c r="AI659" i="2"/>
  <c r="AO658" i="2"/>
  <c r="AN658" i="2"/>
  <c r="AM658" i="2"/>
  <c r="AL658" i="2"/>
  <c r="AK658" i="2"/>
  <c r="AJ658" i="2"/>
  <c r="AI658" i="2"/>
  <c r="AO657" i="2"/>
  <c r="AN657" i="2"/>
  <c r="AM657" i="2"/>
  <c r="AL657" i="2"/>
  <c r="AK657" i="2"/>
  <c r="AJ657" i="2"/>
  <c r="AI657" i="2"/>
  <c r="AO656" i="2"/>
  <c r="AN656" i="2"/>
  <c r="AL656" i="2"/>
  <c r="AM656" i="2" s="1"/>
  <c r="AK656" i="2"/>
  <c r="AJ656" i="2"/>
  <c r="AI656" i="2"/>
  <c r="AO655" i="2"/>
  <c r="AN655" i="2"/>
  <c r="AL655" i="2"/>
  <c r="AM655" i="2" s="1"/>
  <c r="AK655" i="2"/>
  <c r="AJ655" i="2"/>
  <c r="AI655" i="2"/>
  <c r="AO654" i="2"/>
  <c r="AN654" i="2"/>
  <c r="AM654" i="2"/>
  <c r="AL654" i="2"/>
  <c r="AK654" i="2"/>
  <c r="AJ654" i="2"/>
  <c r="AI654" i="2"/>
  <c r="AO653" i="2"/>
  <c r="AN653" i="2"/>
  <c r="AL653" i="2"/>
  <c r="AM653" i="2" s="1"/>
  <c r="AK653" i="2"/>
  <c r="AJ653" i="2"/>
  <c r="AI653" i="2"/>
  <c r="AO652" i="2"/>
  <c r="AN652" i="2"/>
  <c r="AL652" i="2"/>
  <c r="AM652" i="2" s="1"/>
  <c r="AK652" i="2"/>
  <c r="AJ652" i="2"/>
  <c r="AI652" i="2"/>
  <c r="AO651" i="2"/>
  <c r="AN651" i="2"/>
  <c r="AL651" i="2"/>
  <c r="AM651" i="2" s="1"/>
  <c r="AK651" i="2"/>
  <c r="AJ651" i="2"/>
  <c r="AI651" i="2"/>
  <c r="AO650" i="2"/>
  <c r="AN650" i="2"/>
  <c r="AM650" i="2"/>
  <c r="AL650" i="2"/>
  <c r="AK650" i="2"/>
  <c r="AJ650" i="2"/>
  <c r="AI650" i="2"/>
  <c r="AO649" i="2"/>
  <c r="AN649" i="2"/>
  <c r="AL649" i="2"/>
  <c r="AM649" i="2" s="1"/>
  <c r="AK649" i="2"/>
  <c r="AJ649" i="2"/>
  <c r="AI649" i="2"/>
  <c r="AO648" i="2"/>
  <c r="AN648" i="2"/>
  <c r="AL648" i="2"/>
  <c r="AM648" i="2" s="1"/>
  <c r="AK648" i="2"/>
  <c r="AJ648" i="2"/>
  <c r="AI648" i="2"/>
  <c r="AO647" i="2"/>
  <c r="AN647" i="2"/>
  <c r="AL647" i="2"/>
  <c r="AM647" i="2" s="1"/>
  <c r="AK647" i="2"/>
  <c r="AJ647" i="2"/>
  <c r="AI647" i="2"/>
  <c r="AO646" i="2"/>
  <c r="AN646" i="2"/>
  <c r="AM646" i="2"/>
  <c r="AL646" i="2"/>
  <c r="AK646" i="2"/>
  <c r="AJ646" i="2"/>
  <c r="AI646" i="2"/>
  <c r="AO645" i="2"/>
  <c r="AN645" i="2"/>
  <c r="AM645" i="2"/>
  <c r="AL645" i="2"/>
  <c r="AK645" i="2"/>
  <c r="AJ645" i="2"/>
  <c r="AI645" i="2"/>
  <c r="AO644" i="2"/>
  <c r="AN644" i="2"/>
  <c r="AL644" i="2"/>
  <c r="AM644" i="2" s="1"/>
  <c r="AK644" i="2"/>
  <c r="AJ644" i="2"/>
  <c r="AI644" i="2"/>
  <c r="AO643" i="2"/>
  <c r="AN643" i="2"/>
  <c r="AM643" i="2"/>
  <c r="AL643" i="2"/>
  <c r="AK643" i="2"/>
  <c r="AJ643" i="2"/>
  <c r="AI643" i="2"/>
  <c r="AO642" i="2"/>
  <c r="AN642" i="2"/>
  <c r="AL642" i="2"/>
  <c r="AM642" i="2" s="1"/>
  <c r="AK642" i="2"/>
  <c r="AJ642" i="2"/>
  <c r="AI642" i="2"/>
  <c r="AO641" i="2"/>
  <c r="AN641" i="2"/>
  <c r="AL641" i="2"/>
  <c r="AM641" i="2" s="1"/>
  <c r="AK641" i="2"/>
  <c r="AJ641" i="2"/>
  <c r="AI641" i="2"/>
  <c r="AO640" i="2"/>
  <c r="AN640" i="2"/>
  <c r="AL640" i="2"/>
  <c r="AM640" i="2" s="1"/>
  <c r="AK640" i="2"/>
  <c r="AJ640" i="2"/>
  <c r="AI640" i="2"/>
  <c r="AO639" i="2"/>
  <c r="AN639" i="2"/>
  <c r="AL639" i="2"/>
  <c r="AM639" i="2" s="1"/>
  <c r="AK639" i="2"/>
  <c r="AJ639" i="2"/>
  <c r="AI639" i="2"/>
  <c r="AO638" i="2"/>
  <c r="AN638" i="2"/>
  <c r="AM638" i="2"/>
  <c r="AL638" i="2"/>
  <c r="AK638" i="2"/>
  <c r="AJ638" i="2"/>
  <c r="AI638" i="2"/>
  <c r="AO637" i="2"/>
  <c r="AN637" i="2"/>
  <c r="AL637" i="2"/>
  <c r="AM637" i="2" s="1"/>
  <c r="AK637" i="2"/>
  <c r="AJ637" i="2"/>
  <c r="AI637" i="2"/>
  <c r="AO636" i="2"/>
  <c r="AN636" i="2"/>
  <c r="AM636" i="2"/>
  <c r="AL636" i="2"/>
  <c r="AK636" i="2"/>
  <c r="AJ636" i="2"/>
  <c r="AI636" i="2"/>
  <c r="AO635" i="2"/>
  <c r="AN635" i="2"/>
  <c r="AL635" i="2"/>
  <c r="AM635" i="2" s="1"/>
  <c r="AK635" i="2"/>
  <c r="AJ635" i="2"/>
  <c r="AI635" i="2"/>
  <c r="AO634" i="2"/>
  <c r="AN634" i="2"/>
  <c r="AM634" i="2"/>
  <c r="AL634" i="2"/>
  <c r="AK634" i="2"/>
  <c r="AJ634" i="2"/>
  <c r="AI634" i="2"/>
  <c r="AO633" i="2"/>
  <c r="AN633" i="2"/>
  <c r="AL633" i="2"/>
  <c r="AM633" i="2" s="1"/>
  <c r="AK633" i="2"/>
  <c r="AJ633" i="2"/>
  <c r="AI633" i="2"/>
  <c r="AO632" i="2"/>
  <c r="AN632" i="2"/>
  <c r="AM632" i="2"/>
  <c r="AL632" i="2"/>
  <c r="AK632" i="2"/>
  <c r="AJ632" i="2"/>
  <c r="AI632" i="2"/>
  <c r="AO631" i="2"/>
  <c r="AN631" i="2"/>
  <c r="AM631" i="2"/>
  <c r="AL631" i="2"/>
  <c r="AK631" i="2"/>
  <c r="AJ631" i="2"/>
  <c r="AI631" i="2"/>
  <c r="AO630" i="2"/>
  <c r="AN630" i="2"/>
  <c r="AL630" i="2"/>
  <c r="AM630" i="2" s="1"/>
  <c r="AK630" i="2"/>
  <c r="AJ630" i="2"/>
  <c r="AI630" i="2"/>
  <c r="AO629" i="2"/>
  <c r="AN629" i="2"/>
  <c r="AL629" i="2"/>
  <c r="AM629" i="2" s="1"/>
  <c r="AK629" i="2"/>
  <c r="AJ629" i="2"/>
  <c r="AI629" i="2"/>
  <c r="AO628" i="2"/>
  <c r="AN628" i="2"/>
  <c r="AL628" i="2"/>
  <c r="AM628" i="2" s="1"/>
  <c r="AK628" i="2"/>
  <c r="AJ628" i="2"/>
  <c r="AI628" i="2"/>
  <c r="AO627" i="2"/>
  <c r="AN627" i="2"/>
  <c r="AL627" i="2"/>
  <c r="AM627" i="2" s="1"/>
  <c r="AK627" i="2"/>
  <c r="AJ627" i="2"/>
  <c r="AI627" i="2"/>
  <c r="AO626" i="2"/>
  <c r="AN626" i="2"/>
  <c r="AL626" i="2"/>
  <c r="AM626" i="2" s="1"/>
  <c r="AK626" i="2"/>
  <c r="AJ626" i="2"/>
  <c r="AI626" i="2"/>
  <c r="AO625" i="2"/>
  <c r="AN625" i="2"/>
  <c r="AL625" i="2"/>
  <c r="AM625" i="2" s="1"/>
  <c r="AK625" i="2"/>
  <c r="AJ625" i="2"/>
  <c r="AI625" i="2"/>
  <c r="AO624" i="2"/>
  <c r="AN624" i="2"/>
  <c r="AM624" i="2"/>
  <c r="AL624" i="2"/>
  <c r="AK624" i="2"/>
  <c r="AJ624" i="2"/>
  <c r="AI624" i="2"/>
  <c r="AO623" i="2"/>
  <c r="AN623" i="2"/>
  <c r="AM623" i="2"/>
  <c r="AL623" i="2"/>
  <c r="AK623" i="2"/>
  <c r="AJ623" i="2"/>
  <c r="AI623" i="2"/>
  <c r="AO622" i="2"/>
  <c r="AN622" i="2"/>
  <c r="AM622" i="2"/>
  <c r="AL622" i="2"/>
  <c r="AK622" i="2"/>
  <c r="AJ622" i="2"/>
  <c r="AI622" i="2"/>
  <c r="AO621" i="2"/>
  <c r="AN621" i="2"/>
  <c r="AL621" i="2"/>
  <c r="AM621" i="2" s="1"/>
  <c r="AK621" i="2"/>
  <c r="AJ621" i="2"/>
  <c r="AI621" i="2"/>
  <c r="AO620" i="2"/>
  <c r="AN620" i="2"/>
  <c r="AL620" i="2"/>
  <c r="AM620" i="2" s="1"/>
  <c r="AK620" i="2"/>
  <c r="AJ620" i="2"/>
  <c r="AI620" i="2"/>
  <c r="AO619" i="2"/>
  <c r="AN619" i="2"/>
  <c r="AL619" i="2"/>
  <c r="AM619" i="2" s="1"/>
  <c r="AK619" i="2"/>
  <c r="AJ619" i="2"/>
  <c r="AI619" i="2"/>
  <c r="AO618" i="2"/>
  <c r="AN618" i="2"/>
  <c r="AM618" i="2"/>
  <c r="AL618" i="2"/>
  <c r="AK618" i="2"/>
  <c r="AJ618" i="2"/>
  <c r="AI618" i="2"/>
  <c r="AO617" i="2"/>
  <c r="AN617" i="2"/>
  <c r="AM617" i="2"/>
  <c r="AL617" i="2"/>
  <c r="AK617" i="2"/>
  <c r="AJ617" i="2"/>
  <c r="AI617" i="2"/>
  <c r="AO616" i="2"/>
  <c r="AN616" i="2"/>
  <c r="AM616" i="2"/>
  <c r="AL616" i="2"/>
  <c r="AK616" i="2"/>
  <c r="AJ616" i="2"/>
  <c r="AI616" i="2"/>
  <c r="AO615" i="2"/>
  <c r="AN615" i="2"/>
  <c r="AL615" i="2"/>
  <c r="AM615" i="2" s="1"/>
  <c r="AK615" i="2"/>
  <c r="AJ615" i="2"/>
  <c r="AI615" i="2"/>
  <c r="AO614" i="2"/>
  <c r="AN614" i="2"/>
  <c r="AL614" i="2"/>
  <c r="AM614" i="2" s="1"/>
  <c r="AK614" i="2"/>
  <c r="AJ614" i="2"/>
  <c r="AI614" i="2"/>
  <c r="AO613" i="2"/>
  <c r="AN613" i="2"/>
  <c r="AL613" i="2"/>
  <c r="AM613" i="2" s="1"/>
  <c r="AK613" i="2"/>
  <c r="AJ613" i="2"/>
  <c r="AI613" i="2"/>
  <c r="AO612" i="2"/>
  <c r="AN612" i="2"/>
  <c r="AL612" i="2"/>
  <c r="AM612" i="2" s="1"/>
  <c r="AK612" i="2"/>
  <c r="AJ612" i="2"/>
  <c r="AI612" i="2"/>
  <c r="AO611" i="2"/>
  <c r="AN611" i="2"/>
  <c r="AL611" i="2"/>
  <c r="AM611" i="2" s="1"/>
  <c r="AK611" i="2"/>
  <c r="AJ611" i="2"/>
  <c r="AI611" i="2"/>
  <c r="AO610" i="2"/>
  <c r="AN610" i="2"/>
  <c r="AM610" i="2"/>
  <c r="AL610" i="2"/>
  <c r="AK610" i="2"/>
  <c r="AJ610" i="2"/>
  <c r="AI610" i="2"/>
  <c r="AO609" i="2"/>
  <c r="AN609" i="2"/>
  <c r="AM609" i="2"/>
  <c r="AL609" i="2"/>
  <c r="AK609" i="2"/>
  <c r="AJ609" i="2"/>
  <c r="AI609" i="2"/>
  <c r="AO608" i="2"/>
  <c r="AN608" i="2"/>
  <c r="AL608" i="2"/>
  <c r="AM608" i="2" s="1"/>
  <c r="AK608" i="2"/>
  <c r="AJ608" i="2"/>
  <c r="AI608" i="2"/>
  <c r="AO607" i="2"/>
  <c r="AN607" i="2"/>
  <c r="AM607" i="2"/>
  <c r="AL607" i="2"/>
  <c r="AK607" i="2"/>
  <c r="AJ607" i="2"/>
  <c r="AI607" i="2"/>
  <c r="AO606" i="2"/>
  <c r="AN606" i="2"/>
  <c r="AL606" i="2"/>
  <c r="AM606" i="2" s="1"/>
  <c r="AK606" i="2"/>
  <c r="AJ606" i="2"/>
  <c r="AI606" i="2"/>
  <c r="AO605" i="2"/>
  <c r="AN605" i="2"/>
  <c r="AM605" i="2"/>
  <c r="AL605" i="2"/>
  <c r="AK605" i="2"/>
  <c r="AJ605" i="2"/>
  <c r="AI605" i="2"/>
  <c r="AO604" i="2"/>
  <c r="AN604" i="2"/>
  <c r="AL604" i="2"/>
  <c r="AM604" i="2" s="1"/>
  <c r="AK604" i="2"/>
  <c r="AJ604" i="2"/>
  <c r="AI604" i="2"/>
  <c r="AO603" i="2"/>
  <c r="AN603" i="2"/>
  <c r="AL603" i="2"/>
  <c r="AM603" i="2" s="1"/>
  <c r="AK603" i="2"/>
  <c r="AJ603" i="2"/>
  <c r="AI603" i="2"/>
  <c r="AO602" i="2"/>
  <c r="AN602" i="2"/>
  <c r="AL602" i="2"/>
  <c r="AM602" i="2" s="1"/>
  <c r="AK602" i="2"/>
  <c r="AJ602" i="2"/>
  <c r="AI602" i="2"/>
  <c r="AO601" i="2"/>
  <c r="AN601" i="2"/>
  <c r="AL601" i="2"/>
  <c r="AM601" i="2" s="1"/>
  <c r="AK601" i="2"/>
  <c r="AJ601" i="2"/>
  <c r="AI601" i="2"/>
  <c r="AO600" i="2"/>
  <c r="AN600" i="2"/>
  <c r="AM600" i="2"/>
  <c r="AL600" i="2"/>
  <c r="AK600" i="2"/>
  <c r="AJ600" i="2"/>
  <c r="AI600" i="2"/>
  <c r="AO599" i="2"/>
  <c r="AN599" i="2"/>
  <c r="AM599" i="2"/>
  <c r="AL599" i="2"/>
  <c r="AK599" i="2"/>
  <c r="AJ599" i="2"/>
  <c r="AI599" i="2"/>
  <c r="AO598" i="2"/>
  <c r="AN598" i="2"/>
  <c r="AM598" i="2"/>
  <c r="AL598" i="2"/>
  <c r="AK598" i="2"/>
  <c r="AJ598" i="2"/>
  <c r="AI598" i="2"/>
  <c r="AO597" i="2"/>
  <c r="AN597" i="2"/>
  <c r="AL597" i="2"/>
  <c r="AM597" i="2" s="1"/>
  <c r="AK597" i="2"/>
  <c r="AJ597" i="2"/>
  <c r="AI597" i="2"/>
  <c r="AO596" i="2"/>
  <c r="AN596" i="2"/>
  <c r="AL596" i="2"/>
  <c r="AM596" i="2" s="1"/>
  <c r="AK596" i="2"/>
  <c r="AJ596" i="2"/>
  <c r="AI596" i="2"/>
  <c r="AO595" i="2"/>
  <c r="AN595" i="2"/>
  <c r="AL595" i="2"/>
  <c r="AM595" i="2" s="1"/>
  <c r="AK595" i="2"/>
  <c r="AJ595" i="2"/>
  <c r="AI595" i="2"/>
  <c r="AO594" i="2"/>
  <c r="AN594" i="2"/>
  <c r="AM594" i="2"/>
  <c r="AL594" i="2"/>
  <c r="AK594" i="2"/>
  <c r="AJ594" i="2"/>
  <c r="AI594" i="2"/>
  <c r="AO593" i="2"/>
  <c r="AN593" i="2"/>
  <c r="AL593" i="2"/>
  <c r="AM593" i="2" s="1"/>
  <c r="AK593" i="2"/>
  <c r="AJ593" i="2"/>
  <c r="AI593" i="2"/>
  <c r="AO592" i="2"/>
  <c r="AN592" i="2"/>
  <c r="AL592" i="2"/>
  <c r="AM592" i="2" s="1"/>
  <c r="AK592" i="2"/>
  <c r="AJ592" i="2"/>
  <c r="AI592" i="2"/>
  <c r="AO591" i="2"/>
  <c r="AN591" i="2"/>
  <c r="AL591" i="2"/>
  <c r="AM591" i="2" s="1"/>
  <c r="AK591" i="2"/>
  <c r="AJ591" i="2"/>
  <c r="AI591" i="2"/>
  <c r="AO590" i="2"/>
  <c r="AN590" i="2"/>
  <c r="AL590" i="2"/>
  <c r="AM590" i="2" s="1"/>
  <c r="AK590" i="2"/>
  <c r="AJ590" i="2"/>
  <c r="AI590" i="2"/>
  <c r="AO589" i="2"/>
  <c r="AN589" i="2"/>
  <c r="AL589" i="2"/>
  <c r="AM589" i="2" s="1"/>
  <c r="AK589" i="2"/>
  <c r="AJ589" i="2"/>
  <c r="AI589" i="2"/>
  <c r="AO588" i="2"/>
  <c r="AN588" i="2"/>
  <c r="AL588" i="2"/>
  <c r="AM588" i="2" s="1"/>
  <c r="AK588" i="2"/>
  <c r="AJ588" i="2"/>
  <c r="AI588" i="2"/>
  <c r="AO587" i="2"/>
  <c r="AN587" i="2"/>
  <c r="AM587" i="2"/>
  <c r="AL587" i="2"/>
  <c r="AK587" i="2"/>
  <c r="AJ587" i="2"/>
  <c r="AI587" i="2"/>
  <c r="AO586" i="2"/>
  <c r="AN586" i="2"/>
  <c r="AM586" i="2"/>
  <c r="AL586" i="2"/>
  <c r="AK586" i="2"/>
  <c r="AJ586" i="2"/>
  <c r="AI586" i="2"/>
  <c r="AO585" i="2"/>
  <c r="AN585" i="2"/>
  <c r="AL585" i="2"/>
  <c r="AM585" i="2" s="1"/>
  <c r="AK585" i="2"/>
  <c r="AJ585" i="2"/>
  <c r="AI585" i="2"/>
  <c r="AO584" i="2"/>
  <c r="AN584" i="2"/>
  <c r="AM584" i="2"/>
  <c r="AL584" i="2"/>
  <c r="AK584" i="2"/>
  <c r="AJ584" i="2"/>
  <c r="AI584" i="2"/>
  <c r="AO583" i="2"/>
  <c r="AN583" i="2"/>
  <c r="AL583" i="2"/>
  <c r="AM583" i="2" s="1"/>
  <c r="AK583" i="2"/>
  <c r="AJ583" i="2"/>
  <c r="AI583" i="2"/>
  <c r="AO582" i="2"/>
  <c r="AN582" i="2"/>
  <c r="AL582" i="2"/>
  <c r="AM582" i="2" s="1"/>
  <c r="AK582" i="2"/>
  <c r="AJ582" i="2"/>
  <c r="AI582" i="2"/>
  <c r="AO581" i="2"/>
  <c r="AN581" i="2"/>
  <c r="AL581" i="2"/>
  <c r="AM581" i="2" s="1"/>
  <c r="AK581" i="2"/>
  <c r="AJ581" i="2"/>
  <c r="AI581" i="2"/>
  <c r="AO580" i="2"/>
  <c r="AN580" i="2"/>
  <c r="AM580" i="2"/>
  <c r="AL580" i="2"/>
  <c r="AK580" i="2"/>
  <c r="AJ580" i="2"/>
  <c r="AI580" i="2"/>
  <c r="AO579" i="2"/>
  <c r="AN579" i="2"/>
  <c r="AL579" i="2"/>
  <c r="AM579" i="2" s="1"/>
  <c r="AK579" i="2"/>
  <c r="AJ579" i="2"/>
  <c r="AI579" i="2"/>
  <c r="AO578" i="2"/>
  <c r="AN578" i="2"/>
  <c r="AM578" i="2"/>
  <c r="AL578" i="2"/>
  <c r="AK578" i="2"/>
  <c r="AJ578" i="2"/>
  <c r="AI578" i="2"/>
  <c r="AO577" i="2"/>
  <c r="AN577" i="2"/>
  <c r="AM577" i="2"/>
  <c r="AL577" i="2"/>
  <c r="AK577" i="2"/>
  <c r="AJ577" i="2"/>
  <c r="AI577" i="2"/>
  <c r="AO576" i="2"/>
  <c r="AN576" i="2"/>
  <c r="AL576" i="2"/>
  <c r="AM576" i="2" s="1"/>
  <c r="AK576" i="2"/>
  <c r="AJ576" i="2"/>
  <c r="AI576" i="2"/>
  <c r="AO575" i="2"/>
  <c r="AN575" i="2"/>
  <c r="AL575" i="2"/>
  <c r="AM575" i="2" s="1"/>
  <c r="AK575" i="2"/>
  <c r="AJ575" i="2"/>
  <c r="AI575" i="2"/>
  <c r="AO574" i="2"/>
  <c r="AN574" i="2"/>
  <c r="AM574" i="2"/>
  <c r="AL574" i="2"/>
  <c r="AK574" i="2"/>
  <c r="AJ574" i="2"/>
  <c r="AI574" i="2"/>
  <c r="AO573" i="2"/>
  <c r="AN573" i="2"/>
  <c r="AL573" i="2"/>
  <c r="AM573" i="2" s="1"/>
  <c r="AK573" i="2"/>
  <c r="AJ573" i="2"/>
  <c r="AI573" i="2"/>
  <c r="AO572" i="2"/>
  <c r="AN572" i="2"/>
  <c r="AM572" i="2"/>
  <c r="AL572" i="2"/>
  <c r="AK572" i="2"/>
  <c r="AJ572" i="2"/>
  <c r="AI572" i="2"/>
  <c r="AO571" i="2"/>
  <c r="AN571" i="2"/>
  <c r="AM571" i="2"/>
  <c r="AL571" i="2"/>
  <c r="AK571" i="2"/>
  <c r="AJ571" i="2"/>
  <c r="AI571" i="2"/>
  <c r="AO570" i="2"/>
  <c r="AN570" i="2"/>
  <c r="AL570" i="2"/>
  <c r="AM570" i="2" s="1"/>
  <c r="AK570" i="2"/>
  <c r="AJ570" i="2"/>
  <c r="AI570" i="2"/>
  <c r="AO569" i="2"/>
  <c r="AN569" i="2"/>
  <c r="AL569" i="2"/>
  <c r="AM569" i="2" s="1"/>
  <c r="AK569" i="2"/>
  <c r="AJ569" i="2"/>
  <c r="AI569" i="2"/>
  <c r="AO568" i="2"/>
  <c r="AN568" i="2"/>
  <c r="AL568" i="2"/>
  <c r="AM568" i="2" s="1"/>
  <c r="AK568" i="2"/>
  <c r="AJ568" i="2"/>
  <c r="AI568" i="2"/>
  <c r="AO567" i="2"/>
  <c r="AN567" i="2"/>
  <c r="AL567" i="2"/>
  <c r="AM567" i="2" s="1"/>
  <c r="AK567" i="2"/>
  <c r="AJ567" i="2"/>
  <c r="AI567" i="2"/>
  <c r="AO566" i="2"/>
  <c r="AN566" i="2"/>
  <c r="AL566" i="2"/>
  <c r="AM566" i="2" s="1"/>
  <c r="AK566" i="2"/>
  <c r="AJ566" i="2"/>
  <c r="AI566" i="2"/>
  <c r="AO565" i="2"/>
  <c r="AN565" i="2"/>
  <c r="AM565" i="2"/>
  <c r="AL565" i="2"/>
  <c r="AK565" i="2"/>
  <c r="AJ565" i="2"/>
  <c r="AI565" i="2"/>
  <c r="AO564" i="2"/>
  <c r="AN564" i="2"/>
  <c r="AM564" i="2"/>
  <c r="AL564" i="2"/>
  <c r="AK564" i="2"/>
  <c r="AJ564" i="2"/>
  <c r="AI564" i="2"/>
  <c r="AO563" i="2"/>
  <c r="AN563" i="2"/>
  <c r="AL563" i="2"/>
  <c r="AM563" i="2" s="1"/>
  <c r="AK563" i="2"/>
  <c r="AJ563" i="2"/>
  <c r="AI563" i="2"/>
  <c r="AO562" i="2"/>
  <c r="AN562" i="2"/>
  <c r="AM562" i="2"/>
  <c r="AL562" i="2"/>
  <c r="AK562" i="2"/>
  <c r="AJ562" i="2"/>
  <c r="AI562" i="2"/>
  <c r="AO561" i="2"/>
  <c r="AN561" i="2"/>
  <c r="AL561" i="2"/>
  <c r="AM561" i="2" s="1"/>
  <c r="AK561" i="2"/>
  <c r="AJ561" i="2"/>
  <c r="AI561" i="2"/>
  <c r="AO560" i="2"/>
  <c r="AN560" i="2"/>
  <c r="AM560" i="2"/>
  <c r="AL560" i="2"/>
  <c r="AK560" i="2"/>
  <c r="AJ560" i="2"/>
  <c r="AI560" i="2"/>
  <c r="AO559" i="2"/>
  <c r="AN559" i="2"/>
  <c r="AL559" i="2"/>
  <c r="AM559" i="2" s="1"/>
  <c r="AK559" i="2"/>
  <c r="AJ559" i="2"/>
  <c r="AI559" i="2"/>
  <c r="AO558" i="2"/>
  <c r="AN558" i="2"/>
  <c r="AM558" i="2"/>
  <c r="AL558" i="2"/>
  <c r="AK558" i="2"/>
  <c r="AJ558" i="2"/>
  <c r="AI558" i="2"/>
  <c r="AO557" i="2"/>
  <c r="AN557" i="2"/>
  <c r="AM557" i="2"/>
  <c r="AL557" i="2"/>
  <c r="AK557" i="2"/>
  <c r="AJ557" i="2"/>
  <c r="AI557" i="2"/>
  <c r="AO556" i="2"/>
  <c r="AN556" i="2"/>
  <c r="AL556" i="2"/>
  <c r="AM556" i="2" s="1"/>
  <c r="AK556" i="2"/>
  <c r="AJ556" i="2"/>
  <c r="AI556" i="2"/>
  <c r="AO555" i="2"/>
  <c r="AN555" i="2"/>
  <c r="AL555" i="2"/>
  <c r="AM555" i="2" s="1"/>
  <c r="AK555" i="2"/>
  <c r="AJ555" i="2"/>
  <c r="AI555" i="2"/>
  <c r="AO554" i="2"/>
  <c r="AN554" i="2"/>
  <c r="AM554" i="2"/>
  <c r="AL554" i="2"/>
  <c r="AK554" i="2"/>
  <c r="AJ554" i="2"/>
  <c r="AI554" i="2"/>
  <c r="AO553" i="2"/>
  <c r="AN553" i="2"/>
  <c r="AL553" i="2"/>
  <c r="AM553" i="2" s="1"/>
  <c r="AK553" i="2"/>
  <c r="AJ553" i="2"/>
  <c r="AI553" i="2"/>
  <c r="AO552" i="2"/>
  <c r="AN552" i="2"/>
  <c r="AL552" i="2"/>
  <c r="AM552" i="2" s="1"/>
  <c r="AK552" i="2"/>
  <c r="AJ552" i="2"/>
  <c r="AI552" i="2"/>
  <c r="AO551" i="2"/>
  <c r="AN551" i="2"/>
  <c r="AM551" i="2"/>
  <c r="AL551" i="2"/>
  <c r="AK551" i="2"/>
  <c r="AJ551" i="2"/>
  <c r="AI551" i="2"/>
  <c r="AO550" i="2"/>
  <c r="AN550" i="2"/>
  <c r="AM550" i="2"/>
  <c r="AL550" i="2"/>
  <c r="AK550" i="2"/>
  <c r="AJ550" i="2"/>
  <c r="AI550" i="2"/>
  <c r="AO549" i="2"/>
  <c r="AN549" i="2"/>
  <c r="AL549" i="2"/>
  <c r="AM549" i="2" s="1"/>
  <c r="AK549" i="2"/>
  <c r="AJ549" i="2"/>
  <c r="AI549" i="2"/>
  <c r="AO548" i="2"/>
  <c r="AN548" i="2"/>
  <c r="AM548" i="2"/>
  <c r="AL548" i="2"/>
  <c r="AK548" i="2"/>
  <c r="AJ548" i="2"/>
  <c r="AI548" i="2"/>
  <c r="AO547" i="2"/>
  <c r="AN547" i="2"/>
  <c r="AM547" i="2"/>
  <c r="AL547" i="2"/>
  <c r="AK547" i="2"/>
  <c r="AJ547" i="2"/>
  <c r="AI547" i="2"/>
  <c r="AO546" i="2"/>
  <c r="AN546" i="2"/>
  <c r="AM546" i="2"/>
  <c r="AL546" i="2"/>
  <c r="AK546" i="2"/>
  <c r="AJ546" i="2"/>
  <c r="AI546" i="2"/>
  <c r="AO545" i="2"/>
  <c r="AN545" i="2"/>
  <c r="AL545" i="2"/>
  <c r="AM545" i="2" s="1"/>
  <c r="AK545" i="2"/>
  <c r="AJ545" i="2"/>
  <c r="AI545" i="2"/>
  <c r="AO544" i="2"/>
  <c r="AN544" i="2"/>
  <c r="AL544" i="2"/>
  <c r="AM544" i="2" s="1"/>
  <c r="AK544" i="2"/>
  <c r="AJ544" i="2"/>
  <c r="AI544" i="2"/>
  <c r="AO543" i="2"/>
  <c r="AN543" i="2"/>
  <c r="AL543" i="2"/>
  <c r="AM543" i="2" s="1"/>
  <c r="AK543" i="2"/>
  <c r="AJ543" i="2"/>
  <c r="AI543" i="2"/>
  <c r="AO542" i="2"/>
  <c r="AN542" i="2"/>
  <c r="AL542" i="2"/>
  <c r="AM542" i="2" s="1"/>
  <c r="AK542" i="2"/>
  <c r="AJ542" i="2"/>
  <c r="AI542" i="2"/>
  <c r="AO541" i="2"/>
  <c r="AN541" i="2"/>
  <c r="AL541" i="2"/>
  <c r="AM541" i="2" s="1"/>
  <c r="AK541" i="2"/>
  <c r="AJ541" i="2"/>
  <c r="AI541" i="2"/>
  <c r="AO540" i="2"/>
  <c r="AN540" i="2"/>
  <c r="AL540" i="2"/>
  <c r="AM540" i="2" s="1"/>
  <c r="AK540" i="2"/>
  <c r="AJ540" i="2"/>
  <c r="AI540" i="2"/>
  <c r="AO539" i="2"/>
  <c r="AN539" i="2"/>
  <c r="AM539" i="2"/>
  <c r="AL539" i="2"/>
  <c r="AK539" i="2"/>
  <c r="AJ539" i="2"/>
  <c r="AI539" i="2"/>
  <c r="AO538" i="2"/>
  <c r="AN538" i="2"/>
  <c r="AM538" i="2"/>
  <c r="AL538" i="2"/>
  <c r="AK538" i="2"/>
  <c r="AJ538" i="2"/>
  <c r="AI538" i="2"/>
  <c r="AO537" i="2"/>
  <c r="AN537" i="2"/>
  <c r="AL537" i="2"/>
  <c r="AM537" i="2" s="1"/>
  <c r="AK537" i="2"/>
  <c r="AJ537" i="2"/>
  <c r="AI537" i="2"/>
  <c r="AO536" i="2"/>
  <c r="AN536" i="2"/>
  <c r="AM536" i="2"/>
  <c r="AL536" i="2"/>
  <c r="AK536" i="2"/>
  <c r="AJ536" i="2"/>
  <c r="AI536" i="2"/>
  <c r="AO535" i="2"/>
  <c r="AN535" i="2"/>
  <c r="AL535" i="2"/>
  <c r="AM535" i="2" s="1"/>
  <c r="AK535" i="2"/>
  <c r="AJ535" i="2"/>
  <c r="AI535" i="2"/>
  <c r="AO534" i="2"/>
  <c r="AN534" i="2"/>
  <c r="AM534" i="2"/>
  <c r="AL534" i="2"/>
  <c r="AK534" i="2"/>
  <c r="AJ534" i="2"/>
  <c r="AI534" i="2"/>
  <c r="AO533" i="2"/>
  <c r="AN533" i="2"/>
  <c r="AL533" i="2"/>
  <c r="AM533" i="2" s="1"/>
  <c r="AK533" i="2"/>
  <c r="AJ533" i="2"/>
  <c r="AI533" i="2"/>
  <c r="AO532" i="2"/>
  <c r="AN532" i="2"/>
  <c r="AM532" i="2"/>
  <c r="AL532" i="2"/>
  <c r="AK532" i="2"/>
  <c r="AJ532" i="2"/>
  <c r="AI532" i="2"/>
  <c r="AO531" i="2"/>
  <c r="AN531" i="2"/>
  <c r="AL531" i="2"/>
  <c r="AM531" i="2" s="1"/>
  <c r="AK531" i="2"/>
  <c r="AJ531" i="2"/>
  <c r="AI531" i="2"/>
  <c r="AO530" i="2"/>
  <c r="AN530" i="2"/>
  <c r="AL530" i="2"/>
  <c r="AM530" i="2" s="1"/>
  <c r="AK530" i="2"/>
  <c r="AJ530" i="2"/>
  <c r="AI530" i="2"/>
  <c r="AO529" i="2"/>
  <c r="AN529" i="2"/>
  <c r="AL529" i="2"/>
  <c r="AM529" i="2" s="1"/>
  <c r="AK529" i="2"/>
  <c r="AJ529" i="2"/>
  <c r="AI529" i="2"/>
  <c r="AO528" i="2"/>
  <c r="AN528" i="2"/>
  <c r="AL528" i="2"/>
  <c r="AM528" i="2" s="1"/>
  <c r="AK528" i="2"/>
  <c r="AJ528" i="2"/>
  <c r="AI528" i="2"/>
  <c r="AO527" i="2"/>
  <c r="AN527" i="2"/>
  <c r="AM527" i="2"/>
  <c r="AL527" i="2"/>
  <c r="AK527" i="2"/>
  <c r="AJ527" i="2"/>
  <c r="AI527" i="2"/>
  <c r="AO526" i="2"/>
  <c r="AN526" i="2"/>
  <c r="AL526" i="2"/>
  <c r="AM526" i="2" s="1"/>
  <c r="AK526" i="2"/>
  <c r="AJ526" i="2"/>
  <c r="AI526" i="2"/>
  <c r="AO525" i="2"/>
  <c r="AN525" i="2"/>
  <c r="AL525" i="2"/>
  <c r="AM525" i="2" s="1"/>
  <c r="AK525" i="2"/>
  <c r="AJ525" i="2"/>
  <c r="AI525" i="2"/>
  <c r="AO524" i="2"/>
  <c r="AN524" i="2"/>
  <c r="AL524" i="2"/>
  <c r="AM524" i="2" s="1"/>
  <c r="AK524" i="2"/>
  <c r="AJ524" i="2"/>
  <c r="AI524" i="2"/>
  <c r="AO523" i="2"/>
  <c r="AN523" i="2"/>
  <c r="AM523" i="2"/>
  <c r="AL523" i="2"/>
  <c r="AK523" i="2"/>
  <c r="AJ523" i="2"/>
  <c r="AI523" i="2"/>
  <c r="AO522" i="2"/>
  <c r="AN522" i="2"/>
  <c r="AL522" i="2"/>
  <c r="AM522" i="2" s="1"/>
  <c r="AK522" i="2"/>
  <c r="AJ522" i="2"/>
  <c r="AI522" i="2"/>
  <c r="AO521" i="2"/>
  <c r="AN521" i="2"/>
  <c r="AL521" i="2"/>
  <c r="AM521" i="2" s="1"/>
  <c r="AK521" i="2"/>
  <c r="AJ521" i="2"/>
  <c r="AI521" i="2"/>
  <c r="AO520" i="2"/>
  <c r="AN520" i="2"/>
  <c r="AM520" i="2"/>
  <c r="AL520" i="2"/>
  <c r="AK520" i="2"/>
  <c r="AJ520" i="2"/>
  <c r="AI520" i="2"/>
  <c r="AO519" i="2"/>
  <c r="AN519" i="2"/>
  <c r="AL519" i="2"/>
  <c r="AM519" i="2" s="1"/>
  <c r="AK519" i="2"/>
  <c r="AJ519" i="2"/>
  <c r="AI519" i="2"/>
  <c r="AO518" i="2"/>
  <c r="AN518" i="2"/>
  <c r="AL518" i="2"/>
  <c r="AM518" i="2" s="1"/>
  <c r="AK518" i="2"/>
  <c r="AJ518" i="2"/>
  <c r="AI518" i="2"/>
  <c r="AO517" i="2"/>
  <c r="AN517" i="2"/>
  <c r="AL517" i="2"/>
  <c r="AM517" i="2" s="1"/>
  <c r="AK517" i="2"/>
  <c r="AJ517" i="2"/>
  <c r="AI517" i="2"/>
  <c r="AO516" i="2"/>
  <c r="AN516" i="2"/>
  <c r="AM516" i="2"/>
  <c r="AL516" i="2"/>
  <c r="AK516" i="2"/>
  <c r="AJ516" i="2"/>
  <c r="AI516" i="2"/>
  <c r="AO515" i="2"/>
  <c r="AN515" i="2"/>
  <c r="AM515" i="2"/>
  <c r="AL515" i="2"/>
  <c r="AK515" i="2"/>
  <c r="AJ515" i="2"/>
  <c r="AI515" i="2"/>
  <c r="AO514" i="2"/>
  <c r="AN514" i="2"/>
  <c r="AL514" i="2"/>
  <c r="AM514" i="2" s="1"/>
  <c r="AK514" i="2"/>
  <c r="AJ514" i="2"/>
  <c r="AI514" i="2"/>
  <c r="AO513" i="2"/>
  <c r="AN513" i="2"/>
  <c r="AL513" i="2"/>
  <c r="AM513" i="2" s="1"/>
  <c r="AK513" i="2"/>
  <c r="AJ513" i="2"/>
  <c r="AI513" i="2"/>
  <c r="AO512" i="2"/>
  <c r="AN512" i="2"/>
  <c r="AL512" i="2"/>
  <c r="AM512" i="2" s="1"/>
  <c r="AK512" i="2"/>
  <c r="AJ512" i="2"/>
  <c r="AI512" i="2"/>
  <c r="AO511" i="2"/>
  <c r="AN511" i="2"/>
  <c r="AL511" i="2"/>
  <c r="AM511" i="2" s="1"/>
  <c r="AK511" i="2"/>
  <c r="AJ511" i="2"/>
  <c r="AI511" i="2"/>
  <c r="AO510" i="2"/>
  <c r="AN510" i="2"/>
  <c r="AL510" i="2"/>
  <c r="AM510" i="2" s="1"/>
  <c r="AK510" i="2"/>
  <c r="AJ510" i="2"/>
  <c r="AI510" i="2"/>
  <c r="AO509" i="2"/>
  <c r="AN509" i="2"/>
  <c r="AM509" i="2"/>
  <c r="AL509" i="2"/>
  <c r="AK509" i="2"/>
  <c r="AJ509" i="2"/>
  <c r="AI509" i="2"/>
  <c r="AO508" i="2"/>
  <c r="AN508" i="2"/>
  <c r="AM508" i="2"/>
  <c r="AL508" i="2"/>
  <c r="AK508" i="2"/>
  <c r="AJ508" i="2"/>
  <c r="AI508" i="2"/>
  <c r="AO507" i="2"/>
  <c r="AN507" i="2"/>
  <c r="AL507" i="2"/>
  <c r="AM507" i="2" s="1"/>
  <c r="AK507" i="2"/>
  <c r="AJ507" i="2"/>
  <c r="AI507" i="2"/>
  <c r="AO506" i="2"/>
  <c r="AN506" i="2"/>
  <c r="AL506" i="2"/>
  <c r="AM506" i="2" s="1"/>
  <c r="AK506" i="2"/>
  <c r="AJ506" i="2"/>
  <c r="AI506" i="2"/>
  <c r="AO505" i="2"/>
  <c r="AN505" i="2"/>
  <c r="AL505" i="2"/>
  <c r="AM505" i="2" s="1"/>
  <c r="AK505" i="2"/>
  <c r="AJ505" i="2"/>
  <c r="AI505" i="2"/>
  <c r="AO504" i="2"/>
  <c r="AN504" i="2"/>
  <c r="AL504" i="2"/>
  <c r="AM504" i="2" s="1"/>
  <c r="AK504" i="2"/>
  <c r="AJ504" i="2"/>
  <c r="AI504" i="2"/>
  <c r="AO503" i="2"/>
  <c r="AN503" i="2"/>
  <c r="AM503" i="2"/>
  <c r="AL503" i="2"/>
  <c r="AK503" i="2"/>
  <c r="AJ503" i="2"/>
  <c r="AI503" i="2"/>
  <c r="AO502" i="2"/>
  <c r="AN502" i="2"/>
  <c r="AM502" i="2"/>
  <c r="AL502" i="2"/>
  <c r="AK502" i="2"/>
  <c r="AJ502" i="2"/>
  <c r="AI502" i="2"/>
  <c r="AO501" i="2"/>
  <c r="AN501" i="2"/>
  <c r="AL501" i="2"/>
  <c r="AM501" i="2" s="1"/>
  <c r="AK501" i="2"/>
  <c r="AJ501" i="2"/>
  <c r="AI501" i="2"/>
  <c r="AO500" i="2"/>
  <c r="AN500" i="2"/>
  <c r="AL500" i="2"/>
  <c r="AM500" i="2" s="1"/>
  <c r="AK500" i="2"/>
  <c r="AJ500" i="2"/>
  <c r="AI500" i="2"/>
  <c r="AO499" i="2"/>
  <c r="AN499" i="2"/>
  <c r="AL499" i="2"/>
  <c r="AM499" i="2" s="1"/>
  <c r="AK499" i="2"/>
  <c r="AJ499" i="2"/>
  <c r="AI499" i="2"/>
  <c r="AO498" i="2"/>
  <c r="AN498" i="2"/>
  <c r="AL498" i="2"/>
  <c r="AM498" i="2" s="1"/>
  <c r="AK498" i="2"/>
  <c r="AJ498" i="2"/>
  <c r="AI498" i="2"/>
  <c r="AO497" i="2"/>
  <c r="AN497" i="2"/>
  <c r="AM497" i="2"/>
  <c r="AL497" i="2"/>
  <c r="AK497" i="2"/>
  <c r="AJ497" i="2"/>
  <c r="AI497" i="2"/>
  <c r="AO496" i="2"/>
  <c r="AN496" i="2"/>
  <c r="AM496" i="2"/>
  <c r="AL496" i="2"/>
  <c r="AK496" i="2"/>
  <c r="AJ496" i="2"/>
  <c r="AI496" i="2"/>
  <c r="AO495" i="2"/>
  <c r="AN495" i="2"/>
  <c r="AM495" i="2"/>
  <c r="AL495" i="2"/>
  <c r="AK495" i="2"/>
  <c r="AJ495" i="2"/>
  <c r="AI495" i="2"/>
  <c r="AO494" i="2"/>
  <c r="AN494" i="2"/>
  <c r="AL494" i="2"/>
  <c r="AM494" i="2" s="1"/>
  <c r="AK494" i="2"/>
  <c r="AJ494" i="2"/>
  <c r="AI494" i="2"/>
  <c r="AO493" i="2"/>
  <c r="AN493" i="2"/>
  <c r="AL493" i="2"/>
  <c r="AM493" i="2" s="1"/>
  <c r="AK493" i="2"/>
  <c r="AJ493" i="2"/>
  <c r="AI493" i="2"/>
  <c r="AO492" i="2"/>
  <c r="AN492" i="2"/>
  <c r="AM492" i="2"/>
  <c r="AL492" i="2"/>
  <c r="AK492" i="2"/>
  <c r="AJ492" i="2"/>
  <c r="AI492" i="2"/>
  <c r="AO491" i="2"/>
  <c r="AN491" i="2"/>
  <c r="AM491" i="2"/>
  <c r="AL491" i="2"/>
  <c r="AK491" i="2"/>
  <c r="AJ491" i="2"/>
  <c r="AI491" i="2"/>
  <c r="AO490" i="2"/>
  <c r="AN490" i="2"/>
  <c r="AL490" i="2"/>
  <c r="AM490" i="2" s="1"/>
  <c r="AK490" i="2"/>
  <c r="AJ490" i="2"/>
  <c r="AI490" i="2"/>
  <c r="AO489" i="2"/>
  <c r="AN489" i="2"/>
  <c r="AL489" i="2"/>
  <c r="AM489" i="2" s="1"/>
  <c r="AK489" i="2"/>
  <c r="AJ489" i="2"/>
  <c r="AI489" i="2"/>
  <c r="AO488" i="2"/>
  <c r="AN488" i="2"/>
  <c r="AM488" i="2"/>
  <c r="AL488" i="2"/>
  <c r="AK488" i="2"/>
  <c r="AJ488" i="2"/>
  <c r="AI488" i="2"/>
  <c r="AO487" i="2"/>
  <c r="AN487" i="2"/>
  <c r="AL487" i="2"/>
  <c r="AM487" i="2" s="1"/>
  <c r="AK487" i="2"/>
  <c r="AJ487" i="2"/>
  <c r="AI487" i="2"/>
  <c r="AO486" i="2"/>
  <c r="AN486" i="2"/>
  <c r="AL486" i="2"/>
  <c r="AM486" i="2" s="1"/>
  <c r="AK486" i="2"/>
  <c r="AJ486" i="2"/>
  <c r="AI486" i="2"/>
  <c r="AO485" i="2"/>
  <c r="AN485" i="2"/>
  <c r="AM485" i="2"/>
  <c r="AL485" i="2"/>
  <c r="AK485" i="2"/>
  <c r="AJ485" i="2"/>
  <c r="AI485" i="2"/>
  <c r="AO484" i="2"/>
  <c r="AN484" i="2"/>
  <c r="AM484" i="2"/>
  <c r="AL484" i="2"/>
  <c r="AK484" i="2"/>
  <c r="AJ484" i="2"/>
  <c r="AI484" i="2"/>
  <c r="AO483" i="2"/>
  <c r="AN483" i="2"/>
  <c r="AM483" i="2"/>
  <c r="AL483" i="2"/>
  <c r="AK483" i="2"/>
  <c r="AJ483" i="2"/>
  <c r="AI483" i="2"/>
  <c r="AO482" i="2"/>
  <c r="AN482" i="2"/>
  <c r="AL482" i="2"/>
  <c r="AM482" i="2" s="1"/>
  <c r="AK482" i="2"/>
  <c r="AJ482" i="2"/>
  <c r="AI482" i="2"/>
  <c r="AO481" i="2"/>
  <c r="AN481" i="2"/>
  <c r="AM481" i="2"/>
  <c r="AL481" i="2"/>
  <c r="AK481" i="2"/>
  <c r="AJ481" i="2"/>
  <c r="AI481" i="2"/>
  <c r="AO480" i="2"/>
  <c r="AN480" i="2"/>
  <c r="AL480" i="2"/>
  <c r="AM480" i="2" s="1"/>
  <c r="AK480" i="2"/>
  <c r="AJ480" i="2"/>
  <c r="AI480" i="2"/>
  <c r="AO479" i="2"/>
  <c r="AN479" i="2"/>
  <c r="AM479" i="2"/>
  <c r="AL479" i="2"/>
  <c r="AK479" i="2"/>
  <c r="AJ479" i="2"/>
  <c r="AI479" i="2"/>
  <c r="AO478" i="2"/>
  <c r="AN478" i="2"/>
  <c r="AM478" i="2"/>
  <c r="AL478" i="2"/>
  <c r="AK478" i="2"/>
  <c r="AJ478" i="2"/>
  <c r="AI478" i="2"/>
  <c r="AO477" i="2"/>
  <c r="AN477" i="2"/>
  <c r="AL477" i="2"/>
  <c r="AM477" i="2" s="1"/>
  <c r="AK477" i="2"/>
  <c r="AJ477" i="2"/>
  <c r="AI477" i="2"/>
  <c r="AO476" i="2"/>
  <c r="AN476" i="2"/>
  <c r="AM476" i="2"/>
  <c r="AL476" i="2"/>
  <c r="AK476" i="2"/>
  <c r="AJ476" i="2"/>
  <c r="AI476" i="2"/>
  <c r="AO475" i="2"/>
  <c r="AN475" i="2"/>
  <c r="AL475" i="2"/>
  <c r="AM475" i="2" s="1"/>
  <c r="AK475" i="2"/>
  <c r="AJ475" i="2"/>
  <c r="AI475" i="2"/>
  <c r="AO474" i="2"/>
  <c r="AN474" i="2"/>
  <c r="AM474" i="2"/>
  <c r="AL474" i="2"/>
  <c r="AK474" i="2"/>
  <c r="AJ474" i="2"/>
  <c r="AI474" i="2"/>
  <c r="AO473" i="2"/>
  <c r="AN473" i="2"/>
  <c r="AL473" i="2"/>
  <c r="AM473" i="2" s="1"/>
  <c r="AK473" i="2"/>
  <c r="AJ473" i="2"/>
  <c r="AI473" i="2"/>
  <c r="AO472" i="2"/>
  <c r="AN472" i="2"/>
  <c r="AM472" i="2"/>
  <c r="AL472" i="2"/>
  <c r="AK472" i="2"/>
  <c r="AJ472" i="2"/>
  <c r="AI472" i="2"/>
  <c r="AO471" i="2"/>
  <c r="AN471" i="2"/>
  <c r="AL471" i="2"/>
  <c r="AM471" i="2" s="1"/>
  <c r="AK471" i="2"/>
  <c r="AJ471" i="2"/>
  <c r="AI471" i="2"/>
  <c r="AO470" i="2"/>
  <c r="AN470" i="2"/>
  <c r="AL470" i="2"/>
  <c r="AM470" i="2" s="1"/>
  <c r="AK470" i="2"/>
  <c r="AJ470" i="2"/>
  <c r="AI470" i="2"/>
  <c r="AO469" i="2"/>
  <c r="AN469" i="2"/>
  <c r="AM469" i="2"/>
  <c r="AL469" i="2"/>
  <c r="AK469" i="2"/>
  <c r="AJ469" i="2"/>
  <c r="AI469" i="2"/>
  <c r="AO468" i="2"/>
  <c r="AN468" i="2"/>
  <c r="AL468" i="2"/>
  <c r="AM468" i="2" s="1"/>
  <c r="AK468" i="2"/>
  <c r="AJ468" i="2"/>
  <c r="AI468" i="2"/>
  <c r="AO467" i="2"/>
  <c r="AN467" i="2"/>
  <c r="AM467" i="2"/>
  <c r="AL467" i="2"/>
  <c r="AK467" i="2"/>
  <c r="AJ467" i="2"/>
  <c r="AI467" i="2"/>
  <c r="AO466" i="2"/>
  <c r="AN466" i="2"/>
  <c r="AL466" i="2"/>
  <c r="AM466" i="2" s="1"/>
  <c r="AK466" i="2"/>
  <c r="AJ466" i="2"/>
  <c r="AI466" i="2"/>
  <c r="AO465" i="2"/>
  <c r="AN465" i="2"/>
  <c r="AL465" i="2"/>
  <c r="AM465" i="2" s="1"/>
  <c r="AK465" i="2"/>
  <c r="AJ465" i="2"/>
  <c r="AI465" i="2"/>
  <c r="AO464" i="2"/>
  <c r="AN464" i="2"/>
  <c r="AL464" i="2"/>
  <c r="AM464" i="2" s="1"/>
  <c r="AK464" i="2"/>
  <c r="AJ464" i="2"/>
  <c r="AI464" i="2"/>
  <c r="AO463" i="2"/>
  <c r="AN463" i="2"/>
  <c r="AM463" i="2"/>
  <c r="AL463" i="2"/>
  <c r="AK463" i="2"/>
  <c r="AJ463" i="2"/>
  <c r="AI463" i="2"/>
  <c r="AO462" i="2"/>
  <c r="AN462" i="2"/>
  <c r="AL462" i="2"/>
  <c r="AM462" i="2" s="1"/>
  <c r="AK462" i="2"/>
  <c r="AJ462" i="2"/>
  <c r="AI462" i="2"/>
  <c r="AO461" i="2"/>
  <c r="AN461" i="2"/>
  <c r="AL461" i="2"/>
  <c r="AM461" i="2" s="1"/>
  <c r="AK461" i="2"/>
  <c r="AJ461" i="2"/>
  <c r="AI461" i="2"/>
  <c r="AO460" i="2"/>
  <c r="AN460" i="2"/>
  <c r="AM460" i="2"/>
  <c r="AL460" i="2"/>
  <c r="AK460" i="2"/>
  <c r="AJ460" i="2"/>
  <c r="AI460" i="2"/>
  <c r="AO459" i="2"/>
  <c r="AN459" i="2"/>
  <c r="AL459" i="2"/>
  <c r="AM459" i="2" s="1"/>
  <c r="AK459" i="2"/>
  <c r="AJ459" i="2"/>
  <c r="AI459" i="2"/>
  <c r="AO458" i="2"/>
  <c r="AN458" i="2"/>
  <c r="AL458" i="2"/>
  <c r="AM458" i="2" s="1"/>
  <c r="AK458" i="2"/>
  <c r="AJ458" i="2"/>
  <c r="AI458" i="2"/>
  <c r="AO457" i="2"/>
  <c r="AN457" i="2"/>
  <c r="AL457" i="2"/>
  <c r="AM457" i="2" s="1"/>
  <c r="AK457" i="2"/>
  <c r="AJ457" i="2"/>
  <c r="AI457" i="2"/>
  <c r="AO456" i="2"/>
  <c r="AN456" i="2"/>
  <c r="AL456" i="2"/>
  <c r="AM456" i="2" s="1"/>
  <c r="AK456" i="2"/>
  <c r="AJ456" i="2"/>
  <c r="AI456" i="2"/>
  <c r="AO455" i="2"/>
  <c r="AN455" i="2"/>
  <c r="AM455" i="2"/>
  <c r="AL455" i="2"/>
  <c r="AK455" i="2"/>
  <c r="AJ455" i="2"/>
  <c r="AI455" i="2"/>
  <c r="AO454" i="2"/>
  <c r="AN454" i="2"/>
  <c r="AL454" i="2"/>
  <c r="AM454" i="2" s="1"/>
  <c r="AK454" i="2"/>
  <c r="AJ454" i="2"/>
  <c r="AI454" i="2"/>
  <c r="AO453" i="2"/>
  <c r="AN453" i="2"/>
  <c r="AL453" i="2"/>
  <c r="AM453" i="2" s="1"/>
  <c r="AK453" i="2"/>
  <c r="AJ453" i="2"/>
  <c r="AI453" i="2"/>
  <c r="AO452" i="2"/>
  <c r="AN452" i="2"/>
  <c r="AL452" i="2"/>
  <c r="AM452" i="2" s="1"/>
  <c r="AK452" i="2"/>
  <c r="AJ452" i="2"/>
  <c r="AI452" i="2"/>
  <c r="AO451" i="2"/>
  <c r="AN451" i="2"/>
  <c r="AM451" i="2"/>
  <c r="AL451" i="2"/>
  <c r="AK451" i="2"/>
  <c r="AJ451" i="2"/>
  <c r="AI451" i="2"/>
  <c r="AO450" i="2"/>
  <c r="AN450" i="2"/>
  <c r="AL450" i="2"/>
  <c r="AM450" i="2" s="1"/>
  <c r="AK450" i="2"/>
  <c r="AJ450" i="2"/>
  <c r="AI450" i="2"/>
  <c r="AO449" i="2"/>
  <c r="AN449" i="2"/>
  <c r="AL449" i="2"/>
  <c r="AM449" i="2" s="1"/>
  <c r="AK449" i="2"/>
  <c r="AJ449" i="2"/>
  <c r="AI449" i="2"/>
  <c r="AO448" i="2"/>
  <c r="AN448" i="2"/>
  <c r="AM448" i="2"/>
  <c r="AL448" i="2"/>
  <c r="AK448" i="2"/>
  <c r="AJ448" i="2"/>
  <c r="AI448" i="2"/>
  <c r="AO447" i="2"/>
  <c r="AN447" i="2"/>
  <c r="AL447" i="2"/>
  <c r="AM447" i="2" s="1"/>
  <c r="AK447" i="2"/>
  <c r="AJ447" i="2"/>
  <c r="AI447" i="2"/>
  <c r="AO446" i="2"/>
  <c r="AN446" i="2"/>
  <c r="AL446" i="2"/>
  <c r="AM446" i="2" s="1"/>
  <c r="AK446" i="2"/>
  <c r="AJ446" i="2"/>
  <c r="AI446" i="2"/>
  <c r="AO445" i="2"/>
  <c r="AN445" i="2"/>
  <c r="AM445" i="2"/>
  <c r="AL445" i="2"/>
  <c r="AK445" i="2"/>
  <c r="AJ445" i="2"/>
  <c r="AI445" i="2"/>
  <c r="AO444" i="2"/>
  <c r="AN444" i="2"/>
  <c r="AM444" i="2"/>
  <c r="AL444" i="2"/>
  <c r="AK444" i="2"/>
  <c r="AJ444" i="2"/>
  <c r="AI444" i="2"/>
  <c r="AO443" i="2"/>
  <c r="AN443" i="2"/>
  <c r="AM443" i="2"/>
  <c r="AL443" i="2"/>
  <c r="AK443" i="2"/>
  <c r="AJ443" i="2"/>
  <c r="AI443" i="2"/>
  <c r="AO442" i="2"/>
  <c r="AN442" i="2"/>
  <c r="AL442" i="2"/>
  <c r="AM442" i="2" s="1"/>
  <c r="AK442" i="2"/>
  <c r="AJ442" i="2"/>
  <c r="AI442" i="2"/>
  <c r="AO441" i="2"/>
  <c r="AN441" i="2"/>
  <c r="AL441" i="2"/>
  <c r="AM441" i="2" s="1"/>
  <c r="AK441" i="2"/>
  <c r="AJ441" i="2"/>
  <c r="AI441" i="2"/>
  <c r="AO440" i="2"/>
  <c r="AN440" i="2"/>
  <c r="AL440" i="2"/>
  <c r="AM440" i="2" s="1"/>
  <c r="AK440" i="2"/>
  <c r="AJ440" i="2"/>
  <c r="AI440" i="2"/>
  <c r="AO439" i="2"/>
  <c r="AN439" i="2"/>
  <c r="AL439" i="2"/>
  <c r="AM439" i="2" s="1"/>
  <c r="AK439" i="2"/>
  <c r="AJ439" i="2"/>
  <c r="AI439" i="2"/>
  <c r="AO438" i="2"/>
  <c r="AN438" i="2"/>
  <c r="AM438" i="2"/>
  <c r="AL438" i="2"/>
  <c r="AK438" i="2"/>
  <c r="AJ438" i="2"/>
  <c r="AI438" i="2"/>
  <c r="AO437" i="2"/>
  <c r="AN437" i="2"/>
  <c r="AM437" i="2"/>
  <c r="AL437" i="2"/>
  <c r="AK437" i="2"/>
  <c r="AJ437" i="2"/>
  <c r="AI437" i="2"/>
  <c r="AO436" i="2"/>
  <c r="AN436" i="2"/>
  <c r="AM436" i="2"/>
  <c r="AL436" i="2"/>
  <c r="AK436" i="2"/>
  <c r="AJ436" i="2"/>
  <c r="AI436" i="2"/>
  <c r="AO435" i="2"/>
  <c r="AN435" i="2"/>
  <c r="AL435" i="2"/>
  <c r="AM435" i="2" s="1"/>
  <c r="AK435" i="2"/>
  <c r="AJ435" i="2"/>
  <c r="AI435" i="2"/>
  <c r="AO434" i="2"/>
  <c r="AN434" i="2"/>
  <c r="AL434" i="2"/>
  <c r="AM434" i="2" s="1"/>
  <c r="AK434" i="2"/>
  <c r="AJ434" i="2"/>
  <c r="AI434" i="2"/>
  <c r="AO433" i="2"/>
  <c r="AN433" i="2"/>
  <c r="AL433" i="2"/>
  <c r="AM433" i="2" s="1"/>
  <c r="AK433" i="2"/>
  <c r="AJ433" i="2"/>
  <c r="AI433" i="2"/>
  <c r="AO432" i="2"/>
  <c r="AN432" i="2"/>
  <c r="AL432" i="2"/>
  <c r="AM432" i="2" s="1"/>
  <c r="AK432" i="2"/>
  <c r="AJ432" i="2"/>
  <c r="AI432" i="2"/>
  <c r="AO431" i="2"/>
  <c r="AN431" i="2"/>
  <c r="AM431" i="2"/>
  <c r="AL431" i="2"/>
  <c r="AK431" i="2"/>
  <c r="AJ431" i="2"/>
  <c r="AI431" i="2"/>
  <c r="AO430" i="2"/>
  <c r="AN430" i="2"/>
  <c r="AM430" i="2"/>
  <c r="AL430" i="2"/>
  <c r="AK430" i="2"/>
  <c r="AJ430" i="2"/>
  <c r="AI430" i="2"/>
  <c r="AO429" i="2"/>
  <c r="AN429" i="2"/>
  <c r="AL429" i="2"/>
  <c r="AM429" i="2" s="1"/>
  <c r="AK429" i="2"/>
  <c r="AJ429" i="2"/>
  <c r="AI429" i="2"/>
  <c r="AO428" i="2"/>
  <c r="AN428" i="2"/>
  <c r="AL428" i="2"/>
  <c r="AM428" i="2" s="1"/>
  <c r="AK428" i="2"/>
  <c r="AJ428" i="2"/>
  <c r="AI428" i="2"/>
  <c r="AO427" i="2"/>
  <c r="AN427" i="2"/>
  <c r="AM427" i="2"/>
  <c r="AL427" i="2"/>
  <c r="AK427" i="2"/>
  <c r="AJ427" i="2"/>
  <c r="AI427" i="2"/>
  <c r="AO426" i="2"/>
  <c r="AN426" i="2"/>
  <c r="AL426" i="2"/>
  <c r="AM426" i="2" s="1"/>
  <c r="AK426" i="2"/>
  <c r="AJ426" i="2"/>
  <c r="AI426" i="2"/>
  <c r="AO425" i="2"/>
  <c r="AN425" i="2"/>
  <c r="AM425" i="2"/>
  <c r="AL425" i="2"/>
  <c r="AK425" i="2"/>
  <c r="AJ425" i="2"/>
  <c r="AI425" i="2"/>
  <c r="AO424" i="2"/>
  <c r="AN424" i="2"/>
  <c r="AM424" i="2"/>
  <c r="AL424" i="2"/>
  <c r="AK424" i="2"/>
  <c r="AJ424" i="2"/>
  <c r="AI424" i="2"/>
  <c r="AO423" i="2"/>
  <c r="AN423" i="2"/>
  <c r="AM423" i="2"/>
  <c r="AL423" i="2"/>
  <c r="AK423" i="2"/>
  <c r="AJ423" i="2"/>
  <c r="AI423" i="2"/>
  <c r="AO422" i="2"/>
  <c r="AN422" i="2"/>
  <c r="AL422" i="2"/>
  <c r="AM422" i="2" s="1"/>
  <c r="AK422" i="2"/>
  <c r="AJ422" i="2"/>
  <c r="AI422" i="2"/>
  <c r="AO421" i="2"/>
  <c r="AN421" i="2"/>
  <c r="AL421" i="2"/>
  <c r="AM421" i="2" s="1"/>
  <c r="AK421" i="2"/>
  <c r="AJ421" i="2"/>
  <c r="AI421" i="2"/>
  <c r="AO420" i="2"/>
  <c r="AN420" i="2"/>
  <c r="AL420" i="2"/>
  <c r="AM420" i="2" s="1"/>
  <c r="AK420" i="2"/>
  <c r="AJ420" i="2"/>
  <c r="AI420" i="2"/>
  <c r="AO419" i="2"/>
  <c r="AN419" i="2"/>
  <c r="AM419" i="2"/>
  <c r="AL419" i="2"/>
  <c r="AK419" i="2"/>
  <c r="AJ419" i="2"/>
  <c r="AI419" i="2"/>
  <c r="AO418" i="2"/>
  <c r="AN418" i="2"/>
  <c r="AM418" i="2"/>
  <c r="AL418" i="2"/>
  <c r="AK418" i="2"/>
  <c r="AJ418" i="2"/>
  <c r="AI418" i="2"/>
  <c r="AO417" i="2"/>
  <c r="AN417" i="2"/>
  <c r="AL417" i="2"/>
  <c r="AM417" i="2" s="1"/>
  <c r="AK417" i="2"/>
  <c r="AJ417" i="2"/>
  <c r="AI417" i="2"/>
  <c r="AO416" i="2"/>
  <c r="AN416" i="2"/>
  <c r="AM416" i="2"/>
  <c r="AL416" i="2"/>
  <c r="AK416" i="2"/>
  <c r="AJ416" i="2"/>
  <c r="AI416" i="2"/>
  <c r="AO415" i="2"/>
  <c r="AN415" i="2"/>
  <c r="AL415" i="2"/>
  <c r="AM415" i="2" s="1"/>
  <c r="AK415" i="2"/>
  <c r="AJ415" i="2"/>
  <c r="AI415" i="2"/>
  <c r="AO414" i="2"/>
  <c r="AN414" i="2"/>
  <c r="AL414" i="2"/>
  <c r="AM414" i="2" s="1"/>
  <c r="AK414" i="2"/>
  <c r="AJ414" i="2"/>
  <c r="AI414" i="2"/>
  <c r="AO413" i="2"/>
  <c r="AN413" i="2"/>
  <c r="AL413" i="2"/>
  <c r="AM413" i="2" s="1"/>
  <c r="AK413" i="2"/>
  <c r="AJ413" i="2"/>
  <c r="AI413" i="2"/>
  <c r="AO412" i="2"/>
  <c r="AN412" i="2"/>
  <c r="AM412" i="2"/>
  <c r="AL412" i="2"/>
  <c r="AK412" i="2"/>
  <c r="AJ412" i="2"/>
  <c r="AI412" i="2"/>
  <c r="AO411" i="2"/>
  <c r="AN411" i="2"/>
  <c r="AL411" i="2"/>
  <c r="AM411" i="2" s="1"/>
  <c r="AK411" i="2"/>
  <c r="AJ411" i="2"/>
  <c r="AI411" i="2"/>
  <c r="AO410" i="2"/>
  <c r="AN410" i="2"/>
  <c r="AL410" i="2"/>
  <c r="AM410" i="2" s="1"/>
  <c r="AK410" i="2"/>
  <c r="AJ410" i="2"/>
  <c r="AI410" i="2"/>
  <c r="AO409" i="2"/>
  <c r="AN409" i="2"/>
  <c r="AM409" i="2"/>
  <c r="AL409" i="2"/>
  <c r="AK409" i="2"/>
  <c r="AJ409" i="2"/>
  <c r="AI409" i="2"/>
  <c r="AO408" i="2"/>
  <c r="AN408" i="2"/>
  <c r="AL408" i="2"/>
  <c r="AM408" i="2" s="1"/>
  <c r="AK408" i="2"/>
  <c r="AJ408" i="2"/>
  <c r="AI408" i="2"/>
  <c r="AO407" i="2"/>
  <c r="AN407" i="2"/>
  <c r="AM407" i="2"/>
  <c r="AL407" i="2"/>
  <c r="AK407" i="2"/>
  <c r="AJ407" i="2"/>
  <c r="AI407" i="2"/>
  <c r="AO406" i="2"/>
  <c r="AN406" i="2"/>
  <c r="AL406" i="2"/>
  <c r="AM406" i="2" s="1"/>
  <c r="AK406" i="2"/>
  <c r="AJ406" i="2"/>
  <c r="AI406" i="2"/>
  <c r="AO405" i="2"/>
  <c r="AN405" i="2"/>
  <c r="AL405" i="2"/>
  <c r="AM405" i="2" s="1"/>
  <c r="AK405" i="2"/>
  <c r="AJ405" i="2"/>
  <c r="AI405" i="2"/>
  <c r="AO404" i="2"/>
  <c r="AN404" i="2"/>
  <c r="AL404" i="2"/>
  <c r="AM404" i="2" s="1"/>
  <c r="AK404" i="2"/>
  <c r="AJ404" i="2"/>
  <c r="AI404" i="2"/>
  <c r="AO403" i="2"/>
  <c r="AN403" i="2"/>
  <c r="AL403" i="2"/>
  <c r="AM403" i="2" s="1"/>
  <c r="AK403" i="2"/>
  <c r="AJ403" i="2"/>
  <c r="AI403" i="2"/>
  <c r="AO402" i="2"/>
  <c r="AN402" i="2"/>
  <c r="AM402" i="2"/>
  <c r="AL402" i="2"/>
  <c r="AK402" i="2"/>
  <c r="AJ402" i="2"/>
  <c r="AI402" i="2"/>
  <c r="AO401" i="2"/>
  <c r="AN401" i="2"/>
  <c r="AL401" i="2"/>
  <c r="AM401" i="2" s="1"/>
  <c r="AK401" i="2"/>
  <c r="AJ401" i="2"/>
  <c r="AI401" i="2"/>
  <c r="AO400" i="2"/>
  <c r="AN400" i="2"/>
  <c r="AM400" i="2"/>
  <c r="AL400" i="2"/>
  <c r="AK400" i="2"/>
  <c r="AJ400" i="2"/>
  <c r="AI400" i="2"/>
  <c r="AO399" i="2"/>
  <c r="AN399" i="2"/>
  <c r="AL399" i="2"/>
  <c r="AM399" i="2" s="1"/>
  <c r="AK399" i="2"/>
  <c r="AJ399" i="2"/>
  <c r="AI399" i="2"/>
  <c r="AO398" i="2"/>
  <c r="AN398" i="2"/>
  <c r="AL398" i="2"/>
  <c r="AM398" i="2" s="1"/>
  <c r="AK398" i="2"/>
  <c r="AJ398" i="2"/>
  <c r="AI398" i="2"/>
  <c r="AO397" i="2"/>
  <c r="AN397" i="2"/>
  <c r="AL397" i="2"/>
  <c r="AM397" i="2" s="1"/>
  <c r="AK397" i="2"/>
  <c r="AJ397" i="2"/>
  <c r="AI397" i="2"/>
  <c r="AO396" i="2"/>
  <c r="AN396" i="2"/>
  <c r="AL396" i="2"/>
  <c r="AM396" i="2" s="1"/>
  <c r="AK396" i="2"/>
  <c r="AJ396" i="2"/>
  <c r="AI396" i="2"/>
  <c r="AO395" i="2"/>
  <c r="AN395" i="2"/>
  <c r="AM395" i="2"/>
  <c r="AL395" i="2"/>
  <c r="AK395" i="2"/>
  <c r="AJ395" i="2"/>
  <c r="AI395" i="2"/>
  <c r="AO394" i="2"/>
  <c r="AN394" i="2"/>
  <c r="AL394" i="2"/>
  <c r="AM394" i="2" s="1"/>
  <c r="AK394" i="2"/>
  <c r="AJ394" i="2"/>
  <c r="AI394" i="2"/>
  <c r="AO393" i="2"/>
  <c r="AN393" i="2"/>
  <c r="AL393" i="2"/>
  <c r="AM393" i="2" s="1"/>
  <c r="AK393" i="2"/>
  <c r="AJ393" i="2"/>
  <c r="AI393" i="2"/>
  <c r="AO392" i="2"/>
  <c r="AN392" i="2"/>
  <c r="AL392" i="2"/>
  <c r="AM392" i="2" s="1"/>
  <c r="AK392" i="2"/>
  <c r="AJ392" i="2"/>
  <c r="AI392" i="2"/>
  <c r="AO391" i="2"/>
  <c r="AN391" i="2"/>
  <c r="AM391" i="2"/>
  <c r="AL391" i="2"/>
  <c r="AK391" i="2"/>
  <c r="AJ391" i="2"/>
  <c r="AI391" i="2"/>
  <c r="AO390" i="2"/>
  <c r="AN390" i="2"/>
  <c r="AL390" i="2"/>
  <c r="AM390" i="2" s="1"/>
  <c r="AK390" i="2"/>
  <c r="AJ390" i="2"/>
  <c r="AI390" i="2"/>
  <c r="AO389" i="2"/>
  <c r="AN389" i="2"/>
  <c r="AL389" i="2"/>
  <c r="AM389" i="2" s="1"/>
  <c r="AK389" i="2"/>
  <c r="AJ389" i="2"/>
  <c r="AI389" i="2"/>
  <c r="AO388" i="2"/>
  <c r="AN388" i="2"/>
  <c r="AM388" i="2"/>
  <c r="AL388" i="2"/>
  <c r="AK388" i="2"/>
  <c r="AJ388" i="2"/>
  <c r="AI388" i="2"/>
  <c r="AO387" i="2"/>
  <c r="AN387" i="2"/>
  <c r="AL387" i="2"/>
  <c r="AM387" i="2" s="1"/>
  <c r="AK387" i="2"/>
  <c r="AJ387" i="2"/>
  <c r="AI387" i="2"/>
  <c r="AO386" i="2"/>
  <c r="AN386" i="2"/>
  <c r="AL386" i="2"/>
  <c r="AM386" i="2" s="1"/>
  <c r="AK386" i="2"/>
  <c r="AJ386" i="2"/>
  <c r="AI386" i="2"/>
  <c r="AO385" i="2"/>
  <c r="AN385" i="2"/>
  <c r="AL385" i="2"/>
  <c r="AM385" i="2" s="1"/>
  <c r="AK385" i="2"/>
  <c r="AJ385" i="2"/>
  <c r="AI385" i="2"/>
  <c r="AO384" i="2"/>
  <c r="AN384" i="2"/>
  <c r="AM384" i="2"/>
  <c r="AL384" i="2"/>
  <c r="AK384" i="2"/>
  <c r="AJ384" i="2"/>
  <c r="AI384" i="2"/>
  <c r="AO383" i="2"/>
  <c r="AN383" i="2"/>
  <c r="AM383" i="2"/>
  <c r="AL383" i="2"/>
  <c r="AK383" i="2"/>
  <c r="AJ383" i="2"/>
  <c r="AI383" i="2"/>
  <c r="AO382" i="2"/>
  <c r="AN382" i="2"/>
  <c r="AL382" i="2"/>
  <c r="AM382" i="2" s="1"/>
  <c r="AK382" i="2"/>
  <c r="AJ382" i="2"/>
  <c r="AI382" i="2"/>
  <c r="AO381" i="2"/>
  <c r="AN381" i="2"/>
  <c r="AL381" i="2"/>
  <c r="AM381" i="2" s="1"/>
  <c r="AK381" i="2"/>
  <c r="AJ381" i="2"/>
  <c r="AI381" i="2"/>
  <c r="AO380" i="2"/>
  <c r="AN380" i="2"/>
  <c r="AM380" i="2"/>
  <c r="AL380" i="2"/>
  <c r="AK380" i="2"/>
  <c r="AJ380" i="2"/>
  <c r="AI380" i="2"/>
  <c r="AO379" i="2"/>
  <c r="AN379" i="2"/>
  <c r="AM379" i="2"/>
  <c r="AL379" i="2"/>
  <c r="AK379" i="2"/>
  <c r="AJ379" i="2"/>
  <c r="AI379" i="2"/>
  <c r="AO378" i="2"/>
  <c r="AN378" i="2"/>
  <c r="AL378" i="2"/>
  <c r="AM378" i="2" s="1"/>
  <c r="AK378" i="2"/>
  <c r="AJ378" i="2"/>
  <c r="AI378" i="2"/>
  <c r="AO377" i="2"/>
  <c r="AN377" i="2"/>
  <c r="AL377" i="2"/>
  <c r="AM377" i="2" s="1"/>
  <c r="AK377" i="2"/>
  <c r="AJ377" i="2"/>
  <c r="AI377" i="2"/>
  <c r="AO376" i="2"/>
  <c r="AN376" i="2"/>
  <c r="AM376" i="2"/>
  <c r="AL376" i="2"/>
  <c r="AK376" i="2"/>
  <c r="AJ376" i="2"/>
  <c r="AI376" i="2"/>
  <c r="AO375" i="2"/>
  <c r="AN375" i="2"/>
  <c r="AL375" i="2"/>
  <c r="AM375" i="2" s="1"/>
  <c r="AK375" i="2"/>
  <c r="AJ375" i="2"/>
  <c r="AI375" i="2"/>
  <c r="AO374" i="2"/>
  <c r="AN374" i="2"/>
  <c r="AL374" i="2"/>
  <c r="AM374" i="2" s="1"/>
  <c r="AK374" i="2"/>
  <c r="AJ374" i="2"/>
  <c r="AI374" i="2"/>
  <c r="AO373" i="2"/>
  <c r="AN373" i="2"/>
  <c r="AM373" i="2"/>
  <c r="AL373" i="2"/>
  <c r="AK373" i="2"/>
  <c r="AJ373" i="2"/>
  <c r="AI373" i="2"/>
  <c r="AO372" i="2"/>
  <c r="AN372" i="2"/>
  <c r="AM372" i="2"/>
  <c r="AL372" i="2"/>
  <c r="AK372" i="2"/>
  <c r="AJ372" i="2"/>
  <c r="AI372" i="2"/>
  <c r="AO371" i="2"/>
  <c r="AN371" i="2"/>
  <c r="AM371" i="2"/>
  <c r="AL371" i="2"/>
  <c r="AK371" i="2"/>
  <c r="AJ371" i="2"/>
  <c r="AI371" i="2"/>
  <c r="AO370" i="2"/>
  <c r="AN370" i="2"/>
  <c r="AL370" i="2"/>
  <c r="AM370" i="2" s="1"/>
  <c r="AK370" i="2"/>
  <c r="AJ370" i="2"/>
  <c r="AI370" i="2"/>
  <c r="AO369" i="2"/>
  <c r="AN369" i="2"/>
  <c r="AL369" i="2"/>
  <c r="AM369" i="2" s="1"/>
  <c r="AK369" i="2"/>
  <c r="AJ369" i="2"/>
  <c r="AI369" i="2"/>
  <c r="AO368" i="2"/>
  <c r="AN368" i="2"/>
  <c r="AL368" i="2"/>
  <c r="AM368" i="2" s="1"/>
  <c r="AK368" i="2"/>
  <c r="AJ368" i="2"/>
  <c r="AI368" i="2"/>
  <c r="AO367" i="2"/>
  <c r="AN367" i="2"/>
  <c r="AL367" i="2"/>
  <c r="AM367" i="2" s="1"/>
  <c r="AK367" i="2"/>
  <c r="AJ367" i="2"/>
  <c r="AI367" i="2"/>
  <c r="AO366" i="2"/>
  <c r="AN366" i="2"/>
  <c r="AL366" i="2"/>
  <c r="AM366" i="2" s="1"/>
  <c r="AK366" i="2"/>
  <c r="AJ366" i="2"/>
  <c r="AI366" i="2"/>
  <c r="AO365" i="2"/>
  <c r="AN365" i="2"/>
  <c r="AM365" i="2"/>
  <c r="AL365" i="2"/>
  <c r="AK365" i="2"/>
  <c r="AJ365" i="2"/>
  <c r="AI365" i="2"/>
  <c r="AO364" i="2"/>
  <c r="AN364" i="2"/>
  <c r="AM364" i="2"/>
  <c r="AL364" i="2"/>
  <c r="AK364" i="2"/>
  <c r="AJ364" i="2"/>
  <c r="AI364" i="2"/>
  <c r="AO363" i="2"/>
  <c r="AN363" i="2"/>
  <c r="AL363" i="2"/>
  <c r="AM363" i="2" s="1"/>
  <c r="AK363" i="2"/>
  <c r="AJ363" i="2"/>
  <c r="AI363" i="2"/>
  <c r="AO362" i="2"/>
  <c r="AN362" i="2"/>
  <c r="AL362" i="2"/>
  <c r="AM362" i="2" s="1"/>
  <c r="AK362" i="2"/>
  <c r="AJ362" i="2"/>
  <c r="AI362" i="2"/>
  <c r="AO361" i="2"/>
  <c r="AN361" i="2"/>
  <c r="AL361" i="2"/>
  <c r="AM361" i="2" s="1"/>
  <c r="AK361" i="2"/>
  <c r="AJ361" i="2"/>
  <c r="AI361" i="2"/>
  <c r="AO360" i="2"/>
  <c r="AN360" i="2"/>
  <c r="AM360" i="2"/>
  <c r="AL360" i="2"/>
  <c r="AK360" i="2"/>
  <c r="AJ360" i="2"/>
  <c r="AI360" i="2"/>
  <c r="AO359" i="2"/>
  <c r="AN359" i="2"/>
  <c r="AM359" i="2"/>
  <c r="AL359" i="2"/>
  <c r="AK359" i="2"/>
  <c r="AJ359" i="2"/>
  <c r="AI359" i="2"/>
  <c r="AO358" i="2"/>
  <c r="AN358" i="2"/>
  <c r="AM358" i="2"/>
  <c r="AL358" i="2"/>
  <c r="AK358" i="2"/>
  <c r="AJ358" i="2"/>
  <c r="AI358" i="2"/>
  <c r="AO357" i="2"/>
  <c r="AN357" i="2"/>
  <c r="AL357" i="2"/>
  <c r="AM357" i="2" s="1"/>
  <c r="AK357" i="2"/>
  <c r="AJ357" i="2"/>
  <c r="AI357" i="2"/>
  <c r="AO356" i="2"/>
  <c r="AN356" i="2"/>
  <c r="AL356" i="2"/>
  <c r="AM356" i="2" s="1"/>
  <c r="AK356" i="2"/>
  <c r="AJ356" i="2"/>
  <c r="AI356" i="2"/>
  <c r="AO355" i="2"/>
  <c r="AN355" i="2"/>
  <c r="AL355" i="2"/>
  <c r="AM355" i="2" s="1"/>
  <c r="AK355" i="2"/>
  <c r="AJ355" i="2"/>
  <c r="AI355" i="2"/>
  <c r="AO354" i="2"/>
  <c r="AN354" i="2"/>
  <c r="AL354" i="2"/>
  <c r="AM354" i="2" s="1"/>
  <c r="AK354" i="2"/>
  <c r="AJ354" i="2"/>
  <c r="AI354" i="2"/>
  <c r="AO353" i="2"/>
  <c r="AN353" i="2"/>
  <c r="AL353" i="2"/>
  <c r="AM353" i="2" s="1"/>
  <c r="AK353" i="2"/>
  <c r="AJ353" i="2"/>
  <c r="AI353" i="2"/>
  <c r="AO352" i="2"/>
  <c r="AN352" i="2"/>
  <c r="AM352" i="2"/>
  <c r="AL352" i="2"/>
  <c r="AK352" i="2"/>
  <c r="AJ352" i="2"/>
  <c r="AI352" i="2"/>
  <c r="AO351" i="2"/>
  <c r="AN351" i="2"/>
  <c r="AM351" i="2"/>
  <c r="AL351" i="2"/>
  <c r="AK351" i="2"/>
  <c r="AJ351" i="2"/>
  <c r="AI351" i="2"/>
  <c r="AO350" i="2"/>
  <c r="AN350" i="2"/>
  <c r="AL350" i="2"/>
  <c r="AM350" i="2" s="1"/>
  <c r="AK350" i="2"/>
  <c r="AJ350" i="2"/>
  <c r="AI350" i="2"/>
  <c r="AO349" i="2"/>
  <c r="AN349" i="2"/>
  <c r="AL349" i="2"/>
  <c r="AM349" i="2" s="1"/>
  <c r="AK349" i="2"/>
  <c r="AJ349" i="2"/>
  <c r="AI349" i="2"/>
  <c r="AO348" i="2"/>
  <c r="AN348" i="2"/>
  <c r="AL348" i="2"/>
  <c r="AM348" i="2" s="1"/>
  <c r="AK348" i="2"/>
  <c r="AJ348" i="2"/>
  <c r="AI348" i="2"/>
  <c r="AO347" i="2"/>
  <c r="AN347" i="2"/>
  <c r="AM347" i="2"/>
  <c r="AL347" i="2"/>
  <c r="AK347" i="2"/>
  <c r="AJ347" i="2"/>
  <c r="AI347" i="2"/>
  <c r="AO346" i="2"/>
  <c r="AN346" i="2"/>
  <c r="AL346" i="2"/>
  <c r="AM346" i="2" s="1"/>
  <c r="AK346" i="2"/>
  <c r="AJ346" i="2"/>
  <c r="AI346" i="2"/>
  <c r="AO345" i="2"/>
  <c r="AN345" i="2"/>
  <c r="AL345" i="2"/>
  <c r="AM345" i="2" s="1"/>
  <c r="AK345" i="2"/>
  <c r="AJ345" i="2"/>
  <c r="AI345" i="2"/>
  <c r="AO344" i="2"/>
  <c r="AN344" i="2"/>
  <c r="AM344" i="2"/>
  <c r="AL344" i="2"/>
  <c r="AK344" i="2"/>
  <c r="AJ344" i="2"/>
  <c r="AI344" i="2"/>
  <c r="AO343" i="2"/>
  <c r="AN343" i="2"/>
  <c r="AL343" i="2"/>
  <c r="AM343" i="2" s="1"/>
  <c r="AK343" i="2"/>
  <c r="AJ343" i="2"/>
  <c r="AI343" i="2"/>
  <c r="AO342" i="2"/>
  <c r="AN342" i="2"/>
  <c r="AL342" i="2"/>
  <c r="AM342" i="2" s="1"/>
  <c r="AK342" i="2"/>
  <c r="AJ342" i="2"/>
  <c r="AI342" i="2"/>
  <c r="AO341" i="2"/>
  <c r="AN341" i="2"/>
  <c r="AL341" i="2"/>
  <c r="AM341" i="2" s="1"/>
  <c r="AK341" i="2"/>
  <c r="AJ341" i="2"/>
  <c r="AI341" i="2"/>
  <c r="AO340" i="2"/>
  <c r="AN340" i="2"/>
  <c r="AM340" i="2"/>
  <c r="AL340" i="2"/>
  <c r="AK340" i="2"/>
  <c r="AJ340" i="2"/>
  <c r="AI340" i="2"/>
  <c r="AO339" i="2"/>
  <c r="AN339" i="2"/>
  <c r="AL339" i="2"/>
  <c r="AM339" i="2" s="1"/>
  <c r="AK339" i="2"/>
  <c r="AJ339" i="2"/>
  <c r="AI339" i="2"/>
  <c r="AO338" i="2"/>
  <c r="AN338" i="2"/>
  <c r="AL338" i="2"/>
  <c r="AM338" i="2" s="1"/>
  <c r="AK338" i="2"/>
  <c r="AJ338" i="2"/>
  <c r="AI338" i="2"/>
  <c r="AO337" i="2"/>
  <c r="AN337" i="2"/>
  <c r="AM337" i="2"/>
  <c r="AL337" i="2"/>
  <c r="AK337" i="2"/>
  <c r="AJ337" i="2"/>
  <c r="AI337" i="2"/>
  <c r="AO336" i="2"/>
  <c r="AN336" i="2"/>
  <c r="AL336" i="2"/>
  <c r="AM336" i="2" s="1"/>
  <c r="AK336" i="2"/>
  <c r="AJ336" i="2"/>
  <c r="AI336" i="2"/>
  <c r="AO335" i="2"/>
  <c r="AN335" i="2"/>
  <c r="AM335" i="2"/>
  <c r="AL335" i="2"/>
  <c r="AK335" i="2"/>
  <c r="AJ335" i="2"/>
  <c r="AI335" i="2"/>
  <c r="AO334" i="2"/>
  <c r="AN334" i="2"/>
  <c r="AL334" i="2"/>
  <c r="AM334" i="2" s="1"/>
  <c r="AK334" i="2"/>
  <c r="AJ334" i="2"/>
  <c r="AI334" i="2"/>
  <c r="AO333" i="2"/>
  <c r="AN333" i="2"/>
  <c r="AL333" i="2"/>
  <c r="AM333" i="2" s="1"/>
  <c r="AK333" i="2"/>
  <c r="AJ333" i="2"/>
  <c r="AI333" i="2"/>
  <c r="AO332" i="2"/>
  <c r="AN332" i="2"/>
  <c r="AL332" i="2"/>
  <c r="AM332" i="2" s="1"/>
  <c r="AK332" i="2"/>
  <c r="AJ332" i="2"/>
  <c r="AI332" i="2"/>
  <c r="AO331" i="2"/>
  <c r="AN331" i="2"/>
  <c r="AL331" i="2"/>
  <c r="AM331" i="2" s="1"/>
  <c r="AK331" i="2"/>
  <c r="AJ331" i="2"/>
  <c r="AI331" i="2"/>
  <c r="AO330" i="2"/>
  <c r="AN330" i="2"/>
  <c r="AM330" i="2"/>
  <c r="AL330" i="2"/>
  <c r="AK330" i="2"/>
  <c r="AJ330" i="2"/>
  <c r="AI330" i="2"/>
  <c r="AO329" i="2"/>
  <c r="AN329" i="2"/>
  <c r="AM329" i="2"/>
  <c r="AL329" i="2"/>
  <c r="AK329" i="2"/>
  <c r="AJ329" i="2"/>
  <c r="AI329" i="2"/>
  <c r="AO328" i="2"/>
  <c r="AN328" i="2"/>
  <c r="AM328" i="2"/>
  <c r="AL328" i="2"/>
  <c r="AK328" i="2"/>
  <c r="AJ328" i="2"/>
  <c r="AI328" i="2"/>
  <c r="AO327" i="2"/>
  <c r="AN327" i="2"/>
  <c r="AL327" i="2"/>
  <c r="AM327" i="2" s="1"/>
  <c r="AK327" i="2"/>
  <c r="AJ327" i="2"/>
  <c r="AI327" i="2"/>
  <c r="AO326" i="2"/>
  <c r="AN326" i="2"/>
  <c r="AL326" i="2"/>
  <c r="AM326" i="2" s="1"/>
  <c r="AK326" i="2"/>
  <c r="AJ326" i="2"/>
  <c r="AI326" i="2"/>
  <c r="AO325" i="2"/>
  <c r="AN325" i="2"/>
  <c r="AL325" i="2"/>
  <c r="AM325" i="2" s="1"/>
  <c r="AK325" i="2"/>
  <c r="AJ325" i="2"/>
  <c r="AI325" i="2"/>
  <c r="AO324" i="2"/>
  <c r="AN324" i="2"/>
  <c r="AL324" i="2"/>
  <c r="AM324" i="2" s="1"/>
  <c r="AK324" i="2"/>
  <c r="AJ324" i="2"/>
  <c r="AI324" i="2"/>
  <c r="AO323" i="2"/>
  <c r="AN323" i="2"/>
  <c r="AM323" i="2"/>
  <c r="AL323" i="2"/>
  <c r="AK323" i="2"/>
  <c r="AJ323" i="2"/>
  <c r="AI323" i="2"/>
  <c r="AO322" i="2"/>
  <c r="AN322" i="2"/>
  <c r="AL322" i="2"/>
  <c r="AM322" i="2" s="1"/>
  <c r="AK322" i="2"/>
  <c r="AJ322" i="2"/>
  <c r="AI322" i="2"/>
  <c r="AO321" i="2"/>
  <c r="AN321" i="2"/>
  <c r="AL321" i="2"/>
  <c r="AM321" i="2" s="1"/>
  <c r="AK321" i="2"/>
  <c r="AJ321" i="2"/>
  <c r="AI321" i="2"/>
  <c r="AO320" i="2"/>
  <c r="AN320" i="2"/>
  <c r="AM320" i="2"/>
  <c r="AL320" i="2"/>
  <c r="AK320" i="2"/>
  <c r="AJ320" i="2"/>
  <c r="AI320" i="2"/>
  <c r="AO319" i="2"/>
  <c r="AN319" i="2"/>
  <c r="AM319" i="2"/>
  <c r="AL319" i="2"/>
  <c r="AK319" i="2"/>
  <c r="AJ319" i="2"/>
  <c r="AI319" i="2"/>
  <c r="AO318" i="2"/>
  <c r="AN318" i="2"/>
  <c r="AL318" i="2"/>
  <c r="AM318" i="2" s="1"/>
  <c r="AK318" i="2"/>
  <c r="AJ318" i="2"/>
  <c r="AI318" i="2"/>
  <c r="AO317" i="2"/>
  <c r="AN317" i="2"/>
  <c r="AL317" i="2"/>
  <c r="AM317" i="2" s="1"/>
  <c r="AK317" i="2"/>
  <c r="AJ317" i="2"/>
  <c r="AI317" i="2"/>
  <c r="AO316" i="2"/>
  <c r="AN316" i="2"/>
  <c r="AM316" i="2"/>
  <c r="AL316" i="2"/>
  <c r="AK316" i="2"/>
  <c r="AJ316" i="2"/>
  <c r="AI316" i="2"/>
  <c r="AO315" i="2"/>
  <c r="AN315" i="2"/>
  <c r="AM315" i="2"/>
  <c r="AL315" i="2"/>
  <c r="AK315" i="2"/>
  <c r="AJ315" i="2"/>
  <c r="AI315" i="2"/>
  <c r="AO314" i="2"/>
  <c r="AN314" i="2"/>
  <c r="AL314" i="2"/>
  <c r="AM314" i="2" s="1"/>
  <c r="AK314" i="2"/>
  <c r="AJ314" i="2"/>
  <c r="AI314" i="2"/>
  <c r="AO313" i="2"/>
  <c r="AN313" i="2"/>
  <c r="AL313" i="2"/>
  <c r="AM313" i="2" s="1"/>
  <c r="AK313" i="2"/>
  <c r="AJ313" i="2"/>
  <c r="AI313" i="2"/>
  <c r="AO312" i="2"/>
  <c r="AN312" i="2"/>
  <c r="AM312" i="2"/>
  <c r="AL312" i="2"/>
  <c r="AK312" i="2"/>
  <c r="AJ312" i="2"/>
  <c r="AI312" i="2"/>
  <c r="AO311" i="2"/>
  <c r="AN311" i="2"/>
  <c r="AM311" i="2"/>
  <c r="AL311" i="2"/>
  <c r="AK311" i="2"/>
  <c r="AJ311" i="2"/>
  <c r="AI311" i="2"/>
  <c r="AO310" i="2"/>
  <c r="AN310" i="2"/>
  <c r="AL310" i="2"/>
  <c r="AM310" i="2" s="1"/>
  <c r="AK310" i="2"/>
  <c r="AJ310" i="2"/>
  <c r="AI310" i="2"/>
  <c r="AO309" i="2"/>
  <c r="AN309" i="2"/>
  <c r="AL309" i="2"/>
  <c r="AM309" i="2" s="1"/>
  <c r="AK309" i="2"/>
  <c r="AJ309" i="2"/>
  <c r="AI309" i="2"/>
  <c r="AO308" i="2"/>
  <c r="AN308" i="2"/>
  <c r="AM308" i="2"/>
  <c r="AL308" i="2"/>
  <c r="AK308" i="2"/>
  <c r="AJ308" i="2"/>
  <c r="AI308" i="2"/>
  <c r="AO307" i="2"/>
  <c r="AN307" i="2"/>
  <c r="AM307" i="2"/>
  <c r="AL307" i="2"/>
  <c r="AK307" i="2"/>
  <c r="AJ307" i="2"/>
  <c r="AI307" i="2"/>
  <c r="AO306" i="2"/>
  <c r="AN306" i="2"/>
  <c r="AM306" i="2"/>
  <c r="AL306" i="2"/>
  <c r="AK306" i="2"/>
  <c r="AJ306" i="2"/>
  <c r="AI306" i="2"/>
  <c r="AO305" i="2"/>
  <c r="AN305" i="2"/>
  <c r="AM305" i="2"/>
  <c r="AL305" i="2"/>
  <c r="AK305" i="2"/>
  <c r="AJ305" i="2"/>
  <c r="AI305" i="2"/>
  <c r="AO304" i="2"/>
  <c r="AN304" i="2"/>
  <c r="AM304" i="2"/>
  <c r="AL304" i="2"/>
  <c r="AK304" i="2"/>
  <c r="AJ304" i="2"/>
  <c r="AI304" i="2"/>
  <c r="AO303" i="2"/>
  <c r="AN303" i="2"/>
  <c r="AL303" i="2"/>
  <c r="AM303" i="2" s="1"/>
  <c r="AK303" i="2"/>
  <c r="AJ303" i="2"/>
  <c r="AI303" i="2"/>
  <c r="AO302" i="2"/>
  <c r="AN302" i="2"/>
  <c r="AL302" i="2"/>
  <c r="AM302" i="2" s="1"/>
  <c r="AK302" i="2"/>
  <c r="AJ302" i="2"/>
  <c r="AI302" i="2"/>
  <c r="AO301" i="2"/>
  <c r="AN301" i="2"/>
  <c r="AL301" i="2"/>
  <c r="AM301" i="2" s="1"/>
  <c r="AK301" i="2"/>
  <c r="AJ301" i="2"/>
  <c r="AI301" i="2"/>
  <c r="AO300" i="2"/>
  <c r="AN300" i="2"/>
  <c r="AM300" i="2"/>
  <c r="AL300" i="2"/>
  <c r="AK300" i="2"/>
  <c r="AJ300" i="2"/>
  <c r="AI300" i="2"/>
  <c r="AO299" i="2"/>
  <c r="AN299" i="2"/>
  <c r="AM299" i="2"/>
  <c r="AL299" i="2"/>
  <c r="AK299" i="2"/>
  <c r="AJ299" i="2"/>
  <c r="AI299" i="2"/>
  <c r="AO298" i="2"/>
  <c r="AN298" i="2"/>
  <c r="AL298" i="2"/>
  <c r="AM298" i="2" s="1"/>
  <c r="AK298" i="2"/>
  <c r="AJ298" i="2"/>
  <c r="AI298" i="2"/>
  <c r="AO297" i="2"/>
  <c r="AN297" i="2"/>
  <c r="AL297" i="2"/>
  <c r="AM297" i="2" s="1"/>
  <c r="AK297" i="2"/>
  <c r="AJ297" i="2"/>
  <c r="AI297" i="2"/>
  <c r="AO296" i="2"/>
  <c r="AN296" i="2"/>
  <c r="AL296" i="2"/>
  <c r="AM296" i="2" s="1"/>
  <c r="AK296" i="2"/>
  <c r="AJ296" i="2"/>
  <c r="AI296" i="2"/>
  <c r="AO295" i="2"/>
  <c r="AN295" i="2"/>
  <c r="AM295" i="2"/>
  <c r="AL295" i="2"/>
  <c r="AK295" i="2"/>
  <c r="AJ295" i="2"/>
  <c r="AI295" i="2"/>
  <c r="AO294" i="2"/>
  <c r="AN294" i="2"/>
  <c r="AL294" i="2"/>
  <c r="AM294" i="2" s="1"/>
  <c r="AK294" i="2"/>
  <c r="AJ294" i="2"/>
  <c r="AI294" i="2"/>
  <c r="AO293" i="2"/>
  <c r="AN293" i="2"/>
  <c r="AM293" i="2"/>
  <c r="AL293" i="2"/>
  <c r="AK293" i="2"/>
  <c r="AJ293" i="2"/>
  <c r="AI293" i="2"/>
  <c r="AO292" i="2"/>
  <c r="AN292" i="2"/>
  <c r="AM292" i="2"/>
  <c r="AL292" i="2"/>
  <c r="AK292" i="2"/>
  <c r="AJ292" i="2"/>
  <c r="AI292" i="2"/>
  <c r="AO291" i="2"/>
  <c r="AN291" i="2"/>
  <c r="AM291" i="2"/>
  <c r="AL291" i="2"/>
  <c r="AK291" i="2"/>
  <c r="AJ291" i="2"/>
  <c r="AI291" i="2"/>
  <c r="AO290" i="2"/>
  <c r="AN290" i="2"/>
  <c r="AL290" i="2"/>
  <c r="AM290" i="2" s="1"/>
  <c r="AK290" i="2"/>
  <c r="AJ290" i="2"/>
  <c r="AI290" i="2"/>
  <c r="AO289" i="2"/>
  <c r="AN289" i="2"/>
  <c r="AL289" i="2"/>
  <c r="AM289" i="2" s="1"/>
  <c r="AK289" i="2"/>
  <c r="AJ289" i="2"/>
  <c r="AI289" i="2"/>
  <c r="AO288" i="2"/>
  <c r="AN288" i="2"/>
  <c r="AM288" i="2"/>
  <c r="AL288" i="2"/>
  <c r="AK288" i="2"/>
  <c r="AJ288" i="2"/>
  <c r="AI288" i="2"/>
  <c r="AO287" i="2"/>
  <c r="AN287" i="2"/>
  <c r="AM287" i="2"/>
  <c r="AL287" i="2"/>
  <c r="AK287" i="2"/>
  <c r="AJ287" i="2"/>
  <c r="AI287" i="2"/>
  <c r="AO286" i="2"/>
  <c r="AN286" i="2"/>
  <c r="AM286" i="2"/>
  <c r="AL286" i="2"/>
  <c r="AK286" i="2"/>
  <c r="AJ286" i="2"/>
  <c r="AI286" i="2"/>
  <c r="AO285" i="2"/>
  <c r="AN285" i="2"/>
  <c r="AL285" i="2"/>
  <c r="AM285" i="2" s="1"/>
  <c r="AK285" i="2"/>
  <c r="AJ285" i="2"/>
  <c r="AI285" i="2"/>
  <c r="AO284" i="2"/>
  <c r="AN284" i="2"/>
  <c r="AL284" i="2"/>
  <c r="AM284" i="2" s="1"/>
  <c r="AK284" i="2"/>
  <c r="AJ284" i="2"/>
  <c r="AI284" i="2"/>
  <c r="AO283" i="2"/>
  <c r="AN283" i="2"/>
  <c r="AL283" i="2"/>
  <c r="AM283" i="2" s="1"/>
  <c r="AK283" i="2"/>
  <c r="AJ283" i="2"/>
  <c r="AI283" i="2"/>
  <c r="AO282" i="2"/>
  <c r="AN282" i="2"/>
  <c r="AL282" i="2"/>
  <c r="AM282" i="2" s="1"/>
  <c r="AK282" i="2"/>
  <c r="AJ282" i="2"/>
  <c r="AI282" i="2"/>
  <c r="AO281" i="2"/>
  <c r="AN281" i="2"/>
  <c r="AL281" i="2"/>
  <c r="AM281" i="2" s="1"/>
  <c r="AK281" i="2"/>
  <c r="AJ281" i="2"/>
  <c r="AI281" i="2"/>
  <c r="AO280" i="2"/>
  <c r="AN280" i="2"/>
  <c r="AM280" i="2"/>
  <c r="AL280" i="2"/>
  <c r="AK280" i="2"/>
  <c r="AJ280" i="2"/>
  <c r="AI280" i="2"/>
  <c r="AO279" i="2"/>
  <c r="AN279" i="2"/>
  <c r="AM279" i="2"/>
  <c r="AL279" i="2"/>
  <c r="AK279" i="2"/>
  <c r="AJ279" i="2"/>
  <c r="AI279" i="2"/>
  <c r="AO278" i="2"/>
  <c r="AN278" i="2"/>
  <c r="AL278" i="2"/>
  <c r="AM278" i="2" s="1"/>
  <c r="AK278" i="2"/>
  <c r="AJ278" i="2"/>
  <c r="AI278" i="2"/>
  <c r="AO277" i="2"/>
  <c r="AN277" i="2"/>
  <c r="AL277" i="2"/>
  <c r="AM277" i="2" s="1"/>
  <c r="AK277" i="2"/>
  <c r="AJ277" i="2"/>
  <c r="AI277" i="2"/>
  <c r="AO276" i="2"/>
  <c r="AN276" i="2"/>
  <c r="AL276" i="2"/>
  <c r="AM276" i="2" s="1"/>
  <c r="AK276" i="2"/>
  <c r="AJ276" i="2"/>
  <c r="AI276" i="2"/>
  <c r="AO275" i="2"/>
  <c r="AN275" i="2"/>
  <c r="AM275" i="2"/>
  <c r="AL275" i="2"/>
  <c r="AK275" i="2"/>
  <c r="AJ275" i="2"/>
  <c r="AI275" i="2"/>
  <c r="AO274" i="2"/>
  <c r="AN274" i="2"/>
  <c r="AL274" i="2"/>
  <c r="AM274" i="2" s="1"/>
  <c r="AK274" i="2"/>
  <c r="AJ274" i="2"/>
  <c r="AI274" i="2"/>
  <c r="AO273" i="2"/>
  <c r="AN273" i="2"/>
  <c r="AL273" i="2"/>
  <c r="AM273" i="2" s="1"/>
  <c r="AK273" i="2"/>
  <c r="AJ273" i="2"/>
  <c r="AI273" i="2"/>
  <c r="AO272" i="2"/>
  <c r="AN272" i="2"/>
  <c r="AM272" i="2"/>
  <c r="AL272" i="2"/>
  <c r="AK272" i="2"/>
  <c r="AJ272" i="2"/>
  <c r="AI272" i="2"/>
  <c r="AO271" i="2"/>
  <c r="AN271" i="2"/>
  <c r="AL271" i="2"/>
  <c r="AM271" i="2" s="1"/>
  <c r="AK271" i="2"/>
  <c r="AJ271" i="2"/>
  <c r="AI271" i="2"/>
  <c r="AO270" i="2"/>
  <c r="AN270" i="2"/>
  <c r="AL270" i="2"/>
  <c r="AM270" i="2" s="1"/>
  <c r="AK270" i="2"/>
  <c r="AJ270" i="2"/>
  <c r="AI270" i="2"/>
  <c r="AO269" i="2"/>
  <c r="AN269" i="2"/>
  <c r="AL269" i="2"/>
  <c r="AM269" i="2" s="1"/>
  <c r="AK269" i="2"/>
  <c r="AJ269" i="2"/>
  <c r="AI269" i="2"/>
  <c r="AO268" i="2"/>
  <c r="AN268" i="2"/>
  <c r="AM268" i="2"/>
  <c r="AL268" i="2"/>
  <c r="AK268" i="2"/>
  <c r="AJ268" i="2"/>
  <c r="AI268" i="2"/>
  <c r="AO267" i="2"/>
  <c r="AN267" i="2"/>
  <c r="AL267" i="2"/>
  <c r="AM267" i="2" s="1"/>
  <c r="AK267" i="2"/>
  <c r="AJ267" i="2"/>
  <c r="AI267" i="2"/>
  <c r="AO266" i="2"/>
  <c r="AN266" i="2"/>
  <c r="AL266" i="2"/>
  <c r="AM266" i="2" s="1"/>
  <c r="AK266" i="2"/>
  <c r="AJ266" i="2"/>
  <c r="AI266" i="2"/>
  <c r="AO265" i="2"/>
  <c r="AN265" i="2"/>
  <c r="AM265" i="2"/>
  <c r="AL265" i="2"/>
  <c r="AK265" i="2"/>
  <c r="AJ265" i="2"/>
  <c r="AI265" i="2"/>
  <c r="AO264" i="2"/>
  <c r="AN264" i="2"/>
  <c r="AL264" i="2"/>
  <c r="AM264" i="2" s="1"/>
  <c r="AK264" i="2"/>
  <c r="AJ264" i="2"/>
  <c r="AI264" i="2"/>
  <c r="AO263" i="2"/>
  <c r="AN263" i="2"/>
  <c r="AM263" i="2"/>
  <c r="AL263" i="2"/>
  <c r="AK263" i="2"/>
  <c r="AJ263" i="2"/>
  <c r="AI263" i="2"/>
  <c r="AO262" i="2"/>
  <c r="AN262" i="2"/>
  <c r="AL262" i="2"/>
  <c r="AM262" i="2" s="1"/>
  <c r="AK262" i="2"/>
  <c r="AJ262" i="2"/>
  <c r="AI262" i="2"/>
  <c r="AO261" i="2"/>
  <c r="AN261" i="2"/>
  <c r="AL261" i="2"/>
  <c r="AM261" i="2" s="1"/>
  <c r="AK261" i="2"/>
  <c r="AJ261" i="2"/>
  <c r="AI261" i="2"/>
  <c r="AO260" i="2"/>
  <c r="AN260" i="2"/>
  <c r="AL260" i="2"/>
  <c r="AM260" i="2" s="1"/>
  <c r="AK260" i="2"/>
  <c r="AJ260" i="2"/>
  <c r="AI260" i="2"/>
  <c r="AO259" i="2"/>
  <c r="AN259" i="2"/>
  <c r="AL259" i="2"/>
  <c r="AM259" i="2" s="1"/>
  <c r="AK259" i="2"/>
  <c r="AJ259" i="2"/>
  <c r="AI259" i="2"/>
  <c r="AO258" i="2"/>
  <c r="AN258" i="2"/>
  <c r="AM258" i="2"/>
  <c r="AL258" i="2"/>
  <c r="AK258" i="2"/>
  <c r="AJ258" i="2"/>
  <c r="AI258" i="2"/>
  <c r="AO257" i="2"/>
  <c r="AN257" i="2"/>
  <c r="AM257" i="2"/>
  <c r="AL257" i="2"/>
  <c r="AK257" i="2"/>
  <c r="AJ257" i="2"/>
  <c r="AI257" i="2"/>
  <c r="AO256" i="2"/>
  <c r="AN256" i="2"/>
  <c r="AM256" i="2"/>
  <c r="AL256" i="2"/>
  <c r="AK256" i="2"/>
  <c r="AJ256" i="2"/>
  <c r="AI256" i="2"/>
  <c r="AO255" i="2"/>
  <c r="AN255" i="2"/>
  <c r="AL255" i="2"/>
  <c r="AM255" i="2" s="1"/>
  <c r="AK255" i="2"/>
  <c r="AJ255" i="2"/>
  <c r="AI255" i="2"/>
  <c r="AO254" i="2"/>
  <c r="AN254" i="2"/>
  <c r="AL254" i="2"/>
  <c r="AM254" i="2" s="1"/>
  <c r="AK254" i="2"/>
  <c r="AJ254" i="2"/>
  <c r="AI254" i="2"/>
  <c r="AO253" i="2"/>
  <c r="AN253" i="2"/>
  <c r="AL253" i="2"/>
  <c r="AM253" i="2" s="1"/>
  <c r="AK253" i="2"/>
  <c r="AJ253" i="2"/>
  <c r="AI253" i="2"/>
  <c r="AO252" i="2"/>
  <c r="AN252" i="2"/>
  <c r="AL252" i="2"/>
  <c r="AM252" i="2" s="1"/>
  <c r="AK252" i="2"/>
  <c r="AJ252" i="2"/>
  <c r="AI252" i="2"/>
  <c r="AO251" i="2"/>
  <c r="AN251" i="2"/>
  <c r="AM251" i="2"/>
  <c r="AL251" i="2"/>
  <c r="AK251" i="2"/>
  <c r="AJ251" i="2"/>
  <c r="AI251" i="2"/>
  <c r="AO250" i="2"/>
  <c r="AN250" i="2"/>
  <c r="AL250" i="2"/>
  <c r="AM250" i="2" s="1"/>
  <c r="AK250" i="2"/>
  <c r="AJ250" i="2"/>
  <c r="AI250" i="2"/>
  <c r="AO249" i="2"/>
  <c r="AN249" i="2"/>
  <c r="AL249" i="2"/>
  <c r="AM249" i="2" s="1"/>
  <c r="AK249" i="2"/>
  <c r="AJ249" i="2"/>
  <c r="AI249" i="2"/>
  <c r="AO248" i="2"/>
  <c r="AN248" i="2"/>
  <c r="AM248" i="2"/>
  <c r="AL248" i="2"/>
  <c r="AK248" i="2"/>
  <c r="AJ248" i="2"/>
  <c r="AI248" i="2"/>
  <c r="AO247" i="2"/>
  <c r="AN247" i="2"/>
  <c r="AM247" i="2"/>
  <c r="AL247" i="2"/>
  <c r="AK247" i="2"/>
  <c r="AJ247" i="2"/>
  <c r="AI247" i="2"/>
  <c r="AO246" i="2"/>
  <c r="AN246" i="2"/>
  <c r="AL246" i="2"/>
  <c r="AM246" i="2" s="1"/>
  <c r="AK246" i="2"/>
  <c r="AJ246" i="2"/>
  <c r="AI246" i="2"/>
  <c r="AO245" i="2"/>
  <c r="AN245" i="2"/>
  <c r="AL245" i="2"/>
  <c r="AM245" i="2" s="1"/>
  <c r="AK245" i="2"/>
  <c r="AJ245" i="2"/>
  <c r="AI245" i="2"/>
  <c r="AO244" i="2"/>
  <c r="AN244" i="2"/>
  <c r="AM244" i="2"/>
  <c r="AL244" i="2"/>
  <c r="AK244" i="2"/>
  <c r="AJ244" i="2"/>
  <c r="AI244" i="2"/>
  <c r="AO243" i="2"/>
  <c r="AN243" i="2"/>
  <c r="AM243" i="2"/>
  <c r="AL243" i="2"/>
  <c r="AK243" i="2"/>
  <c r="AJ243" i="2"/>
  <c r="AI243" i="2"/>
  <c r="AO242" i="2"/>
  <c r="AN242" i="2"/>
  <c r="AL242" i="2"/>
  <c r="AM242" i="2" s="1"/>
  <c r="AK242" i="2"/>
  <c r="AJ242" i="2"/>
  <c r="AI242" i="2"/>
  <c r="AO241" i="2"/>
  <c r="AN241" i="2"/>
  <c r="AL241" i="2"/>
  <c r="AM241" i="2" s="1"/>
  <c r="AK241" i="2"/>
  <c r="AJ241" i="2"/>
  <c r="AI241" i="2"/>
  <c r="AO240" i="2"/>
  <c r="AN240" i="2"/>
  <c r="AM240" i="2"/>
  <c r="AL240" i="2"/>
  <c r="AK240" i="2"/>
  <c r="AJ240" i="2"/>
  <c r="AI240" i="2"/>
  <c r="AO239" i="2"/>
  <c r="AN239" i="2"/>
  <c r="AM239" i="2"/>
  <c r="AL239" i="2"/>
  <c r="AK239" i="2"/>
  <c r="AJ239" i="2"/>
  <c r="AI239" i="2"/>
  <c r="AO238" i="2"/>
  <c r="AN238" i="2"/>
  <c r="AL238" i="2"/>
  <c r="AM238" i="2" s="1"/>
  <c r="AK238" i="2"/>
  <c r="AJ238" i="2"/>
  <c r="AI238" i="2"/>
  <c r="AO237" i="2"/>
  <c r="AN237" i="2"/>
  <c r="AL237" i="2"/>
  <c r="AM237" i="2" s="1"/>
  <c r="AK237" i="2"/>
  <c r="AJ237" i="2"/>
  <c r="AI237" i="2"/>
  <c r="AO236" i="2"/>
  <c r="AN236" i="2"/>
  <c r="AM236" i="2"/>
  <c r="AL236" i="2"/>
  <c r="AK236" i="2"/>
  <c r="AJ236" i="2"/>
  <c r="AI236" i="2"/>
  <c r="AO235" i="2"/>
  <c r="AN235" i="2"/>
  <c r="AM235" i="2"/>
  <c r="AL235" i="2"/>
  <c r="AK235" i="2"/>
  <c r="AJ235" i="2"/>
  <c r="AI235" i="2"/>
  <c r="AO234" i="2"/>
  <c r="AN234" i="2"/>
  <c r="AM234" i="2"/>
  <c r="AL234" i="2"/>
  <c r="AK234" i="2"/>
  <c r="AJ234" i="2"/>
  <c r="AI234" i="2"/>
  <c r="AO233" i="2"/>
  <c r="AN233" i="2"/>
  <c r="AM233" i="2"/>
  <c r="AL233" i="2"/>
  <c r="AK233" i="2"/>
  <c r="AJ233" i="2"/>
  <c r="AI233" i="2"/>
  <c r="AO232" i="2"/>
  <c r="AN232" i="2"/>
  <c r="AM232" i="2"/>
  <c r="AL232" i="2"/>
  <c r="AK232" i="2"/>
  <c r="AJ232" i="2"/>
  <c r="AI232" i="2"/>
  <c r="AO231" i="2"/>
  <c r="AN231" i="2"/>
  <c r="AL231" i="2"/>
  <c r="AM231" i="2" s="1"/>
  <c r="AK231" i="2"/>
  <c r="AJ231" i="2"/>
  <c r="AI231" i="2"/>
  <c r="AO230" i="2"/>
  <c r="AN230" i="2"/>
  <c r="AL230" i="2"/>
  <c r="AM230" i="2" s="1"/>
  <c r="AK230" i="2"/>
  <c r="AJ230" i="2"/>
  <c r="AI230" i="2"/>
  <c r="AO229" i="2"/>
  <c r="AN229" i="2"/>
  <c r="AL229" i="2"/>
  <c r="AM229" i="2" s="1"/>
  <c r="AK229" i="2"/>
  <c r="AJ229" i="2"/>
  <c r="AI229" i="2"/>
  <c r="AO228" i="2"/>
  <c r="AN228" i="2"/>
  <c r="AM228" i="2"/>
  <c r="AL228" i="2"/>
  <c r="AK228" i="2"/>
  <c r="AJ228" i="2"/>
  <c r="AI228" i="2"/>
  <c r="AO227" i="2"/>
  <c r="AN227" i="2"/>
  <c r="AM227" i="2"/>
  <c r="AL227" i="2"/>
  <c r="AK227" i="2"/>
  <c r="AJ227" i="2"/>
  <c r="AI227" i="2"/>
  <c r="AO226" i="2"/>
  <c r="AN226" i="2"/>
  <c r="AM226" i="2"/>
  <c r="AL226" i="2"/>
  <c r="AK226" i="2"/>
  <c r="AJ226" i="2"/>
  <c r="AI226" i="2"/>
  <c r="AO225" i="2"/>
  <c r="AN225" i="2"/>
  <c r="AL225" i="2"/>
  <c r="AM225" i="2" s="1"/>
  <c r="AK225" i="2"/>
  <c r="AJ225" i="2"/>
  <c r="AI225" i="2"/>
  <c r="AO224" i="2"/>
  <c r="AN224" i="2"/>
  <c r="AL224" i="2"/>
  <c r="AM224" i="2" s="1"/>
  <c r="AK224" i="2"/>
  <c r="AJ224" i="2"/>
  <c r="AI224" i="2"/>
  <c r="AO223" i="2"/>
  <c r="AN223" i="2"/>
  <c r="AL223" i="2"/>
  <c r="AM223" i="2" s="1"/>
  <c r="AK223" i="2"/>
  <c r="AJ223" i="2"/>
  <c r="AI223" i="2"/>
  <c r="AO222" i="2"/>
  <c r="AN222" i="2"/>
  <c r="AL222" i="2"/>
  <c r="AM222" i="2" s="1"/>
  <c r="AK222" i="2"/>
  <c r="AJ222" i="2"/>
  <c r="AI222" i="2"/>
  <c r="AO221" i="2"/>
  <c r="AN221" i="2"/>
  <c r="AM221" i="2"/>
  <c r="AL221" i="2"/>
  <c r="AK221" i="2"/>
  <c r="AJ221" i="2"/>
  <c r="AI221" i="2"/>
  <c r="AO220" i="2"/>
  <c r="AN220" i="2"/>
  <c r="AM220" i="2"/>
  <c r="AL220" i="2"/>
  <c r="AK220" i="2"/>
  <c r="AJ220" i="2"/>
  <c r="AI220" i="2"/>
  <c r="AO219" i="2"/>
  <c r="AN219" i="2"/>
  <c r="AM219" i="2"/>
  <c r="AL219" i="2"/>
  <c r="AK219" i="2"/>
  <c r="AJ219" i="2"/>
  <c r="AI219" i="2"/>
  <c r="AO218" i="2"/>
  <c r="AN218" i="2"/>
  <c r="AM218" i="2"/>
  <c r="AL218" i="2"/>
  <c r="AK218" i="2"/>
  <c r="AJ218" i="2"/>
  <c r="AI218" i="2"/>
  <c r="AO217" i="2"/>
  <c r="AN217" i="2"/>
  <c r="AL217" i="2"/>
  <c r="AM217" i="2" s="1"/>
  <c r="AK217" i="2"/>
  <c r="AJ217" i="2"/>
  <c r="AI217" i="2"/>
  <c r="AO216" i="2"/>
  <c r="AN216" i="2"/>
  <c r="AM216" i="2"/>
  <c r="AL216" i="2"/>
  <c r="AK216" i="2"/>
  <c r="AJ216" i="2"/>
  <c r="AI216" i="2"/>
  <c r="AO215" i="2"/>
  <c r="AN215" i="2"/>
  <c r="AL215" i="2"/>
  <c r="AM215" i="2" s="1"/>
  <c r="AK215" i="2"/>
  <c r="AJ215" i="2"/>
  <c r="AI215" i="2"/>
  <c r="AO214" i="2"/>
  <c r="AN214" i="2"/>
  <c r="AL214" i="2"/>
  <c r="AM214" i="2" s="1"/>
  <c r="AK214" i="2"/>
  <c r="AJ214" i="2"/>
  <c r="AI214" i="2"/>
  <c r="AO213" i="2"/>
  <c r="AN213" i="2"/>
  <c r="AL213" i="2"/>
  <c r="AM213" i="2" s="1"/>
  <c r="AK213" i="2"/>
  <c r="AJ213" i="2"/>
  <c r="AI213" i="2"/>
  <c r="AO212" i="2"/>
  <c r="AN212" i="2"/>
  <c r="AM212" i="2"/>
  <c r="AL212" i="2"/>
  <c r="AK212" i="2"/>
  <c r="AJ212" i="2"/>
  <c r="AI212" i="2"/>
  <c r="AO211" i="2"/>
  <c r="AN211" i="2"/>
  <c r="AM211" i="2"/>
  <c r="AL211" i="2"/>
  <c r="AK211" i="2"/>
  <c r="AJ211" i="2"/>
  <c r="AI211" i="2"/>
  <c r="AO210" i="2"/>
  <c r="AN210" i="2"/>
  <c r="AL210" i="2"/>
  <c r="AM210" i="2" s="1"/>
  <c r="AK210" i="2"/>
  <c r="AJ210" i="2"/>
  <c r="AI210" i="2"/>
  <c r="AO209" i="2"/>
  <c r="AN209" i="2"/>
  <c r="AM209" i="2"/>
  <c r="AL209" i="2"/>
  <c r="AK209" i="2"/>
  <c r="AJ209" i="2"/>
  <c r="AI209" i="2"/>
  <c r="AO208" i="2"/>
  <c r="AN208" i="2"/>
  <c r="AM208" i="2"/>
  <c r="AL208" i="2"/>
  <c r="AK208" i="2"/>
  <c r="AJ208" i="2"/>
  <c r="AI208" i="2"/>
  <c r="AO207" i="2"/>
  <c r="AN207" i="2"/>
  <c r="AL207" i="2"/>
  <c r="AM207" i="2" s="1"/>
  <c r="AK207" i="2"/>
  <c r="AJ207" i="2"/>
  <c r="AI207" i="2"/>
  <c r="AO206" i="2"/>
  <c r="AN206" i="2"/>
  <c r="AL206" i="2"/>
  <c r="AM206" i="2" s="1"/>
  <c r="AK206" i="2"/>
  <c r="AJ206" i="2"/>
  <c r="AI206" i="2"/>
  <c r="AO205" i="2"/>
  <c r="AN205" i="2"/>
  <c r="AL205" i="2"/>
  <c r="AM205" i="2" s="1"/>
  <c r="AK205" i="2"/>
  <c r="AJ205" i="2"/>
  <c r="AI205" i="2"/>
  <c r="AO204" i="2"/>
  <c r="AN204" i="2"/>
  <c r="AL204" i="2"/>
  <c r="AM204" i="2" s="1"/>
  <c r="AK204" i="2"/>
  <c r="AJ204" i="2"/>
  <c r="AI204" i="2"/>
  <c r="AO203" i="2"/>
  <c r="AN203" i="2"/>
  <c r="AL203" i="2"/>
  <c r="AM203" i="2" s="1"/>
  <c r="AK203" i="2"/>
  <c r="AJ203" i="2"/>
  <c r="AI203" i="2"/>
  <c r="AO202" i="2"/>
  <c r="AN202" i="2"/>
  <c r="AM202" i="2"/>
  <c r="AL202" i="2"/>
  <c r="AK202" i="2"/>
  <c r="AJ202" i="2"/>
  <c r="AI202" i="2"/>
  <c r="AO201" i="2"/>
  <c r="AN201" i="2"/>
  <c r="AL201" i="2"/>
  <c r="AM201" i="2" s="1"/>
  <c r="AK201" i="2"/>
  <c r="AJ201" i="2"/>
  <c r="AI201" i="2"/>
  <c r="AO200" i="2"/>
  <c r="AN200" i="2"/>
  <c r="AL200" i="2"/>
  <c r="AM200" i="2" s="1"/>
  <c r="AK200" i="2"/>
  <c r="AJ200" i="2"/>
  <c r="AI200" i="2"/>
  <c r="AO199" i="2"/>
  <c r="AN199" i="2"/>
  <c r="AL199" i="2"/>
  <c r="AM199" i="2" s="1"/>
  <c r="AK199" i="2"/>
  <c r="AJ199" i="2"/>
  <c r="AI199" i="2"/>
  <c r="AO198" i="2"/>
  <c r="AN198" i="2"/>
  <c r="AL198" i="2"/>
  <c r="AM198" i="2" s="1"/>
  <c r="AK198" i="2"/>
  <c r="AJ198" i="2"/>
  <c r="AI198" i="2"/>
  <c r="AO197" i="2"/>
  <c r="AN197" i="2"/>
  <c r="AL197" i="2"/>
  <c r="AM197" i="2" s="1"/>
  <c r="AK197" i="2"/>
  <c r="AJ197" i="2"/>
  <c r="AI197" i="2"/>
  <c r="AO196" i="2"/>
  <c r="AN196" i="2"/>
  <c r="AM196" i="2"/>
  <c r="AL196" i="2"/>
  <c r="AK196" i="2"/>
  <c r="AJ196" i="2"/>
  <c r="AI196" i="2"/>
  <c r="AO195" i="2"/>
  <c r="AN195" i="2"/>
  <c r="AM195" i="2"/>
  <c r="AL195" i="2"/>
  <c r="AK195" i="2"/>
  <c r="AJ195" i="2"/>
  <c r="AI195" i="2"/>
  <c r="AO194" i="2"/>
  <c r="AN194" i="2"/>
  <c r="AL194" i="2"/>
  <c r="AM194" i="2" s="1"/>
  <c r="AK194" i="2"/>
  <c r="AJ194" i="2"/>
  <c r="AI194" i="2"/>
  <c r="AO193" i="2"/>
  <c r="AN193" i="2"/>
  <c r="AM193" i="2"/>
  <c r="AL193" i="2"/>
  <c r="AK193" i="2"/>
  <c r="AJ193" i="2"/>
  <c r="AI193" i="2"/>
  <c r="AO192" i="2"/>
  <c r="AN192" i="2"/>
  <c r="AL192" i="2"/>
  <c r="AM192" i="2" s="1"/>
  <c r="AK192" i="2"/>
  <c r="AJ192" i="2"/>
  <c r="AI192" i="2"/>
  <c r="AO191" i="2"/>
  <c r="AN191" i="2"/>
  <c r="AL191" i="2"/>
  <c r="AM191" i="2" s="1"/>
  <c r="AK191" i="2"/>
  <c r="AJ191" i="2"/>
  <c r="AI191" i="2"/>
  <c r="AO190" i="2"/>
  <c r="AN190" i="2"/>
  <c r="AM190" i="2"/>
  <c r="AL190" i="2"/>
  <c r="AK190" i="2"/>
  <c r="AJ190" i="2"/>
  <c r="AI190" i="2"/>
  <c r="AO189" i="2"/>
  <c r="AN189" i="2"/>
  <c r="AL189" i="2"/>
  <c r="AM189" i="2" s="1"/>
  <c r="AK189" i="2"/>
  <c r="AJ189" i="2"/>
  <c r="AI189" i="2"/>
  <c r="AO188" i="2"/>
  <c r="AN188" i="2"/>
  <c r="AM188" i="2"/>
  <c r="AL188" i="2"/>
  <c r="AK188" i="2"/>
  <c r="AJ188" i="2"/>
  <c r="AI188" i="2"/>
  <c r="AO187" i="2"/>
  <c r="AN187" i="2"/>
  <c r="AM187" i="2"/>
  <c r="AL187" i="2"/>
  <c r="AK187" i="2"/>
  <c r="AJ187" i="2"/>
  <c r="AI187" i="2"/>
  <c r="AO186" i="2"/>
  <c r="AN186" i="2"/>
  <c r="AM186" i="2"/>
  <c r="AL186" i="2"/>
  <c r="AK186" i="2"/>
  <c r="AJ186" i="2"/>
  <c r="AI186" i="2"/>
  <c r="AO185" i="2"/>
  <c r="AN185" i="2"/>
  <c r="AL185" i="2"/>
  <c r="AM185" i="2" s="1"/>
  <c r="AK185" i="2"/>
  <c r="AJ185" i="2"/>
  <c r="AI185" i="2"/>
  <c r="AO184" i="2"/>
  <c r="AN184" i="2"/>
  <c r="AM184" i="2"/>
  <c r="AL184" i="2"/>
  <c r="AK184" i="2"/>
  <c r="AJ184" i="2"/>
  <c r="AI184" i="2"/>
  <c r="AO183" i="2"/>
  <c r="AN183" i="2"/>
  <c r="AM183" i="2"/>
  <c r="AL183" i="2"/>
  <c r="AK183" i="2"/>
  <c r="AJ183" i="2"/>
  <c r="AI183" i="2"/>
  <c r="AO182" i="2"/>
  <c r="AN182" i="2"/>
  <c r="AL182" i="2"/>
  <c r="AM182" i="2" s="1"/>
  <c r="AK182" i="2"/>
  <c r="AJ182" i="2"/>
  <c r="AI182" i="2"/>
  <c r="AO181" i="2"/>
  <c r="AN181" i="2"/>
  <c r="AL181" i="2"/>
  <c r="AM181" i="2" s="1"/>
  <c r="AK181" i="2"/>
  <c r="AJ181" i="2"/>
  <c r="AI181" i="2"/>
  <c r="AO180" i="2"/>
  <c r="AN180" i="2"/>
  <c r="AM180" i="2"/>
  <c r="AL180" i="2"/>
  <c r="AK180" i="2"/>
  <c r="AJ180" i="2"/>
  <c r="AI180" i="2"/>
  <c r="AO179" i="2"/>
  <c r="AN179" i="2"/>
  <c r="AL179" i="2"/>
  <c r="AM179" i="2" s="1"/>
  <c r="AK179" i="2"/>
  <c r="AJ179" i="2"/>
  <c r="AI179" i="2"/>
  <c r="AO178" i="2"/>
  <c r="AN178" i="2"/>
  <c r="AL178" i="2"/>
  <c r="AM178" i="2" s="1"/>
  <c r="AK178" i="2"/>
  <c r="AJ178" i="2"/>
  <c r="AI178" i="2"/>
  <c r="AO177" i="2"/>
  <c r="AN177" i="2"/>
  <c r="AL177" i="2"/>
  <c r="AM177" i="2" s="1"/>
  <c r="AK177" i="2"/>
  <c r="AJ177" i="2"/>
  <c r="AI177" i="2"/>
  <c r="AO176" i="2"/>
  <c r="AN176" i="2"/>
  <c r="AM176" i="2"/>
  <c r="AL176" i="2"/>
  <c r="AK176" i="2"/>
  <c r="AJ176" i="2"/>
  <c r="AI176" i="2"/>
  <c r="AO175" i="2"/>
  <c r="AN175" i="2"/>
  <c r="AM175" i="2"/>
  <c r="AL175" i="2"/>
  <c r="AK175" i="2"/>
  <c r="AJ175" i="2"/>
  <c r="AI175" i="2"/>
  <c r="AO174" i="2"/>
  <c r="AN174" i="2"/>
  <c r="AL174" i="2"/>
  <c r="AM174" i="2" s="1"/>
  <c r="AK174" i="2"/>
  <c r="AJ174" i="2"/>
  <c r="AI174" i="2"/>
  <c r="AO173" i="2"/>
  <c r="AN173" i="2"/>
  <c r="AM173" i="2"/>
  <c r="AL173" i="2"/>
  <c r="AK173" i="2"/>
  <c r="AJ173" i="2"/>
  <c r="AI173" i="2"/>
  <c r="AO172" i="2"/>
  <c r="AN172" i="2"/>
  <c r="AM172" i="2"/>
  <c r="AL172" i="2"/>
  <c r="AK172" i="2"/>
  <c r="AJ172" i="2"/>
  <c r="AI172" i="2"/>
  <c r="AO171" i="2"/>
  <c r="AN171" i="2"/>
  <c r="AM171" i="2"/>
  <c r="AL171" i="2"/>
  <c r="AK171" i="2"/>
  <c r="AJ171" i="2"/>
  <c r="AI171" i="2"/>
  <c r="AO170" i="2"/>
  <c r="AN170" i="2"/>
  <c r="AL170" i="2"/>
  <c r="AM170" i="2" s="1"/>
  <c r="AK170" i="2"/>
  <c r="AJ170" i="2"/>
  <c r="AI170" i="2"/>
  <c r="AO169" i="2"/>
  <c r="AN169" i="2"/>
  <c r="AM169" i="2"/>
  <c r="AL169" i="2"/>
  <c r="AK169" i="2"/>
  <c r="AJ169" i="2"/>
  <c r="AI169" i="2"/>
  <c r="AO168" i="2"/>
  <c r="AN168" i="2"/>
  <c r="AM168" i="2"/>
  <c r="AL168" i="2"/>
  <c r="AK168" i="2"/>
  <c r="AJ168" i="2"/>
  <c r="AI168" i="2"/>
  <c r="AO167" i="2"/>
  <c r="AN167" i="2"/>
  <c r="AM167" i="2"/>
  <c r="AL167" i="2"/>
  <c r="AK167" i="2"/>
  <c r="AJ167" i="2"/>
  <c r="AI167" i="2"/>
  <c r="AO166" i="2"/>
  <c r="AN166" i="2"/>
  <c r="AL166" i="2"/>
  <c r="AM166" i="2" s="1"/>
  <c r="AK166" i="2"/>
  <c r="AJ166" i="2"/>
  <c r="AI166" i="2"/>
  <c r="AO165" i="2"/>
  <c r="AN165" i="2"/>
  <c r="AL165" i="2"/>
  <c r="AM165" i="2" s="1"/>
  <c r="AK165" i="2"/>
  <c r="AJ165" i="2"/>
  <c r="AI165" i="2"/>
  <c r="AO164" i="2"/>
  <c r="AN164" i="2"/>
  <c r="AL164" i="2"/>
  <c r="AM164" i="2" s="1"/>
  <c r="AK164" i="2"/>
  <c r="AJ164" i="2"/>
  <c r="AI164" i="2"/>
  <c r="AO163" i="2"/>
  <c r="AN163" i="2"/>
  <c r="AL163" i="2"/>
  <c r="AM163" i="2" s="1"/>
  <c r="AK163" i="2"/>
  <c r="AJ163" i="2"/>
  <c r="AI163" i="2"/>
  <c r="AO162" i="2"/>
  <c r="AN162" i="2"/>
  <c r="AM162" i="2"/>
  <c r="AL162" i="2"/>
  <c r="AK162" i="2"/>
  <c r="AJ162" i="2"/>
  <c r="AI162" i="2"/>
  <c r="AO161" i="2"/>
  <c r="AN161" i="2"/>
  <c r="AM161" i="2"/>
  <c r="AL161" i="2"/>
  <c r="AK161" i="2"/>
  <c r="AJ161" i="2"/>
  <c r="AI161" i="2"/>
  <c r="AO160" i="2"/>
  <c r="AN160" i="2"/>
  <c r="AM160" i="2"/>
  <c r="AL160" i="2"/>
  <c r="AK160" i="2"/>
  <c r="AJ160" i="2"/>
  <c r="AI160" i="2"/>
  <c r="AO159" i="2"/>
  <c r="AN159" i="2"/>
  <c r="AL159" i="2"/>
  <c r="AM159" i="2" s="1"/>
  <c r="AK159" i="2"/>
  <c r="AJ159" i="2"/>
  <c r="AI159" i="2"/>
  <c r="AO158" i="2"/>
  <c r="AN158" i="2"/>
  <c r="AL158" i="2"/>
  <c r="AM158" i="2" s="1"/>
  <c r="AK158" i="2"/>
  <c r="AJ158" i="2"/>
  <c r="AI158" i="2"/>
  <c r="AO157" i="2"/>
  <c r="AN157" i="2"/>
  <c r="AM157" i="2"/>
  <c r="AL157" i="2"/>
  <c r="AK157" i="2"/>
  <c r="AJ157" i="2"/>
  <c r="AI157" i="2"/>
  <c r="AO156" i="2"/>
  <c r="AN156" i="2"/>
  <c r="AL156" i="2"/>
  <c r="AM156" i="2" s="1"/>
  <c r="AK156" i="2"/>
  <c r="AJ156" i="2"/>
  <c r="AI156" i="2"/>
  <c r="AO155" i="2"/>
  <c r="AN155" i="2"/>
  <c r="AL155" i="2"/>
  <c r="AM155" i="2" s="1"/>
  <c r="AK155" i="2"/>
  <c r="AJ155" i="2"/>
  <c r="AI155" i="2"/>
  <c r="AO154" i="2"/>
  <c r="AN154" i="2"/>
  <c r="AM154" i="2"/>
  <c r="AL154" i="2"/>
  <c r="AK154" i="2"/>
  <c r="AJ154" i="2"/>
  <c r="AI154" i="2"/>
  <c r="AO153" i="2"/>
  <c r="AN153" i="2"/>
  <c r="AL153" i="2"/>
  <c r="AM153" i="2" s="1"/>
  <c r="AK153" i="2"/>
  <c r="AJ153" i="2"/>
  <c r="AI153" i="2"/>
  <c r="AO152" i="2"/>
  <c r="AN152" i="2"/>
  <c r="AM152" i="2"/>
  <c r="AL152" i="2"/>
  <c r="AK152" i="2"/>
  <c r="AJ152" i="2"/>
  <c r="AI152" i="2"/>
  <c r="AO151" i="2"/>
  <c r="AN151" i="2"/>
  <c r="AL151" i="2"/>
  <c r="AM151" i="2" s="1"/>
  <c r="AK151" i="2"/>
  <c r="AJ151" i="2"/>
  <c r="AI151" i="2"/>
  <c r="AO150" i="2"/>
  <c r="AN150" i="2"/>
  <c r="AM150" i="2"/>
  <c r="AL150" i="2"/>
  <c r="AK150" i="2"/>
  <c r="AJ150" i="2"/>
  <c r="AI150" i="2"/>
  <c r="AO149" i="2"/>
  <c r="AN149" i="2"/>
  <c r="AL149" i="2"/>
  <c r="AM149" i="2" s="1"/>
  <c r="AK149" i="2"/>
  <c r="AJ149" i="2"/>
  <c r="AI149" i="2"/>
  <c r="AO148" i="2"/>
  <c r="AN148" i="2"/>
  <c r="AM148" i="2"/>
  <c r="AL148" i="2"/>
  <c r="AK148" i="2"/>
  <c r="AJ148" i="2"/>
  <c r="AI148" i="2"/>
  <c r="AO147" i="2"/>
  <c r="AN147" i="2"/>
  <c r="AM147" i="2"/>
  <c r="AL147" i="2"/>
  <c r="AK147" i="2"/>
  <c r="AJ147" i="2"/>
  <c r="AI147" i="2"/>
  <c r="AO146" i="2"/>
  <c r="AN146" i="2"/>
  <c r="AL146" i="2"/>
  <c r="AM146" i="2" s="1"/>
  <c r="AK146" i="2"/>
  <c r="AJ146" i="2"/>
  <c r="AI146" i="2"/>
  <c r="AO145" i="2"/>
  <c r="AN145" i="2"/>
  <c r="AM145" i="2"/>
  <c r="AL145" i="2"/>
  <c r="AK145" i="2"/>
  <c r="AJ145" i="2"/>
  <c r="AI145" i="2"/>
  <c r="AO144" i="2"/>
  <c r="AN144" i="2"/>
  <c r="AL144" i="2"/>
  <c r="AM144" i="2" s="1"/>
  <c r="AK144" i="2"/>
  <c r="AJ144" i="2"/>
  <c r="AI144" i="2"/>
  <c r="AO143" i="2"/>
  <c r="AN143" i="2"/>
  <c r="AL143" i="2"/>
  <c r="AM143" i="2" s="1"/>
  <c r="AK143" i="2"/>
  <c r="AJ143" i="2"/>
  <c r="AI143" i="2"/>
  <c r="AO142" i="2"/>
  <c r="AN142" i="2"/>
  <c r="AL142" i="2"/>
  <c r="AM142" i="2" s="1"/>
  <c r="AK142" i="2"/>
  <c r="AJ142" i="2"/>
  <c r="AI142" i="2"/>
  <c r="AO141" i="2"/>
  <c r="AN141" i="2"/>
  <c r="AL141" i="2"/>
  <c r="AM141" i="2" s="1"/>
  <c r="AK141" i="2"/>
  <c r="AJ141" i="2"/>
  <c r="AI141" i="2"/>
  <c r="AO140" i="2"/>
  <c r="AN140" i="2"/>
  <c r="AL140" i="2"/>
  <c r="AM140" i="2" s="1"/>
  <c r="AK140" i="2"/>
  <c r="AJ140" i="2"/>
  <c r="AI140" i="2"/>
  <c r="AO139" i="2"/>
  <c r="AN139" i="2"/>
  <c r="AL139" i="2"/>
  <c r="AM139" i="2" s="1"/>
  <c r="AK139" i="2"/>
  <c r="AJ139" i="2"/>
  <c r="AI139" i="2"/>
  <c r="AO138" i="2"/>
  <c r="AN138" i="2"/>
  <c r="AM138" i="2"/>
  <c r="AL138" i="2"/>
  <c r="AK138" i="2"/>
  <c r="AJ138" i="2"/>
  <c r="AI138" i="2"/>
  <c r="AO137" i="2"/>
  <c r="AN137" i="2"/>
  <c r="AL137" i="2"/>
  <c r="AM137" i="2" s="1"/>
  <c r="AK137" i="2"/>
  <c r="AJ137" i="2"/>
  <c r="AI137" i="2"/>
  <c r="AO136" i="2"/>
  <c r="AN136" i="2"/>
  <c r="AM136" i="2"/>
  <c r="AL136" i="2"/>
  <c r="AK136" i="2"/>
  <c r="AJ136" i="2"/>
  <c r="AI136" i="2"/>
  <c r="AO135" i="2"/>
  <c r="AN135" i="2"/>
  <c r="AL135" i="2"/>
  <c r="AM135" i="2" s="1"/>
  <c r="AK135" i="2"/>
  <c r="AJ135" i="2"/>
  <c r="AI135" i="2"/>
  <c r="AO134" i="2"/>
  <c r="AN134" i="2"/>
  <c r="AL134" i="2"/>
  <c r="AM134" i="2" s="1"/>
  <c r="AK134" i="2"/>
  <c r="AJ134" i="2"/>
  <c r="AI134" i="2"/>
  <c r="AO133" i="2"/>
  <c r="AN133" i="2"/>
  <c r="AM133" i="2"/>
  <c r="AL133" i="2"/>
  <c r="AK133" i="2"/>
  <c r="AJ133" i="2"/>
  <c r="AI133" i="2"/>
  <c r="AO132" i="2"/>
  <c r="AN132" i="2"/>
  <c r="AL132" i="2"/>
  <c r="AM132" i="2" s="1"/>
  <c r="AK132" i="2"/>
  <c r="AJ132" i="2"/>
  <c r="AI132" i="2"/>
  <c r="AO131" i="2"/>
  <c r="AN131" i="2"/>
  <c r="AL131" i="2"/>
  <c r="AM131" i="2" s="1"/>
  <c r="AK131" i="2"/>
  <c r="AJ131" i="2"/>
  <c r="AI131" i="2"/>
  <c r="AO130" i="2"/>
  <c r="AN130" i="2"/>
  <c r="AL130" i="2"/>
  <c r="AM130" i="2" s="1"/>
  <c r="AK130" i="2"/>
  <c r="AJ130" i="2"/>
  <c r="AI130" i="2"/>
  <c r="AO129" i="2"/>
  <c r="AN129" i="2"/>
  <c r="AL129" i="2"/>
  <c r="AM129" i="2" s="1"/>
  <c r="AK129" i="2"/>
  <c r="AJ129" i="2"/>
  <c r="AI129" i="2"/>
  <c r="AO128" i="2"/>
  <c r="AN128" i="2"/>
  <c r="AL128" i="2"/>
  <c r="AM128" i="2" s="1"/>
  <c r="AK128" i="2"/>
  <c r="AJ128" i="2"/>
  <c r="AI128" i="2"/>
  <c r="AO127" i="2"/>
  <c r="AN127" i="2"/>
  <c r="AM127" i="2"/>
  <c r="AL127" i="2"/>
  <c r="AK127" i="2"/>
  <c r="AJ127" i="2"/>
  <c r="AI127" i="2"/>
  <c r="AO126" i="2"/>
  <c r="AN126" i="2"/>
  <c r="AM126" i="2"/>
  <c r="AL126" i="2"/>
  <c r="AK126" i="2"/>
  <c r="AJ126" i="2"/>
  <c r="AI126" i="2"/>
  <c r="AO125" i="2"/>
  <c r="AN125" i="2"/>
  <c r="AL125" i="2"/>
  <c r="AM125" i="2" s="1"/>
  <c r="AK125" i="2"/>
  <c r="AJ125" i="2"/>
  <c r="AI125" i="2"/>
  <c r="AO124" i="2"/>
  <c r="AN124" i="2"/>
  <c r="AM124" i="2"/>
  <c r="AL124" i="2"/>
  <c r="AK124" i="2"/>
  <c r="AJ124" i="2"/>
  <c r="AI124" i="2"/>
  <c r="AO123" i="2"/>
  <c r="AN123" i="2"/>
  <c r="AL123" i="2"/>
  <c r="AM123" i="2" s="1"/>
  <c r="AK123" i="2"/>
  <c r="AJ123" i="2"/>
  <c r="AI123" i="2"/>
  <c r="AO122" i="2"/>
  <c r="AN122" i="2"/>
  <c r="AL122" i="2"/>
  <c r="AM122" i="2" s="1"/>
  <c r="AK122" i="2"/>
  <c r="AJ122" i="2"/>
  <c r="AI122" i="2"/>
  <c r="AO121" i="2"/>
  <c r="AN121" i="2"/>
  <c r="AM121" i="2"/>
  <c r="AL121" i="2"/>
  <c r="AK121" i="2"/>
  <c r="AJ121" i="2"/>
  <c r="AI121" i="2"/>
  <c r="AO120" i="2"/>
  <c r="AN120" i="2"/>
  <c r="AM120" i="2"/>
  <c r="AL120" i="2"/>
  <c r="AK120" i="2"/>
  <c r="AJ120" i="2"/>
  <c r="AI120" i="2"/>
  <c r="AO119" i="2"/>
  <c r="AN119" i="2"/>
  <c r="AL119" i="2"/>
  <c r="AM119" i="2" s="1"/>
  <c r="AK119" i="2"/>
  <c r="AJ119" i="2"/>
  <c r="AI119" i="2"/>
  <c r="AO118" i="2"/>
  <c r="AN118" i="2"/>
  <c r="AL118" i="2"/>
  <c r="AM118" i="2" s="1"/>
  <c r="AK118" i="2"/>
  <c r="AJ118" i="2"/>
  <c r="AI118" i="2"/>
  <c r="AO117" i="2"/>
  <c r="AN117" i="2"/>
  <c r="AL117" i="2"/>
  <c r="AM117" i="2" s="1"/>
  <c r="AK117" i="2"/>
  <c r="AJ117" i="2"/>
  <c r="AI117" i="2"/>
  <c r="AO116" i="2"/>
  <c r="AN116" i="2"/>
  <c r="AL116" i="2"/>
  <c r="AM116" i="2" s="1"/>
  <c r="AK116" i="2"/>
  <c r="AJ116" i="2"/>
  <c r="AI116" i="2"/>
  <c r="AO115" i="2"/>
  <c r="AN115" i="2"/>
  <c r="AL115" i="2"/>
  <c r="AM115" i="2" s="1"/>
  <c r="AK115" i="2"/>
  <c r="AJ115" i="2"/>
  <c r="AI115" i="2"/>
  <c r="AO114" i="2"/>
  <c r="AN114" i="2"/>
  <c r="AM114" i="2"/>
  <c r="AL114" i="2"/>
  <c r="AK114" i="2"/>
  <c r="AJ114" i="2"/>
  <c r="AI114" i="2"/>
  <c r="AO113" i="2"/>
  <c r="AN113" i="2"/>
  <c r="AM113" i="2"/>
  <c r="AL113" i="2"/>
  <c r="AK113" i="2"/>
  <c r="AJ113" i="2"/>
  <c r="AI113" i="2"/>
  <c r="AO112" i="2"/>
  <c r="AN112" i="2"/>
  <c r="AM112" i="2"/>
  <c r="AL112" i="2"/>
  <c r="AK112" i="2"/>
  <c r="AJ112" i="2"/>
  <c r="AI112" i="2"/>
  <c r="AO111" i="2"/>
  <c r="AN111" i="2"/>
  <c r="AL111" i="2"/>
  <c r="AM111" i="2" s="1"/>
  <c r="AK111" i="2"/>
  <c r="AJ111" i="2"/>
  <c r="AI111" i="2"/>
  <c r="AO110" i="2"/>
  <c r="AN110" i="2"/>
  <c r="AL110" i="2"/>
  <c r="AM110" i="2" s="1"/>
  <c r="AK110" i="2"/>
  <c r="AJ110" i="2"/>
  <c r="AI110" i="2"/>
  <c r="AO109" i="2"/>
  <c r="AN109" i="2"/>
  <c r="AM109" i="2"/>
  <c r="AL109" i="2"/>
  <c r="AK109" i="2"/>
  <c r="AJ109" i="2"/>
  <c r="AI109" i="2"/>
  <c r="AO108" i="2"/>
  <c r="AN108" i="2"/>
  <c r="AL108" i="2"/>
  <c r="AM108" i="2" s="1"/>
  <c r="AK108" i="2"/>
  <c r="AJ108" i="2"/>
  <c r="AI108" i="2"/>
  <c r="AO107" i="2"/>
  <c r="AN107" i="2"/>
  <c r="AL107" i="2"/>
  <c r="AM107" i="2" s="1"/>
  <c r="AK107" i="2"/>
  <c r="AJ107" i="2"/>
  <c r="AI107" i="2"/>
  <c r="AO106" i="2"/>
  <c r="AN106" i="2"/>
  <c r="AM106" i="2"/>
  <c r="AL106" i="2"/>
  <c r="AK106" i="2"/>
  <c r="AJ106" i="2"/>
  <c r="AI106" i="2"/>
  <c r="AO105" i="2"/>
  <c r="AN105" i="2"/>
  <c r="AL105" i="2"/>
  <c r="AM105" i="2" s="1"/>
  <c r="AK105" i="2"/>
  <c r="AJ105" i="2"/>
  <c r="AI105" i="2"/>
  <c r="AO104" i="2"/>
  <c r="AN104" i="2"/>
  <c r="AM104" i="2"/>
  <c r="AL104" i="2"/>
  <c r="AK104" i="2"/>
  <c r="AJ104" i="2"/>
  <c r="AI104" i="2"/>
  <c r="AO103" i="2"/>
  <c r="AN103" i="2"/>
  <c r="AL103" i="2"/>
  <c r="AM103" i="2" s="1"/>
  <c r="AK103" i="2"/>
  <c r="AJ103" i="2"/>
  <c r="AI103" i="2"/>
  <c r="AO102" i="2"/>
  <c r="AN102" i="2"/>
  <c r="AM102" i="2"/>
  <c r="AL102" i="2"/>
  <c r="AK102" i="2"/>
  <c r="AJ102" i="2"/>
  <c r="AI102" i="2"/>
  <c r="AO101" i="2"/>
  <c r="AN101" i="2"/>
  <c r="AL101" i="2"/>
  <c r="AM101" i="2" s="1"/>
  <c r="AK101" i="2"/>
  <c r="AJ101" i="2"/>
  <c r="AI101" i="2"/>
  <c r="AO100" i="2"/>
  <c r="AN100" i="2"/>
  <c r="AM100" i="2"/>
  <c r="AL100" i="2"/>
  <c r="AK100" i="2"/>
  <c r="AJ100" i="2"/>
  <c r="AI100" i="2"/>
  <c r="AO99" i="2"/>
  <c r="AN99" i="2"/>
  <c r="AM99" i="2"/>
  <c r="AL99" i="2"/>
  <c r="AK99" i="2"/>
  <c r="AJ99" i="2"/>
  <c r="AI99" i="2"/>
  <c r="AO98" i="2"/>
  <c r="AN98" i="2"/>
  <c r="AL98" i="2"/>
  <c r="AM98" i="2" s="1"/>
  <c r="AK98" i="2"/>
  <c r="AJ98" i="2"/>
  <c r="AI98" i="2"/>
  <c r="AO97" i="2"/>
  <c r="AN97" i="2"/>
  <c r="AM97" i="2"/>
  <c r="AL97" i="2"/>
  <c r="AK97" i="2"/>
  <c r="AJ97" i="2"/>
  <c r="AI97" i="2"/>
  <c r="AO96" i="2"/>
  <c r="AN96" i="2"/>
  <c r="AL96" i="2"/>
  <c r="AM96" i="2" s="1"/>
  <c r="AK96" i="2"/>
  <c r="AJ96" i="2"/>
  <c r="AI96" i="2"/>
  <c r="AO95" i="2"/>
  <c r="AN95" i="2"/>
  <c r="AL95" i="2"/>
  <c r="AM95" i="2" s="1"/>
  <c r="AK95" i="2"/>
  <c r="AJ95" i="2"/>
  <c r="AI95" i="2"/>
  <c r="AO94" i="2"/>
  <c r="AN94" i="2"/>
  <c r="AL94" i="2"/>
  <c r="AM94" i="2" s="1"/>
  <c r="AK94" i="2"/>
  <c r="AJ94" i="2"/>
  <c r="AI94" i="2"/>
  <c r="AO93" i="2"/>
  <c r="AN93" i="2"/>
  <c r="AL93" i="2"/>
  <c r="AM93" i="2" s="1"/>
  <c r="AK93" i="2"/>
  <c r="AJ93" i="2"/>
  <c r="AI93" i="2"/>
  <c r="AO92" i="2"/>
  <c r="AN92" i="2"/>
  <c r="AL92" i="2"/>
  <c r="AM92" i="2" s="1"/>
  <c r="AK92" i="2"/>
  <c r="AJ92" i="2"/>
  <c r="AI92" i="2"/>
  <c r="AO91" i="2"/>
  <c r="AN91" i="2"/>
  <c r="AL91" i="2"/>
  <c r="AM91" i="2" s="1"/>
  <c r="AK91" i="2"/>
  <c r="AJ91" i="2"/>
  <c r="AI91" i="2"/>
  <c r="AO90" i="2"/>
  <c r="AN90" i="2"/>
  <c r="AM90" i="2"/>
  <c r="AL90" i="2"/>
  <c r="AK90" i="2"/>
  <c r="AJ90" i="2"/>
  <c r="AI90" i="2"/>
  <c r="AO89" i="2"/>
  <c r="AN89" i="2"/>
  <c r="AL89" i="2"/>
  <c r="AM89" i="2" s="1"/>
  <c r="AK89" i="2"/>
  <c r="AJ89" i="2"/>
  <c r="AI89" i="2"/>
  <c r="AO88" i="2"/>
  <c r="AN88" i="2"/>
  <c r="AL88" i="2"/>
  <c r="AM88" i="2" s="1"/>
  <c r="AK88" i="2"/>
  <c r="AJ88" i="2"/>
  <c r="AI88" i="2"/>
  <c r="AO87" i="2"/>
  <c r="AN87" i="2"/>
  <c r="AL87" i="2"/>
  <c r="AM87" i="2" s="1"/>
  <c r="AK87" i="2"/>
  <c r="AJ87" i="2"/>
  <c r="AI87" i="2"/>
  <c r="AO86" i="2"/>
  <c r="AN86" i="2"/>
  <c r="AL86" i="2"/>
  <c r="AM86" i="2" s="1"/>
  <c r="AK86" i="2"/>
  <c r="AJ86" i="2"/>
  <c r="AI86" i="2"/>
  <c r="AO85" i="2"/>
  <c r="AN85" i="2"/>
  <c r="AM85" i="2"/>
  <c r="AL85" i="2"/>
  <c r="AK85" i="2"/>
  <c r="AJ85" i="2"/>
  <c r="AI85" i="2"/>
  <c r="AO84" i="2"/>
  <c r="AN84" i="2"/>
  <c r="AL84" i="2"/>
  <c r="AM84" i="2" s="1"/>
  <c r="AK84" i="2"/>
  <c r="AJ84" i="2"/>
  <c r="AI84" i="2"/>
  <c r="AO83" i="2"/>
  <c r="AN83" i="2"/>
  <c r="AL83" i="2"/>
  <c r="AM83" i="2" s="1"/>
  <c r="AK83" i="2"/>
  <c r="AJ83" i="2"/>
  <c r="AI83" i="2"/>
  <c r="AO82" i="2"/>
  <c r="AN82" i="2"/>
  <c r="AL82" i="2"/>
  <c r="AM82" i="2" s="1"/>
  <c r="AK82" i="2"/>
  <c r="AJ82" i="2"/>
  <c r="AI82" i="2"/>
  <c r="AO81" i="2"/>
  <c r="AN81" i="2"/>
  <c r="AL81" i="2"/>
  <c r="AM81" i="2" s="1"/>
  <c r="AK81" i="2"/>
  <c r="AJ81" i="2"/>
  <c r="AI81" i="2"/>
  <c r="AO80" i="2"/>
  <c r="AN80" i="2"/>
  <c r="AL80" i="2"/>
  <c r="AM80" i="2" s="1"/>
  <c r="AK80" i="2"/>
  <c r="AJ80" i="2"/>
  <c r="AI80" i="2"/>
  <c r="AO79" i="2"/>
  <c r="AN79" i="2"/>
  <c r="AM79" i="2"/>
  <c r="AL79" i="2"/>
  <c r="AK79" i="2"/>
  <c r="AJ79" i="2"/>
  <c r="AI79" i="2"/>
  <c r="AO78" i="2"/>
  <c r="AN78" i="2"/>
  <c r="AM78" i="2"/>
  <c r="AL78" i="2"/>
  <c r="AK78" i="2"/>
  <c r="AJ78" i="2"/>
  <c r="AI78" i="2"/>
  <c r="AO77" i="2"/>
  <c r="AN77" i="2"/>
  <c r="AL77" i="2"/>
  <c r="AM77" i="2" s="1"/>
  <c r="AK77" i="2"/>
  <c r="AJ77" i="2"/>
  <c r="AI77" i="2"/>
  <c r="AO76" i="2"/>
  <c r="AN76" i="2"/>
  <c r="AL76" i="2"/>
  <c r="AM76" i="2" s="1"/>
  <c r="AK76" i="2"/>
  <c r="AJ76" i="2"/>
  <c r="AI76" i="2"/>
  <c r="AO75" i="2"/>
  <c r="AN75" i="2"/>
  <c r="AL75" i="2"/>
  <c r="AM75" i="2" s="1"/>
  <c r="AK75" i="2"/>
  <c r="AJ75" i="2"/>
  <c r="AI75" i="2"/>
  <c r="AO74" i="2"/>
  <c r="AN74" i="2"/>
  <c r="AL74" i="2"/>
  <c r="AM74" i="2" s="1"/>
  <c r="AK74" i="2"/>
  <c r="AJ74" i="2"/>
  <c r="AI74" i="2"/>
  <c r="AO73" i="2"/>
  <c r="AN73" i="2"/>
  <c r="AM73" i="2"/>
  <c r="AL73" i="2"/>
  <c r="AK73" i="2"/>
  <c r="AJ73" i="2"/>
  <c r="AI73" i="2"/>
  <c r="AO72" i="2"/>
  <c r="AN72" i="2"/>
  <c r="AM72" i="2"/>
  <c r="AL72" i="2"/>
  <c r="AK72" i="2"/>
  <c r="AJ72" i="2"/>
  <c r="AI72" i="2"/>
  <c r="AO71" i="2"/>
  <c r="AN71" i="2"/>
  <c r="AL71" i="2"/>
  <c r="AM71" i="2" s="1"/>
  <c r="AK71" i="2"/>
  <c r="AJ71" i="2"/>
  <c r="AI71" i="2"/>
  <c r="AO70" i="2"/>
  <c r="AN70" i="2"/>
  <c r="AM70" i="2"/>
  <c r="AL70" i="2"/>
  <c r="AK70" i="2"/>
  <c r="AJ70" i="2"/>
  <c r="AI70" i="2"/>
  <c r="AO69" i="2"/>
  <c r="AN69" i="2"/>
  <c r="AL69" i="2"/>
  <c r="AM69" i="2" s="1"/>
  <c r="AK69" i="2"/>
  <c r="AJ69" i="2"/>
  <c r="AI69" i="2"/>
  <c r="AO68" i="2"/>
  <c r="AN68" i="2"/>
  <c r="AM68" i="2"/>
  <c r="AL68" i="2"/>
  <c r="AK68" i="2"/>
  <c r="AJ68" i="2"/>
  <c r="AI68" i="2"/>
  <c r="AO67" i="2"/>
  <c r="AN67" i="2"/>
  <c r="AL67" i="2"/>
  <c r="AM67" i="2" s="1"/>
  <c r="AK67" i="2"/>
  <c r="AJ67" i="2"/>
  <c r="AI67" i="2"/>
  <c r="AO66" i="2"/>
  <c r="AN66" i="2"/>
  <c r="AM66" i="2"/>
  <c r="AL66" i="2"/>
  <c r="AK66" i="2"/>
  <c r="AJ66" i="2"/>
  <c r="AI66" i="2"/>
  <c r="AO65" i="2"/>
  <c r="AN65" i="2"/>
  <c r="AL65" i="2"/>
  <c r="AM65" i="2" s="1"/>
  <c r="AK65" i="2"/>
  <c r="AJ65" i="2"/>
  <c r="AI65" i="2"/>
  <c r="AO64" i="2"/>
  <c r="AN64" i="2"/>
  <c r="AL64" i="2"/>
  <c r="AM64" i="2" s="1"/>
  <c r="AK64" i="2"/>
  <c r="AJ64" i="2"/>
  <c r="AI64" i="2"/>
  <c r="AO63" i="2"/>
  <c r="AN63" i="2"/>
  <c r="AM63" i="2"/>
  <c r="AL63" i="2"/>
  <c r="AK63" i="2"/>
  <c r="AJ63" i="2"/>
  <c r="AI63" i="2"/>
  <c r="AO62" i="2"/>
  <c r="AN62" i="2"/>
  <c r="AL62" i="2"/>
  <c r="AM62" i="2" s="1"/>
  <c r="AK62" i="2"/>
  <c r="AJ62" i="2"/>
  <c r="AI62" i="2"/>
  <c r="AO61" i="2"/>
  <c r="AN61" i="2"/>
  <c r="AM61" i="2"/>
  <c r="AL61" i="2"/>
  <c r="AK61" i="2"/>
  <c r="AJ61" i="2"/>
  <c r="AI61" i="2"/>
  <c r="AO60" i="2"/>
  <c r="AN60" i="2"/>
  <c r="AL60" i="2"/>
  <c r="AM60" i="2" s="1"/>
  <c r="AK60" i="2"/>
  <c r="AJ60" i="2"/>
  <c r="AI60" i="2"/>
  <c r="AO59" i="2"/>
  <c r="AN59" i="2"/>
  <c r="AL59" i="2"/>
  <c r="AM59" i="2" s="1"/>
  <c r="AK59" i="2"/>
  <c r="AJ59" i="2"/>
  <c r="AI59" i="2"/>
  <c r="AO58" i="2"/>
  <c r="AN58" i="2"/>
  <c r="AL58" i="2"/>
  <c r="AM58" i="2" s="1"/>
  <c r="AK58" i="2"/>
  <c r="AJ58" i="2"/>
  <c r="AI58" i="2"/>
  <c r="AO57" i="2"/>
  <c r="AN57" i="2"/>
  <c r="AL57" i="2"/>
  <c r="AM57" i="2" s="1"/>
  <c r="AK57" i="2"/>
  <c r="AJ57" i="2"/>
  <c r="AI57" i="2"/>
  <c r="AO56" i="2"/>
  <c r="AN56" i="2"/>
  <c r="AL56" i="2"/>
  <c r="AM56" i="2" s="1"/>
  <c r="AK56" i="2"/>
  <c r="AJ56" i="2"/>
  <c r="AI56" i="2"/>
  <c r="AO55" i="2"/>
  <c r="AN55" i="2"/>
  <c r="AL55" i="2"/>
  <c r="AM55" i="2" s="1"/>
  <c r="AK55" i="2"/>
  <c r="AJ55" i="2"/>
  <c r="AI55" i="2"/>
  <c r="AO54" i="2"/>
  <c r="AN54" i="2"/>
  <c r="AM54" i="2"/>
  <c r="AL54" i="2"/>
  <c r="AK54" i="2"/>
  <c r="AJ54" i="2"/>
  <c r="AI54" i="2"/>
  <c r="AO53" i="2"/>
  <c r="AN53" i="2"/>
  <c r="AL53" i="2"/>
  <c r="AM53" i="2" s="1"/>
  <c r="AK53" i="2"/>
  <c r="AJ53" i="2"/>
  <c r="AI53" i="2"/>
  <c r="AO52" i="2"/>
  <c r="AN52" i="2"/>
  <c r="AL52" i="2"/>
  <c r="AM52" i="2" s="1"/>
  <c r="AK52" i="2"/>
  <c r="AJ52" i="2"/>
  <c r="AI52" i="2"/>
  <c r="AO51" i="2"/>
  <c r="AN51" i="2"/>
  <c r="AL51" i="2"/>
  <c r="AM51" i="2" s="1"/>
  <c r="AK51" i="2"/>
  <c r="AJ51" i="2"/>
  <c r="AI51" i="2"/>
  <c r="AO50" i="2"/>
  <c r="AN50" i="2"/>
  <c r="AL50" i="2"/>
  <c r="AM50" i="2" s="1"/>
  <c r="AK50" i="2"/>
  <c r="AJ50" i="2"/>
  <c r="AI50" i="2"/>
  <c r="AO49" i="2"/>
  <c r="AN49" i="2"/>
  <c r="AM49" i="2"/>
  <c r="AL49" i="2"/>
  <c r="AK49" i="2"/>
  <c r="AJ49" i="2"/>
  <c r="AI49" i="2"/>
  <c r="AO48" i="2"/>
  <c r="AN48" i="2"/>
  <c r="AL48" i="2"/>
  <c r="AM48" i="2" s="1"/>
  <c r="AK48" i="2"/>
  <c r="AJ48" i="2"/>
  <c r="AI48" i="2"/>
  <c r="AO47" i="2"/>
  <c r="AN47" i="2"/>
  <c r="AL47" i="2"/>
  <c r="AM47" i="2" s="1"/>
  <c r="AK47" i="2"/>
  <c r="AJ47" i="2"/>
  <c r="AI47" i="2"/>
  <c r="AO46" i="2"/>
  <c r="AN46" i="2"/>
  <c r="AL46" i="2"/>
  <c r="AM46" i="2" s="1"/>
  <c r="AK46" i="2"/>
  <c r="AJ46" i="2"/>
  <c r="AI46" i="2"/>
  <c r="AO45" i="2"/>
  <c r="AN45" i="2"/>
  <c r="AL45" i="2"/>
  <c r="AM45" i="2" s="1"/>
  <c r="AK45" i="2"/>
  <c r="AJ45" i="2"/>
  <c r="AI45" i="2"/>
  <c r="AO44" i="2"/>
  <c r="AN44" i="2"/>
  <c r="AL44" i="2"/>
  <c r="AM44" i="2" s="1"/>
  <c r="AK44" i="2"/>
  <c r="AJ44" i="2"/>
  <c r="AI44" i="2"/>
  <c r="AO43" i="2"/>
  <c r="AN43" i="2"/>
  <c r="AL43" i="2"/>
  <c r="AM43" i="2" s="1"/>
  <c r="AK43" i="2"/>
  <c r="AJ43" i="2"/>
  <c r="AI43" i="2"/>
  <c r="AO42" i="2"/>
  <c r="AN42" i="2"/>
  <c r="AM42" i="2"/>
  <c r="AL42" i="2"/>
  <c r="AK42" i="2"/>
  <c r="AJ42" i="2"/>
  <c r="AI42" i="2"/>
  <c r="AO41" i="2"/>
  <c r="AN41" i="2"/>
  <c r="AL41" i="2"/>
  <c r="AM41" i="2" s="1"/>
  <c r="AK41" i="2"/>
  <c r="AJ41" i="2"/>
  <c r="AI41" i="2"/>
  <c r="AO40" i="2"/>
  <c r="AN40" i="2"/>
  <c r="AL40" i="2"/>
  <c r="AM40" i="2" s="1"/>
  <c r="AK40" i="2"/>
  <c r="AJ40" i="2"/>
  <c r="AI40" i="2"/>
  <c r="AO39" i="2"/>
  <c r="AN39" i="2"/>
  <c r="AL39" i="2"/>
  <c r="AM39" i="2" s="1"/>
  <c r="AK39" i="2"/>
  <c r="AJ39" i="2"/>
  <c r="AI39" i="2"/>
  <c r="AO38" i="2"/>
  <c r="AN38" i="2"/>
  <c r="AM38" i="2"/>
  <c r="AL38" i="2"/>
  <c r="AK38" i="2"/>
  <c r="AJ38" i="2"/>
  <c r="AI38" i="2"/>
  <c r="AO37" i="2"/>
  <c r="AN37" i="2"/>
  <c r="AM37" i="2"/>
  <c r="AL37" i="2"/>
  <c r="AK37" i="2"/>
  <c r="AJ37" i="2"/>
  <c r="AI37" i="2"/>
  <c r="AO36" i="2"/>
  <c r="AN36" i="2"/>
  <c r="AL36" i="2"/>
  <c r="AM36" i="2" s="1"/>
  <c r="AK36" i="2"/>
  <c r="AJ36" i="2"/>
  <c r="AI36" i="2"/>
  <c r="AO35" i="2"/>
  <c r="AN35" i="2"/>
  <c r="AL35" i="2"/>
  <c r="AM35" i="2" s="1"/>
  <c r="AK35" i="2"/>
  <c r="AJ35" i="2"/>
  <c r="AI35" i="2"/>
  <c r="AO34" i="2"/>
  <c r="AN34" i="2"/>
  <c r="AL34" i="2"/>
  <c r="AM34" i="2" s="1"/>
  <c r="AK34" i="2"/>
  <c r="AJ34" i="2"/>
  <c r="AI34" i="2"/>
  <c r="AO33" i="2"/>
  <c r="AN33" i="2"/>
  <c r="AL33" i="2"/>
  <c r="AM33" i="2" s="1"/>
  <c r="AK33" i="2"/>
  <c r="AJ33" i="2"/>
  <c r="AI33" i="2"/>
  <c r="AO32" i="2"/>
  <c r="AN32" i="2"/>
  <c r="AL32" i="2"/>
  <c r="AM32" i="2" s="1"/>
  <c r="AK32" i="2"/>
  <c r="AJ32" i="2"/>
  <c r="AI32" i="2"/>
  <c r="AO31" i="2"/>
  <c r="AN31" i="2"/>
  <c r="AL31" i="2"/>
  <c r="AM31" i="2" s="1"/>
  <c r="AK31" i="2"/>
  <c r="AJ31" i="2"/>
  <c r="AI31" i="2"/>
  <c r="AO30" i="2"/>
  <c r="AN30" i="2"/>
  <c r="AM30" i="2"/>
  <c r="AL30" i="2"/>
  <c r="AK30" i="2"/>
  <c r="AJ30" i="2"/>
  <c r="AI30" i="2"/>
  <c r="AO29" i="2"/>
  <c r="AN29" i="2"/>
  <c r="AM29" i="2"/>
  <c r="AL29" i="2"/>
  <c r="AK29" i="2"/>
  <c r="AJ29" i="2"/>
  <c r="AI29" i="2"/>
  <c r="AO28" i="2"/>
  <c r="AN28" i="2"/>
  <c r="AL28" i="2"/>
  <c r="AM28" i="2" s="1"/>
  <c r="AK28" i="2"/>
  <c r="AJ28" i="2"/>
  <c r="AI28" i="2"/>
  <c r="AO27" i="2"/>
  <c r="AN27" i="2"/>
  <c r="AL27" i="2"/>
  <c r="AM27" i="2" s="1"/>
  <c r="AK27" i="2"/>
  <c r="AJ27" i="2"/>
  <c r="AI27" i="2"/>
  <c r="AO26" i="2"/>
  <c r="AN26" i="2"/>
  <c r="AL26" i="2"/>
  <c r="AM26" i="2" s="1"/>
  <c r="AK26" i="2"/>
  <c r="AJ26" i="2"/>
  <c r="AI26" i="2"/>
  <c r="AO25" i="2"/>
  <c r="AN25" i="2"/>
  <c r="AM25" i="2"/>
  <c r="AL25" i="2"/>
  <c r="AK25" i="2"/>
  <c r="AJ25" i="2"/>
  <c r="AI25" i="2"/>
  <c r="AO24" i="2"/>
  <c r="AN24" i="2"/>
  <c r="AL24" i="2"/>
  <c r="AM24" i="2" s="1"/>
  <c r="AK24" i="2"/>
  <c r="AJ24" i="2"/>
  <c r="AI24" i="2"/>
  <c r="AO23" i="2"/>
  <c r="AN23" i="2"/>
  <c r="AL23" i="2"/>
  <c r="AM23" i="2" s="1"/>
  <c r="AK23" i="2"/>
  <c r="AJ23" i="2"/>
  <c r="AI23" i="2"/>
  <c r="AO22" i="2"/>
  <c r="AN22" i="2"/>
  <c r="AM22" i="2"/>
  <c r="AL22" i="2"/>
  <c r="AK22" i="2"/>
  <c r="AJ22" i="2"/>
  <c r="AI22" i="2"/>
  <c r="AO21" i="2"/>
  <c r="AN21" i="2"/>
  <c r="AL21" i="2"/>
  <c r="AM21" i="2" s="1"/>
  <c r="AK21" i="2"/>
  <c r="AJ21" i="2"/>
  <c r="AI21" i="2"/>
  <c r="AO20" i="2"/>
  <c r="AN20" i="2"/>
  <c r="AM20" i="2"/>
  <c r="AL20" i="2"/>
  <c r="AK20" i="2"/>
  <c r="AJ20" i="2"/>
  <c r="AI20" i="2"/>
  <c r="AO19" i="2"/>
  <c r="AN19" i="2"/>
  <c r="AL19" i="2"/>
  <c r="AM19" i="2" s="1"/>
  <c r="AK19" i="2"/>
  <c r="AJ19" i="2"/>
  <c r="AI19" i="2"/>
  <c r="AO18" i="2"/>
  <c r="AN18" i="2"/>
  <c r="AM18" i="2"/>
  <c r="AL18" i="2"/>
  <c r="AK18" i="2"/>
  <c r="AJ18" i="2"/>
  <c r="AI18" i="2"/>
  <c r="AO17" i="2"/>
  <c r="AN17" i="2"/>
  <c r="AL17" i="2"/>
  <c r="AM17" i="2" s="1"/>
  <c r="AK17" i="2"/>
  <c r="AJ17" i="2"/>
  <c r="AI17" i="2"/>
  <c r="AO16" i="2"/>
  <c r="AN16" i="2"/>
  <c r="AL16" i="2"/>
  <c r="AM16" i="2" s="1"/>
  <c r="AK16" i="2"/>
  <c r="AJ16" i="2"/>
  <c r="AI16" i="2"/>
  <c r="AO15" i="2"/>
  <c r="AN15" i="2"/>
  <c r="AL15" i="2"/>
  <c r="AM15" i="2" s="1"/>
  <c r="AK15" i="2"/>
  <c r="AJ15" i="2"/>
  <c r="AI15" i="2"/>
  <c r="AO14" i="2"/>
  <c r="AN14" i="2"/>
  <c r="AL14" i="2"/>
  <c r="AM14" i="2" s="1"/>
  <c r="AK14" i="2"/>
  <c r="AJ14" i="2"/>
  <c r="AI14" i="2"/>
  <c r="AO13" i="2"/>
  <c r="AN13" i="2"/>
  <c r="AM13" i="2"/>
  <c r="AL13" i="2"/>
  <c r="AK13" i="2"/>
  <c r="AJ13" i="2"/>
  <c r="AI13" i="2"/>
  <c r="AO12" i="2"/>
  <c r="AN12" i="2"/>
  <c r="AL12" i="2"/>
  <c r="AM12" i="2" s="1"/>
  <c r="AK12" i="2"/>
  <c r="AJ12" i="2"/>
  <c r="AI12" i="2"/>
  <c r="AO11" i="2"/>
  <c r="AN11" i="2"/>
  <c r="AL11" i="2"/>
  <c r="AM11" i="2" s="1"/>
  <c r="AK11" i="2"/>
  <c r="AJ11" i="2"/>
  <c r="AI11" i="2"/>
  <c r="AO10" i="2"/>
  <c r="AN10" i="2"/>
  <c r="AL10" i="2"/>
  <c r="AM10" i="2" s="1"/>
  <c r="AK10" i="2"/>
  <c r="AJ10" i="2"/>
  <c r="AI10" i="2"/>
  <c r="AO9" i="2"/>
  <c r="AN9" i="2"/>
  <c r="AL9" i="2"/>
  <c r="AM9" i="2" s="1"/>
  <c r="AK9" i="2"/>
  <c r="AJ9" i="2"/>
  <c r="AI9" i="2"/>
  <c r="AO8" i="2"/>
  <c r="AN8" i="2"/>
  <c r="AL8" i="2"/>
  <c r="AM8" i="2" s="1"/>
  <c r="AK8" i="2"/>
  <c r="AJ8" i="2"/>
  <c r="AI8" i="2"/>
  <c r="AO7" i="2"/>
  <c r="AN7" i="2"/>
  <c r="AL7" i="2"/>
  <c r="AM7" i="2" s="1"/>
  <c r="AK7" i="2"/>
  <c r="AJ7" i="2"/>
  <c r="AI7" i="2"/>
  <c r="AO6" i="2"/>
  <c r="AN6" i="2"/>
  <c r="AM6" i="2"/>
  <c r="AL6" i="2"/>
  <c r="AK6" i="2"/>
  <c r="AJ6" i="2"/>
  <c r="AI6" i="2"/>
  <c r="AO5" i="2"/>
  <c r="AN5" i="2"/>
  <c r="AL5" i="2"/>
  <c r="AM5" i="2" s="1"/>
  <c r="AK5" i="2"/>
  <c r="AJ5" i="2"/>
  <c r="AI5" i="2"/>
  <c r="AO4" i="2"/>
  <c r="AN4" i="2"/>
  <c r="AL4" i="2"/>
  <c r="AM4" i="2" s="1"/>
  <c r="AK4" i="2"/>
  <c r="AJ4" i="2"/>
  <c r="AI4" i="2"/>
  <c r="AO3" i="2"/>
  <c r="AN3" i="2"/>
  <c r="AL3" i="2"/>
  <c r="AM3" i="2" s="1"/>
  <c r="AK3" i="2"/>
  <c r="AJ3" i="2"/>
  <c r="AI3" i="2"/>
  <c r="AO2" i="2"/>
  <c r="AN2" i="2"/>
  <c r="AL2" i="2"/>
  <c r="AM2" i="2" s="1"/>
  <c r="AK2" i="2"/>
  <c r="AJ2" i="2"/>
  <c r="AI2" i="2"/>
  <c r="K6" i="1"/>
  <c r="H6" i="1"/>
  <c r="E6" i="1"/>
  <c r="B6" i="1"/>
  <c r="H21" i="3" l="1"/>
  <c r="H15" i="3"/>
  <c r="M16" i="3"/>
  <c r="H6" i="3"/>
  <c r="M14" i="3"/>
  <c r="M17" i="3"/>
  <c r="R5" i="3"/>
  <c r="H17" i="3"/>
  <c r="M15" i="3"/>
  <c r="M3" i="3"/>
  <c r="H9" i="3"/>
  <c r="R1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6112AA-0CBE-4DB8-817C-0FE463276E5E}" keepAlive="1" name="Query - HRData" description="Connection to the 'HRData' query in the workbook." type="5" refreshedVersion="8" background="1" saveData="1">
    <dbPr connection="Provider=Microsoft.Mashup.OleDb.1;Data Source=$Workbook$;Location=HRData;Extended Properties=&quot;&quot;" command="SELECT * FROM [HRData]"/>
  </connection>
</connections>
</file>

<file path=xl/sharedStrings.xml><?xml version="1.0" encoding="utf-8"?>
<sst xmlns="http://schemas.openxmlformats.org/spreadsheetml/2006/main" count="37109" uniqueCount="1572">
  <si>
    <t>Total Employees</t>
  </si>
  <si>
    <t>Attrition Rate</t>
  </si>
  <si>
    <t>Avg Monthly Income</t>
  </si>
  <si>
    <t>Avg Tenure (yrs)</t>
  </si>
  <si>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</si>
  <si>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</si>
  <si>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</si>
  <si>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</si>
  <si>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</si>
  <si>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</si>
  <si>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</si>
  <si>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</si>
  <si>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</si>
  <si>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</si>
  <si>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</si>
  <si>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</si>
  <si>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</si>
  <si>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</si>
  <si>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</si>
  <si>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</si>
  <si>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</si>
  <si>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</si>
  <si>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</si>
  <si>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</si>
  <si>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</si>
  <si>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</si>
  <si>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OverTime</t>
  </si>
  <si>
    <t>SalaryHike %</t>
  </si>
  <si>
    <t>PerformanceRating</t>
  </si>
  <si>
    <t>RelationshipSatisfaction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</si>
  <si>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</si>
  <si>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</si>
  <si>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</si>
  <si>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</si>
  <si>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</si>
  <si>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</si>
  <si>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</si>
  <si>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</si>
  <si>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AttritionFlag</t>
  </si>
  <si>
    <t>TenureBand</t>
  </si>
  <si>
    <t>PromotionOverdue</t>
  </si>
  <si>
    <t>FlightRiskScore</t>
  </si>
  <si>
    <t>FlightRiskTier</t>
  </si>
  <si>
    <t>IncomeVsRoleAvg</t>
  </si>
  <si>
    <t>AnnualIncome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</si>
  <si>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</si>
  <si>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</si>
  <si>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</si>
  <si>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</si>
  <si>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</si>
  <si>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</si>
  <si>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</si>
  <si>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</si>
  <si>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</si>
  <si>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</si>
  <si>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No</t>
  </si>
  <si>
    <t>VK3020</t>
  </si>
  <si>
    <t>Sales</t>
  </si>
  <si>
    <t>Medical</t>
  </si>
  <si>
    <t>Female</t>
  </si>
  <si>
    <t>Sales Representative</t>
  </si>
  <si>
    <t>VK4580</t>
  </si>
  <si>
    <t>Travel_Frequently</t>
  </si>
  <si>
    <t>Marketing</t>
  </si>
  <si>
    <t>6-10 LPA</t>
  </si>
  <si>
    <t>VK7280</t>
  </si>
  <si>
    <t>Non_Travel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</si>
  <si>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</si>
  <si>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</si>
  <si>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</si>
  <si>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</si>
  <si>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</si>
  <si>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</si>
  <si>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</si>
  <si>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</si>
  <si>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</si>
  <si>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</si>
  <si>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</si>
  <si>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</si>
  <si>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</si>
  <si>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</si>
  <si>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</si>
  <si>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</si>
  <si>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</si>
  <si>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</si>
  <si>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</si>
  <si>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</si>
  <si>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</si>
  <si>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</si>
  <si>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</si>
  <si>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</si>
  <si>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</si>
  <si>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</si>
  <si>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</si>
  <si>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</si>
  <si>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</si>
  <si>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</si>
  <si>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</si>
  <si>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</si>
  <si>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</si>
  <si>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</si>
  <si>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</si>
  <si>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</si>
  <si>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</si>
  <si>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</si>
  <si>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</si>
  <si>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</si>
  <si>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</si>
  <si>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</si>
  <si>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</si>
  <si>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</si>
  <si>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</si>
  <si>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</si>
  <si>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</si>
  <si>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</si>
  <si>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</si>
  <si>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</si>
  <si>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</si>
  <si>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</si>
  <si>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</si>
  <si>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</si>
  <si>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</si>
  <si>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</si>
  <si>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</si>
  <si>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</si>
  <si>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</si>
  <si>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</si>
  <si>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</si>
  <si>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</si>
  <si>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</si>
  <si>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</si>
  <si>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</si>
  <si>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</si>
  <si>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</si>
  <si>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</si>
  <si>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</si>
  <si>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</si>
  <si>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</si>
  <si>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</si>
  <si>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</si>
  <si>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</si>
  <si>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</si>
  <si>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</si>
  <si>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</si>
  <si>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</si>
  <si>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</si>
  <si>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</si>
  <si>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</si>
  <si>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</si>
  <si>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</si>
  <si>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</si>
  <si>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</si>
  <si>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</si>
  <si>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</si>
  <si>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</si>
  <si>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</si>
  <si>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</si>
  <si>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</si>
  <si>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</si>
  <si>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</si>
  <si>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</si>
  <si>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</si>
  <si>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</si>
  <si>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</si>
  <si>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</si>
  <si>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</si>
  <si>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</si>
  <si>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</si>
  <si>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</si>
  <si>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</si>
  <si>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</si>
  <si>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</si>
  <si>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</si>
  <si>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</si>
  <si>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</si>
  <si>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</si>
  <si>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</si>
  <si>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</si>
  <si>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</si>
  <si>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</si>
  <si>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</si>
  <si>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</si>
  <si>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</si>
  <si>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</si>
  <si>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</si>
  <si>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</si>
  <si>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</si>
  <si>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</si>
  <si>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</si>
  <si>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</si>
  <si>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</si>
  <si>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</si>
  <si>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</si>
  <si>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</si>
  <si>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</si>
  <si>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</si>
  <si>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</si>
  <si>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</si>
  <si>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</si>
  <si>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</si>
  <si>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</si>
  <si>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</si>
  <si>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</si>
  <si>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</si>
  <si>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</si>
  <si>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</si>
  <si>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</si>
  <si>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</si>
  <si>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</si>
  <si>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</si>
  <si>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</si>
  <si>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</si>
  <si>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</si>
  <si>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</si>
  <si>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</si>
  <si>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</si>
  <si>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</si>
  <si>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</si>
  <si>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</si>
  <si>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</si>
  <si>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</si>
  <si>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</si>
  <si>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</si>
  <si>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</si>
  <si>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</si>
  <si>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</si>
  <si>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</si>
  <si>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</si>
  <si>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</si>
  <si>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</si>
  <si>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</si>
  <si>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</si>
  <si>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</si>
  <si>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</si>
  <si>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</si>
  <si>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</si>
  <si>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</si>
  <si>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</si>
  <si>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</si>
  <si>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</si>
  <si>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</si>
  <si>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</si>
  <si>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</si>
  <si>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</si>
  <si>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</si>
  <si>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</si>
  <si>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</si>
  <si>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</si>
  <si>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</si>
  <si>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</si>
  <si>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</si>
  <si>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</si>
  <si>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</si>
  <si>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</si>
  <si>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</si>
  <si>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</si>
  <si>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</si>
  <si>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</si>
  <si>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</si>
  <si>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</si>
  <si>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</si>
  <si>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</si>
  <si>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</si>
  <si>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</si>
  <si>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</si>
  <si>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</si>
  <si>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</si>
  <si>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</si>
  <si>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</si>
  <si>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</si>
  <si>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</si>
  <si>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</si>
  <si>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</si>
  <si>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</si>
  <si>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</si>
  <si>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</si>
  <si>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</si>
  <si>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</si>
  <si>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</si>
  <si>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</si>
  <si>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</si>
  <si>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</si>
  <si>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</si>
  <si>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</si>
  <si>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</si>
  <si>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</si>
  <si>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</si>
  <si>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</si>
  <si>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</si>
  <si>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</si>
  <si>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</si>
  <si>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</si>
  <si>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</si>
  <si>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</si>
  <si>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</si>
  <si>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</si>
  <si>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</si>
  <si>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</si>
  <si>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</si>
  <si>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</si>
  <si>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</si>
  <si>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</si>
  <si>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</si>
  <si>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</si>
  <si>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</si>
  <si>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</si>
  <si>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</si>
  <si>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</si>
  <si>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</si>
  <si>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</si>
  <si>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</si>
  <si>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</si>
  <si>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</si>
  <si>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</si>
  <si>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</si>
  <si>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</si>
  <si>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</si>
  <si>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</si>
  <si>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</si>
  <si>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</si>
  <si>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</si>
  <si>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</si>
  <si>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</si>
  <si>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</si>
  <si>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</si>
  <si>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</si>
  <si>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</si>
  <si>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</si>
  <si>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</si>
  <si>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</si>
  <si>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</si>
  <si>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</si>
  <si>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</si>
  <si>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</si>
  <si>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</si>
  <si>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</si>
  <si>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</si>
  <si>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</si>
  <si>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</si>
  <si>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</si>
  <si>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</si>
  <si>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</si>
  <si>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</si>
  <si>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</si>
  <si>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</si>
  <si>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</si>
  <si>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</si>
  <si>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</si>
  <si>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</si>
  <si>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</si>
  <si>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</si>
  <si>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</si>
  <si>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</si>
  <si>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</si>
  <si>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</si>
  <si>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</si>
  <si>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</si>
  <si>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</si>
  <si>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</si>
  <si>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</si>
  <si>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</si>
  <si>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</si>
  <si>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</si>
  <si>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</si>
  <si>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</si>
  <si>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</si>
  <si>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</si>
  <si>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</si>
  <si>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</si>
  <si>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</si>
  <si>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</si>
  <si>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</si>
  <si>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</si>
  <si>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</si>
  <si>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</si>
  <si>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</si>
  <si>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</si>
  <si>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</si>
  <si>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</si>
  <si>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</si>
  <si>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</si>
  <si>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</si>
  <si>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</si>
  <si>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</si>
  <si>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</si>
  <si>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</si>
  <si>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</si>
  <si>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</si>
  <si>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</si>
  <si>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</si>
  <si>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</si>
  <si>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</si>
  <si>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</si>
  <si>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</si>
  <si>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</si>
  <si>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</si>
  <si>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</si>
  <si>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</si>
  <si>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</si>
  <si>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</si>
  <si>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</si>
  <si>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</si>
  <si>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</si>
  <si>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</si>
  <si>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</si>
  <si>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</si>
  <si>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</si>
  <si>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</si>
  <si>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</si>
  <si>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</si>
  <si>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</si>
  <si>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</si>
  <si>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</si>
  <si>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</si>
  <si>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</si>
  <si>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</si>
  <si>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</si>
  <si>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</si>
  <si>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</si>
  <si>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</si>
  <si>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</si>
  <si>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</si>
  <si>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</si>
  <si>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</si>
  <si>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</si>
  <si>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</si>
  <si>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</si>
  <si>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</si>
  <si>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</si>
  <si>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</si>
  <si>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</si>
  <si>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</si>
  <si>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</si>
  <si>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</si>
  <si>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</si>
  <si>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</si>
  <si>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</si>
  <si>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</si>
  <si>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</si>
  <si>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</si>
  <si>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</si>
  <si>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</si>
  <si>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</si>
  <si>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</si>
  <si>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</si>
  <si>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</si>
  <si>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</si>
  <si>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</si>
  <si>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</si>
  <si>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</si>
  <si>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</si>
  <si>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</si>
  <si>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</si>
  <si>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</si>
  <si>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</si>
  <si>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</si>
  <si>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</si>
  <si>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</si>
  <si>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</si>
  <si>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</si>
  <si>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</si>
  <si>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</si>
  <si>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</si>
  <si>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</si>
  <si>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</si>
  <si>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</si>
  <si>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</si>
  <si>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</si>
  <si>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</si>
  <si>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</si>
  <si>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</si>
  <si>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</si>
  <si>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</si>
  <si>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</si>
  <si>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</si>
  <si>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</si>
  <si>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</si>
  <si>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</si>
  <si>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</si>
  <si>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</si>
  <si>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</si>
  <si>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</si>
  <si>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</si>
  <si>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</si>
  <si>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</si>
  <si>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</si>
  <si>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</si>
  <si>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</si>
  <si>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</si>
  <si>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</si>
  <si>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</si>
  <si>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</si>
  <si>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</si>
  <si>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</si>
  <si>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</si>
  <si>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</si>
  <si>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</si>
  <si>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</si>
  <si>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</si>
  <si>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</si>
  <si>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</si>
  <si>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</si>
  <si>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</si>
  <si>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</si>
  <si>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</si>
  <si>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</si>
  <si>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</si>
  <si>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</si>
  <si>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</si>
  <si>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</si>
  <si>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</si>
  <si>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</si>
  <si>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</si>
  <si>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</si>
  <si>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</si>
  <si>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</si>
  <si>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</si>
  <si>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</si>
  <si>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</si>
  <si>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</si>
  <si>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</si>
  <si>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</si>
  <si>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</si>
  <si>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</si>
  <si>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</si>
  <si>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</si>
  <si>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</si>
  <si>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</si>
  <si>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</si>
  <si>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</si>
  <si>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</si>
  <si>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</si>
  <si>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</si>
  <si>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</si>
  <si>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</si>
  <si>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</si>
  <si>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</si>
  <si>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</si>
  <si>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</si>
  <si>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</si>
  <si>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</si>
  <si>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</si>
  <si>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</si>
  <si>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</si>
  <si>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</si>
  <si>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</si>
  <si>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</si>
  <si>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</si>
  <si>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</si>
  <si>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</si>
  <si>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</si>
  <si>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</si>
  <si>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</si>
  <si>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</si>
  <si>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</si>
  <si>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</si>
  <si>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</si>
  <si>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</si>
  <si>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</si>
  <si>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</si>
  <si>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</si>
  <si>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</si>
  <si>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</si>
  <si>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</si>
  <si>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</si>
  <si>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</si>
  <si>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</si>
  <si>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</si>
  <si>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</si>
  <si>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</si>
  <si>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</si>
  <si>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</si>
  <si>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</si>
  <si>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</si>
  <si>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</si>
  <si>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</si>
  <si>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</si>
  <si>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</si>
  <si>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</si>
  <si>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</si>
  <si>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</si>
  <si>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</si>
  <si>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</si>
  <si>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</si>
  <si>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</si>
  <si>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</si>
  <si>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</si>
  <si>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</si>
  <si>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</si>
  <si>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</si>
  <si>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</si>
  <si>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</si>
  <si>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</si>
  <si>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</si>
  <si>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</si>
  <si>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</si>
  <si>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</si>
  <si>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</si>
  <si>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</si>
  <si>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</si>
  <si>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</si>
  <si>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</si>
  <si>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</si>
  <si>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</si>
  <si>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</si>
  <si>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</si>
  <si>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</si>
  <si>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</si>
  <si>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</si>
  <si>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</si>
  <si>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</si>
  <si>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</si>
  <si>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</si>
  <si>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</si>
  <si>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</si>
  <si>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</si>
  <si>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</si>
  <si>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</si>
  <si>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</si>
  <si>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</si>
  <si>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</si>
  <si>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</si>
  <si>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</si>
  <si>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</si>
  <si>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</si>
  <si>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</si>
  <si>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</si>
  <si>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</si>
  <si>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</si>
  <si>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</si>
  <si>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</si>
  <si>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</si>
  <si>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</si>
  <si>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</si>
  <si>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</si>
  <si>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</si>
  <si>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</si>
  <si>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</si>
  <si>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</si>
  <si>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</si>
  <si>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</si>
  <si>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</si>
  <si>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</si>
  <si>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</si>
  <si>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</si>
  <si>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</si>
  <si>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</si>
  <si>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</si>
  <si>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</si>
  <si>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</si>
  <si>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</si>
  <si>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</si>
  <si>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</si>
  <si>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</si>
  <si>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</si>
  <si>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</si>
  <si>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</si>
  <si>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</si>
  <si>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</si>
  <si>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</si>
  <si>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</si>
  <si>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</si>
  <si>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</si>
  <si>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</si>
  <si>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</si>
  <si>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</si>
  <si>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</si>
  <si>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</si>
  <si>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</si>
  <si>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</si>
  <si>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</si>
  <si>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</si>
  <si>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</si>
  <si>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</si>
  <si>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</si>
  <si>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</si>
  <si>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</si>
  <si>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</si>
  <si>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</si>
  <si>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</si>
  <si>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</si>
  <si>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</si>
  <si>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</si>
  <si>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</si>
  <si>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</si>
  <si>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</si>
  <si>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</si>
  <si>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</si>
  <si>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</si>
  <si>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</si>
  <si>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</si>
  <si>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</si>
  <si>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</si>
  <si>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</si>
  <si>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</si>
  <si>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</si>
  <si>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</si>
  <si>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</si>
  <si>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</si>
  <si>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</si>
  <si>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</si>
  <si>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</si>
  <si>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</si>
  <si>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</si>
  <si>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</si>
  <si>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</si>
  <si>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</si>
  <si>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</si>
  <si>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</si>
  <si>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</si>
  <si>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</si>
  <si>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</si>
  <si>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</si>
  <si>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</si>
  <si>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</si>
  <si>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</si>
  <si>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</si>
  <si>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</si>
  <si>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</si>
  <si>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</si>
  <si>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</si>
  <si>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</si>
  <si>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</si>
  <si>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</si>
  <si>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</si>
  <si>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</si>
  <si>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</si>
  <si>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</si>
  <si>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</si>
  <si>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</si>
  <si>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</si>
  <si>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</si>
  <si>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</si>
  <si>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</si>
  <si>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</si>
  <si>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</si>
  <si>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</si>
  <si>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</si>
  <si>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</si>
  <si>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</si>
  <si>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</si>
  <si>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</si>
  <si>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</si>
  <si>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</si>
  <si>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</si>
  <si>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</si>
  <si>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</si>
  <si>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</si>
  <si>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</si>
  <si>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</si>
  <si>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</si>
  <si>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</si>
  <si>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</si>
  <si>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</si>
  <si>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</si>
  <si>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</si>
  <si>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</si>
  <si>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</si>
  <si>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</si>
  <si>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</si>
  <si>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</si>
  <si>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</si>
  <si>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</si>
  <si>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</si>
  <si>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</si>
  <si>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</si>
  <si>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</si>
  <si>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</si>
  <si>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</si>
  <si>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</si>
  <si>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</si>
  <si>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</si>
  <si>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</si>
  <si>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</si>
  <si>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</si>
  <si>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</si>
  <si>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</si>
  <si>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</si>
  <si>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</si>
  <si>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</si>
  <si>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</si>
  <si>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</si>
  <si>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</si>
  <si>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</si>
  <si>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</si>
  <si>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</si>
  <si>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</si>
  <si>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</si>
  <si>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</si>
  <si>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</si>
  <si>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</si>
  <si>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</si>
  <si>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</si>
  <si>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</si>
  <si>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</si>
  <si>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</si>
  <si>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</si>
  <si>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</si>
  <si>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</si>
  <si>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</si>
  <si>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</si>
  <si>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</si>
  <si>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</si>
  <si>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</si>
  <si>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</si>
  <si>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</si>
  <si>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</si>
  <si>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</si>
  <si>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</si>
  <si>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</si>
  <si>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</si>
  <si>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</si>
  <si>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</si>
  <si>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</si>
  <si>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</si>
  <si>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</si>
  <si>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</si>
  <si>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</si>
  <si>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</si>
  <si>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</si>
  <si>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</si>
  <si>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</si>
  <si>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</si>
  <si>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</si>
  <si>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</si>
  <si>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</si>
  <si>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</si>
  <si>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</si>
  <si>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</si>
  <si>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</si>
  <si>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</si>
  <si>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</si>
  <si>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</si>
  <si>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</si>
  <si>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</si>
  <si>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</si>
  <si>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</si>
  <si>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</si>
  <si>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</si>
  <si>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</si>
  <si>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</si>
  <si>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</si>
  <si>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</si>
  <si>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</si>
  <si>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</si>
  <si>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</si>
  <si>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</si>
  <si>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</si>
  <si>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</si>
  <si>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</si>
  <si>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</si>
  <si>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</si>
  <si>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</si>
  <si>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</si>
  <si>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</si>
  <si>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</si>
  <si>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</si>
  <si>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</si>
  <si>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</si>
  <si>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</si>
  <si>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</si>
  <si>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</si>
  <si>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</si>
  <si>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</si>
  <si>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</si>
  <si>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</si>
  <si>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</si>
  <si>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</si>
  <si>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</si>
  <si>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</si>
  <si>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</si>
  <si>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</si>
  <si>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</si>
  <si>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</si>
  <si>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</si>
  <si>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</si>
  <si>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</si>
  <si>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</si>
  <si>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</si>
  <si>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</si>
  <si>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</si>
  <si>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</si>
  <si>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</si>
  <si>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</si>
  <si>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</si>
  <si>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</si>
  <si>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</si>
  <si>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</si>
  <si>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</si>
  <si>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</si>
  <si>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</si>
  <si>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</si>
  <si>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</si>
  <si>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</si>
  <si>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</si>
  <si>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</si>
  <si>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</si>
  <si>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</si>
  <si>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</si>
  <si>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</si>
  <si>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</si>
  <si>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</si>
  <si>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</si>
  <si>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</si>
  <si>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</si>
  <si>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</si>
  <si>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</si>
  <si>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</si>
  <si>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</si>
  <si>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</si>
  <si>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</si>
  <si>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</si>
  <si>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</si>
  <si>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</si>
  <si>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</si>
  <si>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</si>
  <si>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</si>
  <si>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</si>
  <si>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</si>
  <si>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</si>
  <si>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</si>
  <si>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</si>
  <si>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</si>
  <si>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</si>
  <si>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</si>
  <si>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</si>
  <si>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</si>
  <si>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</si>
  <si>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</si>
  <si>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</si>
  <si>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</si>
  <si>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</si>
  <si>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</si>
  <si>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</si>
  <si>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</si>
  <si>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</si>
  <si>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</si>
  <si>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</si>
  <si>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</si>
  <si>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</si>
  <si>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</si>
  <si>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</si>
  <si>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</si>
  <si>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</si>
  <si>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</si>
  <si>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</si>
  <si>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</si>
  <si>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</si>
  <si>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</si>
  <si>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</si>
  <si>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</si>
  <si>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</si>
  <si>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</si>
  <si>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</si>
  <si>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</si>
  <si>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</si>
  <si>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</si>
  <si>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</si>
  <si>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</si>
  <si>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</si>
  <si>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</si>
  <si>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</si>
  <si>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</si>
  <si>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</si>
  <si>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</si>
  <si>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</si>
  <si>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</si>
  <si>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</si>
  <si>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</si>
  <si>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</si>
  <si>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</si>
  <si>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</si>
  <si>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</si>
  <si>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</si>
  <si>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</si>
  <si>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</si>
  <si>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</si>
  <si>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</si>
  <si>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</si>
  <si>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</si>
  <si>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</si>
  <si>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</si>
  <si>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</si>
  <si>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</si>
  <si>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</si>
  <si>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</si>
  <si>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</si>
  <si>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</si>
  <si>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</si>
  <si>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</si>
  <si>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</si>
  <si>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</si>
  <si>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</si>
  <si>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</si>
  <si>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</si>
  <si>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</si>
  <si>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</si>
  <si>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</si>
  <si>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</si>
  <si>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</si>
  <si>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</si>
  <si>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</si>
  <si>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</si>
  <si>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</si>
  <si>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</si>
  <si>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</si>
  <si>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</si>
  <si>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</si>
  <si>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</si>
  <si>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</si>
  <si>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</si>
  <si>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</si>
  <si>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</si>
  <si>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</si>
  <si>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</si>
  <si>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</si>
  <si>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</si>
  <si>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</si>
  <si>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</si>
  <si>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</si>
  <si>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</si>
  <si>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</si>
  <si>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</si>
  <si>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</si>
  <si>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</si>
  <si>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</si>
  <si>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</si>
  <si>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</si>
  <si>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</si>
  <si>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</si>
  <si>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</si>
  <si>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</si>
  <si>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</si>
  <si>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</si>
  <si>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</si>
  <si>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</si>
  <si>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</si>
  <si>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</si>
  <si>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</si>
  <si>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</si>
  <si>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</si>
  <si>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</si>
  <si>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</si>
  <si>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</si>
  <si>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</si>
  <si>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</si>
  <si>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</si>
  <si>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</si>
  <si>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</si>
  <si>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</si>
  <si>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</si>
  <si>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</si>
  <si>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</si>
  <si>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</si>
  <si>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</si>
  <si>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</si>
  <si>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</si>
  <si>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</si>
  <si>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</si>
  <si>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</si>
  <si>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</si>
  <si>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</si>
  <si>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</si>
  <si>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</si>
  <si>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</si>
  <si>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</si>
  <si>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</si>
  <si>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</si>
  <si>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</si>
  <si>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</si>
  <si>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</si>
  <si>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</si>
  <si>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</si>
  <si>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</si>
  <si>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</si>
  <si>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</si>
  <si>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</si>
  <si>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</si>
  <si>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</si>
  <si>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</si>
  <si>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</si>
  <si>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</si>
  <si>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</si>
  <si>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</si>
  <si>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</si>
  <si>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</si>
  <si>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</si>
  <si>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</si>
  <si>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</si>
  <si>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</si>
  <si>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</si>
  <si>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</si>
  <si>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</si>
  <si>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</si>
  <si>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</si>
  <si>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</si>
  <si>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</si>
  <si>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</si>
  <si>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</si>
  <si>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</si>
  <si>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</si>
  <si>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</si>
  <si>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</si>
  <si>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</si>
  <si>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</si>
  <si>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</si>
  <si>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</si>
  <si>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</si>
  <si>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</si>
  <si>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</si>
  <si>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</si>
  <si>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</si>
  <si>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</si>
  <si>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</si>
  <si>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</si>
  <si>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</si>
  <si>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</si>
  <si>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</si>
  <si>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</si>
  <si>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</si>
  <si>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</si>
  <si>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</si>
  <si>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</si>
  <si>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</si>
  <si>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</si>
  <si>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</si>
  <si>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</si>
  <si>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</si>
  <si>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</si>
  <si>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</si>
  <si>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</si>
  <si>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</si>
  <si>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</si>
  <si>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</si>
  <si>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</si>
  <si>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</si>
  <si>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</si>
  <si>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</si>
  <si>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</si>
  <si>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</si>
  <si>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</si>
  <si>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</si>
  <si>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</si>
  <si>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</si>
  <si>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</si>
  <si>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</si>
  <si>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</si>
  <si>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</si>
  <si>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</si>
  <si>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</si>
  <si>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</si>
  <si>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</si>
  <si>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</si>
  <si>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</si>
  <si>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</si>
  <si>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</si>
  <si>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</si>
  <si>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</si>
  <si>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</si>
  <si>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</si>
  <si>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</si>
  <si>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</si>
  <si>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</si>
  <si>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</si>
  <si>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</si>
  <si>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</si>
  <si>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</si>
  <si>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</si>
  <si>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</si>
  <si>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</si>
  <si>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</si>
  <si>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</si>
  <si>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</si>
  <si>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</si>
  <si>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</si>
  <si>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</si>
  <si>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</si>
  <si>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</si>
  <si>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</si>
  <si>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</si>
  <si>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</si>
  <si>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</si>
  <si>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</si>
  <si>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</si>
  <si>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</si>
  <si>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</si>
  <si>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</si>
  <si>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</si>
  <si>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</si>
  <si>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</si>
  <si>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</si>
  <si>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</si>
  <si>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</si>
  <si>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</si>
  <si>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</si>
  <si>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</si>
  <si>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</si>
  <si>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</si>
  <si>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</si>
  <si>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</si>
  <si>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</si>
  <si>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</si>
  <si>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</si>
  <si>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</si>
  <si>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</si>
  <si>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</si>
  <si>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</si>
  <si>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</si>
  <si>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</si>
  <si>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</si>
  <si>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</si>
  <si>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</si>
  <si>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</si>
  <si>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</si>
  <si>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</si>
  <si>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</si>
  <si>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</si>
  <si>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</si>
  <si>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</si>
  <si>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</si>
  <si>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</si>
  <si>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</si>
  <si>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</si>
  <si>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</si>
  <si>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</si>
  <si>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</si>
  <si>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</si>
  <si>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</si>
  <si>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</si>
  <si>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</si>
  <si>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</si>
  <si>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</si>
  <si>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</si>
  <si>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</si>
  <si>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</si>
  <si>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</si>
  <si>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</si>
  <si>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</si>
  <si>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</si>
  <si>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</si>
  <si>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</si>
  <si>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</si>
  <si>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</si>
  <si>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</si>
  <si>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</si>
  <si>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</si>
  <si>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</si>
  <si>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</si>
  <si>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</si>
  <si>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</si>
  <si>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</si>
  <si>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</si>
  <si>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</si>
  <si>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</si>
  <si>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</si>
  <si>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</si>
  <si>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</si>
  <si>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</si>
  <si>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</si>
  <si>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</si>
  <si>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</si>
  <si>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</si>
  <si>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</si>
  <si>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</si>
  <si>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</si>
  <si>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</si>
  <si>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</si>
  <si>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</si>
  <si>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</si>
  <si>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</si>
  <si>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</si>
  <si>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</si>
  <si>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</si>
  <si>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</si>
  <si>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</si>
  <si>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</si>
  <si>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</si>
  <si>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</si>
  <si>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</si>
  <si>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</si>
  <si>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</si>
  <si>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</si>
  <si>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</si>
  <si>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</si>
  <si>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</si>
  <si>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</si>
  <si>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</si>
  <si>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</si>
  <si>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</si>
  <si>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</si>
  <si>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</si>
  <si>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</si>
  <si>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</si>
  <si>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</si>
  <si>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</si>
  <si>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</si>
  <si>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</si>
  <si>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</si>
  <si>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</si>
  <si>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</si>
  <si>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</si>
  <si>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</si>
  <si>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</si>
  <si>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</si>
  <si>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</si>
  <si>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</si>
  <si>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</si>
  <si>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</si>
  <si>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</si>
  <si>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</si>
  <si>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</si>
  <si>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</si>
  <si>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</si>
  <si>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</si>
  <si>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</si>
  <si>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</si>
  <si>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</si>
  <si>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</si>
  <si>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</si>
  <si>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</si>
  <si>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</si>
  <si>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</si>
  <si>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</si>
  <si>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</si>
  <si>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</si>
  <si>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</si>
  <si>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</si>
  <si>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</si>
  <si>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</si>
  <si>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</si>
  <si>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</si>
  <si>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</si>
  <si>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</si>
  <si>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</si>
  <si>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</si>
  <si>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</si>
  <si>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</si>
  <si>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</si>
  <si>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</si>
  <si>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</si>
  <si>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</si>
  <si>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</si>
  <si>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</si>
  <si>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</si>
  <si>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</si>
  <si>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</si>
  <si>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</si>
  <si>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</si>
  <si>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</si>
  <si>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</si>
  <si>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</si>
  <si>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</si>
  <si>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</si>
  <si>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</si>
  <si>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</si>
  <si>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</si>
  <si>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</si>
  <si>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</si>
  <si>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</si>
  <si>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</si>
  <si>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</si>
  <si>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</si>
  <si>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</si>
  <si>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</si>
  <si>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</si>
  <si>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</si>
  <si>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</si>
  <si>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</si>
  <si>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</si>
  <si>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</si>
  <si>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</si>
  <si>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</si>
  <si>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</si>
  <si>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</si>
  <si>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</si>
  <si>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</si>
  <si>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</si>
  <si>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</si>
  <si>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</si>
  <si>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</si>
  <si>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</si>
  <si>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</si>
  <si>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</si>
  <si>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</si>
  <si>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</si>
  <si>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</si>
  <si>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</si>
  <si>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</si>
  <si>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</si>
  <si>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</si>
  <si>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</si>
  <si>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</si>
  <si>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</si>
  <si>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</si>
  <si>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</si>
  <si>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</si>
  <si>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</si>
  <si>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</si>
  <si>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</si>
  <si>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</si>
  <si>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</si>
  <si>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</si>
  <si>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</si>
  <si>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</si>
  <si>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</si>
  <si>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</si>
  <si>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</si>
  <si>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</si>
  <si>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</si>
  <si>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</si>
  <si>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</si>
  <si>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</si>
  <si>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</si>
  <si>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</si>
  <si>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</si>
  <si>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</si>
  <si>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</si>
  <si>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</si>
  <si>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</si>
  <si>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</si>
  <si>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</si>
  <si>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</si>
  <si>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</si>
  <si>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</si>
  <si>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</si>
  <si>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</si>
  <si>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</si>
  <si>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</si>
  <si>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</si>
  <si>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</si>
  <si>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</si>
  <si>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</si>
  <si>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</si>
  <si>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</si>
  <si>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</si>
  <si>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</si>
  <si>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</si>
  <si>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</si>
  <si>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</si>
  <si>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</si>
  <si>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</si>
  <si>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</si>
  <si>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</si>
  <si>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</si>
  <si>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</si>
  <si>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</si>
  <si>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</si>
  <si>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</si>
  <si>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</si>
  <si>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</si>
  <si>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</si>
  <si>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</si>
  <si>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</si>
  <si>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</si>
  <si>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</si>
  <si>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</si>
  <si>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</si>
  <si>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</si>
  <si>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</si>
  <si>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</si>
  <si>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</si>
  <si>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</si>
  <si>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</si>
  <si>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</si>
  <si>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</si>
  <si>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</si>
  <si>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</si>
  <si>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</si>
  <si>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</si>
  <si>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</si>
  <si>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</si>
  <si>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</si>
  <si>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</si>
  <si>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</si>
  <si>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</si>
  <si>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</si>
  <si>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</si>
  <si>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</si>
  <si>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</si>
  <si>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</si>
  <si>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</si>
  <si>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</si>
  <si>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</si>
  <si>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</si>
  <si>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</si>
  <si>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</si>
  <si>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</si>
  <si>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</si>
  <si>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</si>
  <si>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</si>
  <si>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</si>
  <si>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</si>
  <si>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</si>
  <si>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</si>
  <si>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</si>
  <si>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</si>
  <si>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</si>
  <si>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</si>
  <si>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</si>
  <si>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</si>
  <si>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</si>
  <si>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</si>
  <si>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</si>
  <si>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</si>
  <si>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</si>
  <si>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</si>
  <si>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</si>
  <si>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</si>
  <si>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</si>
  <si>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</si>
  <si>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</si>
  <si>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</si>
  <si>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</si>
  <si>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</si>
  <si>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</si>
  <si>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</si>
  <si>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</si>
  <si>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</si>
  <si>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</si>
  <si>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</si>
  <si>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</si>
  <si>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</si>
  <si>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</si>
  <si>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</si>
  <si>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</si>
  <si>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</si>
  <si>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</si>
  <si>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</si>
  <si>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</si>
  <si>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</si>
  <si>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</si>
  <si>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</si>
  <si>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</si>
  <si>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</si>
  <si>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</si>
  <si>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</si>
  <si>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</si>
  <si>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</si>
  <si>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</si>
  <si>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</si>
  <si>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</si>
  <si>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</si>
  <si>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</si>
  <si>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</si>
  <si>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</si>
  <si>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</si>
  <si>
    <t>KPI Summary</t>
  </si>
  <si>
    <t>Attrition by Department</t>
  </si>
  <si>
    <t>Attrition by OverTime</t>
  </si>
  <si>
    <t>Attrition by Age Group</t>
  </si>
  <si>
    <t>Category</t>
  </si>
  <si>
    <t>Total</t>
  </si>
  <si>
    <t>Left</t>
  </si>
  <si>
    <t>Employees Left</t>
  </si>
  <si>
    <t>Avg Tenure - Left</t>
  </si>
  <si>
    <t>Avg Tenure - Active</t>
  </si>
  <si>
    <t>Attrition by Job Role</t>
  </si>
  <si>
    <t>Attrition by Work-Life Balance (1-4)</t>
  </si>
  <si>
    <t>Attrition by Marital Status</t>
  </si>
  <si>
    <t>Attrition by Salary Slab</t>
  </si>
  <si>
    <t xml:space="preserve">                                                                                            Employee Attrition &amp; Workforce Overview</t>
  </si>
  <si>
    <t>0-1 yr</t>
  </si>
  <si>
    <t>Recent</t>
  </si>
  <si>
    <t>Minimal Risk</t>
  </si>
  <si>
    <t>Medium Risk</t>
  </si>
  <si>
    <t>Low Risk</t>
  </si>
  <si>
    <t>2-3 yrs</t>
  </si>
  <si>
    <t>4-5 yrs</t>
  </si>
  <si>
    <t>High Risk</t>
  </si>
  <si>
    <t>6-10 yrs</t>
  </si>
  <si>
    <t>Overdue</t>
  </si>
  <si>
    <t>10+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</si>
</sst>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₹#,##0"/>
    <numFmt numFmtId="166" formatCode="0.0"/>
  </numFmts>
  <fonts count="8" x14ac:knownFonts="1">
    <font>
      <sz val="11"/>
      <color theme="1"/>
      <name val="Calibri"/>
      <family val="2"/>
      <charset val="1"/>
    </font>
    <font>
      <b/>
      <sz val="18"/>
      <color rgb="FF0B1F3A"/>
      <name val="Arial"/>
      <charset val="1"/>
    </font>
    <font>
      <sz val="10"/>
      <color rgb="FF5B6B85"/>
      <name val="Arial"/>
      <charset val="1"/>
    </font>
    <font>
      <b/>
      <sz val="9.5"/>
      <color rgb="FF5B6B85"/>
      <name val="Arial"/>
      <charset val="1"/>
    </font>
    <font>
      <b/>
      <sz val="24"/>
      <color rgb="FF0B1F3A"/>
      <name val="Arial"/>
      <charset val="1"/>
    </font>
    <font>
      <b/>
      <sz val="10.5"/>
      <color rgb="FFFFFFFF"/>
      <name val="Arial"/>
      <charset val="1"/>
    </font>
    <font>
      <b/>
      <sz val="12"/>
      <color rgb="FF0B1F3A"/>
      <name val="Arial"/>
      <charset val="1"/>
    </font>
    <font>
      <b/>
      <sz val="11"/>
      <color rgb="FF0B1F3A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FAE60"/>
        <bgColor rgb="FF33CCCC"/>
      </patternFill>
    </fill>
    <fill>
      <patternFill patternType="solid">
        <fgColor rgb="FFEEF1F6"/>
        <bgColor rgb="FFF9F9F9"/>
      </patternFill>
    </fill>
    <fill>
      <patternFill patternType="solid">
        <fgColor rgb="FF0B1F3A"/>
        <bgColor rgb="FF003300"/>
      </patternFill>
    </fill>
    <fill>
      <patternFill patternType="solid">
        <fgColor rgb="FF2E6FF2"/>
        <bgColor rgb="FF4F81BD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0" fontId="6" fillId="0" borderId="0" xfId="0" applyFont="1"/>
    <xf numFmtId="0" fontId="3" fillId="0" borderId="0" xfId="0" applyFont="1"/>
    <xf numFmtId="3" fontId="7" fillId="0" borderId="0" xfId="0" applyNumberFormat="1" applyFont="1"/>
    <xf numFmtId="0" fontId="5" fillId="4" borderId="0" xfId="0" applyFont="1" applyFill="1" applyAlignment="1">
      <alignment horizontal="center"/>
    </xf>
    <xf numFmtId="164" fontId="7" fillId="0" borderId="0" xfId="0" applyNumberFormat="1" applyFont="1"/>
    <xf numFmtId="166" fontId="7" fillId="0" borderId="0" xfId="0" applyNumberFormat="1" applyFont="1"/>
    <xf numFmtId="0" fontId="3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left" vertical="center"/>
    </xf>
    <xf numFmtId="165" fontId="4" fillId="3" borderId="1" xfId="0" applyNumberFormat="1" applyFont="1" applyFill="1" applyBorder="1" applyAlignment="1">
      <alignment horizontal="left" vertical="center"/>
    </xf>
    <xf numFmtId="166" fontId="4" fillId="3" borderId="1" xfId="0" applyNumberFormat="1" applyFont="1" applyFill="1" applyBorder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EEF1F6"/>
      <rgbColor rgb="FF660066"/>
      <rgbColor rgb="FFFF8080"/>
      <rgbColor rgb="FF0066CC"/>
      <rgbColor rgb="FFD8DE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FF2"/>
      <rgbColor rgb="FF33CCCC"/>
      <rgbColor rgb="FF99CC00"/>
      <rgbColor rgb="FFFFCC00"/>
      <rgbColor rgb="FFF2A541"/>
      <rgbColor rgb="FFE6483E"/>
      <rgbColor rgb="FF5B6B85"/>
      <rgbColor rgb="FF4F81BD"/>
      <rgbColor rgb="FF0B1F3A"/>
      <rgbColor rgb="FF2FAE6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Attrition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Summary!$H$2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2E6FF2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Summary!$E$3:$E$9</c:f>
              <c:strCache>
                <c:ptCount val="7"/>
                <c:pt idx="0">
                  <c:v>Administration</c:v>
                </c:pt>
                <c:pt idx="1">
                  <c:v>Finance</c:v>
                </c:pt>
                <c:pt idx="2">
                  <c:v>Human Resources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Summary!$H$3:$H$9</c:f>
              <c:numCache>
                <c:formatCode>0.0%</c:formatCode>
                <c:ptCount val="7"/>
                <c:pt idx="0">
                  <c:v>0.20705882352941177</c:v>
                </c:pt>
                <c:pt idx="1">
                  <c:v>0.125</c:v>
                </c:pt>
                <c:pt idx="2">
                  <c:v>0.23076923076923078</c:v>
                </c:pt>
                <c:pt idx="3">
                  <c:v>0.17751479289940827</c:v>
                </c:pt>
                <c:pt idx="4">
                  <c:v>0.14925373134328357</c:v>
                </c:pt>
                <c:pt idx="5">
                  <c:v>8.3333333333333329E-2</c:v>
                </c:pt>
                <c:pt idx="6">
                  <c:v>0.25233644859813081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9-4DB4-B452-DBD95180D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48264"/>
        <c:axId val="75200997"/>
      </c:barChart>
      <c:catAx>
        <c:axId val="12448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200997"/>
        <c:crosses val="autoZero"/>
        <c:auto val="1"/>
        <c:lblAlgn val="ctr"/>
        <c:lblOffset val="100"/>
        <c:noMultiLvlLbl val="0"/>
      </c:catAx>
      <c:valAx>
        <c:axId val="752009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4482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Attrition Rate by Job 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Summary!$H$13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E6483E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Summary!$E$14:$E$22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Summary!$H$14:$H$22</c:f>
              <c:numCache>
                <c:formatCode>0.0%</c:formatCode>
                <c:ptCount val="9"/>
                <c:pt idx="0">
                  <c:v>6.7669172932330823E-2</c:v>
                </c:pt>
                <c:pt idx="1">
                  <c:v>0.23076923076923078</c:v>
                </c:pt>
                <c:pt idx="2">
                  <c:v>0.23552123552123552</c:v>
                </c:pt>
                <c:pt idx="3">
                  <c:v>4.9019607843137254E-2</c:v>
                </c:pt>
                <c:pt idx="4">
                  <c:v>6.8493150684931503E-2</c:v>
                </c:pt>
                <c:pt idx="5">
                  <c:v>2.5000000000000001E-2</c:v>
                </c:pt>
                <c:pt idx="6">
                  <c:v>0.16382252559726962</c:v>
                </c:pt>
                <c:pt idx="7">
                  <c:v>0.17629179331306991</c:v>
                </c:pt>
                <c:pt idx="8">
                  <c:v>0.40476190476190477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5-4FCB-992E-620A1ADAB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492406"/>
        <c:axId val="27375590"/>
      </c:barChart>
      <c:catAx>
        <c:axId val="7049240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375590"/>
        <c:crosses val="autoZero"/>
        <c:auto val="1"/>
        <c:lblAlgn val="ctr"/>
        <c:lblOffset val="100"/>
        <c:noMultiLvlLbl val="0"/>
      </c:catAx>
      <c:valAx>
        <c:axId val="273755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4924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Attrition Rate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Summary!$R$2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F2A541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Summary!$O$3:$O$7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Summary!$R$3:$R$7</c:f>
              <c:numCache>
                <c:formatCode>0.0%</c:formatCode>
                <c:ptCount val="5"/>
                <c:pt idx="0">
                  <c:v>0.36585365853658536</c:v>
                </c:pt>
                <c:pt idx="1">
                  <c:v>0.19047619047619047</c:v>
                </c:pt>
                <c:pt idx="2">
                  <c:v>9.1295116772823773E-2</c:v>
                </c:pt>
                <c:pt idx="3">
                  <c:v>0.11842105263157894</c:v>
                </c:pt>
                <c:pt idx="4">
                  <c:v>0.1702127659574468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5-4AF1-ADA2-ABE467DC6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330784"/>
        <c:axId val="48702881"/>
      </c:barChart>
      <c:catAx>
        <c:axId val="6733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702881"/>
        <c:crosses val="autoZero"/>
        <c:auto val="1"/>
        <c:lblAlgn val="ctr"/>
        <c:lblOffset val="100"/>
        <c:noMultiLvlLbl val="0"/>
      </c:catAx>
      <c:valAx>
        <c:axId val="487028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3307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Attrition by OverTime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Summary!$M$2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282-4086-BB25-CBA620BAC7E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282-4086-BB25-CBA620BAC7E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82-4086-BB25-CBA620BAC7E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82-4086-BB25-CBA620BAC7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Summary!$J$3:$J$4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Summary!$M$3:$M$4</c:f>
              <c:numCache>
                <c:formatCode>0.0%</c:formatCode>
                <c:ptCount val="2"/>
                <c:pt idx="0">
                  <c:v>0.10292728989612843</c:v>
                </c:pt>
                <c:pt idx="1">
                  <c:v>0.31026252983293556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82-4086-BB25-CBA620BAC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Attrition by Work-Life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Summary!$M$13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2F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Summary!$J$14:$J$17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Summary!$M$14:$M$17</c:f>
              <c:numCache>
                <c:formatCode>0.0%</c:formatCode>
                <c:ptCount val="4"/>
                <c:pt idx="0">
                  <c:v>0.30864197530864196</c:v>
                </c:pt>
                <c:pt idx="1">
                  <c:v>0.16954022988505746</c:v>
                </c:pt>
                <c:pt idx="2">
                  <c:v>0.1430167597765363</c:v>
                </c:pt>
                <c:pt idx="3">
                  <c:v>0.17532467532467533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A-401F-987E-07D3E7D8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541389"/>
        <c:axId val="60847"/>
      </c:barChart>
      <c:catAx>
        <c:axId val="665413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847"/>
        <c:crosses val="autoZero"/>
        <c:auto val="1"/>
        <c:lblAlgn val="ctr"/>
        <c:lblOffset val="100"/>
        <c:noMultiLvlLbl val="0"/>
      </c:catAx>
      <c:valAx>
        <c:axId val="608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5413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Attrition by Marital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Summary!$R$13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D7A-47F0-8B61-9E7C37ACDFB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D7A-47F0-8B61-9E7C37ACDFB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7A-47F0-8B61-9E7C37ACDFB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7A-47F0-8B61-9E7C37ACDF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Summary!$O$14:$O$15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Summary!$R$14:$R$15</c:f>
              <c:numCache>
                <c:formatCode>0.0%</c:formatCode>
                <c:ptCount val="2"/>
                <c:pt idx="0">
                  <c:v>0.11435832274459974</c:v>
                </c:pt>
                <c:pt idx="1">
                  <c:v>0.21562952243125905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7A-47F0-8B61-9E7C37ACD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Attrition Rate by Salary Slab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Summary!$H$25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2E6FF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Summary!$E$26:$E$29</c:f>
              <c:strCache>
                <c:ptCount val="4"/>
                <c:pt idx="0">
                  <c:v>0-3 LPA</c:v>
                </c:pt>
                <c:pt idx="1">
                  <c:v>3-6 LPA</c:v>
                </c:pt>
                <c:pt idx="2">
                  <c:v>6-10 LPA</c:v>
                </c:pt>
                <c:pt idx="3">
                  <c:v>10+ LPA</c:v>
                </c:pt>
              </c:strCache>
            </c:strRef>
          </c:cat>
          <c:val>
            <c:numRef>
              <c:f>Summary!$H$26:$H$29</c:f>
              <c:numCache>
                <c:formatCode>0.0%</c:formatCode>
                <c:ptCount val="4"/>
                <c:pt idx="0">
                  <c:v>0.16709511568123395</c:v>
                </c:pt>
                <c:pt idx="1">
                  <c:v>0.14366197183098592</c:v>
                </c:pt>
                <c:pt idx="2">
                  <c:v>0.15495867768595042</c:v>
                </c:pt>
                <c:pt idx="3">
                  <c:v>0.192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5-4D88-91D1-78D67F78A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531544"/>
        <c:axId val="76767187"/>
      </c:barChart>
      <c:catAx>
        <c:axId val="66531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767187"/>
        <c:crosses val="autoZero"/>
        <c:auto val="1"/>
        <c:lblAlgn val="ctr"/>
        <c:lblOffset val="100"/>
        <c:noMultiLvlLbl val="0"/>
      </c:catAx>
      <c:valAx>
        <c:axId val="767671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5315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100800</xdr:rowOff>
    </xdr:from>
    <xdr:to>
      <xdr:col>7</xdr:col>
      <xdr:colOff>747720</xdr:colOff>
      <xdr:row>23</xdr:row>
      <xdr:rowOff>133560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678180</xdr:colOff>
      <xdr:row>9</xdr:row>
      <xdr:rowOff>121920</xdr:rowOff>
    </xdr:from>
    <xdr:to>
      <xdr:col>13</xdr:col>
      <xdr:colOff>434340</xdr:colOff>
      <xdr:row>23</xdr:row>
      <xdr:rowOff>103080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198120</xdr:colOff>
      <xdr:row>8</xdr:row>
      <xdr:rowOff>76200</xdr:rowOff>
    </xdr:from>
    <xdr:to>
      <xdr:col>19</xdr:col>
      <xdr:colOff>556260</xdr:colOff>
      <xdr:row>23</xdr:row>
      <xdr:rowOff>87840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24</xdr:row>
      <xdr:rowOff>106680</xdr:rowOff>
    </xdr:from>
    <xdr:to>
      <xdr:col>6</xdr:col>
      <xdr:colOff>441960</xdr:colOff>
      <xdr:row>38</xdr:row>
      <xdr:rowOff>133920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464820</xdr:colOff>
      <xdr:row>24</xdr:row>
      <xdr:rowOff>131640</xdr:rowOff>
    </xdr:from>
    <xdr:to>
      <xdr:col>12</xdr:col>
      <xdr:colOff>68580</xdr:colOff>
      <xdr:row>38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167640</xdr:colOff>
      <xdr:row>24</xdr:row>
      <xdr:rowOff>93540</xdr:rowOff>
    </xdr:from>
    <xdr:to>
      <xdr:col>20</xdr:col>
      <xdr:colOff>189420</xdr:colOff>
      <xdr:row>38</xdr:row>
      <xdr:rowOff>126300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39</xdr:row>
      <xdr:rowOff>100800</xdr:rowOff>
    </xdr:from>
    <xdr:to>
      <xdr:col>7</xdr:col>
      <xdr:colOff>747720</xdr:colOff>
      <xdr:row>53</xdr:row>
      <xdr:rowOff>133560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F6261D-5F8C-4C13-A39C-07951239F226}" autoFormatId="16" applyNumberFormats="0" applyBorderFormats="0" applyFontFormats="0" applyPatternFormats="0" applyAlignmentFormats="0" applyWidthHeightFormats="0">
  <queryTableRefresh nextId="42">
    <queryTableFields count="41">
      <queryTableField id="1" name="EmpID" tableColumnId="1"/>
      <queryTableField id="2" name="Age" tableColumnId="2"/>
      <queryTableField id="3" name="AgeGroup" tableColumnId="3"/>
      <queryTableField id="4" name="Attrition" tableColumnId="4"/>
      <queryTableField id="5" name="BusinessTravel" tableColumnId="5"/>
      <queryTableField id="6" name="DailyRate" tableColumnId="6"/>
      <queryTableField id="7" name="Department" tableColumnId="7"/>
      <queryTableField id="8" name="DistanceFromHome(KM)" tableColumnId="8"/>
      <queryTableField id="9" name="Education" tableColumnId="9"/>
      <queryTableField id="10" name="EducationField" tableColumnId="10"/>
      <queryTableField id="11" name="EmployeeNumber" tableColumnId="11"/>
      <queryTableField id="12" name="EnvironmentSatisfaction" tableColumnId="12"/>
      <queryTableField id="13" name="Gender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SalarySlab" tableColumnId="20"/>
      <queryTableField id="21" name="HourlyRate" tableColumnId="21"/>
      <queryTableField id="22" name="NumCompaniesWorked" tableColumnId="22"/>
      <queryTableField id="23" name="OverTime" tableColumnId="23"/>
      <queryTableField id="24" name="SalaryHike %" tableColumnId="24"/>
      <queryTableField id="25" name="PerformanceRating" tableColumnId="25"/>
      <queryTableField id="26" name="RelationshipSatisfaction" tableColumnId="26"/>
      <queryTableField id="27" name="StockOptionLevel" tableColumnId="27"/>
      <queryTableField id="28" name="TotalExperience(Years)" tableColumnId="28"/>
      <queryTableField id="29" name="TrainingsLastYear" tableColumnId="29"/>
      <queryTableField id="30" name="WorkLifeBalance" tableColumnId="30"/>
      <queryTableField id="31" name="YearsatCompany" tableColumnId="31"/>
      <queryTableField id="32" name="YearsinCurrentRole" tableColumnId="32"/>
      <queryTableField id="33" name="YearsSincePromotion" tableColumnId="33"/>
      <queryTableField id="34" name="YearsWithCurrManager" tableColumnId="34"/>
      <queryTableField id="35" name="AttritionFlag" tableColumnId="35"/>
      <queryTableField id="36" name="TenureBand" tableColumnId="36"/>
      <queryTableField id="37" name="PromotionOverdue" tableColumnId="37"/>
      <queryTableField id="38" name="FlightRiskScore" tableColumnId="38"/>
      <queryTableField id="39" name="FlightRiskTier" tableColumnId="39"/>
      <queryTableField id="40" name="IncomeVsRoleAvg" tableColumnId="40"/>
      <queryTableField id="41" name="AnnualIncome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D8D78F-C2BD-43F6-8E71-25C6E8DF7E44}" name="HRData_1" displayName="HRData_1" ref="A1:AO1479" tableType="queryTable" totalsRowShown="0">
  <autoFilter ref="A1:AO1479" xr:uid="{7DD8D78F-C2BD-43F6-8E71-25C6E8DF7E44}"/>
  <tableColumns count="41">
    <tableColumn id="1" xr3:uid="{61C6A3FC-CBB4-4C94-8C91-0D73F7860B01}" uniqueName="1" name="EmpID" queryTableFieldId="1" dataDxfId="13"/>
    <tableColumn id="2" xr3:uid="{80F539AE-ED33-4965-8724-BF577F0F193F}" uniqueName="2" name="Age" queryTableFieldId="2"/>
    <tableColumn id="3" xr3:uid="{899F40AB-47A2-451D-AEB6-E4234C04CF05}" uniqueName="3" name="AgeGroup" queryTableFieldId="3" dataDxfId="12"/>
    <tableColumn id="4" xr3:uid="{010C8368-176C-4900-B5D7-90119C42BDEF}" uniqueName="4" name="Attrition" queryTableFieldId="4" dataDxfId="11"/>
    <tableColumn id="5" xr3:uid="{0F0E03FD-890D-41FF-8338-E6BC0C9EF2C3}" uniqueName="5" name="BusinessTravel" queryTableFieldId="5" dataDxfId="10"/>
    <tableColumn id="6" xr3:uid="{60FF3620-F261-4FE2-97B1-F1EF08F43C88}" uniqueName="6" name="DailyRate" queryTableFieldId="6"/>
    <tableColumn id="7" xr3:uid="{E5C1F4F0-87C1-48C3-8FEC-4EE498037CD7}" uniqueName="7" name="Department" queryTableFieldId="7" dataDxfId="9"/>
    <tableColumn id="8" xr3:uid="{ABF4844A-A1D0-4D82-8F0D-DABFD5F8CD9F}" uniqueName="8" name="DistanceFromHome(KM)" queryTableFieldId="8"/>
    <tableColumn id="9" xr3:uid="{F4127395-A4E6-4E8F-A2A4-4F0A93123A0D}" uniqueName="9" name="Education" queryTableFieldId="9"/>
    <tableColumn id="10" xr3:uid="{BF4600BE-5999-4EF5-84FE-E4FEDD308C13}" uniqueName="10" name="EducationField" queryTableFieldId="10" dataDxfId="8"/>
    <tableColumn id="11" xr3:uid="{5CE108C8-0892-438A-B792-788612C209CB}" uniqueName="11" name="EmployeeNumber" queryTableFieldId="11"/>
    <tableColumn id="12" xr3:uid="{F4AE24C7-778A-4A1D-BDC9-7E54D08BA7AE}" uniqueName="12" name="EnvironmentSatisfaction" queryTableFieldId="12"/>
    <tableColumn id="13" xr3:uid="{607F42C7-A1F0-4A7C-9E60-9D55659074FA}" uniqueName="13" name="Gender" queryTableFieldId="13" dataDxfId="7"/>
    <tableColumn id="14" xr3:uid="{6A6B94C6-CD18-411D-89A2-0B3E0462D6B2}" uniqueName="14" name="JobInvolvement" queryTableFieldId="14"/>
    <tableColumn id="15" xr3:uid="{7F568CF2-FDE4-466B-9681-78F3187141F3}" uniqueName="15" name="JobLevel" queryTableFieldId="15"/>
    <tableColumn id="16" xr3:uid="{A1E85F53-3C89-47B0-9874-05E97F4A2FE5}" uniqueName="16" name="JobRole" queryTableFieldId="16" dataDxfId="6"/>
    <tableColumn id="17" xr3:uid="{1AAB6517-45DC-4CB6-BFED-78C51B4283AC}" uniqueName="17" name="JobSatisfaction" queryTableFieldId="17"/>
    <tableColumn id="18" xr3:uid="{823E1DDB-66E8-4810-82BD-96379030A29E}" uniqueName="18" name="MaritalStatus" queryTableFieldId="18" dataDxfId="5"/>
    <tableColumn id="19" xr3:uid="{13E1ED9C-055C-4511-8883-AF9403088903}" uniqueName="19" name="MonthlyIncome" queryTableFieldId="19"/>
    <tableColumn id="20" xr3:uid="{A7064320-A059-40CA-90C5-79D03C7A641A}" uniqueName="20" name="SalarySlab" queryTableFieldId="20" dataDxfId="4"/>
    <tableColumn id="21" xr3:uid="{6D7EDDA1-BBFB-4313-878F-185FBC6646FB}" uniqueName="21" name="HourlyRate" queryTableFieldId="21"/>
    <tableColumn id="22" xr3:uid="{8E20335C-E866-47AD-B090-45F244F6656D}" uniqueName="22" name="NumCompaniesWorked" queryTableFieldId="22"/>
    <tableColumn id="23" xr3:uid="{898ADDE8-E5F8-47BB-ACD0-4D0ADCF3D908}" uniqueName="23" name="OverTime" queryTableFieldId="23" dataDxfId="3"/>
    <tableColumn id="24" xr3:uid="{93185487-B808-47D6-9760-14B50222C282}" uniqueName="24" name="SalaryHike %" queryTableFieldId="24"/>
    <tableColumn id="25" xr3:uid="{204D17AC-77DC-45B6-8BAC-CAE65E3B89A7}" uniqueName="25" name="PerformanceRating" queryTableFieldId="25"/>
    <tableColumn id="26" xr3:uid="{49B26934-A6D2-4F13-9504-25E487AF4712}" uniqueName="26" name="RelationshipSatisfaction" queryTableFieldId="26"/>
    <tableColumn id="27" xr3:uid="{3D3C8061-0460-42F6-99C0-3F215B31DCE3}" uniqueName="27" name="StockOptionLevel" queryTableFieldId="27"/>
    <tableColumn id="28" xr3:uid="{7FA867C9-5C6D-427B-932D-7B7C34CFEB0C}" uniqueName="28" name="TotalExperience(Years)" queryTableFieldId="28"/>
    <tableColumn id="29" xr3:uid="{0994F25B-62FD-4D78-A22D-FCBEFDF2B4C3}" uniqueName="29" name="TrainingsLastYear" queryTableFieldId="29"/>
    <tableColumn id="30" xr3:uid="{41D6DFF9-DE5F-434C-9E3E-F2F9FB26DE52}" uniqueName="30" name="WorkLifeBalance" queryTableFieldId="30"/>
    <tableColumn id="31" xr3:uid="{18306440-335E-4AC7-B28D-AE05C962202A}" uniqueName="31" name="YearsatCompany" queryTableFieldId="31"/>
    <tableColumn id="32" xr3:uid="{696D97FA-1E41-430B-B262-669EFF3036E2}" uniqueName="32" name="YearsinCurrentRole" queryTableFieldId="32"/>
    <tableColumn id="33" xr3:uid="{E5E7F3A4-DACB-432D-BA6E-2D8C42B78AEA}" uniqueName="33" name="YearsSincePromotion" queryTableFieldId="33"/>
    <tableColumn id="34" xr3:uid="{DF5976EB-4CAE-42A9-A74A-0BF9DA17A3C0}" uniqueName="34" name="YearsWithCurrManager" queryTableFieldId="34"/>
    <tableColumn id="35" xr3:uid="{A46B43D1-7BC0-4EE0-A401-6E25BE49C464}" uniqueName="35" name="AttritionFlag" queryTableFieldId="35"/>
    <tableColumn id="36" xr3:uid="{9D187D18-3C8C-4C7B-B9FD-F037EC4C0A0E}" uniqueName="36" name="TenureBand" queryTableFieldId="36" dataDxfId="2"/>
    <tableColumn id="37" xr3:uid="{5D3FD70F-7C53-4889-A710-C163EC0F5CBD}" uniqueName="37" name="PromotionOverdue" queryTableFieldId="37" dataDxfId="1"/>
    <tableColumn id="38" xr3:uid="{6528B0ED-4799-456D-90E1-9AF8BB299D66}" uniqueName="38" name="FlightRiskScore" queryTableFieldId="38"/>
    <tableColumn id="39" xr3:uid="{8DC8AEC1-376F-4DB1-9C3E-97C96AB02BE0}" uniqueName="39" name="FlightRiskTier" queryTableFieldId="39" dataDxfId="0"/>
    <tableColumn id="40" xr3:uid="{ED737D6A-5EA1-4D11-969B-2CF96183DB9A}" uniqueName="40" name="IncomeVsRoleAvg" queryTableFieldId="40"/>
    <tableColumn id="41" xr3:uid="{9A2589A2-8A17-4020-AF72-BE2BEC380E18}" uniqueName="41" name="AnnualIncome" queryTableFieldId="4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RData" displayName="HRData" ref="A1:AO1479" totalsRowShown="0">
  <autoFilter ref="A1:AO1479" xr:uid="{00000000-0009-0000-0100-000001000000}"/>
  <tableColumns count="41">
    <tableColumn id="1" xr3:uid="{00000000-0010-0000-0000-000001000000}" name="EmpID"/>
    <tableColumn id="2" xr3:uid="{00000000-0010-0000-0000-000002000000}" name="Age"/>
    <tableColumn id="3" xr3:uid="{00000000-0010-0000-0000-000003000000}" name="AgeGroup"/>
    <tableColumn id="4" xr3:uid="{00000000-0010-0000-0000-000004000000}" name="Attrition"/>
    <tableColumn id="5" xr3:uid="{00000000-0010-0000-0000-000005000000}" name="BusinessTravel"/>
    <tableColumn id="6" xr3:uid="{00000000-0010-0000-0000-000006000000}" name="DailyRate"/>
    <tableColumn id="7" xr3:uid="{00000000-0010-0000-0000-000007000000}" name="Department"/>
    <tableColumn id="8" xr3:uid="{00000000-0010-0000-0000-000008000000}" name="DistanceFromHome(KM)"/>
    <tableColumn id="9" xr3:uid="{00000000-0010-0000-0000-000009000000}" name="Education"/>
    <tableColumn id="10" xr3:uid="{00000000-0010-0000-0000-00000A000000}" name="EducationField"/>
    <tableColumn id="11" xr3:uid="{00000000-0010-0000-0000-00000B000000}" name="EmployeeNumber"/>
    <tableColumn id="12" xr3:uid="{00000000-0010-0000-0000-00000C000000}" name="EnvironmentSatisfaction"/>
    <tableColumn id="13" xr3:uid="{00000000-0010-0000-0000-00000D000000}" name="Gender"/>
    <tableColumn id="14" xr3:uid="{00000000-0010-0000-0000-00000E000000}" name="JobInvolvement"/>
    <tableColumn id="15" xr3:uid="{00000000-0010-0000-0000-00000F000000}" name="JobLevel"/>
    <tableColumn id="16" xr3:uid="{00000000-0010-0000-0000-000010000000}" name="JobRole"/>
    <tableColumn id="17" xr3:uid="{00000000-0010-0000-0000-000011000000}" name="JobSatisfaction"/>
    <tableColumn id="18" xr3:uid="{00000000-0010-0000-0000-000012000000}" name="MaritalStatus"/>
    <tableColumn id="19" xr3:uid="{00000000-0010-0000-0000-000013000000}" name="MonthlyIncome"/>
    <tableColumn id="20" xr3:uid="{00000000-0010-0000-0000-000014000000}" name="SalarySlab"/>
    <tableColumn id="21" xr3:uid="{00000000-0010-0000-0000-000015000000}" name="HourlyRate"/>
    <tableColumn id="22" xr3:uid="{00000000-0010-0000-0000-000016000000}" name="NumCompaniesWorked"/>
    <tableColumn id="23" xr3:uid="{00000000-0010-0000-0000-000017000000}" name="OverTime"/>
    <tableColumn id="24" xr3:uid="{00000000-0010-0000-0000-000018000000}" name="SalaryHike %"/>
    <tableColumn id="25" xr3:uid="{00000000-0010-0000-0000-000019000000}" name="PerformanceRating"/>
    <tableColumn id="26" xr3:uid="{00000000-0010-0000-0000-00001A000000}" name="RelationshipSatisfaction"/>
    <tableColumn id="27" xr3:uid="{00000000-0010-0000-0000-00001B000000}" name="StockOptionLevel"/>
    <tableColumn id="28" xr3:uid="{00000000-0010-0000-0000-00001C000000}" name="TotalExperience(Years)"/>
    <tableColumn id="29" xr3:uid="{00000000-0010-0000-0000-00001D000000}" name="TrainingsLastYear"/>
    <tableColumn id="30" xr3:uid="{00000000-0010-0000-0000-00001E000000}" name="WorkLifeBalance"/>
    <tableColumn id="31" xr3:uid="{00000000-0010-0000-0000-00001F000000}" name="YearsatCompany"/>
    <tableColumn id="32" xr3:uid="{00000000-0010-0000-0000-000020000000}" name="YearsinCurrentRole"/>
    <tableColumn id="33" xr3:uid="{00000000-0010-0000-0000-000021000000}" name="YearsSincePromotion"/>
    <tableColumn id="34" xr3:uid="{00000000-0010-0000-0000-000022000000}" name="YearsWithCurrManager"/>
    <tableColumn id="35" xr3:uid="{00000000-0010-0000-0000-000023000000}" name="AttritionFlag"/>
    <tableColumn id="36" xr3:uid="{00000000-0010-0000-0000-000024000000}" name="TenureBand"/>
    <tableColumn id="37" xr3:uid="{00000000-0010-0000-0000-000025000000}" name="PromotionOverdue"/>
    <tableColumn id="38" xr3:uid="{00000000-0010-0000-0000-000026000000}" name="FlightRiskScore"/>
    <tableColumn id="39" xr3:uid="{00000000-0010-0000-0000-000027000000}" name="FlightRiskTier"/>
    <tableColumn id="40" xr3:uid="{00000000-0010-0000-0000-000028000000}" name="IncomeVsRoleAvg"/>
    <tableColumn id="41" xr3:uid="{00000000-0010-0000-0000-000029000000}" name="AnnualInco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A96ABC7-C85C-4300-8707-9007D9E3BE7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3714fed-793d-4435-a4dd-f0b049ca0ac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9"/>
  <sheetViews>
    <sheetView showGridLines="0" showRowColHeaders="0" tabSelected="1" zoomScaleNormal="100" workbookViewId="0">
      <selection activeCell="P6" sqref="P6"/>
    </sheetView>
  </sheetViews>
  <sheetFormatPr defaultColWidth="8.6640625" defaultRowHeight="14.4" x14ac:dyDescent="0.3"/>
  <cols>
    <col min="1" max="1" width="2" customWidth="1"/>
    <col min="2" max="15" width="11" customWidth="1"/>
  </cols>
  <sheetData>
    <row r="2" spans="2:12" ht="22.8" x14ac:dyDescent="0.4">
      <c r="B2" s="1" t="s">
        <v>1560</v>
      </c>
    </row>
    <row r="3" spans="2:12" x14ac:dyDescent="0.3">
      <c r="B3" s="2"/>
    </row>
    <row r="4" spans="2:12" x14ac:dyDescent="0.3">
      <c r="B4" s="3"/>
      <c r="E4" s="3"/>
      <c r="H4" s="3"/>
      <c r="K4" s="3"/>
    </row>
    <row r="5" spans="2:12" x14ac:dyDescent="0.3">
      <c r="B5" s="14" t="s">
        <v>0</v>
      </c>
      <c r="C5" s="14"/>
      <c r="E5" s="14" t="s">
        <v>1</v>
      </c>
      <c r="F5" s="14"/>
      <c r="H5" s="14" t="s">
        <v>2</v>
      </c>
      <c r="I5" s="14"/>
      <c r="K5" s="14" t="s">
        <v>3</v>
      </c>
      <c r="L5" s="14"/>
    </row>
    <row r="6" spans="2:12" x14ac:dyDescent="0.3">
      <c r="B6" s="15">
        <f>Summary!B2</f>
        <v>1478</v>
      </c>
      <c r="C6" s="15"/>
      <c r="E6" s="16">
        <f>Summary!B4</f>
        <v>0.16170500676589986</v>
      </c>
      <c r="F6" s="16"/>
      <c r="H6" s="17">
        <f>Summary!B5</f>
        <v>49514.320027063601</v>
      </c>
      <c r="I6" s="17"/>
      <c r="K6" s="18">
        <f>Summary!B6</f>
        <v>7.014208389715832</v>
      </c>
      <c r="L6" s="18"/>
    </row>
    <row r="7" spans="2:12" x14ac:dyDescent="0.3">
      <c r="B7" s="15"/>
      <c r="C7" s="15"/>
      <c r="E7" s="16"/>
      <c r="F7" s="16"/>
      <c r="H7" s="17"/>
      <c r="I7" s="17"/>
      <c r="K7" s="18"/>
      <c r="L7" s="18"/>
    </row>
    <row r="8" spans="2:12" x14ac:dyDescent="0.3">
      <c r="B8" s="15"/>
      <c r="C8" s="15"/>
      <c r="E8" s="16"/>
      <c r="F8" s="16"/>
      <c r="H8" s="17"/>
      <c r="I8" s="17"/>
      <c r="K8" s="18"/>
      <c r="L8" s="18"/>
    </row>
    <row r="9" spans="2:12" ht="7.5" customHeight="1" x14ac:dyDescent="0.3"/>
  </sheetData>
  <mergeCells count="8">
    <mergeCell ref="B5:C5"/>
    <mergeCell ref="E5:F5"/>
    <mergeCell ref="H5:I5"/>
    <mergeCell ref="K5:L5"/>
    <mergeCell ref="B6:C8"/>
    <mergeCell ref="E6:F8"/>
    <mergeCell ref="H6:I8"/>
    <mergeCell ref="K6:L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9B81-3E5F-483C-9657-B6626C416BE4}">
  <dimension ref="A1:AO1479"/>
  <sheetViews>
    <sheetView workbookViewId="0"/>
  </sheetViews>
  <sheetFormatPr defaultRowHeight="14.4" x14ac:dyDescent="0.3"/>
  <cols>
    <col min="1" max="1" width="8.77734375" bestFit="1" customWidth="1"/>
    <col min="2" max="2" width="6.44140625" bestFit="1" customWidth="1"/>
    <col min="3" max="3" width="11.6640625" bestFit="1" customWidth="1"/>
    <col min="4" max="4" width="10.21875" bestFit="1" customWidth="1"/>
    <col min="5" max="5" width="15.6640625" bestFit="1" customWidth="1"/>
    <col min="6" max="6" width="11.109375" bestFit="1" customWidth="1"/>
    <col min="7" max="7" width="15.6640625" bestFit="1" customWidth="1"/>
    <col min="8" max="8" width="24.21875" bestFit="1" customWidth="1"/>
    <col min="9" max="9" width="11.6640625" bestFit="1" customWidth="1"/>
    <col min="10" max="10" width="15.6640625" bestFit="1" customWidth="1"/>
    <col min="11" max="11" width="18.5546875" bestFit="1" customWidth="1"/>
    <col min="12" max="12" width="24.21875" bestFit="1" customWidth="1"/>
    <col min="13" max="13" width="9.33203125" bestFit="1" customWidth="1"/>
    <col min="14" max="14" width="16.88671875" bestFit="1" customWidth="1"/>
    <col min="15" max="15" width="10.44140625" bestFit="1" customWidth="1"/>
    <col min="16" max="16" width="22.88671875" bestFit="1" customWidth="1"/>
    <col min="17" max="17" width="16" bestFit="1" customWidth="1"/>
    <col min="18" max="18" width="14.44140625" bestFit="1" customWidth="1"/>
    <col min="19" max="19" width="16.88671875" bestFit="1" customWidth="1"/>
    <col min="20" max="20" width="11.88671875" bestFit="1" customWidth="1"/>
    <col min="21" max="21" width="12.5546875" bestFit="1" customWidth="1"/>
    <col min="22" max="22" width="23.6640625" bestFit="1" customWidth="1"/>
    <col min="23" max="23" width="11.33203125" bestFit="1" customWidth="1"/>
    <col min="24" max="24" width="13.88671875" bestFit="1" customWidth="1"/>
    <col min="25" max="25" width="19.6640625" bestFit="1" customWidth="1"/>
    <col min="26" max="26" width="23.6640625" bestFit="1" customWidth="1"/>
    <col min="27" max="27" width="18.109375" bestFit="1" customWidth="1"/>
    <col min="28" max="28" width="22.5546875" bestFit="1" customWidth="1"/>
    <col min="29" max="29" width="17.88671875" bestFit="1" customWidth="1"/>
    <col min="30" max="30" width="17.44140625" bestFit="1" customWidth="1"/>
    <col min="31" max="31" width="17.5546875" bestFit="1" customWidth="1"/>
    <col min="32" max="32" width="19.44140625" bestFit="1" customWidth="1"/>
    <col min="33" max="33" width="21.33203125" bestFit="1" customWidth="1"/>
    <col min="34" max="34" width="23" bestFit="1" customWidth="1"/>
    <col min="35" max="35" width="13.5546875" bestFit="1" customWidth="1"/>
    <col min="36" max="36" width="13.44140625" bestFit="1" customWidth="1"/>
    <col min="37" max="37" width="19.6640625" bestFit="1" customWidth="1"/>
    <col min="38" max="38" width="15.88671875" bestFit="1" customWidth="1"/>
    <col min="39" max="39" width="14.21875" bestFit="1" customWidth="1"/>
    <col min="40" max="40" width="18.5546875" bestFit="1" customWidth="1"/>
    <col min="41" max="41" width="15.6640625" bestFit="1" customWidth="1"/>
  </cols>
  <sheetData>
    <row r="1" spans="1:41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</row>
    <row r="2" spans="1:41" x14ac:dyDescent="0.3">
      <c r="A2" s="19" t="s">
        <v>45</v>
      </c>
      <c r="B2">
        <v>19</v>
      </c>
      <c r="C2" s="19" t="s">
        <v>46</v>
      </c>
      <c r="D2" s="19" t="s">
        <v>47</v>
      </c>
      <c r="E2" s="19" t="s">
        <v>48</v>
      </c>
      <c r="F2">
        <v>230</v>
      </c>
      <c r="G2" s="19" t="s">
        <v>49</v>
      </c>
      <c r="H2">
        <v>3</v>
      </c>
      <c r="I2">
        <v>3</v>
      </c>
      <c r="J2" s="19" t="s">
        <v>50</v>
      </c>
      <c r="K2">
        <v>405</v>
      </c>
      <c r="L2">
        <v>3</v>
      </c>
      <c r="M2" s="19" t="s">
        <v>51</v>
      </c>
      <c r="N2">
        <v>3</v>
      </c>
      <c r="O2">
        <v>1</v>
      </c>
      <c r="P2" s="19" t="s">
        <v>52</v>
      </c>
      <c r="Q2">
        <v>3</v>
      </c>
      <c r="R2" s="19" t="s">
        <v>53</v>
      </c>
      <c r="S2">
        <v>16795</v>
      </c>
      <c r="T2" s="19" t="s">
        <v>54</v>
      </c>
      <c r="U2">
        <v>104.97</v>
      </c>
      <c r="V2">
        <v>1</v>
      </c>
      <c r="W2" s="19" t="s">
        <v>55</v>
      </c>
      <c r="X2">
        <v>13</v>
      </c>
      <c r="Y2">
        <v>3</v>
      </c>
      <c r="Z2">
        <v>3</v>
      </c>
      <c r="AA2">
        <v>0</v>
      </c>
      <c r="AB2">
        <v>0</v>
      </c>
      <c r="AC2">
        <v>2</v>
      </c>
      <c r="AD2">
        <v>3</v>
      </c>
      <c r="AE2">
        <v>0</v>
      </c>
      <c r="AF2">
        <v>0</v>
      </c>
      <c r="AG2">
        <v>0</v>
      </c>
      <c r="AH2">
        <v>0</v>
      </c>
      <c r="AI2">
        <v>1</v>
      </c>
      <c r="AJ2" s="19" t="s">
        <v>1561</v>
      </c>
      <c r="AK2" s="19" t="s">
        <v>1562</v>
      </c>
      <c r="AL2">
        <v>0</v>
      </c>
      <c r="AM2" s="19" t="s">
        <v>1563</v>
      </c>
      <c r="AN2">
        <v>-0.67527444574296025</v>
      </c>
      <c r="AO2">
        <v>201540</v>
      </c>
    </row>
    <row r="3" spans="1:41" x14ac:dyDescent="0.3">
      <c r="A3" s="19" t="s">
        <v>56</v>
      </c>
      <c r="B3">
        <v>19</v>
      </c>
      <c r="C3" s="19" t="s">
        <v>46</v>
      </c>
      <c r="D3" s="19" t="s">
        <v>55</v>
      </c>
      <c r="E3" s="19" t="s">
        <v>48</v>
      </c>
      <c r="F3">
        <v>812</v>
      </c>
      <c r="G3" s="19" t="s">
        <v>57</v>
      </c>
      <c r="H3">
        <v>10</v>
      </c>
      <c r="I3">
        <v>3</v>
      </c>
      <c r="J3" s="19" t="s">
        <v>58</v>
      </c>
      <c r="K3">
        <v>411</v>
      </c>
      <c r="L3">
        <v>4</v>
      </c>
      <c r="M3" s="19" t="s">
        <v>59</v>
      </c>
      <c r="N3">
        <v>2</v>
      </c>
      <c r="O3">
        <v>1</v>
      </c>
      <c r="P3" s="19" t="s">
        <v>60</v>
      </c>
      <c r="Q3">
        <v>3</v>
      </c>
      <c r="R3" s="19" t="s">
        <v>53</v>
      </c>
      <c r="S3">
        <v>1860</v>
      </c>
      <c r="T3" s="19" t="s">
        <v>54</v>
      </c>
      <c r="U3">
        <v>11.62</v>
      </c>
      <c r="V3">
        <v>1</v>
      </c>
      <c r="W3" s="19" t="s">
        <v>55</v>
      </c>
      <c r="X3">
        <v>12</v>
      </c>
      <c r="Y3">
        <v>3</v>
      </c>
      <c r="Z3">
        <v>1</v>
      </c>
      <c r="AA3">
        <v>0</v>
      </c>
      <c r="AB3">
        <v>0</v>
      </c>
      <c r="AC3">
        <v>2</v>
      </c>
      <c r="AD3">
        <v>3</v>
      </c>
      <c r="AE3">
        <v>0</v>
      </c>
      <c r="AF3">
        <v>0</v>
      </c>
      <c r="AG3">
        <v>0</v>
      </c>
      <c r="AH3">
        <v>0</v>
      </c>
      <c r="AI3">
        <v>0</v>
      </c>
      <c r="AJ3" s="19" t="s">
        <v>1561</v>
      </c>
      <c r="AK3" s="19" t="s">
        <v>1562</v>
      </c>
      <c r="AL3">
        <v>0</v>
      </c>
      <c r="AM3" s="19" t="s">
        <v>1563</v>
      </c>
      <c r="AN3">
        <v>-0.96229230175522773</v>
      </c>
      <c r="AO3">
        <v>22320</v>
      </c>
    </row>
    <row r="4" spans="1:41" x14ac:dyDescent="0.3">
      <c r="A4" s="19" t="s">
        <v>61</v>
      </c>
      <c r="B4">
        <v>19</v>
      </c>
      <c r="C4" s="19" t="s">
        <v>46</v>
      </c>
      <c r="D4" s="19" t="s">
        <v>47</v>
      </c>
      <c r="E4" s="19" t="s">
        <v>62</v>
      </c>
      <c r="F4">
        <v>1306</v>
      </c>
      <c r="G4" s="19" t="s">
        <v>57</v>
      </c>
      <c r="H4">
        <v>5</v>
      </c>
      <c r="I4">
        <v>3</v>
      </c>
      <c r="J4" s="19" t="s">
        <v>63</v>
      </c>
      <c r="K4">
        <v>614</v>
      </c>
      <c r="L4">
        <v>2</v>
      </c>
      <c r="M4" s="19" t="s">
        <v>51</v>
      </c>
      <c r="N4">
        <v>3</v>
      </c>
      <c r="O4">
        <v>1</v>
      </c>
      <c r="P4" s="19" t="s">
        <v>60</v>
      </c>
      <c r="Q4">
        <v>2</v>
      </c>
      <c r="R4" s="19" t="s">
        <v>53</v>
      </c>
      <c r="S4">
        <v>77820</v>
      </c>
      <c r="T4" s="19" t="s">
        <v>64</v>
      </c>
      <c r="U4">
        <v>486.38</v>
      </c>
      <c r="V4">
        <v>1</v>
      </c>
      <c r="W4" s="19" t="s">
        <v>47</v>
      </c>
      <c r="X4">
        <v>14</v>
      </c>
      <c r="Y4">
        <v>3</v>
      </c>
      <c r="Z4">
        <v>4</v>
      </c>
      <c r="AA4">
        <v>0</v>
      </c>
      <c r="AB4">
        <v>0</v>
      </c>
      <c r="AC4">
        <v>3</v>
      </c>
      <c r="AD4">
        <v>3</v>
      </c>
      <c r="AE4">
        <v>0</v>
      </c>
      <c r="AF4">
        <v>0</v>
      </c>
      <c r="AG4">
        <v>0</v>
      </c>
      <c r="AH4">
        <v>0</v>
      </c>
      <c r="AI4">
        <v>1</v>
      </c>
      <c r="AJ4" s="19" t="s">
        <v>1561</v>
      </c>
      <c r="AK4" s="19" t="s">
        <v>1562</v>
      </c>
      <c r="AL4">
        <v>2</v>
      </c>
      <c r="AM4" s="19" t="s">
        <v>1564</v>
      </c>
      <c r="AN4">
        <v>0.57764143946676338</v>
      </c>
      <c r="AO4">
        <v>933840</v>
      </c>
    </row>
    <row r="5" spans="1:41" x14ac:dyDescent="0.3">
      <c r="A5" s="19" t="s">
        <v>65</v>
      </c>
      <c r="B5">
        <v>19</v>
      </c>
      <c r="C5" s="19" t="s">
        <v>46</v>
      </c>
      <c r="D5" s="19" t="s">
        <v>55</v>
      </c>
      <c r="E5" s="19" t="s">
        <v>66</v>
      </c>
      <c r="F5">
        <v>287</v>
      </c>
      <c r="G5" s="19" t="s">
        <v>49</v>
      </c>
      <c r="H5">
        <v>5</v>
      </c>
      <c r="I5">
        <v>2</v>
      </c>
      <c r="J5" s="19" t="s">
        <v>50</v>
      </c>
      <c r="K5">
        <v>1012</v>
      </c>
      <c r="L5">
        <v>2</v>
      </c>
      <c r="M5" s="19" t="s">
        <v>51</v>
      </c>
      <c r="N5">
        <v>3</v>
      </c>
      <c r="O5">
        <v>1</v>
      </c>
      <c r="P5" s="19" t="s">
        <v>67</v>
      </c>
      <c r="Q5">
        <v>4</v>
      </c>
      <c r="R5" s="19" t="s">
        <v>53</v>
      </c>
      <c r="S5">
        <v>55886</v>
      </c>
      <c r="T5" s="19" t="s">
        <v>64</v>
      </c>
      <c r="U5">
        <v>349.29</v>
      </c>
      <c r="V5">
        <v>1</v>
      </c>
      <c r="W5" s="19" t="s">
        <v>55</v>
      </c>
      <c r="X5">
        <v>15</v>
      </c>
      <c r="Y5">
        <v>3</v>
      </c>
      <c r="Z5">
        <v>4</v>
      </c>
      <c r="AA5">
        <v>0</v>
      </c>
      <c r="AB5">
        <v>0</v>
      </c>
      <c r="AC5">
        <v>2</v>
      </c>
      <c r="AD5">
        <v>3</v>
      </c>
      <c r="AE5">
        <v>0</v>
      </c>
      <c r="AF5">
        <v>0</v>
      </c>
      <c r="AG5">
        <v>0</v>
      </c>
      <c r="AH5">
        <v>0</v>
      </c>
      <c r="AI5">
        <v>0</v>
      </c>
      <c r="AJ5" s="19" t="s">
        <v>1561</v>
      </c>
      <c r="AK5" s="19" t="s">
        <v>1562</v>
      </c>
      <c r="AL5">
        <v>0</v>
      </c>
      <c r="AM5" s="19" t="s">
        <v>1563</v>
      </c>
      <c r="AN5">
        <v>0.1207212379253438</v>
      </c>
      <c r="AO5">
        <v>670632</v>
      </c>
    </row>
    <row r="6" spans="1:41" x14ac:dyDescent="0.3">
      <c r="A6" s="19" t="s">
        <v>68</v>
      </c>
      <c r="B6">
        <v>19</v>
      </c>
      <c r="C6" s="19" t="s">
        <v>46</v>
      </c>
      <c r="D6" s="19" t="s">
        <v>47</v>
      </c>
      <c r="E6" s="19" t="s">
        <v>66</v>
      </c>
      <c r="F6">
        <v>247</v>
      </c>
      <c r="G6" s="19" t="s">
        <v>49</v>
      </c>
      <c r="H6">
        <v>8</v>
      </c>
      <c r="I6">
        <v>1</v>
      </c>
      <c r="J6" s="19" t="s">
        <v>58</v>
      </c>
      <c r="K6">
        <v>1156</v>
      </c>
      <c r="L6">
        <v>3</v>
      </c>
      <c r="M6" s="19" t="s">
        <v>51</v>
      </c>
      <c r="N6">
        <v>3</v>
      </c>
      <c r="O6">
        <v>1</v>
      </c>
      <c r="P6" s="19" t="s">
        <v>52</v>
      </c>
      <c r="Q6">
        <v>3</v>
      </c>
      <c r="R6" s="19" t="s">
        <v>53</v>
      </c>
      <c r="S6">
        <v>7265</v>
      </c>
      <c r="T6" s="19" t="s">
        <v>54</v>
      </c>
      <c r="U6">
        <v>45.41</v>
      </c>
      <c r="V6">
        <v>1</v>
      </c>
      <c r="W6" s="19" t="s">
        <v>55</v>
      </c>
      <c r="X6">
        <v>12</v>
      </c>
      <c r="Y6">
        <v>3</v>
      </c>
      <c r="Z6">
        <v>4</v>
      </c>
      <c r="AA6">
        <v>0</v>
      </c>
      <c r="AB6">
        <v>0</v>
      </c>
      <c r="AC6">
        <v>0</v>
      </c>
      <c r="AD6">
        <v>3</v>
      </c>
      <c r="AE6">
        <v>0</v>
      </c>
      <c r="AF6">
        <v>0</v>
      </c>
      <c r="AG6">
        <v>0</v>
      </c>
      <c r="AH6">
        <v>0</v>
      </c>
      <c r="AI6">
        <v>1</v>
      </c>
      <c r="AJ6" s="19" t="s">
        <v>1561</v>
      </c>
      <c r="AK6" s="19" t="s">
        <v>1562</v>
      </c>
      <c r="AL6">
        <v>0</v>
      </c>
      <c r="AM6" s="19" t="s">
        <v>1563</v>
      </c>
      <c r="AN6">
        <v>-0.85953372124576399</v>
      </c>
      <c r="AO6">
        <v>87180</v>
      </c>
    </row>
    <row r="7" spans="1:41" x14ac:dyDescent="0.3">
      <c r="A7" s="19" t="s">
        <v>69</v>
      </c>
      <c r="B7">
        <v>19</v>
      </c>
      <c r="C7" s="19" t="s">
        <v>46</v>
      </c>
      <c r="D7" s="19" t="s">
        <v>55</v>
      </c>
      <c r="E7" s="19" t="s">
        <v>66</v>
      </c>
      <c r="F7">
        <v>1124</v>
      </c>
      <c r="G7" s="19" t="s">
        <v>49</v>
      </c>
      <c r="H7">
        <v>1</v>
      </c>
      <c r="I7">
        <v>3</v>
      </c>
      <c r="J7" s="19" t="s">
        <v>50</v>
      </c>
      <c r="K7">
        <v>1368</v>
      </c>
      <c r="L7">
        <v>4</v>
      </c>
      <c r="M7" s="19" t="s">
        <v>59</v>
      </c>
      <c r="N7">
        <v>3</v>
      </c>
      <c r="O7">
        <v>1</v>
      </c>
      <c r="P7" s="19" t="s">
        <v>52</v>
      </c>
      <c r="Q7">
        <v>4</v>
      </c>
      <c r="R7" s="19" t="s">
        <v>53</v>
      </c>
      <c r="S7">
        <v>83386</v>
      </c>
      <c r="T7" s="19" t="s">
        <v>70</v>
      </c>
      <c r="U7">
        <v>521.16</v>
      </c>
      <c r="V7">
        <v>1</v>
      </c>
      <c r="W7" s="19" t="s">
        <v>55</v>
      </c>
      <c r="X7">
        <v>15</v>
      </c>
      <c r="Y7">
        <v>3</v>
      </c>
      <c r="Z7">
        <v>3</v>
      </c>
      <c r="AA7">
        <v>0</v>
      </c>
      <c r="AB7">
        <v>0</v>
      </c>
      <c r="AC7">
        <v>5</v>
      </c>
      <c r="AD7">
        <v>4</v>
      </c>
      <c r="AE7">
        <v>0</v>
      </c>
      <c r="AF7">
        <v>0</v>
      </c>
      <c r="AG7">
        <v>0</v>
      </c>
      <c r="AH7">
        <v>0</v>
      </c>
      <c r="AI7">
        <v>0</v>
      </c>
      <c r="AJ7" s="19" t="s">
        <v>1561</v>
      </c>
      <c r="AK7" s="19" t="s">
        <v>1562</v>
      </c>
      <c r="AL7">
        <v>0</v>
      </c>
      <c r="AM7" s="19" t="s">
        <v>1563</v>
      </c>
      <c r="AN7">
        <v>0.6122396586649308</v>
      </c>
      <c r="AO7">
        <v>1000632</v>
      </c>
    </row>
    <row r="8" spans="1:41" x14ac:dyDescent="0.3">
      <c r="A8" s="19" t="s">
        <v>71</v>
      </c>
      <c r="B8">
        <v>19</v>
      </c>
      <c r="C8" s="19" t="s">
        <v>46</v>
      </c>
      <c r="D8" s="19" t="s">
        <v>47</v>
      </c>
      <c r="E8" s="19" t="s">
        <v>62</v>
      </c>
      <c r="F8">
        <v>544</v>
      </c>
      <c r="G8" s="19" t="s">
        <v>57</v>
      </c>
      <c r="H8">
        <v>3</v>
      </c>
      <c r="I8">
        <v>2</v>
      </c>
      <c r="J8" s="19" t="s">
        <v>58</v>
      </c>
      <c r="K8">
        <v>1624</v>
      </c>
      <c r="L8">
        <v>2</v>
      </c>
      <c r="M8" s="19" t="s">
        <v>59</v>
      </c>
      <c r="N8">
        <v>3</v>
      </c>
      <c r="O8">
        <v>1</v>
      </c>
      <c r="P8" s="19" t="s">
        <v>60</v>
      </c>
      <c r="Q8">
        <v>4</v>
      </c>
      <c r="R8" s="19" t="s">
        <v>53</v>
      </c>
      <c r="S8">
        <v>38194</v>
      </c>
      <c r="T8" s="19" t="s">
        <v>72</v>
      </c>
      <c r="U8">
        <v>238.71</v>
      </c>
      <c r="V8">
        <v>1</v>
      </c>
      <c r="W8" s="19" t="s">
        <v>47</v>
      </c>
      <c r="X8">
        <v>12</v>
      </c>
      <c r="Y8">
        <v>3</v>
      </c>
      <c r="Z8">
        <v>3</v>
      </c>
      <c r="AA8">
        <v>0</v>
      </c>
      <c r="AB8">
        <v>0</v>
      </c>
      <c r="AC8">
        <v>2</v>
      </c>
      <c r="AD8">
        <v>4</v>
      </c>
      <c r="AE8">
        <v>0</v>
      </c>
      <c r="AF8">
        <v>0</v>
      </c>
      <c r="AG8">
        <v>0</v>
      </c>
      <c r="AH8">
        <v>0</v>
      </c>
      <c r="AI8">
        <v>1</v>
      </c>
      <c r="AJ8" s="19" t="s">
        <v>1561</v>
      </c>
      <c r="AK8" s="19" t="s">
        <v>1562</v>
      </c>
      <c r="AL8">
        <v>1</v>
      </c>
      <c r="AM8" s="19" t="s">
        <v>1565</v>
      </c>
      <c r="AN8">
        <v>-0.2256947167952511</v>
      </c>
      <c r="AO8">
        <v>458328</v>
      </c>
    </row>
    <row r="9" spans="1:41" x14ac:dyDescent="0.3">
      <c r="A9" s="19" t="s">
        <v>73</v>
      </c>
      <c r="B9">
        <v>19</v>
      </c>
      <c r="C9" s="19" t="s">
        <v>46</v>
      </c>
      <c r="D9" s="19" t="s">
        <v>55</v>
      </c>
      <c r="E9" s="19" t="s">
        <v>66</v>
      </c>
      <c r="F9">
        <v>1431</v>
      </c>
      <c r="G9" s="19" t="s">
        <v>49</v>
      </c>
      <c r="H9">
        <v>14</v>
      </c>
      <c r="I9">
        <v>3</v>
      </c>
      <c r="J9" s="19" t="s">
        <v>58</v>
      </c>
      <c r="K9">
        <v>1839</v>
      </c>
      <c r="L9">
        <v>2</v>
      </c>
      <c r="M9" s="19" t="s">
        <v>59</v>
      </c>
      <c r="N9">
        <v>3</v>
      </c>
      <c r="O9">
        <v>1</v>
      </c>
      <c r="P9" s="19" t="s">
        <v>67</v>
      </c>
      <c r="Q9">
        <v>3</v>
      </c>
      <c r="R9" s="19" t="s">
        <v>53</v>
      </c>
      <c r="S9">
        <v>88498</v>
      </c>
      <c r="T9" s="19" t="s">
        <v>70</v>
      </c>
      <c r="U9">
        <v>553.11</v>
      </c>
      <c r="V9">
        <v>1</v>
      </c>
      <c r="W9" s="19" t="s">
        <v>55</v>
      </c>
      <c r="X9">
        <v>16</v>
      </c>
      <c r="Y9">
        <v>3</v>
      </c>
      <c r="Z9">
        <v>3</v>
      </c>
      <c r="AA9">
        <v>0</v>
      </c>
      <c r="AB9">
        <v>0</v>
      </c>
      <c r="AC9">
        <v>4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 s="19" t="s">
        <v>1561</v>
      </c>
      <c r="AK9" s="19" t="s">
        <v>1562</v>
      </c>
      <c r="AL9">
        <v>1</v>
      </c>
      <c r="AM9" s="19" t="s">
        <v>1565</v>
      </c>
      <c r="AN9">
        <v>0.77471259553228133</v>
      </c>
      <c r="AO9">
        <v>1061976</v>
      </c>
    </row>
    <row r="10" spans="1:41" x14ac:dyDescent="0.3">
      <c r="A10" s="19" t="s">
        <v>74</v>
      </c>
      <c r="B10">
        <v>19</v>
      </c>
      <c r="C10" s="19" t="s">
        <v>46</v>
      </c>
      <c r="D10" s="19" t="s">
        <v>47</v>
      </c>
      <c r="E10" s="19" t="s">
        <v>48</v>
      </c>
      <c r="F10">
        <v>528</v>
      </c>
      <c r="G10" s="19" t="s">
        <v>57</v>
      </c>
      <c r="H10">
        <v>22</v>
      </c>
      <c r="I10">
        <v>1</v>
      </c>
      <c r="J10" s="19" t="s">
        <v>63</v>
      </c>
      <c r="K10">
        <v>167</v>
      </c>
      <c r="L10">
        <v>4</v>
      </c>
      <c r="M10" s="19" t="s">
        <v>51</v>
      </c>
      <c r="N10">
        <v>3</v>
      </c>
      <c r="O10">
        <v>1</v>
      </c>
      <c r="P10" s="19" t="s">
        <v>60</v>
      </c>
      <c r="Q10">
        <v>3</v>
      </c>
      <c r="R10" s="19" t="s">
        <v>53</v>
      </c>
      <c r="S10">
        <v>45131</v>
      </c>
      <c r="T10" s="19" t="s">
        <v>72</v>
      </c>
      <c r="U10">
        <v>282.07</v>
      </c>
      <c r="V10">
        <v>1</v>
      </c>
      <c r="W10" s="19" t="s">
        <v>47</v>
      </c>
      <c r="X10">
        <v>19</v>
      </c>
      <c r="Y10">
        <v>3</v>
      </c>
      <c r="Z10">
        <v>4</v>
      </c>
      <c r="AA10">
        <v>0</v>
      </c>
      <c r="AB10">
        <v>0</v>
      </c>
      <c r="AC10">
        <v>2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1</v>
      </c>
      <c r="AJ10" s="19" t="s">
        <v>1561</v>
      </c>
      <c r="AK10" s="19" t="s">
        <v>1562</v>
      </c>
      <c r="AL10">
        <v>2</v>
      </c>
      <c r="AM10" s="19" t="s">
        <v>1564</v>
      </c>
      <c r="AN10">
        <v>-8.506122070708691E-2</v>
      </c>
      <c r="AO10">
        <v>541572</v>
      </c>
    </row>
    <row r="11" spans="1:41" x14ac:dyDescent="0.3">
      <c r="A11" s="19" t="s">
        <v>75</v>
      </c>
      <c r="B11">
        <v>19</v>
      </c>
      <c r="C11" s="19" t="s">
        <v>46</v>
      </c>
      <c r="D11" s="19" t="s">
        <v>55</v>
      </c>
      <c r="E11" s="19" t="s">
        <v>48</v>
      </c>
      <c r="F11">
        <v>1181</v>
      </c>
      <c r="G11" s="19" t="s">
        <v>49</v>
      </c>
      <c r="H11">
        <v>3</v>
      </c>
      <c r="I11">
        <v>1</v>
      </c>
      <c r="J11" s="19" t="s">
        <v>58</v>
      </c>
      <c r="K11">
        <v>201</v>
      </c>
      <c r="L11">
        <v>2</v>
      </c>
      <c r="M11" s="19" t="s">
        <v>59</v>
      </c>
      <c r="N11">
        <v>3</v>
      </c>
      <c r="O11">
        <v>1</v>
      </c>
      <c r="P11" s="19" t="s">
        <v>52</v>
      </c>
      <c r="Q11">
        <v>2</v>
      </c>
      <c r="R11" s="19" t="s">
        <v>53</v>
      </c>
      <c r="S11">
        <v>61263</v>
      </c>
      <c r="T11" s="19" t="s">
        <v>64</v>
      </c>
      <c r="U11">
        <v>382.89</v>
      </c>
      <c r="V11">
        <v>1</v>
      </c>
      <c r="W11" s="19" t="s">
        <v>55</v>
      </c>
      <c r="X11">
        <v>14</v>
      </c>
      <c r="Y11">
        <v>3</v>
      </c>
      <c r="Z11">
        <v>4</v>
      </c>
      <c r="AA11">
        <v>0</v>
      </c>
      <c r="AB11">
        <v>1</v>
      </c>
      <c r="AC11">
        <v>3</v>
      </c>
      <c r="AD11">
        <v>3</v>
      </c>
      <c r="AE11">
        <v>1</v>
      </c>
      <c r="AF11">
        <v>0</v>
      </c>
      <c r="AG11">
        <v>0</v>
      </c>
      <c r="AH11">
        <v>0</v>
      </c>
      <c r="AI11">
        <v>0</v>
      </c>
      <c r="AJ11" s="19" t="s">
        <v>1561</v>
      </c>
      <c r="AK11" s="19" t="s">
        <v>1562</v>
      </c>
      <c r="AL11">
        <v>1</v>
      </c>
      <c r="AM11" s="19" t="s">
        <v>1565</v>
      </c>
      <c r="AN11">
        <v>0.18449905510265102</v>
      </c>
      <c r="AO11">
        <v>735156</v>
      </c>
    </row>
    <row r="12" spans="1:41" x14ac:dyDescent="0.3">
      <c r="A12" s="19" t="s">
        <v>76</v>
      </c>
      <c r="B12">
        <v>19</v>
      </c>
      <c r="C12" s="19" t="s">
        <v>46</v>
      </c>
      <c r="D12" s="19" t="s">
        <v>47</v>
      </c>
      <c r="E12" s="19" t="s">
        <v>62</v>
      </c>
      <c r="F12">
        <v>602</v>
      </c>
      <c r="G12" s="19" t="s">
        <v>57</v>
      </c>
      <c r="H12">
        <v>1</v>
      </c>
      <c r="I12">
        <v>1</v>
      </c>
      <c r="J12" s="19" t="s">
        <v>77</v>
      </c>
      <c r="K12">
        <v>235</v>
      </c>
      <c r="L12">
        <v>3</v>
      </c>
      <c r="M12" s="19" t="s">
        <v>59</v>
      </c>
      <c r="N12">
        <v>1</v>
      </c>
      <c r="O12">
        <v>1</v>
      </c>
      <c r="P12" s="19" t="s">
        <v>60</v>
      </c>
      <c r="Q12">
        <v>1</v>
      </c>
      <c r="R12" s="19" t="s">
        <v>53</v>
      </c>
      <c r="S12">
        <v>17023</v>
      </c>
      <c r="T12" s="19" t="s">
        <v>54</v>
      </c>
      <c r="U12">
        <v>106.39</v>
      </c>
      <c r="V12">
        <v>0</v>
      </c>
      <c r="W12" s="19" t="s">
        <v>55</v>
      </c>
      <c r="X12">
        <v>21</v>
      </c>
      <c r="Y12">
        <v>4</v>
      </c>
      <c r="Z12">
        <v>1</v>
      </c>
      <c r="AA12">
        <v>0</v>
      </c>
      <c r="AB12">
        <v>1</v>
      </c>
      <c r="AC12">
        <v>5</v>
      </c>
      <c r="AD12">
        <v>4</v>
      </c>
      <c r="AE12">
        <v>0</v>
      </c>
      <c r="AF12">
        <v>0</v>
      </c>
      <c r="AG12">
        <v>0</v>
      </c>
      <c r="AH12">
        <v>0</v>
      </c>
      <c r="AI12">
        <v>1</v>
      </c>
      <c r="AJ12" s="19" t="s">
        <v>1561</v>
      </c>
      <c r="AK12" s="19" t="s">
        <v>1562</v>
      </c>
      <c r="AL12">
        <v>1</v>
      </c>
      <c r="AM12" s="19" t="s">
        <v>1565</v>
      </c>
      <c r="AN12">
        <v>-0.65489346923615122</v>
      </c>
      <c r="AO12">
        <v>204276</v>
      </c>
    </row>
    <row r="13" spans="1:41" x14ac:dyDescent="0.3">
      <c r="A13" s="19" t="s">
        <v>78</v>
      </c>
      <c r="B13">
        <v>19</v>
      </c>
      <c r="C13" s="19" t="s">
        <v>46</v>
      </c>
      <c r="D13" s="19" t="s">
        <v>47</v>
      </c>
      <c r="E13" s="19" t="s">
        <v>48</v>
      </c>
      <c r="F13">
        <v>303</v>
      </c>
      <c r="G13" s="19" t="s">
        <v>49</v>
      </c>
      <c r="H13">
        <v>2</v>
      </c>
      <c r="I13">
        <v>3</v>
      </c>
      <c r="J13" s="19" t="s">
        <v>50</v>
      </c>
      <c r="K13">
        <v>243</v>
      </c>
      <c r="L13">
        <v>2</v>
      </c>
      <c r="M13" s="19" t="s">
        <v>51</v>
      </c>
      <c r="N13">
        <v>2</v>
      </c>
      <c r="O13">
        <v>1</v>
      </c>
      <c r="P13" s="19" t="s">
        <v>52</v>
      </c>
      <c r="Q13">
        <v>4</v>
      </c>
      <c r="R13" s="19" t="s">
        <v>53</v>
      </c>
      <c r="S13">
        <v>42090</v>
      </c>
      <c r="T13" s="19" t="s">
        <v>72</v>
      </c>
      <c r="U13">
        <v>263.06</v>
      </c>
      <c r="V13">
        <v>1</v>
      </c>
      <c r="W13" s="19" t="s">
        <v>55</v>
      </c>
      <c r="X13">
        <v>22</v>
      </c>
      <c r="Y13">
        <v>4</v>
      </c>
      <c r="Z13">
        <v>3</v>
      </c>
      <c r="AA13">
        <v>0</v>
      </c>
      <c r="AB13">
        <v>1</v>
      </c>
      <c r="AC13">
        <v>3</v>
      </c>
      <c r="AD13">
        <v>2</v>
      </c>
      <c r="AE13">
        <v>1</v>
      </c>
      <c r="AF13">
        <v>0</v>
      </c>
      <c r="AG13">
        <v>1</v>
      </c>
      <c r="AH13">
        <v>0</v>
      </c>
      <c r="AI13">
        <v>1</v>
      </c>
      <c r="AJ13" s="19" t="s">
        <v>1561</v>
      </c>
      <c r="AK13" s="19" t="s">
        <v>1562</v>
      </c>
      <c r="AL13">
        <v>1</v>
      </c>
      <c r="AM13" s="19" t="s">
        <v>1565</v>
      </c>
      <c r="AN13">
        <v>-0.18620431207628452</v>
      </c>
      <c r="AO13">
        <v>505080</v>
      </c>
    </row>
    <row r="14" spans="1:41" x14ac:dyDescent="0.3">
      <c r="A14" s="19" t="s">
        <v>79</v>
      </c>
      <c r="B14">
        <v>19</v>
      </c>
      <c r="C14" s="19" t="s">
        <v>46</v>
      </c>
      <c r="D14" s="19" t="s">
        <v>47</v>
      </c>
      <c r="E14" s="19" t="s">
        <v>48</v>
      </c>
      <c r="F14">
        <v>489</v>
      </c>
      <c r="G14" s="19" t="s">
        <v>80</v>
      </c>
      <c r="H14">
        <v>2</v>
      </c>
      <c r="I14">
        <v>2</v>
      </c>
      <c r="J14" s="19" t="s">
        <v>77</v>
      </c>
      <c r="K14">
        <v>566</v>
      </c>
      <c r="L14">
        <v>1</v>
      </c>
      <c r="M14" s="19" t="s">
        <v>51</v>
      </c>
      <c r="N14">
        <v>2</v>
      </c>
      <c r="O14">
        <v>1</v>
      </c>
      <c r="P14" s="19" t="s">
        <v>80</v>
      </c>
      <c r="Q14">
        <v>4</v>
      </c>
      <c r="R14" s="19" t="s">
        <v>53</v>
      </c>
      <c r="S14">
        <v>68221</v>
      </c>
      <c r="T14" s="19" t="s">
        <v>64</v>
      </c>
      <c r="U14">
        <v>426.38</v>
      </c>
      <c r="V14">
        <v>1</v>
      </c>
      <c r="W14" s="19" t="s">
        <v>55</v>
      </c>
      <c r="X14">
        <v>12</v>
      </c>
      <c r="Y14">
        <v>3</v>
      </c>
      <c r="Z14">
        <v>3</v>
      </c>
      <c r="AA14">
        <v>0</v>
      </c>
      <c r="AB14">
        <v>1</v>
      </c>
      <c r="AC14">
        <v>3</v>
      </c>
      <c r="AD14">
        <v>4</v>
      </c>
      <c r="AE14">
        <v>1</v>
      </c>
      <c r="AF14">
        <v>0</v>
      </c>
      <c r="AG14">
        <v>0</v>
      </c>
      <c r="AH14">
        <v>0</v>
      </c>
      <c r="AI14">
        <v>1</v>
      </c>
      <c r="AJ14" s="19" t="s">
        <v>1561</v>
      </c>
      <c r="AK14" s="19" t="s">
        <v>1562</v>
      </c>
      <c r="AL14">
        <v>0</v>
      </c>
      <c r="AM14" s="19" t="s">
        <v>1563</v>
      </c>
      <c r="AN14">
        <v>0.34441408426150855</v>
      </c>
      <c r="AO14">
        <v>818652</v>
      </c>
    </row>
    <row r="15" spans="1:41" x14ac:dyDescent="0.3">
      <c r="A15" s="19" t="s">
        <v>81</v>
      </c>
      <c r="B15">
        <v>19</v>
      </c>
      <c r="C15" s="19" t="s">
        <v>46</v>
      </c>
      <c r="D15" s="19" t="s">
        <v>47</v>
      </c>
      <c r="E15" s="19" t="s">
        <v>48</v>
      </c>
      <c r="F15">
        <v>419</v>
      </c>
      <c r="G15" s="19" t="s">
        <v>57</v>
      </c>
      <c r="H15">
        <v>21</v>
      </c>
      <c r="I15">
        <v>3</v>
      </c>
      <c r="J15" s="19" t="s">
        <v>82</v>
      </c>
      <c r="K15">
        <v>959</v>
      </c>
      <c r="L15">
        <v>4</v>
      </c>
      <c r="M15" s="19" t="s">
        <v>51</v>
      </c>
      <c r="N15">
        <v>2</v>
      </c>
      <c r="O15">
        <v>1</v>
      </c>
      <c r="P15" s="19" t="s">
        <v>60</v>
      </c>
      <c r="Q15">
        <v>2</v>
      </c>
      <c r="R15" s="19" t="s">
        <v>53</v>
      </c>
      <c r="S15">
        <v>65820</v>
      </c>
      <c r="T15" s="19" t="s">
        <v>64</v>
      </c>
      <c r="U15">
        <v>411.38</v>
      </c>
      <c r="V15">
        <v>1</v>
      </c>
      <c r="W15" s="19" t="s">
        <v>47</v>
      </c>
      <c r="X15">
        <v>13</v>
      </c>
      <c r="Y15">
        <v>3</v>
      </c>
      <c r="Z15">
        <v>2</v>
      </c>
      <c r="AA15">
        <v>0</v>
      </c>
      <c r="AB15">
        <v>1</v>
      </c>
      <c r="AC15">
        <v>3</v>
      </c>
      <c r="AD15">
        <v>4</v>
      </c>
      <c r="AE15">
        <v>1</v>
      </c>
      <c r="AF15">
        <v>0</v>
      </c>
      <c r="AG15">
        <v>0</v>
      </c>
      <c r="AH15">
        <v>0</v>
      </c>
      <c r="AI15">
        <v>1</v>
      </c>
      <c r="AJ15" s="19" t="s">
        <v>1561</v>
      </c>
      <c r="AK15" s="19" t="s">
        <v>1562</v>
      </c>
      <c r="AL15">
        <v>2</v>
      </c>
      <c r="AM15" s="19" t="s">
        <v>1564</v>
      </c>
      <c r="AN15">
        <v>0.33436596691984533</v>
      </c>
      <c r="AO15">
        <v>789840</v>
      </c>
    </row>
    <row r="16" spans="1:41" x14ac:dyDescent="0.3">
      <c r="A16" s="19" t="s">
        <v>83</v>
      </c>
      <c r="B16">
        <v>19</v>
      </c>
      <c r="C16" s="19" t="s">
        <v>46</v>
      </c>
      <c r="D16" s="19" t="s">
        <v>55</v>
      </c>
      <c r="E16" s="19" t="s">
        <v>48</v>
      </c>
      <c r="F16">
        <v>645</v>
      </c>
      <c r="G16" s="19" t="s">
        <v>49</v>
      </c>
      <c r="H16">
        <v>9</v>
      </c>
      <c r="I16">
        <v>2</v>
      </c>
      <c r="J16" s="19" t="s">
        <v>50</v>
      </c>
      <c r="K16">
        <v>1193</v>
      </c>
      <c r="L16">
        <v>3</v>
      </c>
      <c r="M16" s="19" t="s">
        <v>51</v>
      </c>
      <c r="N16">
        <v>3</v>
      </c>
      <c r="O16">
        <v>1</v>
      </c>
      <c r="P16" s="19" t="s">
        <v>67</v>
      </c>
      <c r="Q16">
        <v>1</v>
      </c>
      <c r="R16" s="19" t="s">
        <v>53</v>
      </c>
      <c r="S16">
        <v>1769</v>
      </c>
      <c r="T16" s="19" t="s">
        <v>54</v>
      </c>
      <c r="U16">
        <v>11.06</v>
      </c>
      <c r="V16">
        <v>1</v>
      </c>
      <c r="W16" s="19" t="s">
        <v>55</v>
      </c>
      <c r="X16">
        <v>25</v>
      </c>
      <c r="Y16">
        <v>4</v>
      </c>
      <c r="Z16">
        <v>3</v>
      </c>
      <c r="AA16">
        <v>0</v>
      </c>
      <c r="AB16">
        <v>1</v>
      </c>
      <c r="AC16">
        <v>4</v>
      </c>
      <c r="AD16">
        <v>3</v>
      </c>
      <c r="AE16">
        <v>1</v>
      </c>
      <c r="AF16">
        <v>1</v>
      </c>
      <c r="AG16">
        <v>0</v>
      </c>
      <c r="AH16">
        <v>0</v>
      </c>
      <c r="AI16">
        <v>0</v>
      </c>
      <c r="AJ16" s="19" t="s">
        <v>1561</v>
      </c>
      <c r="AK16" s="19" t="s">
        <v>1562</v>
      </c>
      <c r="AL16">
        <v>1</v>
      </c>
      <c r="AM16" s="19" t="s">
        <v>1565</v>
      </c>
      <c r="AN16">
        <v>-0.9645249996440981</v>
      </c>
      <c r="AO16">
        <v>21228</v>
      </c>
    </row>
    <row r="17" spans="1:41" x14ac:dyDescent="0.3">
      <c r="A17" s="19" t="s">
        <v>84</v>
      </c>
      <c r="B17">
        <v>19</v>
      </c>
      <c r="C17" s="19" t="s">
        <v>46</v>
      </c>
      <c r="D17" s="19" t="s">
        <v>47</v>
      </c>
      <c r="E17" s="19" t="s">
        <v>66</v>
      </c>
      <c r="F17">
        <v>504</v>
      </c>
      <c r="G17" s="19" t="s">
        <v>49</v>
      </c>
      <c r="H17">
        <v>10</v>
      </c>
      <c r="I17">
        <v>3</v>
      </c>
      <c r="J17" s="19" t="s">
        <v>58</v>
      </c>
      <c r="K17">
        <v>1248</v>
      </c>
      <c r="L17">
        <v>1</v>
      </c>
      <c r="M17" s="19" t="s">
        <v>59</v>
      </c>
      <c r="N17">
        <v>2</v>
      </c>
      <c r="O17">
        <v>1</v>
      </c>
      <c r="P17" s="19" t="s">
        <v>67</v>
      </c>
      <c r="Q17">
        <v>2</v>
      </c>
      <c r="R17" s="19" t="s">
        <v>53</v>
      </c>
      <c r="S17">
        <v>60735</v>
      </c>
      <c r="T17" s="19" t="s">
        <v>64</v>
      </c>
      <c r="U17">
        <v>379.59</v>
      </c>
      <c r="V17">
        <v>1</v>
      </c>
      <c r="W17" s="19" t="s">
        <v>47</v>
      </c>
      <c r="X17">
        <v>25</v>
      </c>
      <c r="Y17">
        <v>4</v>
      </c>
      <c r="Z17">
        <v>2</v>
      </c>
      <c r="AA17">
        <v>0</v>
      </c>
      <c r="AB17">
        <v>1</v>
      </c>
      <c r="AC17">
        <v>2</v>
      </c>
      <c r="AD17">
        <v>4</v>
      </c>
      <c r="AE17">
        <v>1</v>
      </c>
      <c r="AF17">
        <v>1</v>
      </c>
      <c r="AG17">
        <v>0</v>
      </c>
      <c r="AH17">
        <v>0</v>
      </c>
      <c r="AI17">
        <v>1</v>
      </c>
      <c r="AJ17" s="19" t="s">
        <v>1561</v>
      </c>
      <c r="AK17" s="19" t="s">
        <v>1562</v>
      </c>
      <c r="AL17">
        <v>2</v>
      </c>
      <c r="AM17" s="19" t="s">
        <v>1564</v>
      </c>
      <c r="AN17">
        <v>0.2179616430840596</v>
      </c>
      <c r="AO17">
        <v>728820</v>
      </c>
    </row>
    <row r="18" spans="1:41" x14ac:dyDescent="0.3">
      <c r="A18" s="19" t="s">
        <v>85</v>
      </c>
      <c r="B18">
        <v>19</v>
      </c>
      <c r="C18" s="19" t="s">
        <v>46</v>
      </c>
      <c r="D18" s="19" t="s">
        <v>55</v>
      </c>
      <c r="E18" s="19" t="s">
        <v>48</v>
      </c>
      <c r="F18">
        <v>265</v>
      </c>
      <c r="G18" s="19" t="s">
        <v>49</v>
      </c>
      <c r="H18">
        <v>25</v>
      </c>
      <c r="I18">
        <v>3</v>
      </c>
      <c r="J18" s="19" t="s">
        <v>50</v>
      </c>
      <c r="K18">
        <v>1269</v>
      </c>
      <c r="L18">
        <v>2</v>
      </c>
      <c r="M18" s="19" t="s">
        <v>59</v>
      </c>
      <c r="N18">
        <v>4</v>
      </c>
      <c r="O18">
        <v>1</v>
      </c>
      <c r="P18" s="19" t="s">
        <v>67</v>
      </c>
      <c r="Q18">
        <v>4</v>
      </c>
      <c r="R18" s="19" t="s">
        <v>53</v>
      </c>
      <c r="S18">
        <v>63955</v>
      </c>
      <c r="T18" s="19" t="s">
        <v>64</v>
      </c>
      <c r="U18">
        <v>399.72</v>
      </c>
      <c r="V18">
        <v>1</v>
      </c>
      <c r="W18" s="19" t="s">
        <v>47</v>
      </c>
      <c r="X18">
        <v>12</v>
      </c>
      <c r="Y18">
        <v>3</v>
      </c>
      <c r="Z18">
        <v>4</v>
      </c>
      <c r="AA18">
        <v>0</v>
      </c>
      <c r="AB18">
        <v>1</v>
      </c>
      <c r="AC18">
        <v>2</v>
      </c>
      <c r="AD18">
        <v>3</v>
      </c>
      <c r="AE18">
        <v>1</v>
      </c>
      <c r="AF18">
        <v>0</v>
      </c>
      <c r="AG18">
        <v>0</v>
      </c>
      <c r="AH18">
        <v>1</v>
      </c>
      <c r="AI18">
        <v>0</v>
      </c>
      <c r="AJ18" s="19" t="s">
        <v>1561</v>
      </c>
      <c r="AK18" s="19" t="s">
        <v>1562</v>
      </c>
      <c r="AL18">
        <v>1</v>
      </c>
      <c r="AM18" s="19" t="s">
        <v>1565</v>
      </c>
      <c r="AN18">
        <v>0.28253456628700141</v>
      </c>
      <c r="AO18">
        <v>767460</v>
      </c>
    </row>
    <row r="19" spans="1:41" x14ac:dyDescent="0.3">
      <c r="A19" s="19" t="s">
        <v>86</v>
      </c>
      <c r="B19">
        <v>21</v>
      </c>
      <c r="C19" s="19" t="s">
        <v>46</v>
      </c>
      <c r="D19" s="19" t="s">
        <v>47</v>
      </c>
      <c r="E19" s="19" t="s">
        <v>62</v>
      </c>
      <c r="F19">
        <v>871</v>
      </c>
      <c r="G19" s="19" t="s">
        <v>49</v>
      </c>
      <c r="H19">
        <v>6</v>
      </c>
      <c r="I19">
        <v>3</v>
      </c>
      <c r="J19" s="19" t="s">
        <v>50</v>
      </c>
      <c r="K19">
        <v>137</v>
      </c>
      <c r="L19">
        <v>4</v>
      </c>
      <c r="M19" s="19" t="s">
        <v>59</v>
      </c>
      <c r="N19">
        <v>2</v>
      </c>
      <c r="O19">
        <v>1</v>
      </c>
      <c r="P19" s="19" t="s">
        <v>52</v>
      </c>
      <c r="Q19">
        <v>4</v>
      </c>
      <c r="R19" s="19" t="s">
        <v>53</v>
      </c>
      <c r="S19">
        <v>65925</v>
      </c>
      <c r="T19" s="19" t="s">
        <v>64</v>
      </c>
      <c r="U19">
        <v>412.03</v>
      </c>
      <c r="V19">
        <v>1</v>
      </c>
      <c r="W19" s="19" t="s">
        <v>47</v>
      </c>
      <c r="X19">
        <v>18</v>
      </c>
      <c r="Y19">
        <v>3</v>
      </c>
      <c r="Z19">
        <v>2</v>
      </c>
      <c r="AA19">
        <v>0</v>
      </c>
      <c r="AB19">
        <v>1</v>
      </c>
      <c r="AC19">
        <v>5</v>
      </c>
      <c r="AD19">
        <v>3</v>
      </c>
      <c r="AE19">
        <v>1</v>
      </c>
      <c r="AF19">
        <v>0</v>
      </c>
      <c r="AG19">
        <v>1</v>
      </c>
      <c r="AH19">
        <v>0</v>
      </c>
      <c r="AI19">
        <v>1</v>
      </c>
      <c r="AJ19" s="19" t="s">
        <v>1561</v>
      </c>
      <c r="AK19" s="19" t="s">
        <v>1562</v>
      </c>
      <c r="AL19">
        <v>1</v>
      </c>
      <c r="AM19" s="19" t="s">
        <v>1565</v>
      </c>
      <c r="AN19">
        <v>0.27463722324473611</v>
      </c>
      <c r="AO19">
        <v>791100</v>
      </c>
    </row>
    <row r="20" spans="1:41" x14ac:dyDescent="0.3">
      <c r="A20" s="19" t="s">
        <v>87</v>
      </c>
      <c r="B20">
        <v>21</v>
      </c>
      <c r="C20" s="19" t="s">
        <v>46</v>
      </c>
      <c r="D20" s="19" t="s">
        <v>55</v>
      </c>
      <c r="E20" s="19" t="s">
        <v>48</v>
      </c>
      <c r="F20">
        <v>959</v>
      </c>
      <c r="G20" s="19" t="s">
        <v>49</v>
      </c>
      <c r="H20">
        <v>1</v>
      </c>
      <c r="I20">
        <v>3</v>
      </c>
      <c r="J20" s="19" t="s">
        <v>50</v>
      </c>
      <c r="K20">
        <v>657</v>
      </c>
      <c r="L20">
        <v>4</v>
      </c>
      <c r="M20" s="19" t="s">
        <v>59</v>
      </c>
      <c r="N20">
        <v>2</v>
      </c>
      <c r="O20">
        <v>1</v>
      </c>
      <c r="P20" s="19" t="s">
        <v>67</v>
      </c>
      <c r="Q20">
        <v>2</v>
      </c>
      <c r="R20" s="19" t="s">
        <v>53</v>
      </c>
      <c r="S20">
        <v>68969</v>
      </c>
      <c r="T20" s="19" t="s">
        <v>64</v>
      </c>
      <c r="U20">
        <v>431.06</v>
      </c>
      <c r="V20">
        <v>1</v>
      </c>
      <c r="W20" s="19" t="s">
        <v>55</v>
      </c>
      <c r="X20">
        <v>13</v>
      </c>
      <c r="Y20">
        <v>3</v>
      </c>
      <c r="Z20">
        <v>4</v>
      </c>
      <c r="AA20">
        <v>0</v>
      </c>
      <c r="AB20">
        <v>1</v>
      </c>
      <c r="AC20">
        <v>0</v>
      </c>
      <c r="AD20">
        <v>4</v>
      </c>
      <c r="AE20">
        <v>1</v>
      </c>
      <c r="AF20">
        <v>0</v>
      </c>
      <c r="AG20">
        <v>0</v>
      </c>
      <c r="AH20">
        <v>0</v>
      </c>
      <c r="AI20">
        <v>0</v>
      </c>
      <c r="AJ20" s="19" t="s">
        <v>1561</v>
      </c>
      <c r="AK20" s="19" t="s">
        <v>1562</v>
      </c>
      <c r="AL20">
        <v>1</v>
      </c>
      <c r="AM20" s="19" t="s">
        <v>1565</v>
      </c>
      <c r="AN20">
        <v>0.38308383241729654</v>
      </c>
      <c r="AO20">
        <v>827628</v>
      </c>
    </row>
    <row r="21" spans="1:41" x14ac:dyDescent="0.3">
      <c r="A21" s="19" t="s">
        <v>88</v>
      </c>
      <c r="B21">
        <v>21</v>
      </c>
      <c r="C21" s="19" t="s">
        <v>46</v>
      </c>
      <c r="D21" s="19" t="s">
        <v>47</v>
      </c>
      <c r="E21" s="19" t="s">
        <v>48</v>
      </c>
      <c r="F21">
        <v>1362</v>
      </c>
      <c r="G21" s="19" t="s">
        <v>49</v>
      </c>
      <c r="H21">
        <v>10</v>
      </c>
      <c r="I21">
        <v>1</v>
      </c>
      <c r="J21" s="19" t="s">
        <v>58</v>
      </c>
      <c r="K21">
        <v>701</v>
      </c>
      <c r="L21">
        <v>4</v>
      </c>
      <c r="M21" s="19" t="s">
        <v>51</v>
      </c>
      <c r="N21">
        <v>3</v>
      </c>
      <c r="O21">
        <v>1</v>
      </c>
      <c r="P21" s="19" t="s">
        <v>67</v>
      </c>
      <c r="Q21">
        <v>3</v>
      </c>
      <c r="R21" s="19" t="s">
        <v>53</v>
      </c>
      <c r="S21">
        <v>6311</v>
      </c>
      <c r="T21" s="19" t="s">
        <v>54</v>
      </c>
      <c r="U21">
        <v>39.44</v>
      </c>
      <c r="V21">
        <v>1</v>
      </c>
      <c r="W21" s="19" t="s">
        <v>47</v>
      </c>
      <c r="X21">
        <v>11</v>
      </c>
      <c r="Y21">
        <v>3</v>
      </c>
      <c r="Z21">
        <v>4</v>
      </c>
      <c r="AA21">
        <v>0</v>
      </c>
      <c r="AB21">
        <v>1</v>
      </c>
      <c r="AC21">
        <v>5</v>
      </c>
      <c r="AD21">
        <v>3</v>
      </c>
      <c r="AE21">
        <v>1</v>
      </c>
      <c r="AF21">
        <v>0</v>
      </c>
      <c r="AG21">
        <v>1</v>
      </c>
      <c r="AH21">
        <v>1</v>
      </c>
      <c r="AI21">
        <v>1</v>
      </c>
      <c r="AJ21" s="19" t="s">
        <v>1561</v>
      </c>
      <c r="AK21" s="19" t="s">
        <v>1562</v>
      </c>
      <c r="AL21">
        <v>1</v>
      </c>
      <c r="AM21" s="19" t="s">
        <v>1565</v>
      </c>
      <c r="AN21">
        <v>-0.87344108126280562</v>
      </c>
      <c r="AO21">
        <v>75732</v>
      </c>
    </row>
    <row r="22" spans="1:41" x14ac:dyDescent="0.3">
      <c r="A22" s="19" t="s">
        <v>89</v>
      </c>
      <c r="B22">
        <v>21</v>
      </c>
      <c r="C22" s="19" t="s">
        <v>46</v>
      </c>
      <c r="D22" s="19" t="s">
        <v>47</v>
      </c>
      <c r="E22" s="19" t="s">
        <v>48</v>
      </c>
      <c r="F22">
        <v>500</v>
      </c>
      <c r="G22" s="19" t="s">
        <v>57</v>
      </c>
      <c r="H22">
        <v>2</v>
      </c>
      <c r="I22">
        <v>3</v>
      </c>
      <c r="J22" s="19" t="s">
        <v>58</v>
      </c>
      <c r="K22">
        <v>922</v>
      </c>
      <c r="L22">
        <v>3</v>
      </c>
      <c r="M22" s="19" t="s">
        <v>59</v>
      </c>
      <c r="N22">
        <v>2</v>
      </c>
      <c r="O22">
        <v>1</v>
      </c>
      <c r="P22" s="19" t="s">
        <v>60</v>
      </c>
      <c r="Q22">
        <v>3</v>
      </c>
      <c r="R22" s="19" t="s">
        <v>53</v>
      </c>
      <c r="S22">
        <v>84104</v>
      </c>
      <c r="T22" s="19" t="s">
        <v>70</v>
      </c>
      <c r="U22">
        <v>525.65</v>
      </c>
      <c r="V22">
        <v>1</v>
      </c>
      <c r="W22" s="19" t="s">
        <v>55</v>
      </c>
      <c r="X22">
        <v>13</v>
      </c>
      <c r="Y22">
        <v>3</v>
      </c>
      <c r="Z22">
        <v>4</v>
      </c>
      <c r="AA22">
        <v>0</v>
      </c>
      <c r="AB22">
        <v>2</v>
      </c>
      <c r="AC22">
        <v>3</v>
      </c>
      <c r="AD22">
        <v>2</v>
      </c>
      <c r="AE22">
        <v>2</v>
      </c>
      <c r="AF22">
        <v>2</v>
      </c>
      <c r="AG22">
        <v>0</v>
      </c>
      <c r="AH22">
        <v>2</v>
      </c>
      <c r="AI22">
        <v>1</v>
      </c>
      <c r="AJ22" s="19" t="s">
        <v>1566</v>
      </c>
      <c r="AK22" s="19" t="s">
        <v>1562</v>
      </c>
      <c r="AL22">
        <v>1</v>
      </c>
      <c r="AM22" s="19" t="s">
        <v>1565</v>
      </c>
      <c r="AN22">
        <v>0.70503669525716606</v>
      </c>
      <c r="AO22">
        <v>1009248</v>
      </c>
    </row>
    <row r="23" spans="1:41" x14ac:dyDescent="0.3">
      <c r="A23" s="19" t="s">
        <v>90</v>
      </c>
      <c r="B23">
        <v>21</v>
      </c>
      <c r="C23" s="19" t="s">
        <v>46</v>
      </c>
      <c r="D23" s="19" t="s">
        <v>47</v>
      </c>
      <c r="E23" s="19" t="s">
        <v>48</v>
      </c>
      <c r="F23">
        <v>129</v>
      </c>
      <c r="G23" s="19" t="s">
        <v>49</v>
      </c>
      <c r="H23">
        <v>4</v>
      </c>
      <c r="I23">
        <v>3</v>
      </c>
      <c r="J23" s="19" t="s">
        <v>77</v>
      </c>
      <c r="K23">
        <v>960</v>
      </c>
      <c r="L23">
        <v>1</v>
      </c>
      <c r="M23" s="19" t="s">
        <v>51</v>
      </c>
      <c r="N23">
        <v>3</v>
      </c>
      <c r="O23">
        <v>1</v>
      </c>
      <c r="P23" s="19" t="s">
        <v>52</v>
      </c>
      <c r="Q23">
        <v>1</v>
      </c>
      <c r="R23" s="19" t="s">
        <v>53</v>
      </c>
      <c r="S23">
        <v>54707</v>
      </c>
      <c r="T23" s="19" t="s">
        <v>64</v>
      </c>
      <c r="U23">
        <v>341.92</v>
      </c>
      <c r="V23">
        <v>1</v>
      </c>
      <c r="W23" s="19" t="s">
        <v>55</v>
      </c>
      <c r="X23">
        <v>19</v>
      </c>
      <c r="Y23">
        <v>3</v>
      </c>
      <c r="Z23">
        <v>2</v>
      </c>
      <c r="AA23">
        <v>0</v>
      </c>
      <c r="AB23">
        <v>1</v>
      </c>
      <c r="AC23">
        <v>2</v>
      </c>
      <c r="AD23">
        <v>3</v>
      </c>
      <c r="AE23">
        <v>1</v>
      </c>
      <c r="AF23">
        <v>0</v>
      </c>
      <c r="AG23">
        <v>0</v>
      </c>
      <c r="AH23">
        <v>0</v>
      </c>
      <c r="AI23">
        <v>1</v>
      </c>
      <c r="AJ23" s="19" t="s">
        <v>1561</v>
      </c>
      <c r="AK23" s="19" t="s">
        <v>1562</v>
      </c>
      <c r="AL23">
        <v>1</v>
      </c>
      <c r="AM23" s="19" t="s">
        <v>1565</v>
      </c>
      <c r="AN23">
        <v>5.7741047736818776E-2</v>
      </c>
      <c r="AO23">
        <v>656484</v>
      </c>
    </row>
    <row r="24" spans="1:41" x14ac:dyDescent="0.3">
      <c r="A24" s="19" t="s">
        <v>91</v>
      </c>
      <c r="B24">
        <v>21</v>
      </c>
      <c r="C24" s="19" t="s">
        <v>46</v>
      </c>
      <c r="D24" s="19" t="s">
        <v>47</v>
      </c>
      <c r="E24" s="19" t="s">
        <v>48</v>
      </c>
      <c r="F24">
        <v>1097</v>
      </c>
      <c r="G24" s="19" t="s">
        <v>49</v>
      </c>
      <c r="H24">
        <v>11</v>
      </c>
      <c r="I24">
        <v>3</v>
      </c>
      <c r="J24" s="19" t="s">
        <v>58</v>
      </c>
      <c r="K24">
        <v>1016</v>
      </c>
      <c r="L24">
        <v>4</v>
      </c>
      <c r="M24" s="19" t="s">
        <v>59</v>
      </c>
      <c r="N24">
        <v>2</v>
      </c>
      <c r="O24">
        <v>1</v>
      </c>
      <c r="P24" s="19" t="s">
        <v>67</v>
      </c>
      <c r="Q24">
        <v>1</v>
      </c>
      <c r="R24" s="19" t="s">
        <v>53</v>
      </c>
      <c r="S24">
        <v>86305</v>
      </c>
      <c r="T24" s="19" t="s">
        <v>70</v>
      </c>
      <c r="U24">
        <v>539.41</v>
      </c>
      <c r="V24">
        <v>1</v>
      </c>
      <c r="W24" s="19" t="s">
        <v>47</v>
      </c>
      <c r="X24">
        <v>15</v>
      </c>
      <c r="Y24">
        <v>3</v>
      </c>
      <c r="Z24">
        <v>1</v>
      </c>
      <c r="AA24">
        <v>0</v>
      </c>
      <c r="AB24">
        <v>1</v>
      </c>
      <c r="AC24">
        <v>2</v>
      </c>
      <c r="AD24">
        <v>3</v>
      </c>
      <c r="AE24">
        <v>1</v>
      </c>
      <c r="AF24">
        <v>0</v>
      </c>
      <c r="AG24">
        <v>0</v>
      </c>
      <c r="AH24">
        <v>0</v>
      </c>
      <c r="AI24">
        <v>1</v>
      </c>
      <c r="AJ24" s="19" t="s">
        <v>1561</v>
      </c>
      <c r="AK24" s="19" t="s">
        <v>1562</v>
      </c>
      <c r="AL24">
        <v>2</v>
      </c>
      <c r="AM24" s="19" t="s">
        <v>1564</v>
      </c>
      <c r="AN24">
        <v>0.73073482516456345</v>
      </c>
      <c r="AO24">
        <v>1035660</v>
      </c>
    </row>
    <row r="25" spans="1:41" x14ac:dyDescent="0.3">
      <c r="A25" s="19" t="s">
        <v>92</v>
      </c>
      <c r="B25">
        <v>21</v>
      </c>
      <c r="C25" s="19" t="s">
        <v>46</v>
      </c>
      <c r="D25" s="19" t="s">
        <v>47</v>
      </c>
      <c r="E25" s="19" t="s">
        <v>62</v>
      </c>
      <c r="F25">
        <v>769</v>
      </c>
      <c r="G25" s="19" t="s">
        <v>57</v>
      </c>
      <c r="H25">
        <v>9</v>
      </c>
      <c r="I25">
        <v>3</v>
      </c>
      <c r="J25" s="19" t="s">
        <v>63</v>
      </c>
      <c r="K25">
        <v>1077</v>
      </c>
      <c r="L25">
        <v>4</v>
      </c>
      <c r="M25" s="19" t="s">
        <v>59</v>
      </c>
      <c r="N25">
        <v>3</v>
      </c>
      <c r="O25">
        <v>1</v>
      </c>
      <c r="P25" s="19" t="s">
        <v>60</v>
      </c>
      <c r="Q25">
        <v>4</v>
      </c>
      <c r="R25" s="19" t="s">
        <v>53</v>
      </c>
      <c r="S25">
        <v>29693</v>
      </c>
      <c r="T25" s="19" t="s">
        <v>72</v>
      </c>
      <c r="U25">
        <v>185.58</v>
      </c>
      <c r="V25">
        <v>1</v>
      </c>
      <c r="W25" s="19" t="s">
        <v>47</v>
      </c>
      <c r="X25">
        <v>14</v>
      </c>
      <c r="Y25">
        <v>3</v>
      </c>
      <c r="Z25">
        <v>2</v>
      </c>
      <c r="AA25">
        <v>0</v>
      </c>
      <c r="AB25">
        <v>2</v>
      </c>
      <c r="AC25">
        <v>3</v>
      </c>
      <c r="AD25">
        <v>3</v>
      </c>
      <c r="AE25">
        <v>2</v>
      </c>
      <c r="AF25">
        <v>2</v>
      </c>
      <c r="AG25">
        <v>0</v>
      </c>
      <c r="AH25">
        <v>2</v>
      </c>
      <c r="AI25">
        <v>1</v>
      </c>
      <c r="AJ25" s="19" t="s">
        <v>1566</v>
      </c>
      <c r="AK25" s="19" t="s">
        <v>1562</v>
      </c>
      <c r="AL25">
        <v>1</v>
      </c>
      <c r="AM25" s="19" t="s">
        <v>1565</v>
      </c>
      <c r="AN25">
        <v>-0.39803511613869696</v>
      </c>
      <c r="AO25">
        <v>356316</v>
      </c>
    </row>
    <row r="26" spans="1:41" x14ac:dyDescent="0.3">
      <c r="A26" s="19" t="s">
        <v>93</v>
      </c>
      <c r="B26">
        <v>21</v>
      </c>
      <c r="C26" s="19" t="s">
        <v>46</v>
      </c>
      <c r="D26" s="19" t="s">
        <v>55</v>
      </c>
      <c r="E26" s="19" t="s">
        <v>48</v>
      </c>
      <c r="F26">
        <v>805</v>
      </c>
      <c r="G26" s="19" t="s">
        <v>49</v>
      </c>
      <c r="H26">
        <v>3</v>
      </c>
      <c r="I26">
        <v>3</v>
      </c>
      <c r="J26" s="19" t="s">
        <v>50</v>
      </c>
      <c r="K26">
        <v>1198</v>
      </c>
      <c r="L26">
        <v>1</v>
      </c>
      <c r="M26" s="19" t="s">
        <v>51</v>
      </c>
      <c r="N26">
        <v>2</v>
      </c>
      <c r="O26">
        <v>1</v>
      </c>
      <c r="P26" s="19" t="s">
        <v>52</v>
      </c>
      <c r="Q26">
        <v>3</v>
      </c>
      <c r="R26" s="19" t="s">
        <v>53</v>
      </c>
      <c r="S26">
        <v>72932</v>
      </c>
      <c r="T26" s="19" t="s">
        <v>64</v>
      </c>
      <c r="U26">
        <v>455.82</v>
      </c>
      <c r="V26">
        <v>1</v>
      </c>
      <c r="W26" s="19" t="s">
        <v>55</v>
      </c>
      <c r="X26">
        <v>12</v>
      </c>
      <c r="Y26">
        <v>3</v>
      </c>
      <c r="Z26">
        <v>1</v>
      </c>
      <c r="AA26">
        <v>0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1</v>
      </c>
      <c r="AH26">
        <v>2</v>
      </c>
      <c r="AI26">
        <v>0</v>
      </c>
      <c r="AJ26" s="19" t="s">
        <v>1566</v>
      </c>
      <c r="AK26" s="19" t="s">
        <v>1562</v>
      </c>
      <c r="AL26">
        <v>1</v>
      </c>
      <c r="AM26" s="19" t="s">
        <v>1565</v>
      </c>
      <c r="AN26">
        <v>0.4101151606474796</v>
      </c>
      <c r="AO26">
        <v>875184</v>
      </c>
    </row>
    <row r="27" spans="1:41" x14ac:dyDescent="0.3">
      <c r="A27" s="19" t="s">
        <v>94</v>
      </c>
      <c r="B27">
        <v>21</v>
      </c>
      <c r="C27" s="19" t="s">
        <v>46</v>
      </c>
      <c r="D27" s="19" t="s">
        <v>55</v>
      </c>
      <c r="E27" s="19" t="s">
        <v>48</v>
      </c>
      <c r="F27">
        <v>654</v>
      </c>
      <c r="G27" s="19" t="s">
        <v>57</v>
      </c>
      <c r="H27">
        <v>21</v>
      </c>
      <c r="I27">
        <v>3</v>
      </c>
      <c r="J27" s="19" t="s">
        <v>63</v>
      </c>
      <c r="K27">
        <v>1226</v>
      </c>
      <c r="L27">
        <v>3</v>
      </c>
      <c r="M27" s="19" t="s">
        <v>51</v>
      </c>
      <c r="N27">
        <v>4</v>
      </c>
      <c r="O27">
        <v>1</v>
      </c>
      <c r="P27" s="19" t="s">
        <v>60</v>
      </c>
      <c r="Q27">
        <v>4</v>
      </c>
      <c r="R27" s="19" t="s">
        <v>53</v>
      </c>
      <c r="S27">
        <v>94016</v>
      </c>
      <c r="T27" s="19" t="s">
        <v>70</v>
      </c>
      <c r="U27">
        <v>587.6</v>
      </c>
      <c r="V27">
        <v>1</v>
      </c>
      <c r="W27" s="19" t="s">
        <v>55</v>
      </c>
      <c r="X27">
        <v>17</v>
      </c>
      <c r="Y27">
        <v>3</v>
      </c>
      <c r="Z27">
        <v>4</v>
      </c>
      <c r="AA27">
        <v>0</v>
      </c>
      <c r="AB27">
        <v>2</v>
      </c>
      <c r="AC27">
        <v>2</v>
      </c>
      <c r="AD27">
        <v>3</v>
      </c>
      <c r="AE27">
        <v>2</v>
      </c>
      <c r="AF27">
        <v>1</v>
      </c>
      <c r="AG27">
        <v>2</v>
      </c>
      <c r="AH27">
        <v>2</v>
      </c>
      <c r="AI27">
        <v>0</v>
      </c>
      <c r="AJ27" s="19" t="s">
        <v>1566</v>
      </c>
      <c r="AK27" s="19" t="s">
        <v>1562</v>
      </c>
      <c r="AL27">
        <v>0</v>
      </c>
      <c r="AM27" s="19" t="s">
        <v>1563</v>
      </c>
      <c r="AN27">
        <v>0.90598223558092039</v>
      </c>
      <c r="AO27">
        <v>1128192</v>
      </c>
    </row>
    <row r="28" spans="1:41" x14ac:dyDescent="0.3">
      <c r="A28" s="19" t="s">
        <v>95</v>
      </c>
      <c r="B28">
        <v>21</v>
      </c>
      <c r="C28" s="19" t="s">
        <v>46</v>
      </c>
      <c r="D28" s="19" t="s">
        <v>55</v>
      </c>
      <c r="E28" s="19" t="s">
        <v>48</v>
      </c>
      <c r="F28">
        <v>1141</v>
      </c>
      <c r="G28" s="19" t="s">
        <v>57</v>
      </c>
      <c r="H28">
        <v>2</v>
      </c>
      <c r="I28">
        <v>3</v>
      </c>
      <c r="J28" s="19" t="s">
        <v>58</v>
      </c>
      <c r="K28">
        <v>1657</v>
      </c>
      <c r="L28">
        <v>3</v>
      </c>
      <c r="M28" s="19" t="s">
        <v>59</v>
      </c>
      <c r="N28">
        <v>3</v>
      </c>
      <c r="O28">
        <v>1</v>
      </c>
      <c r="P28" s="19" t="s">
        <v>60</v>
      </c>
      <c r="Q28">
        <v>3</v>
      </c>
      <c r="R28" s="19" t="s">
        <v>53</v>
      </c>
      <c r="S28">
        <v>26658</v>
      </c>
      <c r="T28" s="19" t="s">
        <v>72</v>
      </c>
      <c r="U28">
        <v>166.61</v>
      </c>
      <c r="V28">
        <v>1</v>
      </c>
      <c r="W28" s="19" t="s">
        <v>55</v>
      </c>
      <c r="X28">
        <v>19</v>
      </c>
      <c r="Y28">
        <v>3</v>
      </c>
      <c r="Z28">
        <v>1</v>
      </c>
      <c r="AA28">
        <v>0</v>
      </c>
      <c r="AB28">
        <v>2</v>
      </c>
      <c r="AC28">
        <v>3</v>
      </c>
      <c r="AD28">
        <v>3</v>
      </c>
      <c r="AE28">
        <v>2</v>
      </c>
      <c r="AF28">
        <v>2</v>
      </c>
      <c r="AG28">
        <v>2</v>
      </c>
      <c r="AH28">
        <v>2</v>
      </c>
      <c r="AI28">
        <v>0</v>
      </c>
      <c r="AJ28" s="19" t="s">
        <v>1566</v>
      </c>
      <c r="AK28" s="19" t="s">
        <v>1562</v>
      </c>
      <c r="AL28">
        <v>0</v>
      </c>
      <c r="AM28" s="19" t="s">
        <v>1563</v>
      </c>
      <c r="AN28">
        <v>-0.45956353773702163</v>
      </c>
      <c r="AO28">
        <v>319896</v>
      </c>
    </row>
    <row r="29" spans="1:41" x14ac:dyDescent="0.3">
      <c r="A29" s="19" t="s">
        <v>96</v>
      </c>
      <c r="B29">
        <v>21</v>
      </c>
      <c r="C29" s="19" t="s">
        <v>46</v>
      </c>
      <c r="D29" s="19" t="s">
        <v>55</v>
      </c>
      <c r="E29" s="19" t="s">
        <v>48</v>
      </c>
      <c r="F29">
        <v>727</v>
      </c>
      <c r="G29" s="19" t="s">
        <v>57</v>
      </c>
      <c r="H29">
        <v>9</v>
      </c>
      <c r="I29">
        <v>1</v>
      </c>
      <c r="J29" s="19" t="s">
        <v>50</v>
      </c>
      <c r="K29">
        <v>1680</v>
      </c>
      <c r="L29">
        <v>4</v>
      </c>
      <c r="M29" s="19" t="s">
        <v>51</v>
      </c>
      <c r="N29">
        <v>3</v>
      </c>
      <c r="O29">
        <v>1</v>
      </c>
      <c r="P29" s="19" t="s">
        <v>60</v>
      </c>
      <c r="Q29">
        <v>1</v>
      </c>
      <c r="R29" s="19" t="s">
        <v>53</v>
      </c>
      <c r="S29">
        <v>85478</v>
      </c>
      <c r="T29" s="19" t="s">
        <v>70</v>
      </c>
      <c r="U29">
        <v>534.24</v>
      </c>
      <c r="V29">
        <v>1</v>
      </c>
      <c r="W29" s="19" t="s">
        <v>55</v>
      </c>
      <c r="X29">
        <v>11</v>
      </c>
      <c r="Y29">
        <v>3</v>
      </c>
      <c r="Z29">
        <v>1</v>
      </c>
      <c r="AA29">
        <v>0</v>
      </c>
      <c r="AB29">
        <v>2</v>
      </c>
      <c r="AC29">
        <v>3</v>
      </c>
      <c r="AD29">
        <v>3</v>
      </c>
      <c r="AE29">
        <v>2</v>
      </c>
      <c r="AF29">
        <v>2</v>
      </c>
      <c r="AG29">
        <v>0</v>
      </c>
      <c r="AH29">
        <v>2</v>
      </c>
      <c r="AI29">
        <v>0</v>
      </c>
      <c r="AJ29" s="19" t="s">
        <v>1566</v>
      </c>
      <c r="AK29" s="19" t="s">
        <v>1562</v>
      </c>
      <c r="AL29">
        <v>1</v>
      </c>
      <c r="AM29" s="19" t="s">
        <v>1565</v>
      </c>
      <c r="AN29">
        <v>0.73289173686378817</v>
      </c>
      <c r="AO29">
        <v>1025736</v>
      </c>
    </row>
    <row r="30" spans="1:41" x14ac:dyDescent="0.3">
      <c r="A30" s="19" t="s">
        <v>97</v>
      </c>
      <c r="B30">
        <v>21</v>
      </c>
      <c r="C30" s="19" t="s">
        <v>46</v>
      </c>
      <c r="D30" s="19" t="s">
        <v>55</v>
      </c>
      <c r="E30" s="19" t="s">
        <v>48</v>
      </c>
      <c r="F30">
        <v>391</v>
      </c>
      <c r="G30" s="19" t="s">
        <v>49</v>
      </c>
      <c r="H30">
        <v>15</v>
      </c>
      <c r="I30">
        <v>2</v>
      </c>
      <c r="J30" s="19" t="s">
        <v>50</v>
      </c>
      <c r="K30">
        <v>30</v>
      </c>
      <c r="L30">
        <v>3</v>
      </c>
      <c r="M30" s="19" t="s">
        <v>51</v>
      </c>
      <c r="N30">
        <v>3</v>
      </c>
      <c r="O30">
        <v>1</v>
      </c>
      <c r="P30" s="19" t="s">
        <v>67</v>
      </c>
      <c r="Q30">
        <v>4</v>
      </c>
      <c r="R30" s="19" t="s">
        <v>53</v>
      </c>
      <c r="S30">
        <v>19431</v>
      </c>
      <c r="T30" s="19" t="s">
        <v>54</v>
      </c>
      <c r="U30">
        <v>121.44</v>
      </c>
      <c r="V30">
        <v>1</v>
      </c>
      <c r="W30" s="19" t="s">
        <v>55</v>
      </c>
      <c r="X30">
        <v>14</v>
      </c>
      <c r="Y30">
        <v>3</v>
      </c>
      <c r="Z30">
        <v>4</v>
      </c>
      <c r="AA30">
        <v>0</v>
      </c>
      <c r="AB30">
        <v>0</v>
      </c>
      <c r="AC30">
        <v>6</v>
      </c>
      <c r="AD30">
        <v>3</v>
      </c>
      <c r="AE30">
        <v>0</v>
      </c>
      <c r="AF30">
        <v>0</v>
      </c>
      <c r="AG30">
        <v>0</v>
      </c>
      <c r="AH30">
        <v>0</v>
      </c>
      <c r="AI30">
        <v>0</v>
      </c>
      <c r="AJ30" s="19" t="s">
        <v>1561</v>
      </c>
      <c r="AK30" s="19" t="s">
        <v>1562</v>
      </c>
      <c r="AL30">
        <v>0</v>
      </c>
      <c r="AM30" s="19" t="s">
        <v>1563</v>
      </c>
      <c r="AN30">
        <v>-0.61033649976510473</v>
      </c>
      <c r="AO30">
        <v>233172</v>
      </c>
    </row>
    <row r="31" spans="1:41" x14ac:dyDescent="0.3">
      <c r="A31" s="19" t="s">
        <v>98</v>
      </c>
      <c r="B31">
        <v>22</v>
      </c>
      <c r="C31" s="19" t="s">
        <v>46</v>
      </c>
      <c r="D31" s="19" t="s">
        <v>55</v>
      </c>
      <c r="E31" s="19" t="s">
        <v>48</v>
      </c>
      <c r="F31">
        <v>996</v>
      </c>
      <c r="G31" s="19" t="s">
        <v>49</v>
      </c>
      <c r="H31">
        <v>3</v>
      </c>
      <c r="I31">
        <v>2</v>
      </c>
      <c r="J31" s="19" t="s">
        <v>58</v>
      </c>
      <c r="K31">
        <v>379</v>
      </c>
      <c r="L31">
        <v>4</v>
      </c>
      <c r="M31" s="19" t="s">
        <v>51</v>
      </c>
      <c r="N31">
        <v>2</v>
      </c>
      <c r="O31">
        <v>1</v>
      </c>
      <c r="P31" s="19" t="s">
        <v>67</v>
      </c>
      <c r="Q31">
        <v>3</v>
      </c>
      <c r="R31" s="19" t="s">
        <v>53</v>
      </c>
      <c r="S31">
        <v>3747</v>
      </c>
      <c r="T31" s="19" t="s">
        <v>54</v>
      </c>
      <c r="U31">
        <v>23.42</v>
      </c>
      <c r="V31">
        <v>1</v>
      </c>
      <c r="W31" s="19" t="s">
        <v>55</v>
      </c>
      <c r="X31">
        <v>17</v>
      </c>
      <c r="Y31">
        <v>3</v>
      </c>
      <c r="Z31">
        <v>1</v>
      </c>
      <c r="AA31">
        <v>0</v>
      </c>
      <c r="AB31">
        <v>3</v>
      </c>
      <c r="AC31">
        <v>4</v>
      </c>
      <c r="AD31">
        <v>4</v>
      </c>
      <c r="AE31">
        <v>3</v>
      </c>
      <c r="AF31">
        <v>2</v>
      </c>
      <c r="AG31">
        <v>1</v>
      </c>
      <c r="AH31">
        <v>0</v>
      </c>
      <c r="AI31">
        <v>0</v>
      </c>
      <c r="AJ31" s="19" t="s">
        <v>1566</v>
      </c>
      <c r="AK31" s="19" t="s">
        <v>1562</v>
      </c>
      <c r="AL31">
        <v>0</v>
      </c>
      <c r="AM31" s="19" t="s">
        <v>1563</v>
      </c>
      <c r="AN31">
        <v>-0.92485877539086236</v>
      </c>
      <c r="AO31">
        <v>44964</v>
      </c>
    </row>
    <row r="32" spans="1:41" x14ac:dyDescent="0.3">
      <c r="A32" s="19" t="s">
        <v>99</v>
      </c>
      <c r="B32">
        <v>22</v>
      </c>
      <c r="C32" s="19" t="s">
        <v>46</v>
      </c>
      <c r="D32" s="19" t="s">
        <v>47</v>
      </c>
      <c r="E32" s="19" t="s">
        <v>62</v>
      </c>
      <c r="F32">
        <v>756</v>
      </c>
      <c r="G32" s="19" t="s">
        <v>57</v>
      </c>
      <c r="H32">
        <v>1</v>
      </c>
      <c r="I32">
        <v>1</v>
      </c>
      <c r="J32" s="19" t="s">
        <v>77</v>
      </c>
      <c r="K32">
        <v>478</v>
      </c>
      <c r="L32">
        <v>1</v>
      </c>
      <c r="M32" s="19" t="s">
        <v>59</v>
      </c>
      <c r="N32">
        <v>2</v>
      </c>
      <c r="O32">
        <v>1</v>
      </c>
      <c r="P32" s="19" t="s">
        <v>60</v>
      </c>
      <c r="Q32">
        <v>2</v>
      </c>
      <c r="R32" s="19" t="s">
        <v>53</v>
      </c>
      <c r="S32">
        <v>60150</v>
      </c>
      <c r="T32" s="19" t="s">
        <v>64</v>
      </c>
      <c r="U32">
        <v>375.94</v>
      </c>
      <c r="V32">
        <v>1</v>
      </c>
      <c r="W32" s="19" t="s">
        <v>47</v>
      </c>
      <c r="X32">
        <v>11</v>
      </c>
      <c r="Y32">
        <v>3</v>
      </c>
      <c r="Z32">
        <v>3</v>
      </c>
      <c r="AA32">
        <v>0</v>
      </c>
      <c r="AB32">
        <v>3</v>
      </c>
      <c r="AC32">
        <v>3</v>
      </c>
      <c r="AD32">
        <v>3</v>
      </c>
      <c r="AE32">
        <v>3</v>
      </c>
      <c r="AF32">
        <v>2</v>
      </c>
      <c r="AG32">
        <v>1</v>
      </c>
      <c r="AH32">
        <v>2</v>
      </c>
      <c r="AI32">
        <v>1</v>
      </c>
      <c r="AJ32" s="19" t="s">
        <v>1566</v>
      </c>
      <c r="AK32" s="19" t="s">
        <v>1562</v>
      </c>
      <c r="AL32">
        <v>2</v>
      </c>
      <c r="AM32" s="19" t="s">
        <v>1564</v>
      </c>
      <c r="AN32">
        <v>0.21941830614142657</v>
      </c>
      <c r="AO32">
        <v>721800</v>
      </c>
    </row>
    <row r="33" spans="1:41" x14ac:dyDescent="0.3">
      <c r="A33" s="19" t="s">
        <v>100</v>
      </c>
      <c r="B33">
        <v>22</v>
      </c>
      <c r="C33" s="19" t="s">
        <v>46</v>
      </c>
      <c r="D33" s="19" t="s">
        <v>55</v>
      </c>
      <c r="E33" s="19" t="s">
        <v>66</v>
      </c>
      <c r="F33">
        <v>895</v>
      </c>
      <c r="G33" s="19" t="s">
        <v>57</v>
      </c>
      <c r="H33">
        <v>9</v>
      </c>
      <c r="I33">
        <v>2</v>
      </c>
      <c r="J33" s="19" t="s">
        <v>58</v>
      </c>
      <c r="K33">
        <v>484</v>
      </c>
      <c r="L33">
        <v>1</v>
      </c>
      <c r="M33" s="19" t="s">
        <v>51</v>
      </c>
      <c r="N33">
        <v>3</v>
      </c>
      <c r="O33">
        <v>1</v>
      </c>
      <c r="P33" s="19" t="s">
        <v>60</v>
      </c>
      <c r="Q33">
        <v>4</v>
      </c>
      <c r="R33" s="19" t="s">
        <v>53</v>
      </c>
      <c r="S33">
        <v>66725</v>
      </c>
      <c r="T33" s="19" t="s">
        <v>64</v>
      </c>
      <c r="U33">
        <v>417.03</v>
      </c>
      <c r="V33">
        <v>1</v>
      </c>
      <c r="W33" s="19" t="s">
        <v>55</v>
      </c>
      <c r="X33">
        <v>24</v>
      </c>
      <c r="Y33">
        <v>4</v>
      </c>
      <c r="Z33">
        <v>3</v>
      </c>
      <c r="AA33">
        <v>0</v>
      </c>
      <c r="AB33">
        <v>3</v>
      </c>
      <c r="AC33">
        <v>3</v>
      </c>
      <c r="AD33">
        <v>2</v>
      </c>
      <c r="AE33">
        <v>3</v>
      </c>
      <c r="AF33">
        <v>2</v>
      </c>
      <c r="AG33">
        <v>2</v>
      </c>
      <c r="AH33">
        <v>2</v>
      </c>
      <c r="AI33">
        <v>0</v>
      </c>
      <c r="AJ33" s="19" t="s">
        <v>1566</v>
      </c>
      <c r="AK33" s="19" t="s">
        <v>1562</v>
      </c>
      <c r="AL33">
        <v>1</v>
      </c>
      <c r="AM33" s="19" t="s">
        <v>1565</v>
      </c>
      <c r="AN33">
        <v>0.35271299214109209</v>
      </c>
      <c r="AO33">
        <v>800700</v>
      </c>
    </row>
    <row r="34" spans="1:41" x14ac:dyDescent="0.3">
      <c r="A34" s="19" t="s">
        <v>101</v>
      </c>
      <c r="B34">
        <v>22</v>
      </c>
      <c r="C34" s="19" t="s">
        <v>46</v>
      </c>
      <c r="D34" s="19" t="s">
        <v>47</v>
      </c>
      <c r="E34" s="19" t="s">
        <v>48</v>
      </c>
      <c r="F34">
        <v>156</v>
      </c>
      <c r="G34" s="19" t="s">
        <v>57</v>
      </c>
      <c r="H34">
        <v>12</v>
      </c>
      <c r="I34">
        <v>3</v>
      </c>
      <c r="J34" s="19" t="s">
        <v>50</v>
      </c>
      <c r="K34">
        <v>494</v>
      </c>
      <c r="L34">
        <v>3</v>
      </c>
      <c r="M34" s="19" t="s">
        <v>59</v>
      </c>
      <c r="N34">
        <v>4</v>
      </c>
      <c r="O34">
        <v>1</v>
      </c>
      <c r="P34" s="19" t="s">
        <v>60</v>
      </c>
      <c r="Q34">
        <v>2</v>
      </c>
      <c r="R34" s="19" t="s">
        <v>53</v>
      </c>
      <c r="S34">
        <v>85654</v>
      </c>
      <c r="T34" s="19" t="s">
        <v>70</v>
      </c>
      <c r="U34">
        <v>535.34</v>
      </c>
      <c r="V34">
        <v>1</v>
      </c>
      <c r="W34" s="19" t="s">
        <v>55</v>
      </c>
      <c r="X34">
        <v>15</v>
      </c>
      <c r="Y34">
        <v>3</v>
      </c>
      <c r="Z34">
        <v>4</v>
      </c>
      <c r="AA34">
        <v>0</v>
      </c>
      <c r="AB34">
        <v>1</v>
      </c>
      <c r="AC34">
        <v>0</v>
      </c>
      <c r="AD34">
        <v>3</v>
      </c>
      <c r="AE34">
        <v>1</v>
      </c>
      <c r="AF34">
        <v>0</v>
      </c>
      <c r="AG34">
        <v>0</v>
      </c>
      <c r="AH34">
        <v>0</v>
      </c>
      <c r="AI34">
        <v>1</v>
      </c>
      <c r="AJ34" s="19" t="s">
        <v>1561</v>
      </c>
      <c r="AK34" s="19" t="s">
        <v>1562</v>
      </c>
      <c r="AL34">
        <v>1</v>
      </c>
      <c r="AM34" s="19" t="s">
        <v>1565</v>
      </c>
      <c r="AN34">
        <v>0.73645977712780963</v>
      </c>
      <c r="AO34">
        <v>1027848</v>
      </c>
    </row>
    <row r="35" spans="1:41" x14ac:dyDescent="0.3">
      <c r="A35" s="19" t="s">
        <v>102</v>
      </c>
      <c r="B35">
        <v>22</v>
      </c>
      <c r="C35" s="19" t="s">
        <v>46</v>
      </c>
      <c r="D35" s="19" t="s">
        <v>55</v>
      </c>
      <c r="E35" s="19" t="s">
        <v>48</v>
      </c>
      <c r="F35">
        <v>1343</v>
      </c>
      <c r="G35" s="19" t="s">
        <v>57</v>
      </c>
      <c r="H35">
        <v>22</v>
      </c>
      <c r="I35">
        <v>1</v>
      </c>
      <c r="J35" s="19" t="s">
        <v>77</v>
      </c>
      <c r="K35">
        <v>669</v>
      </c>
      <c r="L35">
        <v>3</v>
      </c>
      <c r="M35" s="19" t="s">
        <v>51</v>
      </c>
      <c r="N35">
        <v>3</v>
      </c>
      <c r="O35">
        <v>1</v>
      </c>
      <c r="P35" s="19" t="s">
        <v>60</v>
      </c>
      <c r="Q35">
        <v>3</v>
      </c>
      <c r="R35" s="19" t="s">
        <v>53</v>
      </c>
      <c r="S35">
        <v>36773</v>
      </c>
      <c r="T35" s="19" t="s">
        <v>72</v>
      </c>
      <c r="U35">
        <v>229.83</v>
      </c>
      <c r="V35">
        <v>1</v>
      </c>
      <c r="W35" s="19" t="s">
        <v>55</v>
      </c>
      <c r="X35">
        <v>11</v>
      </c>
      <c r="Y35">
        <v>3</v>
      </c>
      <c r="Z35">
        <v>3</v>
      </c>
      <c r="AA35">
        <v>0</v>
      </c>
      <c r="AB35">
        <v>3</v>
      </c>
      <c r="AC35">
        <v>2</v>
      </c>
      <c r="AD35">
        <v>3</v>
      </c>
      <c r="AE35">
        <v>3</v>
      </c>
      <c r="AF35">
        <v>2</v>
      </c>
      <c r="AG35">
        <v>1</v>
      </c>
      <c r="AH35">
        <v>2</v>
      </c>
      <c r="AI35">
        <v>0</v>
      </c>
      <c r="AJ35" s="19" t="s">
        <v>1566</v>
      </c>
      <c r="AK35" s="19" t="s">
        <v>1562</v>
      </c>
      <c r="AL35">
        <v>0</v>
      </c>
      <c r="AM35" s="19" t="s">
        <v>1563</v>
      </c>
      <c r="AN35">
        <v>-0.25450258733601533</v>
      </c>
      <c r="AO35">
        <v>441276</v>
      </c>
    </row>
    <row r="36" spans="1:41" x14ac:dyDescent="0.3">
      <c r="A36" s="19" t="s">
        <v>103</v>
      </c>
      <c r="B36">
        <v>22</v>
      </c>
      <c r="C36" s="19" t="s">
        <v>46</v>
      </c>
      <c r="D36" s="19" t="s">
        <v>47</v>
      </c>
      <c r="E36" s="19" t="s">
        <v>48</v>
      </c>
      <c r="F36">
        <v>1427</v>
      </c>
      <c r="G36" s="19" t="s">
        <v>49</v>
      </c>
      <c r="H36">
        <v>18</v>
      </c>
      <c r="I36">
        <v>1</v>
      </c>
      <c r="J36" s="19" t="s">
        <v>82</v>
      </c>
      <c r="K36">
        <v>923</v>
      </c>
      <c r="L36">
        <v>4</v>
      </c>
      <c r="M36" s="19" t="s">
        <v>59</v>
      </c>
      <c r="N36">
        <v>3</v>
      </c>
      <c r="O36">
        <v>1</v>
      </c>
      <c r="P36" s="19" t="s">
        <v>67</v>
      </c>
      <c r="Q36">
        <v>4</v>
      </c>
      <c r="R36" s="19" t="s">
        <v>53</v>
      </c>
      <c r="S36">
        <v>68435</v>
      </c>
      <c r="T36" s="19" t="s">
        <v>64</v>
      </c>
      <c r="U36">
        <v>427.72</v>
      </c>
      <c r="V36">
        <v>1</v>
      </c>
      <c r="W36" s="19" t="s">
        <v>55</v>
      </c>
      <c r="X36">
        <v>19</v>
      </c>
      <c r="Y36">
        <v>3</v>
      </c>
      <c r="Z36">
        <v>1</v>
      </c>
      <c r="AA36">
        <v>0</v>
      </c>
      <c r="AB36">
        <v>1</v>
      </c>
      <c r="AC36">
        <v>3</v>
      </c>
      <c r="AD36">
        <v>2</v>
      </c>
      <c r="AE36">
        <v>1</v>
      </c>
      <c r="AF36">
        <v>0</v>
      </c>
      <c r="AG36">
        <v>0</v>
      </c>
      <c r="AH36">
        <v>0</v>
      </c>
      <c r="AI36">
        <v>1</v>
      </c>
      <c r="AJ36" s="19" t="s">
        <v>1561</v>
      </c>
      <c r="AK36" s="19" t="s">
        <v>1562</v>
      </c>
      <c r="AL36">
        <v>1</v>
      </c>
      <c r="AM36" s="19" t="s">
        <v>1565</v>
      </c>
      <c r="AN36">
        <v>0.37237515509109442</v>
      </c>
      <c r="AO36">
        <v>821220</v>
      </c>
    </row>
    <row r="37" spans="1:41" x14ac:dyDescent="0.3">
      <c r="A37" s="19" t="s">
        <v>104</v>
      </c>
      <c r="B37">
        <v>22</v>
      </c>
      <c r="C37" s="19" t="s">
        <v>46</v>
      </c>
      <c r="D37" s="19" t="s">
        <v>47</v>
      </c>
      <c r="E37" s="19" t="s">
        <v>48</v>
      </c>
      <c r="F37">
        <v>1334</v>
      </c>
      <c r="G37" s="19" t="s">
        <v>49</v>
      </c>
      <c r="H37">
        <v>10</v>
      </c>
      <c r="I37">
        <v>3</v>
      </c>
      <c r="J37" s="19" t="s">
        <v>50</v>
      </c>
      <c r="K37">
        <v>1079</v>
      </c>
      <c r="L37">
        <v>3</v>
      </c>
      <c r="M37" s="19" t="s">
        <v>59</v>
      </c>
      <c r="N37">
        <v>2</v>
      </c>
      <c r="O37">
        <v>1</v>
      </c>
      <c r="P37" s="19" t="s">
        <v>52</v>
      </c>
      <c r="Q37">
        <v>1</v>
      </c>
      <c r="R37" s="19" t="s">
        <v>53</v>
      </c>
      <c r="S37">
        <v>57886</v>
      </c>
      <c r="T37" s="19" t="s">
        <v>64</v>
      </c>
      <c r="U37">
        <v>361.79</v>
      </c>
      <c r="V37">
        <v>1</v>
      </c>
      <c r="W37" s="19" t="s">
        <v>55</v>
      </c>
      <c r="X37">
        <v>13</v>
      </c>
      <c r="Y37">
        <v>3</v>
      </c>
      <c r="Z37">
        <v>1</v>
      </c>
      <c r="AA37">
        <v>0</v>
      </c>
      <c r="AB37">
        <v>1</v>
      </c>
      <c r="AC37">
        <v>6</v>
      </c>
      <c r="AD37">
        <v>2</v>
      </c>
      <c r="AE37">
        <v>1</v>
      </c>
      <c r="AF37">
        <v>0</v>
      </c>
      <c r="AG37">
        <v>1</v>
      </c>
      <c r="AH37">
        <v>0</v>
      </c>
      <c r="AI37">
        <v>1</v>
      </c>
      <c r="AJ37" s="19" t="s">
        <v>1561</v>
      </c>
      <c r="AK37" s="19" t="s">
        <v>1562</v>
      </c>
      <c r="AL37">
        <v>2</v>
      </c>
      <c r="AM37" s="19" t="s">
        <v>1564</v>
      </c>
      <c r="AN37">
        <v>0.11920592043602266</v>
      </c>
      <c r="AO37">
        <v>694632</v>
      </c>
    </row>
    <row r="38" spans="1:41" x14ac:dyDescent="0.3">
      <c r="A38" s="19" t="s">
        <v>105</v>
      </c>
      <c r="B38">
        <v>22</v>
      </c>
      <c r="C38" s="19" t="s">
        <v>46</v>
      </c>
      <c r="D38" s="19" t="s">
        <v>55</v>
      </c>
      <c r="E38" s="19" t="s">
        <v>48</v>
      </c>
      <c r="F38">
        <v>984</v>
      </c>
      <c r="G38" s="19" t="s">
        <v>49</v>
      </c>
      <c r="H38">
        <v>1</v>
      </c>
      <c r="I38">
        <v>1</v>
      </c>
      <c r="J38" s="19" t="s">
        <v>77</v>
      </c>
      <c r="K38">
        <v>1131</v>
      </c>
      <c r="L38">
        <v>4</v>
      </c>
      <c r="M38" s="19" t="s">
        <v>59</v>
      </c>
      <c r="N38">
        <v>2</v>
      </c>
      <c r="O38">
        <v>1</v>
      </c>
      <c r="P38" s="19" t="s">
        <v>67</v>
      </c>
      <c r="Q38">
        <v>2</v>
      </c>
      <c r="R38" s="19" t="s">
        <v>53</v>
      </c>
      <c r="S38">
        <v>67803</v>
      </c>
      <c r="T38" s="19" t="s">
        <v>64</v>
      </c>
      <c r="U38">
        <v>423.77</v>
      </c>
      <c r="V38">
        <v>1</v>
      </c>
      <c r="W38" s="19" t="s">
        <v>47</v>
      </c>
      <c r="X38">
        <v>11</v>
      </c>
      <c r="Y38">
        <v>3</v>
      </c>
      <c r="Z38">
        <v>3</v>
      </c>
      <c r="AA38">
        <v>0</v>
      </c>
      <c r="AB38">
        <v>2</v>
      </c>
      <c r="AC38">
        <v>6</v>
      </c>
      <c r="AD38">
        <v>4</v>
      </c>
      <c r="AE38">
        <v>2</v>
      </c>
      <c r="AF38">
        <v>2</v>
      </c>
      <c r="AG38">
        <v>2</v>
      </c>
      <c r="AH38">
        <v>2</v>
      </c>
      <c r="AI38">
        <v>0</v>
      </c>
      <c r="AJ38" s="19" t="s">
        <v>1566</v>
      </c>
      <c r="AK38" s="19" t="s">
        <v>1562</v>
      </c>
      <c r="AL38">
        <v>2</v>
      </c>
      <c r="AM38" s="19" t="s">
        <v>1564</v>
      </c>
      <c r="AN38">
        <v>0.35970121488480272</v>
      </c>
      <c r="AO38">
        <v>813636</v>
      </c>
    </row>
    <row r="39" spans="1:41" x14ac:dyDescent="0.3">
      <c r="A39" s="19" t="s">
        <v>106</v>
      </c>
      <c r="B39">
        <v>22</v>
      </c>
      <c r="C39" s="19" t="s">
        <v>46</v>
      </c>
      <c r="D39" s="19" t="s">
        <v>47</v>
      </c>
      <c r="E39" s="19" t="s">
        <v>62</v>
      </c>
      <c r="F39">
        <v>251</v>
      </c>
      <c r="G39" s="19" t="s">
        <v>49</v>
      </c>
      <c r="H39">
        <v>10</v>
      </c>
      <c r="I39">
        <v>2</v>
      </c>
      <c r="J39" s="19" t="s">
        <v>50</v>
      </c>
      <c r="K39">
        <v>1279</v>
      </c>
      <c r="L39">
        <v>1</v>
      </c>
      <c r="M39" s="19" t="s">
        <v>59</v>
      </c>
      <c r="N39">
        <v>2</v>
      </c>
      <c r="O39">
        <v>1</v>
      </c>
      <c r="P39" s="19" t="s">
        <v>52</v>
      </c>
      <c r="Q39">
        <v>3</v>
      </c>
      <c r="R39" s="19" t="s">
        <v>53</v>
      </c>
      <c r="S39">
        <v>32551</v>
      </c>
      <c r="T39" s="19" t="s">
        <v>72</v>
      </c>
      <c r="U39">
        <v>203.44</v>
      </c>
      <c r="V39">
        <v>1</v>
      </c>
      <c r="W39" s="19" t="s">
        <v>55</v>
      </c>
      <c r="X39">
        <v>20</v>
      </c>
      <c r="Y39">
        <v>4</v>
      </c>
      <c r="Z39">
        <v>3</v>
      </c>
      <c r="AA39">
        <v>0</v>
      </c>
      <c r="AB39">
        <v>2</v>
      </c>
      <c r="AC39">
        <v>2</v>
      </c>
      <c r="AD39">
        <v>1</v>
      </c>
      <c r="AE39">
        <v>2</v>
      </c>
      <c r="AF39">
        <v>2</v>
      </c>
      <c r="AG39">
        <v>2</v>
      </c>
      <c r="AH39">
        <v>2</v>
      </c>
      <c r="AI39">
        <v>1</v>
      </c>
      <c r="AJ39" s="19" t="s">
        <v>1566</v>
      </c>
      <c r="AK39" s="19" t="s">
        <v>1562</v>
      </c>
      <c r="AL39">
        <v>1</v>
      </c>
      <c r="AM39" s="19" t="s">
        <v>1565</v>
      </c>
      <c r="AN39">
        <v>-0.37063759948669844</v>
      </c>
      <c r="AO39">
        <v>390612</v>
      </c>
    </row>
    <row r="40" spans="1:41" x14ac:dyDescent="0.3">
      <c r="A40" s="19" t="s">
        <v>107</v>
      </c>
      <c r="B40">
        <v>22</v>
      </c>
      <c r="C40" s="19" t="s">
        <v>46</v>
      </c>
      <c r="D40" s="19" t="s">
        <v>55</v>
      </c>
      <c r="E40" s="19" t="s">
        <v>48</v>
      </c>
      <c r="F40">
        <v>546</v>
      </c>
      <c r="G40" s="19" t="s">
        <v>49</v>
      </c>
      <c r="H40">
        <v>5</v>
      </c>
      <c r="I40">
        <v>1</v>
      </c>
      <c r="J40" s="19" t="s">
        <v>58</v>
      </c>
      <c r="K40">
        <v>1623</v>
      </c>
      <c r="L40">
        <v>3</v>
      </c>
      <c r="M40" s="19" t="s">
        <v>51</v>
      </c>
      <c r="N40">
        <v>3</v>
      </c>
      <c r="O40">
        <v>1</v>
      </c>
      <c r="P40" s="19" t="s">
        <v>67</v>
      </c>
      <c r="Q40">
        <v>4</v>
      </c>
      <c r="R40" s="19" t="s">
        <v>53</v>
      </c>
      <c r="S40">
        <v>12394</v>
      </c>
      <c r="T40" s="19" t="s">
        <v>54</v>
      </c>
      <c r="U40">
        <v>77.459999999999994</v>
      </c>
      <c r="V40">
        <v>1</v>
      </c>
      <c r="W40" s="19" t="s">
        <v>55</v>
      </c>
      <c r="X40">
        <v>18</v>
      </c>
      <c r="Y40">
        <v>3</v>
      </c>
      <c r="Z40">
        <v>3</v>
      </c>
      <c r="AA40">
        <v>0</v>
      </c>
      <c r="AB40">
        <v>3</v>
      </c>
      <c r="AC40">
        <v>2</v>
      </c>
      <c r="AD40">
        <v>3</v>
      </c>
      <c r="AE40">
        <v>2</v>
      </c>
      <c r="AF40">
        <v>2</v>
      </c>
      <c r="AG40">
        <v>2</v>
      </c>
      <c r="AH40">
        <v>2</v>
      </c>
      <c r="AI40">
        <v>0</v>
      </c>
      <c r="AJ40" s="19" t="s">
        <v>1566</v>
      </c>
      <c r="AK40" s="19" t="s">
        <v>1562</v>
      </c>
      <c r="AL40">
        <v>0</v>
      </c>
      <c r="AM40" s="19" t="s">
        <v>1563</v>
      </c>
      <c r="AN40">
        <v>-0.75145440677724817</v>
      </c>
      <c r="AO40">
        <v>148728</v>
      </c>
    </row>
    <row r="41" spans="1:41" x14ac:dyDescent="0.3">
      <c r="A41" s="19" t="s">
        <v>108</v>
      </c>
      <c r="B41">
        <v>22</v>
      </c>
      <c r="C41" s="19" t="s">
        <v>46</v>
      </c>
      <c r="D41" s="19" t="s">
        <v>47</v>
      </c>
      <c r="E41" s="19" t="s">
        <v>48</v>
      </c>
      <c r="F41">
        <v>337</v>
      </c>
      <c r="G41" s="19" t="s">
        <v>57</v>
      </c>
      <c r="H41">
        <v>7</v>
      </c>
      <c r="I41">
        <v>1</v>
      </c>
      <c r="J41" s="19" t="s">
        <v>63</v>
      </c>
      <c r="K41">
        <v>1780</v>
      </c>
      <c r="L41">
        <v>2</v>
      </c>
      <c r="M41" s="19" t="s">
        <v>51</v>
      </c>
      <c r="N41">
        <v>3</v>
      </c>
      <c r="O41">
        <v>1</v>
      </c>
      <c r="P41" s="19" t="s">
        <v>60</v>
      </c>
      <c r="Q41">
        <v>2</v>
      </c>
      <c r="R41" s="19" t="s">
        <v>53</v>
      </c>
      <c r="S41">
        <v>70092</v>
      </c>
      <c r="T41" s="19" t="s">
        <v>64</v>
      </c>
      <c r="U41">
        <v>438.08</v>
      </c>
      <c r="V41">
        <v>1</v>
      </c>
      <c r="W41" s="19" t="s">
        <v>55</v>
      </c>
      <c r="X41">
        <v>13</v>
      </c>
      <c r="Y41">
        <v>3</v>
      </c>
      <c r="Z41">
        <v>2</v>
      </c>
      <c r="AA41">
        <v>0</v>
      </c>
      <c r="AB41">
        <v>1</v>
      </c>
      <c r="AC41">
        <v>3</v>
      </c>
      <c r="AD41">
        <v>3</v>
      </c>
      <c r="AE41">
        <v>1</v>
      </c>
      <c r="AF41">
        <v>0</v>
      </c>
      <c r="AG41">
        <v>1</v>
      </c>
      <c r="AH41">
        <v>0</v>
      </c>
      <c r="AI41">
        <v>1</v>
      </c>
      <c r="AJ41" s="19" t="s">
        <v>1561</v>
      </c>
      <c r="AK41" s="19" t="s">
        <v>1562</v>
      </c>
      <c r="AL41">
        <v>1</v>
      </c>
      <c r="AM41" s="19" t="s">
        <v>1565</v>
      </c>
      <c r="AN41">
        <v>0.42097203514654813</v>
      </c>
      <c r="AO41">
        <v>841104</v>
      </c>
    </row>
    <row r="42" spans="1:41" x14ac:dyDescent="0.3">
      <c r="A42" s="19" t="s">
        <v>109</v>
      </c>
      <c r="B42">
        <v>22</v>
      </c>
      <c r="C42" s="19" t="s">
        <v>46</v>
      </c>
      <c r="D42" s="19" t="s">
        <v>55</v>
      </c>
      <c r="E42" s="19" t="s">
        <v>48</v>
      </c>
      <c r="F42">
        <v>501</v>
      </c>
      <c r="G42" s="19" t="s">
        <v>57</v>
      </c>
      <c r="H42">
        <v>5</v>
      </c>
      <c r="I42">
        <v>1</v>
      </c>
      <c r="J42" s="19" t="s">
        <v>58</v>
      </c>
      <c r="K42">
        <v>2021</v>
      </c>
      <c r="L42">
        <v>3</v>
      </c>
      <c r="M42" s="19" t="s">
        <v>51</v>
      </c>
      <c r="N42">
        <v>3</v>
      </c>
      <c r="O42">
        <v>1</v>
      </c>
      <c r="P42" s="19" t="s">
        <v>60</v>
      </c>
      <c r="Q42">
        <v>1</v>
      </c>
      <c r="R42" s="19" t="s">
        <v>53</v>
      </c>
      <c r="S42">
        <v>4890</v>
      </c>
      <c r="T42" s="19" t="s">
        <v>54</v>
      </c>
      <c r="U42">
        <v>30.56</v>
      </c>
      <c r="V42">
        <v>1</v>
      </c>
      <c r="W42" s="19" t="s">
        <v>47</v>
      </c>
      <c r="X42">
        <v>11</v>
      </c>
      <c r="Y42">
        <v>3</v>
      </c>
      <c r="Z42">
        <v>4</v>
      </c>
      <c r="AA42">
        <v>0</v>
      </c>
      <c r="AB42">
        <v>2</v>
      </c>
      <c r="AC42">
        <v>6</v>
      </c>
      <c r="AD42">
        <v>3</v>
      </c>
      <c r="AE42">
        <v>2</v>
      </c>
      <c r="AF42">
        <v>2</v>
      </c>
      <c r="AG42">
        <v>1</v>
      </c>
      <c r="AH42">
        <v>2</v>
      </c>
      <c r="AI42">
        <v>0</v>
      </c>
      <c r="AJ42" s="19" t="s">
        <v>1566</v>
      </c>
      <c r="AK42" s="19" t="s">
        <v>1562</v>
      </c>
      <c r="AL42">
        <v>2</v>
      </c>
      <c r="AM42" s="19" t="s">
        <v>1564</v>
      </c>
      <c r="AN42">
        <v>-0.90086524493713094</v>
      </c>
      <c r="AO42">
        <v>58680</v>
      </c>
    </row>
    <row r="43" spans="1:41" x14ac:dyDescent="0.3">
      <c r="A43" s="19" t="s">
        <v>110</v>
      </c>
      <c r="B43">
        <v>22</v>
      </c>
      <c r="C43" s="19" t="s">
        <v>46</v>
      </c>
      <c r="D43" s="19" t="s">
        <v>55</v>
      </c>
      <c r="E43" s="19" t="s">
        <v>66</v>
      </c>
      <c r="F43">
        <v>1123</v>
      </c>
      <c r="G43" s="19" t="s">
        <v>49</v>
      </c>
      <c r="H43">
        <v>16</v>
      </c>
      <c r="I43">
        <v>2</v>
      </c>
      <c r="J43" s="19" t="s">
        <v>58</v>
      </c>
      <c r="K43">
        <v>22</v>
      </c>
      <c r="L43">
        <v>4</v>
      </c>
      <c r="M43" s="19" t="s">
        <v>51</v>
      </c>
      <c r="N43">
        <v>4</v>
      </c>
      <c r="O43">
        <v>1</v>
      </c>
      <c r="P43" s="19" t="s">
        <v>52</v>
      </c>
      <c r="Q43">
        <v>4</v>
      </c>
      <c r="R43" s="19" t="s">
        <v>53</v>
      </c>
      <c r="S43">
        <v>42606</v>
      </c>
      <c r="T43" s="19" t="s">
        <v>72</v>
      </c>
      <c r="U43">
        <v>266.29000000000002</v>
      </c>
      <c r="V43">
        <v>1</v>
      </c>
      <c r="W43" s="19" t="s">
        <v>47</v>
      </c>
      <c r="X43">
        <v>13</v>
      </c>
      <c r="Y43">
        <v>3</v>
      </c>
      <c r="Z43">
        <v>2</v>
      </c>
      <c r="AA43">
        <v>2</v>
      </c>
      <c r="AB43">
        <v>1</v>
      </c>
      <c r="AC43">
        <v>2</v>
      </c>
      <c r="AD43">
        <v>2</v>
      </c>
      <c r="AE43">
        <v>1</v>
      </c>
      <c r="AF43">
        <v>0</v>
      </c>
      <c r="AG43">
        <v>0</v>
      </c>
      <c r="AH43">
        <v>0</v>
      </c>
      <c r="AI43">
        <v>0</v>
      </c>
      <c r="AJ43" s="19" t="s">
        <v>1561</v>
      </c>
      <c r="AK43" s="19" t="s">
        <v>1562</v>
      </c>
      <c r="AL43">
        <v>2</v>
      </c>
      <c r="AM43" s="19" t="s">
        <v>1564</v>
      </c>
      <c r="AN43">
        <v>-0.17622762937329955</v>
      </c>
      <c r="AO43">
        <v>511272</v>
      </c>
    </row>
    <row r="44" spans="1:41" x14ac:dyDescent="0.3">
      <c r="A44" s="19" t="s">
        <v>111</v>
      </c>
      <c r="B44">
        <v>22</v>
      </c>
      <c r="C44" s="19" t="s">
        <v>46</v>
      </c>
      <c r="D44" s="19" t="s">
        <v>55</v>
      </c>
      <c r="E44" s="19" t="s">
        <v>48</v>
      </c>
      <c r="F44">
        <v>534</v>
      </c>
      <c r="G44" s="19" t="s">
        <v>49</v>
      </c>
      <c r="H44">
        <v>15</v>
      </c>
      <c r="I44">
        <v>3</v>
      </c>
      <c r="J44" s="19" t="s">
        <v>58</v>
      </c>
      <c r="K44">
        <v>144</v>
      </c>
      <c r="L44">
        <v>2</v>
      </c>
      <c r="M44" s="19" t="s">
        <v>59</v>
      </c>
      <c r="N44">
        <v>3</v>
      </c>
      <c r="O44">
        <v>1</v>
      </c>
      <c r="P44" s="19" t="s">
        <v>52</v>
      </c>
      <c r="Q44">
        <v>4</v>
      </c>
      <c r="R44" s="19" t="s">
        <v>53</v>
      </c>
      <c r="S44">
        <v>97276</v>
      </c>
      <c r="T44" s="19" t="s">
        <v>70</v>
      </c>
      <c r="U44">
        <v>607.98</v>
      </c>
      <c r="V44">
        <v>1</v>
      </c>
      <c r="W44" s="19" t="s">
        <v>55</v>
      </c>
      <c r="X44">
        <v>15</v>
      </c>
      <c r="Y44">
        <v>3</v>
      </c>
      <c r="Z44">
        <v>3</v>
      </c>
      <c r="AA44">
        <v>0</v>
      </c>
      <c r="AB44">
        <v>1</v>
      </c>
      <c r="AC44">
        <v>5</v>
      </c>
      <c r="AD44">
        <v>3</v>
      </c>
      <c r="AE44">
        <v>0</v>
      </c>
      <c r="AF44">
        <v>0</v>
      </c>
      <c r="AG44">
        <v>0</v>
      </c>
      <c r="AH44">
        <v>0</v>
      </c>
      <c r="AI44">
        <v>0</v>
      </c>
      <c r="AJ44" s="19" t="s">
        <v>1561</v>
      </c>
      <c r="AK44" s="19" t="s">
        <v>1562</v>
      </c>
      <c r="AL44">
        <v>0</v>
      </c>
      <c r="AM44" s="19" t="s">
        <v>1563</v>
      </c>
      <c r="AN44">
        <v>0.88079803607667728</v>
      </c>
      <c r="AO44">
        <v>1167312</v>
      </c>
    </row>
    <row r="45" spans="1:41" x14ac:dyDescent="0.3">
      <c r="A45" s="19" t="s">
        <v>112</v>
      </c>
      <c r="B45">
        <v>22</v>
      </c>
      <c r="C45" s="19" t="s">
        <v>46</v>
      </c>
      <c r="D45" s="19" t="s">
        <v>55</v>
      </c>
      <c r="E45" s="19" t="s">
        <v>48</v>
      </c>
      <c r="F45">
        <v>594</v>
      </c>
      <c r="G45" s="19" t="s">
        <v>49</v>
      </c>
      <c r="H45">
        <v>2</v>
      </c>
      <c r="I45">
        <v>1</v>
      </c>
      <c r="J45" s="19" t="s">
        <v>77</v>
      </c>
      <c r="K45">
        <v>169</v>
      </c>
      <c r="L45">
        <v>3</v>
      </c>
      <c r="M45" s="19" t="s">
        <v>51</v>
      </c>
      <c r="N45">
        <v>3</v>
      </c>
      <c r="O45">
        <v>1</v>
      </c>
      <c r="P45" s="19" t="s">
        <v>52</v>
      </c>
      <c r="Q45">
        <v>4</v>
      </c>
      <c r="R45" s="19" t="s">
        <v>113</v>
      </c>
      <c r="S45">
        <v>81038</v>
      </c>
      <c r="T45" s="19" t="s">
        <v>64</v>
      </c>
      <c r="U45">
        <v>506.49</v>
      </c>
      <c r="V45">
        <v>0</v>
      </c>
      <c r="W45" s="19" t="s">
        <v>55</v>
      </c>
      <c r="X45">
        <v>14</v>
      </c>
      <c r="Y45">
        <v>3</v>
      </c>
      <c r="Z45">
        <v>3</v>
      </c>
      <c r="AA45">
        <v>1</v>
      </c>
      <c r="AB45">
        <v>3</v>
      </c>
      <c r="AC45">
        <v>2</v>
      </c>
      <c r="AD45">
        <v>3</v>
      </c>
      <c r="AE45">
        <v>2</v>
      </c>
      <c r="AF45">
        <v>1</v>
      </c>
      <c r="AG45">
        <v>2</v>
      </c>
      <c r="AH45">
        <v>1</v>
      </c>
      <c r="AI45">
        <v>0</v>
      </c>
      <c r="AJ45" s="19" t="s">
        <v>1566</v>
      </c>
      <c r="AK45" s="19" t="s">
        <v>1562</v>
      </c>
      <c r="AL45">
        <v>0</v>
      </c>
      <c r="AM45" s="19" t="s">
        <v>1563</v>
      </c>
      <c r="AN45">
        <v>0.56684188543506897</v>
      </c>
      <c r="AO45">
        <v>972456</v>
      </c>
    </row>
    <row r="46" spans="1:41" x14ac:dyDescent="0.3">
      <c r="A46" s="19" t="s">
        <v>114</v>
      </c>
      <c r="B46">
        <v>22</v>
      </c>
      <c r="C46" s="19" t="s">
        <v>46</v>
      </c>
      <c r="D46" s="19" t="s">
        <v>55</v>
      </c>
      <c r="E46" s="19" t="s">
        <v>48</v>
      </c>
      <c r="F46">
        <v>1256</v>
      </c>
      <c r="G46" s="19" t="s">
        <v>49</v>
      </c>
      <c r="H46">
        <v>19</v>
      </c>
      <c r="I46">
        <v>1</v>
      </c>
      <c r="J46" s="19" t="s">
        <v>58</v>
      </c>
      <c r="K46">
        <v>217</v>
      </c>
      <c r="L46">
        <v>3</v>
      </c>
      <c r="M46" s="19" t="s">
        <v>51</v>
      </c>
      <c r="N46">
        <v>3</v>
      </c>
      <c r="O46">
        <v>1</v>
      </c>
      <c r="P46" s="19" t="s">
        <v>67</v>
      </c>
      <c r="Q46">
        <v>4</v>
      </c>
      <c r="R46" s="19" t="s">
        <v>113</v>
      </c>
      <c r="S46">
        <v>88313</v>
      </c>
      <c r="T46" s="19" t="s">
        <v>70</v>
      </c>
      <c r="U46">
        <v>551.96</v>
      </c>
      <c r="V46">
        <v>1</v>
      </c>
      <c r="W46" s="19" t="s">
        <v>55</v>
      </c>
      <c r="X46">
        <v>24</v>
      </c>
      <c r="Y46">
        <v>4</v>
      </c>
      <c r="Z46">
        <v>1</v>
      </c>
      <c r="AA46">
        <v>2</v>
      </c>
      <c r="AB46">
        <v>2</v>
      </c>
      <c r="AC46">
        <v>6</v>
      </c>
      <c r="AD46">
        <v>3</v>
      </c>
      <c r="AE46">
        <v>2</v>
      </c>
      <c r="AF46">
        <v>2</v>
      </c>
      <c r="AG46">
        <v>2</v>
      </c>
      <c r="AH46">
        <v>2</v>
      </c>
      <c r="AI46">
        <v>0</v>
      </c>
      <c r="AJ46" s="19" t="s">
        <v>1566</v>
      </c>
      <c r="AK46" s="19" t="s">
        <v>1562</v>
      </c>
      <c r="AL46">
        <v>0</v>
      </c>
      <c r="AM46" s="19" t="s">
        <v>1563</v>
      </c>
      <c r="AN46">
        <v>0.77100266050354094</v>
      </c>
      <c r="AO46">
        <v>1059756</v>
      </c>
    </row>
    <row r="47" spans="1:41" x14ac:dyDescent="0.3">
      <c r="A47" s="19" t="s">
        <v>115</v>
      </c>
      <c r="B47">
        <v>22</v>
      </c>
      <c r="C47" s="19" t="s">
        <v>46</v>
      </c>
      <c r="D47" s="19" t="s">
        <v>55</v>
      </c>
      <c r="E47" s="19" t="s">
        <v>48</v>
      </c>
      <c r="F47">
        <v>1136</v>
      </c>
      <c r="G47" s="19" t="s">
        <v>49</v>
      </c>
      <c r="H47">
        <v>5</v>
      </c>
      <c r="I47">
        <v>3</v>
      </c>
      <c r="J47" s="19" t="s">
        <v>50</v>
      </c>
      <c r="K47">
        <v>284</v>
      </c>
      <c r="L47">
        <v>4</v>
      </c>
      <c r="M47" s="19" t="s">
        <v>51</v>
      </c>
      <c r="N47">
        <v>4</v>
      </c>
      <c r="O47">
        <v>1</v>
      </c>
      <c r="P47" s="19" t="s">
        <v>67</v>
      </c>
      <c r="Q47">
        <v>2</v>
      </c>
      <c r="R47" s="19" t="s">
        <v>53</v>
      </c>
      <c r="S47">
        <v>11627</v>
      </c>
      <c r="T47" s="19" t="s">
        <v>54</v>
      </c>
      <c r="U47">
        <v>72.67</v>
      </c>
      <c r="V47">
        <v>1</v>
      </c>
      <c r="W47" s="19" t="s">
        <v>47</v>
      </c>
      <c r="X47">
        <v>16</v>
      </c>
      <c r="Y47">
        <v>3</v>
      </c>
      <c r="Z47">
        <v>1</v>
      </c>
      <c r="AA47">
        <v>1</v>
      </c>
      <c r="AB47">
        <v>4</v>
      </c>
      <c r="AC47">
        <v>2</v>
      </c>
      <c r="AD47">
        <v>2</v>
      </c>
      <c r="AE47">
        <v>4</v>
      </c>
      <c r="AF47">
        <v>2</v>
      </c>
      <c r="AG47">
        <v>2</v>
      </c>
      <c r="AH47">
        <v>2</v>
      </c>
      <c r="AI47">
        <v>0</v>
      </c>
      <c r="AJ47" s="19" t="s">
        <v>1567</v>
      </c>
      <c r="AK47" s="19" t="s">
        <v>1562</v>
      </c>
      <c r="AL47">
        <v>3</v>
      </c>
      <c r="AM47" s="19" t="s">
        <v>1568</v>
      </c>
      <c r="AN47">
        <v>-0.76683559686937741</v>
      </c>
      <c r="AO47">
        <v>139524</v>
      </c>
    </row>
    <row r="48" spans="1:41" x14ac:dyDescent="0.3">
      <c r="A48" s="19" t="s">
        <v>116</v>
      </c>
      <c r="B48">
        <v>22</v>
      </c>
      <c r="C48" s="19" t="s">
        <v>46</v>
      </c>
      <c r="D48" s="19" t="s">
        <v>55</v>
      </c>
      <c r="E48" s="19" t="s">
        <v>48</v>
      </c>
      <c r="F48">
        <v>253</v>
      </c>
      <c r="G48" s="19" t="s">
        <v>49</v>
      </c>
      <c r="H48">
        <v>11</v>
      </c>
      <c r="I48">
        <v>3</v>
      </c>
      <c r="J48" s="19" t="s">
        <v>58</v>
      </c>
      <c r="K48">
        <v>511</v>
      </c>
      <c r="L48">
        <v>1</v>
      </c>
      <c r="M48" s="19" t="s">
        <v>59</v>
      </c>
      <c r="N48">
        <v>3</v>
      </c>
      <c r="O48">
        <v>1</v>
      </c>
      <c r="P48" s="19" t="s">
        <v>67</v>
      </c>
      <c r="Q48">
        <v>2</v>
      </c>
      <c r="R48" s="19" t="s">
        <v>113</v>
      </c>
      <c r="S48">
        <v>9792</v>
      </c>
      <c r="T48" s="19" t="s">
        <v>54</v>
      </c>
      <c r="U48">
        <v>61.2</v>
      </c>
      <c r="V48">
        <v>1</v>
      </c>
      <c r="W48" s="19" t="s">
        <v>55</v>
      </c>
      <c r="X48">
        <v>13</v>
      </c>
      <c r="Y48">
        <v>3</v>
      </c>
      <c r="Z48">
        <v>4</v>
      </c>
      <c r="AA48">
        <v>1</v>
      </c>
      <c r="AB48">
        <v>2</v>
      </c>
      <c r="AC48">
        <v>1</v>
      </c>
      <c r="AD48">
        <v>3</v>
      </c>
      <c r="AE48">
        <v>2</v>
      </c>
      <c r="AF48">
        <v>1</v>
      </c>
      <c r="AG48">
        <v>1</v>
      </c>
      <c r="AH48">
        <v>2</v>
      </c>
      <c r="AI48">
        <v>0</v>
      </c>
      <c r="AJ48" s="19" t="s">
        <v>1566</v>
      </c>
      <c r="AK48" s="19" t="s">
        <v>1562</v>
      </c>
      <c r="AL48">
        <v>1</v>
      </c>
      <c r="AM48" s="19" t="s">
        <v>1565</v>
      </c>
      <c r="AN48">
        <v>-0.80363414161391111</v>
      </c>
      <c r="AO48">
        <v>117504</v>
      </c>
    </row>
    <row r="49" spans="1:41" x14ac:dyDescent="0.3">
      <c r="A49" s="19" t="s">
        <v>117</v>
      </c>
      <c r="B49">
        <v>22</v>
      </c>
      <c r="C49" s="19" t="s">
        <v>46</v>
      </c>
      <c r="D49" s="19" t="s">
        <v>47</v>
      </c>
      <c r="E49" s="19" t="s">
        <v>62</v>
      </c>
      <c r="F49">
        <v>1368</v>
      </c>
      <c r="G49" s="19" t="s">
        <v>49</v>
      </c>
      <c r="H49">
        <v>4</v>
      </c>
      <c r="I49">
        <v>1</v>
      </c>
      <c r="J49" s="19" t="s">
        <v>77</v>
      </c>
      <c r="K49">
        <v>593</v>
      </c>
      <c r="L49">
        <v>3</v>
      </c>
      <c r="M49" s="19" t="s">
        <v>51</v>
      </c>
      <c r="N49">
        <v>2</v>
      </c>
      <c r="O49">
        <v>1</v>
      </c>
      <c r="P49" s="19" t="s">
        <v>52</v>
      </c>
      <c r="Q49">
        <v>3</v>
      </c>
      <c r="R49" s="19" t="s">
        <v>53</v>
      </c>
      <c r="S49">
        <v>74969</v>
      </c>
      <c r="T49" s="19" t="s">
        <v>64</v>
      </c>
      <c r="U49">
        <v>468.56</v>
      </c>
      <c r="V49">
        <v>5</v>
      </c>
      <c r="W49" s="19" t="s">
        <v>55</v>
      </c>
      <c r="X49">
        <v>16</v>
      </c>
      <c r="Y49">
        <v>3</v>
      </c>
      <c r="Z49">
        <v>3</v>
      </c>
      <c r="AA49">
        <v>0</v>
      </c>
      <c r="AB49">
        <v>4</v>
      </c>
      <c r="AC49">
        <v>3</v>
      </c>
      <c r="AD49">
        <v>3</v>
      </c>
      <c r="AE49">
        <v>2</v>
      </c>
      <c r="AF49">
        <v>2</v>
      </c>
      <c r="AG49">
        <v>1</v>
      </c>
      <c r="AH49">
        <v>2</v>
      </c>
      <c r="AI49">
        <v>1</v>
      </c>
      <c r="AJ49" s="19" t="s">
        <v>1566</v>
      </c>
      <c r="AK49" s="19" t="s">
        <v>1562</v>
      </c>
      <c r="AL49">
        <v>0</v>
      </c>
      <c r="AM49" s="19" t="s">
        <v>1563</v>
      </c>
      <c r="AN49">
        <v>0.44949985573658885</v>
      </c>
      <c r="AO49">
        <v>899628</v>
      </c>
    </row>
    <row r="50" spans="1:41" x14ac:dyDescent="0.3">
      <c r="A50" s="19" t="s">
        <v>118</v>
      </c>
      <c r="B50">
        <v>22</v>
      </c>
      <c r="C50" s="19" t="s">
        <v>46</v>
      </c>
      <c r="D50" s="19" t="s">
        <v>55</v>
      </c>
      <c r="E50" s="19" t="s">
        <v>48</v>
      </c>
      <c r="F50">
        <v>604</v>
      </c>
      <c r="G50" s="19" t="s">
        <v>49</v>
      </c>
      <c r="H50">
        <v>6</v>
      </c>
      <c r="I50">
        <v>1</v>
      </c>
      <c r="J50" s="19" t="s">
        <v>58</v>
      </c>
      <c r="K50">
        <v>675</v>
      </c>
      <c r="L50">
        <v>1</v>
      </c>
      <c r="M50" s="19" t="s">
        <v>51</v>
      </c>
      <c r="N50">
        <v>3</v>
      </c>
      <c r="O50">
        <v>1</v>
      </c>
      <c r="P50" s="19" t="s">
        <v>67</v>
      </c>
      <c r="Q50">
        <v>3</v>
      </c>
      <c r="R50" s="19" t="s">
        <v>113</v>
      </c>
      <c r="S50">
        <v>44001</v>
      </c>
      <c r="T50" s="19" t="s">
        <v>72</v>
      </c>
      <c r="U50">
        <v>275.01</v>
      </c>
      <c r="V50">
        <v>0</v>
      </c>
      <c r="W50" s="19" t="s">
        <v>55</v>
      </c>
      <c r="X50">
        <v>20</v>
      </c>
      <c r="Y50">
        <v>4</v>
      </c>
      <c r="Z50">
        <v>4</v>
      </c>
      <c r="AA50">
        <v>0</v>
      </c>
      <c r="AB50">
        <v>3</v>
      </c>
      <c r="AC50">
        <v>3</v>
      </c>
      <c r="AD50">
        <v>3</v>
      </c>
      <c r="AE50">
        <v>2</v>
      </c>
      <c r="AF50">
        <v>2</v>
      </c>
      <c r="AG50">
        <v>2</v>
      </c>
      <c r="AH50">
        <v>2</v>
      </c>
      <c r="AI50">
        <v>0</v>
      </c>
      <c r="AJ50" s="19" t="s">
        <v>1566</v>
      </c>
      <c r="AK50" s="19" t="s">
        <v>1562</v>
      </c>
      <c r="AL50">
        <v>0</v>
      </c>
      <c r="AM50" s="19" t="s">
        <v>1563</v>
      </c>
      <c r="AN50">
        <v>-0.11761702054265734</v>
      </c>
      <c r="AO50">
        <v>528012</v>
      </c>
    </row>
    <row r="51" spans="1:41" x14ac:dyDescent="0.3">
      <c r="A51" s="19" t="s">
        <v>119</v>
      </c>
      <c r="B51">
        <v>22</v>
      </c>
      <c r="C51" s="19" t="s">
        <v>46</v>
      </c>
      <c r="D51" s="19" t="s">
        <v>55</v>
      </c>
      <c r="E51" s="19" t="s">
        <v>48</v>
      </c>
      <c r="F51">
        <v>1230</v>
      </c>
      <c r="G51" s="19" t="s">
        <v>49</v>
      </c>
      <c r="H51">
        <v>1</v>
      </c>
      <c r="I51">
        <v>2</v>
      </c>
      <c r="J51" s="19" t="s">
        <v>50</v>
      </c>
      <c r="K51">
        <v>872</v>
      </c>
      <c r="L51">
        <v>4</v>
      </c>
      <c r="M51" s="19" t="s">
        <v>51</v>
      </c>
      <c r="N51">
        <v>2</v>
      </c>
      <c r="O51">
        <v>2</v>
      </c>
      <c r="P51" s="19" t="s">
        <v>120</v>
      </c>
      <c r="Q51">
        <v>4</v>
      </c>
      <c r="R51" s="19" t="s">
        <v>113</v>
      </c>
      <c r="S51">
        <v>77552</v>
      </c>
      <c r="T51" s="19" t="s">
        <v>64</v>
      </c>
      <c r="U51">
        <v>484.7</v>
      </c>
      <c r="V51">
        <v>6</v>
      </c>
      <c r="W51" s="19" t="s">
        <v>55</v>
      </c>
      <c r="X51">
        <v>22</v>
      </c>
      <c r="Y51">
        <v>4</v>
      </c>
      <c r="Z51">
        <v>1</v>
      </c>
      <c r="AA51">
        <v>2</v>
      </c>
      <c r="AB51">
        <v>4</v>
      </c>
      <c r="AC51">
        <v>2</v>
      </c>
      <c r="AD51">
        <v>1</v>
      </c>
      <c r="AE51">
        <v>2</v>
      </c>
      <c r="AF51">
        <v>2</v>
      </c>
      <c r="AG51">
        <v>2</v>
      </c>
      <c r="AH51">
        <v>2</v>
      </c>
      <c r="AI51">
        <v>0</v>
      </c>
      <c r="AJ51" s="19" t="s">
        <v>1566</v>
      </c>
      <c r="AK51" s="19" t="s">
        <v>1562</v>
      </c>
      <c r="AL51">
        <v>1</v>
      </c>
      <c r="AM51" s="19" t="s">
        <v>1565</v>
      </c>
      <c r="AN51">
        <v>0.75079382333926425</v>
      </c>
      <c r="AO51">
        <v>930624</v>
      </c>
    </row>
    <row r="52" spans="1:41" x14ac:dyDescent="0.3">
      <c r="A52" s="19" t="s">
        <v>121</v>
      </c>
      <c r="B52">
        <v>22</v>
      </c>
      <c r="C52" s="19" t="s">
        <v>46</v>
      </c>
      <c r="D52" s="19" t="s">
        <v>47</v>
      </c>
      <c r="E52" s="19" t="s">
        <v>48</v>
      </c>
      <c r="F52">
        <v>617</v>
      </c>
      <c r="G52" s="19" t="s">
        <v>49</v>
      </c>
      <c r="H52">
        <v>3</v>
      </c>
      <c r="I52">
        <v>1</v>
      </c>
      <c r="J52" s="19" t="s">
        <v>50</v>
      </c>
      <c r="K52">
        <v>926</v>
      </c>
      <c r="L52">
        <v>2</v>
      </c>
      <c r="M52" s="19" t="s">
        <v>59</v>
      </c>
      <c r="N52">
        <v>3</v>
      </c>
      <c r="O52">
        <v>2</v>
      </c>
      <c r="P52" s="19" t="s">
        <v>120</v>
      </c>
      <c r="Q52">
        <v>3</v>
      </c>
      <c r="R52" s="19" t="s">
        <v>113</v>
      </c>
      <c r="S52">
        <v>24897</v>
      </c>
      <c r="T52" s="19" t="s">
        <v>54</v>
      </c>
      <c r="U52">
        <v>155.61000000000001</v>
      </c>
      <c r="V52">
        <v>0</v>
      </c>
      <c r="W52" s="19" t="s">
        <v>47</v>
      </c>
      <c r="X52">
        <v>19</v>
      </c>
      <c r="Y52">
        <v>3</v>
      </c>
      <c r="Z52">
        <v>1</v>
      </c>
      <c r="AA52">
        <v>1</v>
      </c>
      <c r="AB52">
        <v>4</v>
      </c>
      <c r="AC52">
        <v>3</v>
      </c>
      <c r="AD52">
        <v>4</v>
      </c>
      <c r="AE52">
        <v>3</v>
      </c>
      <c r="AF52">
        <v>2</v>
      </c>
      <c r="AG52">
        <v>0</v>
      </c>
      <c r="AH52">
        <v>2</v>
      </c>
      <c r="AI52">
        <v>1</v>
      </c>
      <c r="AJ52" s="19" t="s">
        <v>1566</v>
      </c>
      <c r="AK52" s="19" t="s">
        <v>1562</v>
      </c>
      <c r="AL52">
        <v>1</v>
      </c>
      <c r="AM52" s="19" t="s">
        <v>1565</v>
      </c>
      <c r="AN52">
        <v>-0.43793179002891397</v>
      </c>
      <c r="AO52">
        <v>298764</v>
      </c>
    </row>
    <row r="53" spans="1:41" x14ac:dyDescent="0.3">
      <c r="A53" s="19" t="s">
        <v>122</v>
      </c>
      <c r="B53">
        <v>22</v>
      </c>
      <c r="C53" s="19" t="s">
        <v>46</v>
      </c>
      <c r="D53" s="19" t="s">
        <v>55</v>
      </c>
      <c r="E53" s="19" t="s">
        <v>48</v>
      </c>
      <c r="F53">
        <v>217</v>
      </c>
      <c r="G53" s="19" t="s">
        <v>49</v>
      </c>
      <c r="H53">
        <v>8</v>
      </c>
      <c r="I53">
        <v>1</v>
      </c>
      <c r="J53" s="19" t="s">
        <v>50</v>
      </c>
      <c r="K53">
        <v>1019</v>
      </c>
      <c r="L53">
        <v>2</v>
      </c>
      <c r="M53" s="19" t="s">
        <v>51</v>
      </c>
      <c r="N53">
        <v>1</v>
      </c>
      <c r="O53">
        <v>1</v>
      </c>
      <c r="P53" s="19" t="s">
        <v>52</v>
      </c>
      <c r="Q53">
        <v>1</v>
      </c>
      <c r="R53" s="19" t="s">
        <v>113</v>
      </c>
      <c r="S53">
        <v>69148</v>
      </c>
      <c r="T53" s="19" t="s">
        <v>64</v>
      </c>
      <c r="U53">
        <v>432.18</v>
      </c>
      <c r="V53">
        <v>1</v>
      </c>
      <c r="W53" s="19" t="s">
        <v>55</v>
      </c>
      <c r="X53">
        <v>15</v>
      </c>
      <c r="Y53">
        <v>3</v>
      </c>
      <c r="Z53">
        <v>1</v>
      </c>
      <c r="AA53">
        <v>1</v>
      </c>
      <c r="AB53">
        <v>4</v>
      </c>
      <c r="AC53">
        <v>3</v>
      </c>
      <c r="AD53">
        <v>2</v>
      </c>
      <c r="AE53">
        <v>4</v>
      </c>
      <c r="AF53">
        <v>3</v>
      </c>
      <c r="AG53">
        <v>1</v>
      </c>
      <c r="AH53">
        <v>1</v>
      </c>
      <c r="AI53">
        <v>0</v>
      </c>
      <c r="AJ53" s="19" t="s">
        <v>1567</v>
      </c>
      <c r="AK53" s="19" t="s">
        <v>1562</v>
      </c>
      <c r="AL53">
        <v>2</v>
      </c>
      <c r="AM53" s="19" t="s">
        <v>1564</v>
      </c>
      <c r="AN53">
        <v>0.33695282082558986</v>
      </c>
      <c r="AO53">
        <v>829776</v>
      </c>
    </row>
    <row r="54" spans="1:41" x14ac:dyDescent="0.3">
      <c r="A54" s="19" t="s">
        <v>123</v>
      </c>
      <c r="B54">
        <v>22</v>
      </c>
      <c r="C54" s="19" t="s">
        <v>46</v>
      </c>
      <c r="D54" s="19" t="s">
        <v>47</v>
      </c>
      <c r="E54" s="19" t="s">
        <v>62</v>
      </c>
      <c r="F54">
        <v>1256</v>
      </c>
      <c r="G54" s="19" t="s">
        <v>49</v>
      </c>
      <c r="H54">
        <v>3</v>
      </c>
      <c r="I54">
        <v>4</v>
      </c>
      <c r="J54" s="19" t="s">
        <v>50</v>
      </c>
      <c r="K54">
        <v>1203</v>
      </c>
      <c r="L54">
        <v>3</v>
      </c>
      <c r="M54" s="19" t="s">
        <v>51</v>
      </c>
      <c r="N54">
        <v>2</v>
      </c>
      <c r="O54">
        <v>1</v>
      </c>
      <c r="P54" s="19" t="s">
        <v>67</v>
      </c>
      <c r="Q54">
        <v>4</v>
      </c>
      <c r="R54" s="19" t="s">
        <v>113</v>
      </c>
      <c r="S54">
        <v>24483</v>
      </c>
      <c r="T54" s="19" t="s">
        <v>54</v>
      </c>
      <c r="U54">
        <v>153.02000000000001</v>
      </c>
      <c r="V54">
        <v>0</v>
      </c>
      <c r="W54" s="19" t="s">
        <v>47</v>
      </c>
      <c r="X54">
        <v>11</v>
      </c>
      <c r="Y54">
        <v>3</v>
      </c>
      <c r="Z54">
        <v>2</v>
      </c>
      <c r="AA54">
        <v>1</v>
      </c>
      <c r="AB54">
        <v>1</v>
      </c>
      <c r="AC54">
        <v>5</v>
      </c>
      <c r="AD54">
        <v>3</v>
      </c>
      <c r="AE54">
        <v>0</v>
      </c>
      <c r="AF54">
        <v>0</v>
      </c>
      <c r="AG54">
        <v>0</v>
      </c>
      <c r="AH54">
        <v>0</v>
      </c>
      <c r="AI54">
        <v>1</v>
      </c>
      <c r="AJ54" s="19" t="s">
        <v>1561</v>
      </c>
      <c r="AK54" s="19" t="s">
        <v>1562</v>
      </c>
      <c r="AL54">
        <v>1</v>
      </c>
      <c r="AM54" s="19" t="s">
        <v>1565</v>
      </c>
      <c r="AN54">
        <v>-0.50902519292620352</v>
      </c>
      <c r="AO54">
        <v>293796</v>
      </c>
    </row>
    <row r="55" spans="1:41" x14ac:dyDescent="0.3">
      <c r="A55" s="19" t="s">
        <v>124</v>
      </c>
      <c r="B55">
        <v>22</v>
      </c>
      <c r="C55" s="19" t="s">
        <v>46</v>
      </c>
      <c r="D55" s="19" t="s">
        <v>55</v>
      </c>
      <c r="E55" s="19" t="s">
        <v>66</v>
      </c>
      <c r="F55">
        <v>457</v>
      </c>
      <c r="G55" s="19" t="s">
        <v>49</v>
      </c>
      <c r="H55">
        <v>26</v>
      </c>
      <c r="I55">
        <v>2</v>
      </c>
      <c r="J55" s="19" t="s">
        <v>82</v>
      </c>
      <c r="K55">
        <v>1605</v>
      </c>
      <c r="L55">
        <v>2</v>
      </c>
      <c r="M55" s="19" t="s">
        <v>59</v>
      </c>
      <c r="N55">
        <v>2</v>
      </c>
      <c r="O55">
        <v>1</v>
      </c>
      <c r="P55" s="19" t="s">
        <v>67</v>
      </c>
      <c r="Q55">
        <v>3</v>
      </c>
      <c r="R55" s="19" t="s">
        <v>113</v>
      </c>
      <c r="S55">
        <v>49555</v>
      </c>
      <c r="T55" s="19" t="s">
        <v>72</v>
      </c>
      <c r="U55">
        <v>309.72000000000003</v>
      </c>
      <c r="V55">
        <v>1</v>
      </c>
      <c r="W55" s="19" t="s">
        <v>47</v>
      </c>
      <c r="X55">
        <v>14</v>
      </c>
      <c r="Y55">
        <v>3</v>
      </c>
      <c r="Z55">
        <v>2</v>
      </c>
      <c r="AA55">
        <v>0</v>
      </c>
      <c r="AB55">
        <v>4</v>
      </c>
      <c r="AC55">
        <v>2</v>
      </c>
      <c r="AD55">
        <v>2</v>
      </c>
      <c r="AE55">
        <v>4</v>
      </c>
      <c r="AF55">
        <v>2</v>
      </c>
      <c r="AG55">
        <v>1</v>
      </c>
      <c r="AH55">
        <v>3</v>
      </c>
      <c r="AI55">
        <v>0</v>
      </c>
      <c r="AJ55" s="19" t="s">
        <v>1567</v>
      </c>
      <c r="AK55" s="19" t="s">
        <v>1562</v>
      </c>
      <c r="AL55">
        <v>2</v>
      </c>
      <c r="AM55" s="19" t="s">
        <v>1564</v>
      </c>
      <c r="AN55">
        <v>-6.2387548690117107E-3</v>
      </c>
      <c r="AO55">
        <v>594660</v>
      </c>
    </row>
    <row r="56" spans="1:41" x14ac:dyDescent="0.3">
      <c r="A56" s="19" t="s">
        <v>125</v>
      </c>
      <c r="B56">
        <v>22</v>
      </c>
      <c r="C56" s="19" t="s">
        <v>46</v>
      </c>
      <c r="D56" s="19" t="s">
        <v>47</v>
      </c>
      <c r="E56" s="19" t="s">
        <v>48</v>
      </c>
      <c r="F56">
        <v>1294</v>
      </c>
      <c r="G56" s="19" t="s">
        <v>49</v>
      </c>
      <c r="H56">
        <v>8</v>
      </c>
      <c r="I56">
        <v>1</v>
      </c>
      <c r="J56" s="19" t="s">
        <v>58</v>
      </c>
      <c r="K56">
        <v>1783</v>
      </c>
      <c r="L56">
        <v>3</v>
      </c>
      <c r="M56" s="19" t="s">
        <v>59</v>
      </c>
      <c r="N56">
        <v>3</v>
      </c>
      <c r="O56">
        <v>1</v>
      </c>
      <c r="P56" s="19" t="s">
        <v>52</v>
      </c>
      <c r="Q56">
        <v>1</v>
      </c>
      <c r="R56" s="19" t="s">
        <v>113</v>
      </c>
      <c r="S56">
        <v>18159</v>
      </c>
      <c r="T56" s="19" t="s">
        <v>54</v>
      </c>
      <c r="U56">
        <v>113.49</v>
      </c>
      <c r="V56">
        <v>1</v>
      </c>
      <c r="W56" s="19" t="s">
        <v>47</v>
      </c>
      <c r="X56">
        <v>17</v>
      </c>
      <c r="Y56">
        <v>3</v>
      </c>
      <c r="Z56">
        <v>3</v>
      </c>
      <c r="AA56">
        <v>0</v>
      </c>
      <c r="AB56">
        <v>1</v>
      </c>
      <c r="AC56">
        <v>6</v>
      </c>
      <c r="AD56">
        <v>3</v>
      </c>
      <c r="AE56">
        <v>1</v>
      </c>
      <c r="AF56">
        <v>0</v>
      </c>
      <c r="AG56">
        <v>0</v>
      </c>
      <c r="AH56">
        <v>0</v>
      </c>
      <c r="AI56">
        <v>1</v>
      </c>
      <c r="AJ56" s="19" t="s">
        <v>1561</v>
      </c>
      <c r="AK56" s="19" t="s">
        <v>1562</v>
      </c>
      <c r="AL56">
        <v>2</v>
      </c>
      <c r="AM56" s="19" t="s">
        <v>1564</v>
      </c>
      <c r="AN56">
        <v>-0.64890197441181396</v>
      </c>
      <c r="AO56">
        <v>217908</v>
      </c>
    </row>
    <row r="57" spans="1:41" x14ac:dyDescent="0.3">
      <c r="A57" s="19" t="s">
        <v>126</v>
      </c>
      <c r="B57">
        <v>22</v>
      </c>
      <c r="C57" s="19" t="s">
        <v>46</v>
      </c>
      <c r="D57" s="19" t="s">
        <v>47</v>
      </c>
      <c r="E57" s="19" t="s">
        <v>48</v>
      </c>
      <c r="F57">
        <v>391</v>
      </c>
      <c r="G57" s="19" t="s">
        <v>49</v>
      </c>
      <c r="H57">
        <v>7</v>
      </c>
      <c r="I57">
        <v>1</v>
      </c>
      <c r="J57" s="19" t="s">
        <v>50</v>
      </c>
      <c r="K57">
        <v>1878</v>
      </c>
      <c r="L57">
        <v>4</v>
      </c>
      <c r="M57" s="19" t="s">
        <v>51</v>
      </c>
      <c r="N57">
        <v>3</v>
      </c>
      <c r="O57">
        <v>1</v>
      </c>
      <c r="P57" s="19" t="s">
        <v>67</v>
      </c>
      <c r="Q57">
        <v>2</v>
      </c>
      <c r="R57" s="19" t="s">
        <v>53</v>
      </c>
      <c r="S57">
        <v>81077</v>
      </c>
      <c r="T57" s="19" t="s">
        <v>64</v>
      </c>
      <c r="U57">
        <v>506.73</v>
      </c>
      <c r="V57">
        <v>1</v>
      </c>
      <c r="W57" s="19" t="s">
        <v>47</v>
      </c>
      <c r="X57">
        <v>23</v>
      </c>
      <c r="Y57">
        <v>4</v>
      </c>
      <c r="Z57">
        <v>1</v>
      </c>
      <c r="AA57">
        <v>0</v>
      </c>
      <c r="AB57">
        <v>1</v>
      </c>
      <c r="AC57">
        <v>2</v>
      </c>
      <c r="AD57">
        <v>3</v>
      </c>
      <c r="AE57">
        <v>1</v>
      </c>
      <c r="AF57">
        <v>0</v>
      </c>
      <c r="AG57">
        <v>0</v>
      </c>
      <c r="AH57">
        <v>0</v>
      </c>
      <c r="AI57">
        <v>1</v>
      </c>
      <c r="AJ57" s="19" t="s">
        <v>1561</v>
      </c>
      <c r="AK57" s="19" t="s">
        <v>1562</v>
      </c>
      <c r="AL57">
        <v>2</v>
      </c>
      <c r="AM57" s="19" t="s">
        <v>1564</v>
      </c>
      <c r="AN57">
        <v>0.62589406662264424</v>
      </c>
      <c r="AO57">
        <v>972924</v>
      </c>
    </row>
    <row r="58" spans="1:41" x14ac:dyDescent="0.3">
      <c r="A58" s="19" t="s">
        <v>127</v>
      </c>
      <c r="B58">
        <v>22</v>
      </c>
      <c r="C58" s="19" t="s">
        <v>46</v>
      </c>
      <c r="D58" s="19" t="s">
        <v>55</v>
      </c>
      <c r="E58" s="19" t="s">
        <v>48</v>
      </c>
      <c r="F58">
        <v>581</v>
      </c>
      <c r="G58" s="19" t="s">
        <v>49</v>
      </c>
      <c r="H58">
        <v>1</v>
      </c>
      <c r="I58">
        <v>2</v>
      </c>
      <c r="J58" s="19" t="s">
        <v>50</v>
      </c>
      <c r="K58">
        <v>2007</v>
      </c>
      <c r="L58">
        <v>4</v>
      </c>
      <c r="M58" s="19" t="s">
        <v>51</v>
      </c>
      <c r="N58">
        <v>3</v>
      </c>
      <c r="O58">
        <v>1</v>
      </c>
      <c r="P58" s="19" t="s">
        <v>67</v>
      </c>
      <c r="Q58">
        <v>3</v>
      </c>
      <c r="R58" s="19" t="s">
        <v>53</v>
      </c>
      <c r="S58">
        <v>36920</v>
      </c>
      <c r="T58" s="19" t="s">
        <v>72</v>
      </c>
      <c r="U58">
        <v>230.75</v>
      </c>
      <c r="V58">
        <v>0</v>
      </c>
      <c r="W58" s="19" t="s">
        <v>55</v>
      </c>
      <c r="X58">
        <v>12</v>
      </c>
      <c r="Y58">
        <v>3</v>
      </c>
      <c r="Z58">
        <v>4</v>
      </c>
      <c r="AA58">
        <v>0</v>
      </c>
      <c r="AB58">
        <v>4</v>
      </c>
      <c r="AC58">
        <v>2</v>
      </c>
      <c r="AD58">
        <v>4</v>
      </c>
      <c r="AE58">
        <v>3</v>
      </c>
      <c r="AF58">
        <v>2</v>
      </c>
      <c r="AG58">
        <v>1</v>
      </c>
      <c r="AH58">
        <v>2</v>
      </c>
      <c r="AI58">
        <v>0</v>
      </c>
      <c r="AJ58" s="19" t="s">
        <v>1566</v>
      </c>
      <c r="AK58" s="19" t="s">
        <v>1562</v>
      </c>
      <c r="AL58">
        <v>0</v>
      </c>
      <c r="AM58" s="19" t="s">
        <v>1563</v>
      </c>
      <c r="AN58">
        <v>-0.25961729048055521</v>
      </c>
      <c r="AO58">
        <v>443040</v>
      </c>
    </row>
    <row r="59" spans="1:41" x14ac:dyDescent="0.3">
      <c r="A59" s="19" t="s">
        <v>128</v>
      </c>
      <c r="B59">
        <v>23</v>
      </c>
      <c r="C59" s="19" t="s">
        <v>46</v>
      </c>
      <c r="D59" s="19" t="s">
        <v>55</v>
      </c>
      <c r="E59" s="19" t="s">
        <v>48</v>
      </c>
      <c r="F59">
        <v>541</v>
      </c>
      <c r="G59" s="19" t="s">
        <v>57</v>
      </c>
      <c r="H59">
        <v>2</v>
      </c>
      <c r="I59">
        <v>1</v>
      </c>
      <c r="J59" s="19" t="s">
        <v>77</v>
      </c>
      <c r="K59">
        <v>113</v>
      </c>
      <c r="L59">
        <v>3</v>
      </c>
      <c r="M59" s="19" t="s">
        <v>51</v>
      </c>
      <c r="N59">
        <v>3</v>
      </c>
      <c r="O59">
        <v>1</v>
      </c>
      <c r="P59" s="19" t="s">
        <v>60</v>
      </c>
      <c r="Q59">
        <v>1</v>
      </c>
      <c r="R59" s="19" t="s">
        <v>53</v>
      </c>
      <c r="S59">
        <v>93067</v>
      </c>
      <c r="T59" s="19" t="s">
        <v>70</v>
      </c>
      <c r="U59">
        <v>581.66999999999996</v>
      </c>
      <c r="V59">
        <v>3</v>
      </c>
      <c r="W59" s="19" t="s">
        <v>55</v>
      </c>
      <c r="X59">
        <v>13</v>
      </c>
      <c r="Y59">
        <v>3</v>
      </c>
      <c r="Z59">
        <v>3</v>
      </c>
      <c r="AA59">
        <v>1</v>
      </c>
      <c r="AB59">
        <v>3</v>
      </c>
      <c r="AC59">
        <v>3</v>
      </c>
      <c r="AD59">
        <v>3</v>
      </c>
      <c r="AE59">
        <v>0</v>
      </c>
      <c r="AF59">
        <v>0</v>
      </c>
      <c r="AG59">
        <v>0</v>
      </c>
      <c r="AH59">
        <v>0</v>
      </c>
      <c r="AI59">
        <v>0</v>
      </c>
      <c r="AJ59" s="19" t="s">
        <v>1561</v>
      </c>
      <c r="AK59" s="19" t="s">
        <v>1562</v>
      </c>
      <c r="AL59">
        <v>1</v>
      </c>
      <c r="AM59" s="19" t="s">
        <v>1565</v>
      </c>
      <c r="AN59">
        <v>0.88674320029366827</v>
      </c>
      <c r="AO59">
        <v>1116804</v>
      </c>
    </row>
    <row r="60" spans="1:41" x14ac:dyDescent="0.3">
      <c r="A60" s="19" t="s">
        <v>129</v>
      </c>
      <c r="B60">
        <v>23</v>
      </c>
      <c r="C60" s="19" t="s">
        <v>46</v>
      </c>
      <c r="D60" s="19" t="s">
        <v>55</v>
      </c>
      <c r="E60" s="19" t="s">
        <v>48</v>
      </c>
      <c r="F60">
        <v>1309</v>
      </c>
      <c r="G60" s="19" t="s">
        <v>49</v>
      </c>
      <c r="H60">
        <v>26</v>
      </c>
      <c r="I60">
        <v>1</v>
      </c>
      <c r="J60" s="19" t="s">
        <v>50</v>
      </c>
      <c r="K60">
        <v>465</v>
      </c>
      <c r="L60">
        <v>3</v>
      </c>
      <c r="M60" s="19" t="s">
        <v>51</v>
      </c>
      <c r="N60">
        <v>3</v>
      </c>
      <c r="O60">
        <v>1</v>
      </c>
      <c r="P60" s="19" t="s">
        <v>67</v>
      </c>
      <c r="Q60">
        <v>4</v>
      </c>
      <c r="R60" s="19" t="s">
        <v>53</v>
      </c>
      <c r="S60">
        <v>68121</v>
      </c>
      <c r="T60" s="19" t="s">
        <v>64</v>
      </c>
      <c r="U60">
        <v>425.76</v>
      </c>
      <c r="V60">
        <v>1</v>
      </c>
      <c r="W60" s="19" t="s">
        <v>55</v>
      </c>
      <c r="X60">
        <v>12</v>
      </c>
      <c r="Y60">
        <v>3</v>
      </c>
      <c r="Z60">
        <v>3</v>
      </c>
      <c r="AA60">
        <v>2</v>
      </c>
      <c r="AB60">
        <v>4</v>
      </c>
      <c r="AC60">
        <v>2</v>
      </c>
      <c r="AD60">
        <v>2</v>
      </c>
      <c r="AE60">
        <v>4</v>
      </c>
      <c r="AF60">
        <v>2</v>
      </c>
      <c r="AG60">
        <v>0</v>
      </c>
      <c r="AH60">
        <v>2</v>
      </c>
      <c r="AI60">
        <v>0</v>
      </c>
      <c r="AJ60" s="19" t="s">
        <v>1567</v>
      </c>
      <c r="AK60" s="19" t="s">
        <v>1562</v>
      </c>
      <c r="AL60">
        <v>1</v>
      </c>
      <c r="AM60" s="19" t="s">
        <v>1565</v>
      </c>
      <c r="AN60">
        <v>0.36607829239366468</v>
      </c>
      <c r="AO60">
        <v>817452</v>
      </c>
    </row>
    <row r="61" spans="1:41" x14ac:dyDescent="0.3">
      <c r="A61" s="19" t="s">
        <v>130</v>
      </c>
      <c r="B61">
        <v>23</v>
      </c>
      <c r="C61" s="19" t="s">
        <v>46</v>
      </c>
      <c r="D61" s="19" t="s">
        <v>55</v>
      </c>
      <c r="E61" s="19" t="s">
        <v>48</v>
      </c>
      <c r="F61">
        <v>885</v>
      </c>
      <c r="G61" s="19" t="s">
        <v>49</v>
      </c>
      <c r="H61">
        <v>4</v>
      </c>
      <c r="I61">
        <v>3</v>
      </c>
      <c r="J61" s="19" t="s">
        <v>58</v>
      </c>
      <c r="K61">
        <v>705</v>
      </c>
      <c r="L61">
        <v>1</v>
      </c>
      <c r="M61" s="19" t="s">
        <v>51</v>
      </c>
      <c r="N61">
        <v>4</v>
      </c>
      <c r="O61">
        <v>1</v>
      </c>
      <c r="P61" s="19" t="s">
        <v>67</v>
      </c>
      <c r="Q61">
        <v>1</v>
      </c>
      <c r="R61" s="19" t="s">
        <v>113</v>
      </c>
      <c r="S61">
        <v>70479</v>
      </c>
      <c r="T61" s="19" t="s">
        <v>64</v>
      </c>
      <c r="U61">
        <v>440.49</v>
      </c>
      <c r="V61">
        <v>2</v>
      </c>
      <c r="W61" s="19" t="s">
        <v>55</v>
      </c>
      <c r="X61">
        <v>16</v>
      </c>
      <c r="Y61">
        <v>3</v>
      </c>
      <c r="Z61">
        <v>1</v>
      </c>
      <c r="AA61">
        <v>1</v>
      </c>
      <c r="AB61">
        <v>5</v>
      </c>
      <c r="AC61">
        <v>3</v>
      </c>
      <c r="AD61">
        <v>4</v>
      </c>
      <c r="AE61">
        <v>3</v>
      </c>
      <c r="AF61">
        <v>2</v>
      </c>
      <c r="AG61">
        <v>0</v>
      </c>
      <c r="AH61">
        <v>2</v>
      </c>
      <c r="AI61">
        <v>0</v>
      </c>
      <c r="AJ61" s="19" t="s">
        <v>1566</v>
      </c>
      <c r="AK61" s="19" t="s">
        <v>1562</v>
      </c>
      <c r="AL61">
        <v>1</v>
      </c>
      <c r="AM61" s="19" t="s">
        <v>1565</v>
      </c>
      <c r="AN61">
        <v>0.41336492373296185</v>
      </c>
      <c r="AO61">
        <v>845748</v>
      </c>
    </row>
    <row r="62" spans="1:41" x14ac:dyDescent="0.3">
      <c r="A62" s="19" t="s">
        <v>131</v>
      </c>
      <c r="B62">
        <v>23</v>
      </c>
      <c r="C62" s="19" t="s">
        <v>46</v>
      </c>
      <c r="D62" s="19" t="s">
        <v>55</v>
      </c>
      <c r="E62" s="19" t="s">
        <v>48</v>
      </c>
      <c r="F62">
        <v>650</v>
      </c>
      <c r="G62" s="19" t="s">
        <v>49</v>
      </c>
      <c r="H62">
        <v>9</v>
      </c>
      <c r="I62">
        <v>1</v>
      </c>
      <c r="J62" s="19" t="s">
        <v>58</v>
      </c>
      <c r="K62">
        <v>758</v>
      </c>
      <c r="L62">
        <v>2</v>
      </c>
      <c r="M62" s="19" t="s">
        <v>51</v>
      </c>
      <c r="N62">
        <v>3</v>
      </c>
      <c r="O62">
        <v>1</v>
      </c>
      <c r="P62" s="19" t="s">
        <v>52</v>
      </c>
      <c r="Q62">
        <v>1</v>
      </c>
      <c r="R62" s="19" t="s">
        <v>113</v>
      </c>
      <c r="S62">
        <v>90475</v>
      </c>
      <c r="T62" s="19" t="s">
        <v>70</v>
      </c>
      <c r="U62">
        <v>565.47</v>
      </c>
      <c r="V62">
        <v>1</v>
      </c>
      <c r="W62" s="19" t="s">
        <v>55</v>
      </c>
      <c r="X62">
        <v>14</v>
      </c>
      <c r="Y62">
        <v>3</v>
      </c>
      <c r="Z62">
        <v>4</v>
      </c>
      <c r="AA62">
        <v>1</v>
      </c>
      <c r="AB62">
        <v>5</v>
      </c>
      <c r="AC62">
        <v>2</v>
      </c>
      <c r="AD62">
        <v>4</v>
      </c>
      <c r="AE62">
        <v>4</v>
      </c>
      <c r="AF62">
        <v>3</v>
      </c>
      <c r="AG62">
        <v>0</v>
      </c>
      <c r="AH62">
        <v>2</v>
      </c>
      <c r="AI62">
        <v>0</v>
      </c>
      <c r="AJ62" s="19" t="s">
        <v>1567</v>
      </c>
      <c r="AK62" s="19" t="s">
        <v>1562</v>
      </c>
      <c r="AL62">
        <v>1</v>
      </c>
      <c r="AM62" s="19" t="s">
        <v>1565</v>
      </c>
      <c r="AN62">
        <v>0.74930303789256725</v>
      </c>
      <c r="AO62">
        <v>1085700</v>
      </c>
    </row>
    <row r="63" spans="1:41" x14ac:dyDescent="0.3">
      <c r="A63" s="19" t="s">
        <v>132</v>
      </c>
      <c r="B63">
        <v>23</v>
      </c>
      <c r="C63" s="19" t="s">
        <v>46</v>
      </c>
      <c r="D63" s="19" t="s">
        <v>55</v>
      </c>
      <c r="E63" s="19" t="s">
        <v>48</v>
      </c>
      <c r="F63">
        <v>310</v>
      </c>
      <c r="G63" s="19" t="s">
        <v>49</v>
      </c>
      <c r="H63">
        <v>10</v>
      </c>
      <c r="I63">
        <v>1</v>
      </c>
      <c r="J63" s="19" t="s">
        <v>58</v>
      </c>
      <c r="K63">
        <v>784</v>
      </c>
      <c r="L63">
        <v>1</v>
      </c>
      <c r="M63" s="19" t="s">
        <v>51</v>
      </c>
      <c r="N63">
        <v>4</v>
      </c>
      <c r="O63">
        <v>1</v>
      </c>
      <c r="P63" s="19" t="s">
        <v>67</v>
      </c>
      <c r="Q63">
        <v>3</v>
      </c>
      <c r="R63" s="19" t="s">
        <v>53</v>
      </c>
      <c r="S63">
        <v>20457</v>
      </c>
      <c r="T63" s="19" t="s">
        <v>54</v>
      </c>
      <c r="U63">
        <v>127.86</v>
      </c>
      <c r="V63">
        <v>1</v>
      </c>
      <c r="W63" s="19" t="s">
        <v>55</v>
      </c>
      <c r="X63">
        <v>18</v>
      </c>
      <c r="Y63">
        <v>3</v>
      </c>
      <c r="Z63">
        <v>4</v>
      </c>
      <c r="AA63">
        <v>0</v>
      </c>
      <c r="AB63">
        <v>2</v>
      </c>
      <c r="AC63">
        <v>3</v>
      </c>
      <c r="AD63">
        <v>3</v>
      </c>
      <c r="AE63">
        <v>2</v>
      </c>
      <c r="AF63">
        <v>2</v>
      </c>
      <c r="AG63">
        <v>0</v>
      </c>
      <c r="AH63">
        <v>2</v>
      </c>
      <c r="AI63">
        <v>0</v>
      </c>
      <c r="AJ63" s="19" t="s">
        <v>1566</v>
      </c>
      <c r="AK63" s="19" t="s">
        <v>1562</v>
      </c>
      <c r="AL63">
        <v>0</v>
      </c>
      <c r="AM63" s="19" t="s">
        <v>1563</v>
      </c>
      <c r="AN63">
        <v>-0.58976140063273885</v>
      </c>
      <c r="AO63">
        <v>245484</v>
      </c>
    </row>
    <row r="64" spans="1:41" x14ac:dyDescent="0.3">
      <c r="A64" s="19" t="s">
        <v>133</v>
      </c>
      <c r="B64">
        <v>23</v>
      </c>
      <c r="C64" s="19" t="s">
        <v>46</v>
      </c>
      <c r="D64" s="19" t="s">
        <v>47</v>
      </c>
      <c r="E64" s="19" t="s">
        <v>48</v>
      </c>
      <c r="F64">
        <v>1243</v>
      </c>
      <c r="G64" s="19" t="s">
        <v>49</v>
      </c>
      <c r="H64">
        <v>6</v>
      </c>
      <c r="I64">
        <v>3</v>
      </c>
      <c r="J64" s="19" t="s">
        <v>50</v>
      </c>
      <c r="K64">
        <v>811</v>
      </c>
      <c r="L64">
        <v>3</v>
      </c>
      <c r="M64" s="19" t="s">
        <v>51</v>
      </c>
      <c r="N64">
        <v>4</v>
      </c>
      <c r="O64">
        <v>1</v>
      </c>
      <c r="P64" s="19" t="s">
        <v>52</v>
      </c>
      <c r="Q64">
        <v>1</v>
      </c>
      <c r="R64" s="19" t="s">
        <v>113</v>
      </c>
      <c r="S64">
        <v>67557</v>
      </c>
      <c r="T64" s="19" t="s">
        <v>64</v>
      </c>
      <c r="U64">
        <v>422.23</v>
      </c>
      <c r="V64">
        <v>1</v>
      </c>
      <c r="W64" s="19" t="s">
        <v>47</v>
      </c>
      <c r="X64">
        <v>21</v>
      </c>
      <c r="Y64">
        <v>4</v>
      </c>
      <c r="Z64">
        <v>3</v>
      </c>
      <c r="AA64">
        <v>2</v>
      </c>
      <c r="AB64">
        <v>1</v>
      </c>
      <c r="AC64">
        <v>2</v>
      </c>
      <c r="AD64">
        <v>3</v>
      </c>
      <c r="AE64">
        <v>0</v>
      </c>
      <c r="AF64">
        <v>0</v>
      </c>
      <c r="AG64">
        <v>0</v>
      </c>
      <c r="AH64">
        <v>0</v>
      </c>
      <c r="AI64">
        <v>1</v>
      </c>
      <c r="AJ64" s="19" t="s">
        <v>1561</v>
      </c>
      <c r="AK64" s="19" t="s">
        <v>1562</v>
      </c>
      <c r="AL64">
        <v>2</v>
      </c>
      <c r="AM64" s="19" t="s">
        <v>1564</v>
      </c>
      <c r="AN64">
        <v>0.30619138249138622</v>
      </c>
      <c r="AO64">
        <v>810684</v>
      </c>
    </row>
    <row r="65" spans="1:41" x14ac:dyDescent="0.3">
      <c r="A65" s="19" t="s">
        <v>134</v>
      </c>
      <c r="B65">
        <v>23</v>
      </c>
      <c r="C65" s="19" t="s">
        <v>46</v>
      </c>
      <c r="D65" s="19" t="s">
        <v>55</v>
      </c>
      <c r="E65" s="19" t="s">
        <v>48</v>
      </c>
      <c r="F65">
        <v>373</v>
      </c>
      <c r="G65" s="19" t="s">
        <v>49</v>
      </c>
      <c r="H65">
        <v>1</v>
      </c>
      <c r="I65">
        <v>2</v>
      </c>
      <c r="J65" s="19" t="s">
        <v>50</v>
      </c>
      <c r="K65">
        <v>1270</v>
      </c>
      <c r="L65">
        <v>4</v>
      </c>
      <c r="M65" s="19" t="s">
        <v>51</v>
      </c>
      <c r="N65">
        <v>3</v>
      </c>
      <c r="O65">
        <v>1</v>
      </c>
      <c r="P65" s="19" t="s">
        <v>67</v>
      </c>
      <c r="Q65">
        <v>3</v>
      </c>
      <c r="R65" s="19" t="s">
        <v>113</v>
      </c>
      <c r="S65">
        <v>78189</v>
      </c>
      <c r="T65" s="19" t="s">
        <v>64</v>
      </c>
      <c r="U65">
        <v>488.68</v>
      </c>
      <c r="V65">
        <v>1</v>
      </c>
      <c r="W65" s="19" t="s">
        <v>55</v>
      </c>
      <c r="X65">
        <v>22</v>
      </c>
      <c r="Y65">
        <v>4</v>
      </c>
      <c r="Z65">
        <v>4</v>
      </c>
      <c r="AA65">
        <v>1</v>
      </c>
      <c r="AB65">
        <v>1</v>
      </c>
      <c r="AC65">
        <v>2</v>
      </c>
      <c r="AD65">
        <v>3</v>
      </c>
      <c r="AE65">
        <v>1</v>
      </c>
      <c r="AF65">
        <v>0</v>
      </c>
      <c r="AG65">
        <v>0</v>
      </c>
      <c r="AH65">
        <v>1</v>
      </c>
      <c r="AI65">
        <v>0</v>
      </c>
      <c r="AJ65" s="19" t="s">
        <v>1561</v>
      </c>
      <c r="AK65" s="19" t="s">
        <v>1562</v>
      </c>
      <c r="AL65">
        <v>0</v>
      </c>
      <c r="AM65" s="19" t="s">
        <v>1563</v>
      </c>
      <c r="AN65">
        <v>0.56797897276857723</v>
      </c>
      <c r="AO65">
        <v>938268</v>
      </c>
    </row>
    <row r="66" spans="1:41" x14ac:dyDescent="0.3">
      <c r="A66" s="19" t="s">
        <v>135</v>
      </c>
      <c r="B66">
        <v>23</v>
      </c>
      <c r="C66" s="19" t="s">
        <v>46</v>
      </c>
      <c r="D66" s="19" t="s">
        <v>55</v>
      </c>
      <c r="E66" s="19" t="s">
        <v>48</v>
      </c>
      <c r="F66">
        <v>507</v>
      </c>
      <c r="G66" s="19" t="s">
        <v>49</v>
      </c>
      <c r="H66">
        <v>20</v>
      </c>
      <c r="I66">
        <v>1</v>
      </c>
      <c r="J66" s="19" t="s">
        <v>50</v>
      </c>
      <c r="K66">
        <v>1533</v>
      </c>
      <c r="L66">
        <v>1</v>
      </c>
      <c r="M66" s="19" t="s">
        <v>51</v>
      </c>
      <c r="N66">
        <v>3</v>
      </c>
      <c r="O66">
        <v>2</v>
      </c>
      <c r="P66" s="19" t="s">
        <v>52</v>
      </c>
      <c r="Q66">
        <v>3</v>
      </c>
      <c r="R66" s="19" t="s">
        <v>53</v>
      </c>
      <c r="S66">
        <v>79953</v>
      </c>
      <c r="T66" s="19" t="s">
        <v>64</v>
      </c>
      <c r="U66">
        <v>499.71</v>
      </c>
      <c r="V66">
        <v>0</v>
      </c>
      <c r="W66" s="19" t="s">
        <v>55</v>
      </c>
      <c r="X66">
        <v>14</v>
      </c>
      <c r="Y66">
        <v>3</v>
      </c>
      <c r="Z66">
        <v>2</v>
      </c>
      <c r="AA66">
        <v>0</v>
      </c>
      <c r="AB66">
        <v>5</v>
      </c>
      <c r="AC66">
        <v>2</v>
      </c>
      <c r="AD66">
        <v>3</v>
      </c>
      <c r="AE66">
        <v>4</v>
      </c>
      <c r="AF66">
        <v>3</v>
      </c>
      <c r="AG66">
        <v>1</v>
      </c>
      <c r="AH66">
        <v>2</v>
      </c>
      <c r="AI66">
        <v>0</v>
      </c>
      <c r="AJ66" s="19" t="s">
        <v>1567</v>
      </c>
      <c r="AK66" s="19" t="s">
        <v>1562</v>
      </c>
      <c r="AL66">
        <v>0</v>
      </c>
      <c r="AM66" s="19" t="s">
        <v>1563</v>
      </c>
      <c r="AN66">
        <v>0.54586378323983897</v>
      </c>
      <c r="AO66">
        <v>959436</v>
      </c>
    </row>
    <row r="67" spans="1:41" x14ac:dyDescent="0.3">
      <c r="A67" s="19" t="s">
        <v>136</v>
      </c>
      <c r="B67">
        <v>23</v>
      </c>
      <c r="C67" s="19" t="s">
        <v>46</v>
      </c>
      <c r="D67" s="19" t="s">
        <v>55</v>
      </c>
      <c r="E67" s="19" t="s">
        <v>48</v>
      </c>
      <c r="F67">
        <v>977</v>
      </c>
      <c r="G67" s="19" t="s">
        <v>49</v>
      </c>
      <c r="H67">
        <v>10</v>
      </c>
      <c r="I67">
        <v>3</v>
      </c>
      <c r="J67" s="19" t="s">
        <v>77</v>
      </c>
      <c r="K67">
        <v>1592</v>
      </c>
      <c r="L67">
        <v>4</v>
      </c>
      <c r="M67" s="19" t="s">
        <v>51</v>
      </c>
      <c r="N67">
        <v>4</v>
      </c>
      <c r="O67">
        <v>1</v>
      </c>
      <c r="P67" s="19" t="s">
        <v>67</v>
      </c>
      <c r="Q67">
        <v>3</v>
      </c>
      <c r="R67" s="19" t="s">
        <v>113</v>
      </c>
      <c r="S67">
        <v>53995</v>
      </c>
      <c r="T67" s="19" t="s">
        <v>64</v>
      </c>
      <c r="U67">
        <v>337.47</v>
      </c>
      <c r="V67">
        <v>2</v>
      </c>
      <c r="W67" s="19" t="s">
        <v>55</v>
      </c>
      <c r="X67">
        <v>16</v>
      </c>
      <c r="Y67">
        <v>3</v>
      </c>
      <c r="Z67">
        <v>4</v>
      </c>
      <c r="AA67">
        <v>1</v>
      </c>
      <c r="AB67">
        <v>4</v>
      </c>
      <c r="AC67">
        <v>2</v>
      </c>
      <c r="AD67">
        <v>3</v>
      </c>
      <c r="AE67">
        <v>2</v>
      </c>
      <c r="AF67">
        <v>2</v>
      </c>
      <c r="AG67">
        <v>2</v>
      </c>
      <c r="AH67">
        <v>2</v>
      </c>
      <c r="AI67">
        <v>0</v>
      </c>
      <c r="AJ67" s="19" t="s">
        <v>1566</v>
      </c>
      <c r="AK67" s="19" t="s">
        <v>1562</v>
      </c>
      <c r="AL67">
        <v>0</v>
      </c>
      <c r="AM67" s="19" t="s">
        <v>1563</v>
      </c>
      <c r="AN67">
        <v>8.2799685820759014E-2</v>
      </c>
      <c r="AO67">
        <v>647940</v>
      </c>
    </row>
    <row r="68" spans="1:41" x14ac:dyDescent="0.3">
      <c r="A68" s="19" t="s">
        <v>137</v>
      </c>
      <c r="B68">
        <v>23</v>
      </c>
      <c r="C68" s="19" t="s">
        <v>46</v>
      </c>
      <c r="D68" s="19" t="s">
        <v>47</v>
      </c>
      <c r="E68" s="19" t="s">
        <v>48</v>
      </c>
      <c r="F68">
        <v>1320</v>
      </c>
      <c r="G68" s="19" t="s">
        <v>49</v>
      </c>
      <c r="H68">
        <v>8</v>
      </c>
      <c r="I68">
        <v>1</v>
      </c>
      <c r="J68" s="19" t="s">
        <v>58</v>
      </c>
      <c r="K68">
        <v>1684</v>
      </c>
      <c r="L68">
        <v>4</v>
      </c>
      <c r="M68" s="19" t="s">
        <v>51</v>
      </c>
      <c r="N68">
        <v>2</v>
      </c>
      <c r="O68">
        <v>1</v>
      </c>
      <c r="P68" s="19" t="s">
        <v>52</v>
      </c>
      <c r="Q68">
        <v>3</v>
      </c>
      <c r="R68" s="19" t="s">
        <v>53</v>
      </c>
      <c r="S68">
        <v>41757</v>
      </c>
      <c r="T68" s="19" t="s">
        <v>72</v>
      </c>
      <c r="U68">
        <v>260.98</v>
      </c>
      <c r="V68">
        <v>1</v>
      </c>
      <c r="W68" s="19" t="s">
        <v>47</v>
      </c>
      <c r="X68">
        <v>11</v>
      </c>
      <c r="Y68">
        <v>3</v>
      </c>
      <c r="Z68">
        <v>1</v>
      </c>
      <c r="AA68">
        <v>0</v>
      </c>
      <c r="AB68">
        <v>5</v>
      </c>
      <c r="AC68">
        <v>2</v>
      </c>
      <c r="AD68">
        <v>3</v>
      </c>
      <c r="AE68">
        <v>5</v>
      </c>
      <c r="AF68">
        <v>4</v>
      </c>
      <c r="AG68">
        <v>1</v>
      </c>
      <c r="AH68">
        <v>2</v>
      </c>
      <c r="AI68">
        <v>1</v>
      </c>
      <c r="AJ68" s="19" t="s">
        <v>1567</v>
      </c>
      <c r="AK68" s="19" t="s">
        <v>1562</v>
      </c>
      <c r="AL68">
        <v>1</v>
      </c>
      <c r="AM68" s="19" t="s">
        <v>1565</v>
      </c>
      <c r="AN68">
        <v>-0.19264275265786204</v>
      </c>
      <c r="AO68">
        <v>501084</v>
      </c>
    </row>
    <row r="69" spans="1:41" x14ac:dyDescent="0.3">
      <c r="A69" s="19" t="s">
        <v>138</v>
      </c>
      <c r="B69">
        <v>23</v>
      </c>
      <c r="C69" s="19" t="s">
        <v>46</v>
      </c>
      <c r="D69" s="19" t="s">
        <v>47</v>
      </c>
      <c r="E69" s="19" t="s">
        <v>48</v>
      </c>
      <c r="F69">
        <v>427</v>
      </c>
      <c r="G69" s="19" t="s">
        <v>57</v>
      </c>
      <c r="H69">
        <v>7</v>
      </c>
      <c r="I69">
        <v>3</v>
      </c>
      <c r="J69" s="19" t="s">
        <v>50</v>
      </c>
      <c r="K69">
        <v>1702</v>
      </c>
      <c r="L69">
        <v>3</v>
      </c>
      <c r="M69" s="19" t="s">
        <v>51</v>
      </c>
      <c r="N69">
        <v>3</v>
      </c>
      <c r="O69">
        <v>1</v>
      </c>
      <c r="P69" s="19" t="s">
        <v>60</v>
      </c>
      <c r="Q69">
        <v>4</v>
      </c>
      <c r="R69" s="19" t="s">
        <v>53</v>
      </c>
      <c r="S69">
        <v>10692</v>
      </c>
      <c r="T69" s="19" t="s">
        <v>54</v>
      </c>
      <c r="U69">
        <v>66.819999999999993</v>
      </c>
      <c r="V69">
        <v>1</v>
      </c>
      <c r="W69" s="19" t="s">
        <v>47</v>
      </c>
      <c r="X69">
        <v>21</v>
      </c>
      <c r="Y69">
        <v>4</v>
      </c>
      <c r="Z69">
        <v>2</v>
      </c>
      <c r="AA69">
        <v>1</v>
      </c>
      <c r="AB69">
        <v>3</v>
      </c>
      <c r="AC69">
        <v>2</v>
      </c>
      <c r="AD69">
        <v>3</v>
      </c>
      <c r="AE69">
        <v>3</v>
      </c>
      <c r="AF69">
        <v>2</v>
      </c>
      <c r="AG69">
        <v>0</v>
      </c>
      <c r="AH69">
        <v>2</v>
      </c>
      <c r="AI69">
        <v>1</v>
      </c>
      <c r="AJ69" s="19" t="s">
        <v>1566</v>
      </c>
      <c r="AK69" s="19" t="s">
        <v>1562</v>
      </c>
      <c r="AL69">
        <v>1</v>
      </c>
      <c r="AM69" s="19" t="s">
        <v>1565</v>
      </c>
      <c r="AN69">
        <v>-0.78324155396069606</v>
      </c>
      <c r="AO69">
        <v>128304</v>
      </c>
    </row>
    <row r="70" spans="1:41" x14ac:dyDescent="0.3">
      <c r="A70" s="19" t="s">
        <v>139</v>
      </c>
      <c r="B70">
        <v>23</v>
      </c>
      <c r="C70" s="19" t="s">
        <v>46</v>
      </c>
      <c r="D70" s="19" t="s">
        <v>55</v>
      </c>
      <c r="E70" s="19" t="s">
        <v>48</v>
      </c>
      <c r="F70">
        <v>160</v>
      </c>
      <c r="G70" s="19" t="s">
        <v>49</v>
      </c>
      <c r="H70">
        <v>4</v>
      </c>
      <c r="I70">
        <v>1</v>
      </c>
      <c r="J70" s="19" t="s">
        <v>58</v>
      </c>
      <c r="K70">
        <v>1735</v>
      </c>
      <c r="L70">
        <v>3</v>
      </c>
      <c r="M70" s="19" t="s">
        <v>59</v>
      </c>
      <c r="N70">
        <v>3</v>
      </c>
      <c r="O70">
        <v>1</v>
      </c>
      <c r="P70" s="19" t="s">
        <v>52</v>
      </c>
      <c r="Q70">
        <v>2</v>
      </c>
      <c r="R70" s="19" t="s">
        <v>53</v>
      </c>
      <c r="S70">
        <v>46758</v>
      </c>
      <c r="T70" s="19" t="s">
        <v>72</v>
      </c>
      <c r="U70">
        <v>292.24</v>
      </c>
      <c r="V70">
        <v>1</v>
      </c>
      <c r="W70" s="19" t="s">
        <v>55</v>
      </c>
      <c r="X70">
        <v>13</v>
      </c>
      <c r="Y70">
        <v>3</v>
      </c>
      <c r="Z70">
        <v>3</v>
      </c>
      <c r="AA70">
        <v>0</v>
      </c>
      <c r="AB70">
        <v>3</v>
      </c>
      <c r="AC70">
        <v>3</v>
      </c>
      <c r="AD70">
        <v>1</v>
      </c>
      <c r="AE70">
        <v>3</v>
      </c>
      <c r="AF70">
        <v>2</v>
      </c>
      <c r="AG70">
        <v>1</v>
      </c>
      <c r="AH70">
        <v>2</v>
      </c>
      <c r="AI70">
        <v>0</v>
      </c>
      <c r="AJ70" s="19" t="s">
        <v>1566</v>
      </c>
      <c r="AK70" s="19" t="s">
        <v>1562</v>
      </c>
      <c r="AL70">
        <v>2</v>
      </c>
      <c r="AM70" s="19" t="s">
        <v>1564</v>
      </c>
      <c r="AN70">
        <v>-9.5950135995792635E-2</v>
      </c>
      <c r="AO70">
        <v>561096</v>
      </c>
    </row>
    <row r="71" spans="1:41" x14ac:dyDescent="0.3">
      <c r="A71" s="19" t="s">
        <v>140</v>
      </c>
      <c r="B71">
        <v>23</v>
      </c>
      <c r="C71" s="19" t="s">
        <v>46</v>
      </c>
      <c r="D71" s="19" t="s">
        <v>55</v>
      </c>
      <c r="E71" s="19" t="s">
        <v>48</v>
      </c>
      <c r="F71">
        <v>571</v>
      </c>
      <c r="G71" s="19" t="s">
        <v>49</v>
      </c>
      <c r="H71">
        <v>12</v>
      </c>
      <c r="I71">
        <v>2</v>
      </c>
      <c r="J71" s="19" t="s">
        <v>82</v>
      </c>
      <c r="K71">
        <v>1982</v>
      </c>
      <c r="L71">
        <v>4</v>
      </c>
      <c r="M71" s="19" t="s">
        <v>51</v>
      </c>
      <c r="N71">
        <v>3</v>
      </c>
      <c r="O71">
        <v>1</v>
      </c>
      <c r="P71" s="19" t="s">
        <v>52</v>
      </c>
      <c r="Q71">
        <v>4</v>
      </c>
      <c r="R71" s="19" t="s">
        <v>53</v>
      </c>
      <c r="S71">
        <v>73409</v>
      </c>
      <c r="T71" s="19" t="s">
        <v>64</v>
      </c>
      <c r="U71">
        <v>458.81</v>
      </c>
      <c r="V71">
        <v>1</v>
      </c>
      <c r="W71" s="19" t="s">
        <v>55</v>
      </c>
      <c r="X71">
        <v>13</v>
      </c>
      <c r="Y71">
        <v>3</v>
      </c>
      <c r="Z71">
        <v>3</v>
      </c>
      <c r="AA71">
        <v>0</v>
      </c>
      <c r="AB71">
        <v>5</v>
      </c>
      <c r="AC71">
        <v>6</v>
      </c>
      <c r="AD71">
        <v>4</v>
      </c>
      <c r="AE71">
        <v>5</v>
      </c>
      <c r="AF71">
        <v>2</v>
      </c>
      <c r="AG71">
        <v>1</v>
      </c>
      <c r="AH71">
        <v>4</v>
      </c>
      <c r="AI71">
        <v>0</v>
      </c>
      <c r="AJ71" s="19" t="s">
        <v>1567</v>
      </c>
      <c r="AK71" s="19" t="s">
        <v>1562</v>
      </c>
      <c r="AL71">
        <v>0</v>
      </c>
      <c r="AM71" s="19" t="s">
        <v>1563</v>
      </c>
      <c r="AN71">
        <v>0.41933779175082037</v>
      </c>
      <c r="AO71">
        <v>880908</v>
      </c>
    </row>
    <row r="72" spans="1:41" x14ac:dyDescent="0.3">
      <c r="A72" s="19" t="s">
        <v>141</v>
      </c>
      <c r="B72">
        <v>23</v>
      </c>
      <c r="C72" s="19" t="s">
        <v>46</v>
      </c>
      <c r="D72" s="19" t="s">
        <v>47</v>
      </c>
      <c r="E72" s="19" t="s">
        <v>62</v>
      </c>
      <c r="F72">
        <v>638</v>
      </c>
      <c r="G72" s="19" t="s">
        <v>57</v>
      </c>
      <c r="H72">
        <v>9</v>
      </c>
      <c r="I72">
        <v>3</v>
      </c>
      <c r="J72" s="19" t="s">
        <v>63</v>
      </c>
      <c r="K72">
        <v>2023</v>
      </c>
      <c r="L72">
        <v>4</v>
      </c>
      <c r="M72" s="19" t="s">
        <v>51</v>
      </c>
      <c r="N72">
        <v>3</v>
      </c>
      <c r="O72">
        <v>1</v>
      </c>
      <c r="P72" s="19" t="s">
        <v>60</v>
      </c>
      <c r="Q72">
        <v>1</v>
      </c>
      <c r="R72" s="19" t="s">
        <v>113</v>
      </c>
      <c r="S72">
        <v>72211</v>
      </c>
      <c r="T72" s="19" t="s">
        <v>64</v>
      </c>
      <c r="U72">
        <v>451.32</v>
      </c>
      <c r="V72">
        <v>1</v>
      </c>
      <c r="W72" s="19" t="s">
        <v>55</v>
      </c>
      <c r="X72">
        <v>19</v>
      </c>
      <c r="Y72">
        <v>3</v>
      </c>
      <c r="Z72">
        <v>1</v>
      </c>
      <c r="AA72">
        <v>1</v>
      </c>
      <c r="AB72">
        <v>1</v>
      </c>
      <c r="AC72">
        <v>3</v>
      </c>
      <c r="AD72">
        <v>2</v>
      </c>
      <c r="AE72">
        <v>1</v>
      </c>
      <c r="AF72">
        <v>0</v>
      </c>
      <c r="AG72">
        <v>1</v>
      </c>
      <c r="AH72">
        <v>0</v>
      </c>
      <c r="AI72">
        <v>1</v>
      </c>
      <c r="AJ72" s="19" t="s">
        <v>1561</v>
      </c>
      <c r="AK72" s="19" t="s">
        <v>1562</v>
      </c>
      <c r="AL72">
        <v>2</v>
      </c>
      <c r="AM72" s="19" t="s">
        <v>1564</v>
      </c>
      <c r="AN72">
        <v>0.46393042900712478</v>
      </c>
      <c r="AO72">
        <v>866532</v>
      </c>
    </row>
    <row r="73" spans="1:41" x14ac:dyDescent="0.3">
      <c r="A73" s="19" t="s">
        <v>142</v>
      </c>
      <c r="B73">
        <v>24</v>
      </c>
      <c r="C73" s="19" t="s">
        <v>46</v>
      </c>
      <c r="D73" s="19" t="s">
        <v>55</v>
      </c>
      <c r="E73" s="19" t="s">
        <v>66</v>
      </c>
      <c r="F73">
        <v>673</v>
      </c>
      <c r="G73" s="19" t="s">
        <v>49</v>
      </c>
      <c r="H73">
        <v>11</v>
      </c>
      <c r="I73">
        <v>2</v>
      </c>
      <c r="J73" s="19" t="s">
        <v>82</v>
      </c>
      <c r="K73">
        <v>26</v>
      </c>
      <c r="L73">
        <v>1</v>
      </c>
      <c r="M73" s="19" t="s">
        <v>59</v>
      </c>
      <c r="N73">
        <v>4</v>
      </c>
      <c r="O73">
        <v>2</v>
      </c>
      <c r="P73" s="19" t="s">
        <v>120</v>
      </c>
      <c r="Q73">
        <v>3</v>
      </c>
      <c r="R73" s="19" t="s">
        <v>53</v>
      </c>
      <c r="S73">
        <v>66697</v>
      </c>
      <c r="T73" s="19" t="s">
        <v>64</v>
      </c>
      <c r="U73">
        <v>416.86</v>
      </c>
      <c r="V73">
        <v>0</v>
      </c>
      <c r="W73" s="19" t="s">
        <v>55</v>
      </c>
      <c r="X73">
        <v>18</v>
      </c>
      <c r="Y73">
        <v>3</v>
      </c>
      <c r="Z73">
        <v>4</v>
      </c>
      <c r="AA73">
        <v>1</v>
      </c>
      <c r="AB73">
        <v>5</v>
      </c>
      <c r="AC73">
        <v>5</v>
      </c>
      <c r="AD73">
        <v>2</v>
      </c>
      <c r="AE73">
        <v>4</v>
      </c>
      <c r="AF73">
        <v>2</v>
      </c>
      <c r="AG73">
        <v>1</v>
      </c>
      <c r="AH73">
        <v>3</v>
      </c>
      <c r="AI73">
        <v>0</v>
      </c>
      <c r="AJ73" s="19" t="s">
        <v>1567</v>
      </c>
      <c r="AK73" s="19" t="s">
        <v>1562</v>
      </c>
      <c r="AL73">
        <v>1</v>
      </c>
      <c r="AM73" s="19" t="s">
        <v>1565</v>
      </c>
      <c r="AN73">
        <v>0.50573416075999211</v>
      </c>
      <c r="AO73">
        <v>800364</v>
      </c>
    </row>
    <row r="74" spans="1:41" x14ac:dyDescent="0.3">
      <c r="A74" s="19" t="s">
        <v>143</v>
      </c>
      <c r="B74">
        <v>24</v>
      </c>
      <c r="C74" s="19" t="s">
        <v>46</v>
      </c>
      <c r="D74" s="19" t="s">
        <v>47</v>
      </c>
      <c r="E74" s="19" t="s">
        <v>48</v>
      </c>
      <c r="F74">
        <v>813</v>
      </c>
      <c r="G74" s="19" t="s">
        <v>49</v>
      </c>
      <c r="H74">
        <v>1</v>
      </c>
      <c r="I74">
        <v>3</v>
      </c>
      <c r="J74" s="19" t="s">
        <v>58</v>
      </c>
      <c r="K74">
        <v>45</v>
      </c>
      <c r="L74">
        <v>2</v>
      </c>
      <c r="M74" s="19" t="s">
        <v>51</v>
      </c>
      <c r="N74">
        <v>3</v>
      </c>
      <c r="O74">
        <v>1</v>
      </c>
      <c r="P74" s="19" t="s">
        <v>67</v>
      </c>
      <c r="Q74">
        <v>4</v>
      </c>
      <c r="R74" s="19" t="s">
        <v>113</v>
      </c>
      <c r="S74">
        <v>38065</v>
      </c>
      <c r="T74" s="19" t="s">
        <v>72</v>
      </c>
      <c r="U74">
        <v>237.91</v>
      </c>
      <c r="V74">
        <v>2</v>
      </c>
      <c r="W74" s="19" t="s">
        <v>47</v>
      </c>
      <c r="X74">
        <v>16</v>
      </c>
      <c r="Y74">
        <v>3</v>
      </c>
      <c r="Z74">
        <v>1</v>
      </c>
      <c r="AA74">
        <v>1</v>
      </c>
      <c r="AB74">
        <v>6</v>
      </c>
      <c r="AC74">
        <v>2</v>
      </c>
      <c r="AD74">
        <v>2</v>
      </c>
      <c r="AE74">
        <v>2</v>
      </c>
      <c r="AF74">
        <v>0</v>
      </c>
      <c r="AG74">
        <v>2</v>
      </c>
      <c r="AH74">
        <v>0</v>
      </c>
      <c r="AI74">
        <v>1</v>
      </c>
      <c r="AJ74" s="19" t="s">
        <v>1566</v>
      </c>
      <c r="AK74" s="19" t="s">
        <v>1562</v>
      </c>
      <c r="AL74">
        <v>2</v>
      </c>
      <c r="AM74" s="19" t="s">
        <v>1564</v>
      </c>
      <c r="AN74">
        <v>-0.23665580070808054</v>
      </c>
      <c r="AO74">
        <v>456780</v>
      </c>
    </row>
    <row r="75" spans="1:41" x14ac:dyDescent="0.3">
      <c r="A75" s="19" t="s">
        <v>144</v>
      </c>
      <c r="B75">
        <v>24</v>
      </c>
      <c r="C75" s="19" t="s">
        <v>46</v>
      </c>
      <c r="D75" s="19" t="s">
        <v>55</v>
      </c>
      <c r="E75" s="19" t="s">
        <v>48</v>
      </c>
      <c r="F75">
        <v>1353</v>
      </c>
      <c r="G75" s="19" t="s">
        <v>57</v>
      </c>
      <c r="H75">
        <v>3</v>
      </c>
      <c r="I75">
        <v>2</v>
      </c>
      <c r="J75" s="19" t="s">
        <v>82</v>
      </c>
      <c r="K75">
        <v>128</v>
      </c>
      <c r="L75">
        <v>1</v>
      </c>
      <c r="M75" s="19" t="s">
        <v>59</v>
      </c>
      <c r="N75">
        <v>3</v>
      </c>
      <c r="O75">
        <v>2</v>
      </c>
      <c r="P75" s="19" t="s">
        <v>145</v>
      </c>
      <c r="Q75">
        <v>3</v>
      </c>
      <c r="R75" s="19" t="s">
        <v>113</v>
      </c>
      <c r="S75">
        <v>93093</v>
      </c>
      <c r="T75" s="19" t="s">
        <v>70</v>
      </c>
      <c r="U75">
        <v>581.83000000000004</v>
      </c>
      <c r="V75">
        <v>0</v>
      </c>
      <c r="W75" s="19" t="s">
        <v>55</v>
      </c>
      <c r="X75">
        <v>21</v>
      </c>
      <c r="Y75">
        <v>4</v>
      </c>
      <c r="Z75">
        <v>1</v>
      </c>
      <c r="AA75">
        <v>1</v>
      </c>
      <c r="AB75">
        <v>4</v>
      </c>
      <c r="AC75">
        <v>2</v>
      </c>
      <c r="AD75">
        <v>2</v>
      </c>
      <c r="AE75">
        <v>3</v>
      </c>
      <c r="AF75">
        <v>2</v>
      </c>
      <c r="AG75">
        <v>0</v>
      </c>
      <c r="AH75">
        <v>2</v>
      </c>
      <c r="AI75">
        <v>0</v>
      </c>
      <c r="AJ75" s="19" t="s">
        <v>1566</v>
      </c>
      <c r="AK75" s="19" t="s">
        <v>1562</v>
      </c>
      <c r="AL75">
        <v>1</v>
      </c>
      <c r="AM75" s="19" t="s">
        <v>1565</v>
      </c>
      <c r="AN75">
        <v>0.89761216678587297</v>
      </c>
      <c r="AO75">
        <v>1117116</v>
      </c>
    </row>
    <row r="76" spans="1:41" x14ac:dyDescent="0.3">
      <c r="A76" s="19" t="s">
        <v>146</v>
      </c>
      <c r="B76">
        <v>24</v>
      </c>
      <c r="C76" s="19" t="s">
        <v>46</v>
      </c>
      <c r="D76" s="19" t="s">
        <v>55</v>
      </c>
      <c r="E76" s="19" t="s">
        <v>48</v>
      </c>
      <c r="F76">
        <v>1127</v>
      </c>
      <c r="G76" s="19" t="s">
        <v>49</v>
      </c>
      <c r="H76">
        <v>18</v>
      </c>
      <c r="I76">
        <v>1</v>
      </c>
      <c r="J76" s="19" t="s">
        <v>50</v>
      </c>
      <c r="K76">
        <v>150</v>
      </c>
      <c r="L76">
        <v>2</v>
      </c>
      <c r="M76" s="19" t="s">
        <v>51</v>
      </c>
      <c r="N76">
        <v>3</v>
      </c>
      <c r="O76">
        <v>1</v>
      </c>
      <c r="P76" s="19" t="s">
        <v>52</v>
      </c>
      <c r="Q76">
        <v>3</v>
      </c>
      <c r="R76" s="19" t="s">
        <v>113</v>
      </c>
      <c r="S76">
        <v>33606</v>
      </c>
      <c r="T76" s="19" t="s">
        <v>72</v>
      </c>
      <c r="U76">
        <v>210.04</v>
      </c>
      <c r="V76">
        <v>0</v>
      </c>
      <c r="W76" s="19" t="s">
        <v>55</v>
      </c>
      <c r="X76">
        <v>12</v>
      </c>
      <c r="Y76">
        <v>3</v>
      </c>
      <c r="Z76">
        <v>3</v>
      </c>
      <c r="AA76">
        <v>1</v>
      </c>
      <c r="AB76">
        <v>6</v>
      </c>
      <c r="AC76">
        <v>2</v>
      </c>
      <c r="AD76">
        <v>3</v>
      </c>
      <c r="AE76">
        <v>5</v>
      </c>
      <c r="AF76">
        <v>3</v>
      </c>
      <c r="AG76">
        <v>1</v>
      </c>
      <c r="AH76">
        <v>2</v>
      </c>
      <c r="AI76">
        <v>0</v>
      </c>
      <c r="AJ76" s="19" t="s">
        <v>1567</v>
      </c>
      <c r="AK76" s="19" t="s">
        <v>1562</v>
      </c>
      <c r="AL76">
        <v>0</v>
      </c>
      <c r="AM76" s="19" t="s">
        <v>1563</v>
      </c>
      <c r="AN76">
        <v>-0.35023953698350246</v>
      </c>
      <c r="AO76">
        <v>403272</v>
      </c>
    </row>
    <row r="77" spans="1:41" x14ac:dyDescent="0.3">
      <c r="A77" s="19" t="s">
        <v>147</v>
      </c>
      <c r="B77">
        <v>24</v>
      </c>
      <c r="C77" s="19" t="s">
        <v>46</v>
      </c>
      <c r="D77" s="19" t="s">
        <v>55</v>
      </c>
      <c r="E77" s="19" t="s">
        <v>48</v>
      </c>
      <c r="F77">
        <v>1371</v>
      </c>
      <c r="G77" s="19" t="s">
        <v>57</v>
      </c>
      <c r="H77">
        <v>10</v>
      </c>
      <c r="I77">
        <v>4</v>
      </c>
      <c r="J77" s="19" t="s">
        <v>63</v>
      </c>
      <c r="K77">
        <v>507</v>
      </c>
      <c r="L77">
        <v>4</v>
      </c>
      <c r="M77" s="19" t="s">
        <v>59</v>
      </c>
      <c r="N77">
        <v>3</v>
      </c>
      <c r="O77">
        <v>2</v>
      </c>
      <c r="P77" s="19" t="s">
        <v>145</v>
      </c>
      <c r="Q77">
        <v>3</v>
      </c>
      <c r="R77" s="19" t="s">
        <v>53</v>
      </c>
      <c r="S77">
        <v>12534</v>
      </c>
      <c r="T77" s="19" t="s">
        <v>54</v>
      </c>
      <c r="U77">
        <v>78.34</v>
      </c>
      <c r="V77">
        <v>1</v>
      </c>
      <c r="W77" s="19" t="s">
        <v>47</v>
      </c>
      <c r="X77">
        <v>12</v>
      </c>
      <c r="Y77">
        <v>3</v>
      </c>
      <c r="Z77">
        <v>4</v>
      </c>
      <c r="AA77">
        <v>1</v>
      </c>
      <c r="AB77">
        <v>5</v>
      </c>
      <c r="AC77">
        <v>2</v>
      </c>
      <c r="AD77">
        <v>4</v>
      </c>
      <c r="AE77">
        <v>5</v>
      </c>
      <c r="AF77">
        <v>2</v>
      </c>
      <c r="AG77">
        <v>0</v>
      </c>
      <c r="AH77">
        <v>3</v>
      </c>
      <c r="AI77">
        <v>0</v>
      </c>
      <c r="AJ77" s="19" t="s">
        <v>1567</v>
      </c>
      <c r="AK77" s="19" t="s">
        <v>1562</v>
      </c>
      <c r="AL77">
        <v>1</v>
      </c>
      <c r="AM77" s="19" t="s">
        <v>1565</v>
      </c>
      <c r="AN77">
        <v>-0.74450634420961692</v>
      </c>
      <c r="AO77">
        <v>150408</v>
      </c>
    </row>
    <row r="78" spans="1:41" x14ac:dyDescent="0.3">
      <c r="A78" s="19" t="s">
        <v>148</v>
      </c>
      <c r="B78">
        <v>24</v>
      </c>
      <c r="C78" s="19" t="s">
        <v>46</v>
      </c>
      <c r="D78" s="19" t="s">
        <v>47</v>
      </c>
      <c r="E78" s="19" t="s">
        <v>48</v>
      </c>
      <c r="F78">
        <v>1448</v>
      </c>
      <c r="G78" s="19" t="s">
        <v>57</v>
      </c>
      <c r="H78">
        <v>1</v>
      </c>
      <c r="I78">
        <v>1</v>
      </c>
      <c r="J78" s="19" t="s">
        <v>77</v>
      </c>
      <c r="K78">
        <v>554</v>
      </c>
      <c r="L78">
        <v>1</v>
      </c>
      <c r="M78" s="19" t="s">
        <v>59</v>
      </c>
      <c r="N78">
        <v>3</v>
      </c>
      <c r="O78">
        <v>1</v>
      </c>
      <c r="P78" s="19" t="s">
        <v>60</v>
      </c>
      <c r="Q78">
        <v>2</v>
      </c>
      <c r="R78" s="19" t="s">
        <v>53</v>
      </c>
      <c r="S78">
        <v>95663</v>
      </c>
      <c r="T78" s="19" t="s">
        <v>70</v>
      </c>
      <c r="U78">
        <v>597.89</v>
      </c>
      <c r="V78">
        <v>1</v>
      </c>
      <c r="W78" s="19" t="s">
        <v>47</v>
      </c>
      <c r="X78">
        <v>16</v>
      </c>
      <c r="Y78">
        <v>3</v>
      </c>
      <c r="Z78">
        <v>2</v>
      </c>
      <c r="AA78">
        <v>0</v>
      </c>
      <c r="AB78">
        <v>6</v>
      </c>
      <c r="AC78">
        <v>4</v>
      </c>
      <c r="AD78">
        <v>3</v>
      </c>
      <c r="AE78">
        <v>5</v>
      </c>
      <c r="AF78">
        <v>3</v>
      </c>
      <c r="AG78">
        <v>1</v>
      </c>
      <c r="AH78">
        <v>4</v>
      </c>
      <c r="AI78">
        <v>1</v>
      </c>
      <c r="AJ78" s="19" t="s">
        <v>1567</v>
      </c>
      <c r="AK78" s="19" t="s">
        <v>1562</v>
      </c>
      <c r="AL78">
        <v>2</v>
      </c>
      <c r="AM78" s="19" t="s">
        <v>1564</v>
      </c>
      <c r="AN78">
        <v>0.93937179418798489</v>
      </c>
      <c r="AO78">
        <v>1147956</v>
      </c>
    </row>
    <row r="79" spans="1:41" x14ac:dyDescent="0.3">
      <c r="A79" s="19" t="s">
        <v>141</v>
      </c>
      <c r="B79">
        <v>23</v>
      </c>
      <c r="C79" s="19" t="s">
        <v>46</v>
      </c>
      <c r="D79" s="19" t="s">
        <v>47</v>
      </c>
      <c r="E79" s="19" t="s">
        <v>62</v>
      </c>
      <c r="F79">
        <v>638</v>
      </c>
      <c r="G79" s="19" t="s">
        <v>57</v>
      </c>
      <c r="H79">
        <v>9</v>
      </c>
      <c r="I79">
        <v>3</v>
      </c>
      <c r="J79" s="19" t="s">
        <v>63</v>
      </c>
      <c r="K79">
        <v>2023</v>
      </c>
      <c r="L79">
        <v>4</v>
      </c>
      <c r="M79" s="19" t="s">
        <v>51</v>
      </c>
      <c r="N79">
        <v>3</v>
      </c>
      <c r="O79">
        <v>1</v>
      </c>
      <c r="P79" s="19" t="s">
        <v>60</v>
      </c>
      <c r="Q79">
        <v>1</v>
      </c>
      <c r="R79" s="19" t="s">
        <v>113</v>
      </c>
      <c r="S79">
        <v>72211</v>
      </c>
      <c r="T79" s="19" t="s">
        <v>64</v>
      </c>
      <c r="U79">
        <v>451.32</v>
      </c>
      <c r="V79">
        <v>1</v>
      </c>
      <c r="W79" s="19" t="s">
        <v>55</v>
      </c>
      <c r="X79">
        <v>19</v>
      </c>
      <c r="Y79">
        <v>3</v>
      </c>
      <c r="Z79">
        <v>1</v>
      </c>
      <c r="AA79">
        <v>1</v>
      </c>
      <c r="AB79">
        <v>1</v>
      </c>
      <c r="AC79">
        <v>3</v>
      </c>
      <c r="AD79">
        <v>2</v>
      </c>
      <c r="AE79">
        <v>1</v>
      </c>
      <c r="AF79">
        <v>0</v>
      </c>
      <c r="AG79">
        <v>1</v>
      </c>
      <c r="AH79">
        <v>1</v>
      </c>
      <c r="AI79">
        <v>1</v>
      </c>
      <c r="AJ79" s="19" t="s">
        <v>1561</v>
      </c>
      <c r="AK79" s="19" t="s">
        <v>1562</v>
      </c>
      <c r="AL79">
        <v>2</v>
      </c>
      <c r="AM79" s="19" t="s">
        <v>1564</v>
      </c>
      <c r="AN79">
        <v>0.46393042900712478</v>
      </c>
      <c r="AO79">
        <v>866532</v>
      </c>
    </row>
    <row r="80" spans="1:41" x14ac:dyDescent="0.3">
      <c r="A80" s="19" t="s">
        <v>149</v>
      </c>
      <c r="B80">
        <v>24</v>
      </c>
      <c r="C80" s="19" t="s">
        <v>46</v>
      </c>
      <c r="D80" s="19" t="s">
        <v>55</v>
      </c>
      <c r="E80" s="19" t="s">
        <v>48</v>
      </c>
      <c r="F80">
        <v>691</v>
      </c>
      <c r="G80" s="19" t="s">
        <v>49</v>
      </c>
      <c r="H80">
        <v>23</v>
      </c>
      <c r="I80">
        <v>3</v>
      </c>
      <c r="J80" s="19" t="s">
        <v>58</v>
      </c>
      <c r="K80">
        <v>639</v>
      </c>
      <c r="L80">
        <v>2</v>
      </c>
      <c r="M80" s="19" t="s">
        <v>51</v>
      </c>
      <c r="N80">
        <v>4</v>
      </c>
      <c r="O80">
        <v>1</v>
      </c>
      <c r="P80" s="19" t="s">
        <v>67</v>
      </c>
      <c r="Q80">
        <v>4</v>
      </c>
      <c r="R80" s="19" t="s">
        <v>113</v>
      </c>
      <c r="S80">
        <v>92387</v>
      </c>
      <c r="T80" s="19" t="s">
        <v>70</v>
      </c>
      <c r="U80">
        <v>577.41999999999996</v>
      </c>
      <c r="V80">
        <v>1</v>
      </c>
      <c r="W80" s="19" t="s">
        <v>47</v>
      </c>
      <c r="X80">
        <v>11</v>
      </c>
      <c r="Y80">
        <v>3</v>
      </c>
      <c r="Z80">
        <v>2</v>
      </c>
      <c r="AA80">
        <v>2</v>
      </c>
      <c r="AB80">
        <v>6</v>
      </c>
      <c r="AC80">
        <v>3</v>
      </c>
      <c r="AD80">
        <v>3</v>
      </c>
      <c r="AE80">
        <v>6</v>
      </c>
      <c r="AF80">
        <v>5</v>
      </c>
      <c r="AG80">
        <v>1</v>
      </c>
      <c r="AH80">
        <v>4</v>
      </c>
      <c r="AI80">
        <v>0</v>
      </c>
      <c r="AJ80" s="19" t="s">
        <v>1569</v>
      </c>
      <c r="AK80" s="19" t="s">
        <v>1562</v>
      </c>
      <c r="AL80">
        <v>1</v>
      </c>
      <c r="AM80" s="19" t="s">
        <v>1565</v>
      </c>
      <c r="AN80">
        <v>0.85270144594726294</v>
      </c>
      <c r="AO80">
        <v>1108644</v>
      </c>
    </row>
    <row r="81" spans="1:41" x14ac:dyDescent="0.3">
      <c r="A81" s="19" t="s">
        <v>150</v>
      </c>
      <c r="B81">
        <v>24</v>
      </c>
      <c r="C81" s="19" t="s">
        <v>46</v>
      </c>
      <c r="D81" s="19" t="s">
        <v>55</v>
      </c>
      <c r="E81" s="19" t="s">
        <v>48</v>
      </c>
      <c r="F81">
        <v>823</v>
      </c>
      <c r="G81" s="19" t="s">
        <v>49</v>
      </c>
      <c r="H81">
        <v>17</v>
      </c>
      <c r="I81">
        <v>2</v>
      </c>
      <c r="J81" s="19" t="s">
        <v>82</v>
      </c>
      <c r="K81">
        <v>643</v>
      </c>
      <c r="L81">
        <v>4</v>
      </c>
      <c r="M81" s="19" t="s">
        <v>51</v>
      </c>
      <c r="N81">
        <v>2</v>
      </c>
      <c r="O81">
        <v>1</v>
      </c>
      <c r="P81" s="19" t="s">
        <v>52</v>
      </c>
      <c r="Q81">
        <v>2</v>
      </c>
      <c r="R81" s="19" t="s">
        <v>113</v>
      </c>
      <c r="S81">
        <v>2016</v>
      </c>
      <c r="T81" s="19" t="s">
        <v>54</v>
      </c>
      <c r="U81">
        <v>12.6</v>
      </c>
      <c r="V81">
        <v>1</v>
      </c>
      <c r="W81" s="19" t="s">
        <v>55</v>
      </c>
      <c r="X81">
        <v>21</v>
      </c>
      <c r="Y81">
        <v>4</v>
      </c>
      <c r="Z81">
        <v>4</v>
      </c>
      <c r="AA81">
        <v>1</v>
      </c>
      <c r="AB81">
        <v>1</v>
      </c>
      <c r="AC81">
        <v>2</v>
      </c>
      <c r="AD81">
        <v>3</v>
      </c>
      <c r="AE81">
        <v>1</v>
      </c>
      <c r="AF81">
        <v>0</v>
      </c>
      <c r="AG81">
        <v>0</v>
      </c>
      <c r="AH81">
        <v>0</v>
      </c>
      <c r="AI81">
        <v>0</v>
      </c>
      <c r="AJ81" s="19" t="s">
        <v>1561</v>
      </c>
      <c r="AK81" s="19" t="s">
        <v>1562</v>
      </c>
      <c r="AL81">
        <v>1</v>
      </c>
      <c r="AM81" s="19" t="s">
        <v>1565</v>
      </c>
      <c r="AN81">
        <v>-0.96102133269531453</v>
      </c>
      <c r="AO81">
        <v>24192</v>
      </c>
    </row>
    <row r="82" spans="1:41" x14ac:dyDescent="0.3">
      <c r="A82" s="19" t="s">
        <v>151</v>
      </c>
      <c r="B82">
        <v>24</v>
      </c>
      <c r="C82" s="19" t="s">
        <v>46</v>
      </c>
      <c r="D82" s="19" t="s">
        <v>47</v>
      </c>
      <c r="E82" s="19" t="s">
        <v>62</v>
      </c>
      <c r="F82">
        <v>1287</v>
      </c>
      <c r="G82" s="19" t="s">
        <v>49</v>
      </c>
      <c r="H82">
        <v>7</v>
      </c>
      <c r="I82">
        <v>3</v>
      </c>
      <c r="J82" s="19" t="s">
        <v>50</v>
      </c>
      <c r="K82">
        <v>647</v>
      </c>
      <c r="L82">
        <v>1</v>
      </c>
      <c r="M82" s="19" t="s">
        <v>59</v>
      </c>
      <c r="N82">
        <v>3</v>
      </c>
      <c r="O82">
        <v>1</v>
      </c>
      <c r="P82" s="19" t="s">
        <v>52</v>
      </c>
      <c r="Q82">
        <v>3</v>
      </c>
      <c r="R82" s="19" t="s">
        <v>113</v>
      </c>
      <c r="S82">
        <v>90789</v>
      </c>
      <c r="T82" s="19" t="s">
        <v>70</v>
      </c>
      <c r="U82">
        <v>567.42999999999995</v>
      </c>
      <c r="V82">
        <v>1</v>
      </c>
      <c r="W82" s="19" t="s">
        <v>47</v>
      </c>
      <c r="X82">
        <v>16</v>
      </c>
      <c r="Y82">
        <v>3</v>
      </c>
      <c r="Z82">
        <v>4</v>
      </c>
      <c r="AA82">
        <v>1</v>
      </c>
      <c r="AB82">
        <v>6</v>
      </c>
      <c r="AC82">
        <v>4</v>
      </c>
      <c r="AD82">
        <v>3</v>
      </c>
      <c r="AE82">
        <v>6</v>
      </c>
      <c r="AF82">
        <v>3</v>
      </c>
      <c r="AG82">
        <v>1</v>
      </c>
      <c r="AH82">
        <v>2</v>
      </c>
      <c r="AI82">
        <v>1</v>
      </c>
      <c r="AJ82" s="19" t="s">
        <v>1569</v>
      </c>
      <c r="AK82" s="19" t="s">
        <v>1562</v>
      </c>
      <c r="AL82">
        <v>1</v>
      </c>
      <c r="AM82" s="19" t="s">
        <v>1565</v>
      </c>
      <c r="AN82">
        <v>0.75537412000252324</v>
      </c>
      <c r="AO82">
        <v>1089468</v>
      </c>
    </row>
    <row r="83" spans="1:41" x14ac:dyDescent="0.3">
      <c r="A83" s="19" t="s">
        <v>152</v>
      </c>
      <c r="B83">
        <v>24</v>
      </c>
      <c r="C83" s="19" t="s">
        <v>46</v>
      </c>
      <c r="D83" s="19" t="s">
        <v>47</v>
      </c>
      <c r="E83" s="19" t="s">
        <v>48</v>
      </c>
      <c r="F83">
        <v>693</v>
      </c>
      <c r="G83" s="19" t="s">
        <v>57</v>
      </c>
      <c r="H83">
        <v>3</v>
      </c>
      <c r="I83">
        <v>2</v>
      </c>
      <c r="J83" s="19" t="s">
        <v>50</v>
      </c>
      <c r="K83">
        <v>720</v>
      </c>
      <c r="L83">
        <v>1</v>
      </c>
      <c r="M83" s="19" t="s">
        <v>59</v>
      </c>
      <c r="N83">
        <v>3</v>
      </c>
      <c r="O83">
        <v>2</v>
      </c>
      <c r="P83" s="19" t="s">
        <v>145</v>
      </c>
      <c r="Q83">
        <v>3</v>
      </c>
      <c r="R83" s="19" t="s">
        <v>53</v>
      </c>
      <c r="S83">
        <v>56591</v>
      </c>
      <c r="T83" s="19" t="s">
        <v>64</v>
      </c>
      <c r="U83">
        <v>353.69</v>
      </c>
      <c r="V83">
        <v>9</v>
      </c>
      <c r="W83" s="19" t="s">
        <v>55</v>
      </c>
      <c r="X83">
        <v>14</v>
      </c>
      <c r="Y83">
        <v>3</v>
      </c>
      <c r="Z83">
        <v>1</v>
      </c>
      <c r="AA83">
        <v>0</v>
      </c>
      <c r="AB83">
        <v>4</v>
      </c>
      <c r="AC83">
        <v>3</v>
      </c>
      <c r="AD83">
        <v>3</v>
      </c>
      <c r="AE83">
        <v>2</v>
      </c>
      <c r="AF83">
        <v>2</v>
      </c>
      <c r="AG83">
        <v>2</v>
      </c>
      <c r="AH83">
        <v>0</v>
      </c>
      <c r="AI83">
        <v>1</v>
      </c>
      <c r="AJ83" s="19" t="s">
        <v>1566</v>
      </c>
      <c r="AK83" s="19" t="s">
        <v>1562</v>
      </c>
      <c r="AL83">
        <v>0</v>
      </c>
      <c r="AM83" s="19" t="s">
        <v>1563</v>
      </c>
      <c r="AN83">
        <v>0.15355365205310106</v>
      </c>
      <c r="AO83">
        <v>679092</v>
      </c>
    </row>
    <row r="84" spans="1:41" x14ac:dyDescent="0.3">
      <c r="A84" s="19" t="s">
        <v>153</v>
      </c>
      <c r="B84">
        <v>24</v>
      </c>
      <c r="C84" s="19" t="s">
        <v>46</v>
      </c>
      <c r="D84" s="19" t="s">
        <v>55</v>
      </c>
      <c r="E84" s="19" t="s">
        <v>66</v>
      </c>
      <c r="F84">
        <v>1092</v>
      </c>
      <c r="G84" s="19" t="s">
        <v>49</v>
      </c>
      <c r="H84">
        <v>9</v>
      </c>
      <c r="I84">
        <v>3</v>
      </c>
      <c r="J84" s="19" t="s">
        <v>50</v>
      </c>
      <c r="K84">
        <v>812</v>
      </c>
      <c r="L84">
        <v>3</v>
      </c>
      <c r="M84" s="19" t="s">
        <v>51</v>
      </c>
      <c r="N84">
        <v>2</v>
      </c>
      <c r="O84">
        <v>1</v>
      </c>
      <c r="P84" s="19" t="s">
        <v>52</v>
      </c>
      <c r="Q84">
        <v>2</v>
      </c>
      <c r="R84" s="19" t="s">
        <v>53</v>
      </c>
      <c r="S84">
        <v>90812</v>
      </c>
      <c r="T84" s="19" t="s">
        <v>70</v>
      </c>
      <c r="U84">
        <v>567.58000000000004</v>
      </c>
      <c r="V84">
        <v>1</v>
      </c>
      <c r="W84" s="19" t="s">
        <v>55</v>
      </c>
      <c r="X84">
        <v>11</v>
      </c>
      <c r="Y84">
        <v>3</v>
      </c>
      <c r="Z84">
        <v>3</v>
      </c>
      <c r="AA84">
        <v>3</v>
      </c>
      <c r="AB84">
        <v>1</v>
      </c>
      <c r="AC84">
        <v>4</v>
      </c>
      <c r="AD84">
        <v>3</v>
      </c>
      <c r="AE84">
        <v>1</v>
      </c>
      <c r="AF84">
        <v>0</v>
      </c>
      <c r="AG84">
        <v>0</v>
      </c>
      <c r="AH84">
        <v>0</v>
      </c>
      <c r="AI84">
        <v>0</v>
      </c>
      <c r="AJ84" s="19" t="s">
        <v>1561</v>
      </c>
      <c r="AK84" s="19" t="s">
        <v>1562</v>
      </c>
      <c r="AL84">
        <v>1</v>
      </c>
      <c r="AM84" s="19" t="s">
        <v>1565</v>
      </c>
      <c r="AN84">
        <v>0.7558188170997493</v>
      </c>
      <c r="AO84">
        <v>1089744</v>
      </c>
    </row>
    <row r="85" spans="1:41" x14ac:dyDescent="0.3">
      <c r="A85" s="19" t="s">
        <v>154</v>
      </c>
      <c r="B85">
        <v>24</v>
      </c>
      <c r="C85" s="19" t="s">
        <v>46</v>
      </c>
      <c r="D85" s="19" t="s">
        <v>55</v>
      </c>
      <c r="E85" s="19" t="s">
        <v>66</v>
      </c>
      <c r="F85">
        <v>1269</v>
      </c>
      <c r="G85" s="19" t="s">
        <v>49</v>
      </c>
      <c r="H85">
        <v>4</v>
      </c>
      <c r="I85">
        <v>1</v>
      </c>
      <c r="J85" s="19" t="s">
        <v>50</v>
      </c>
      <c r="K85">
        <v>888</v>
      </c>
      <c r="L85">
        <v>1</v>
      </c>
      <c r="M85" s="19" t="s">
        <v>51</v>
      </c>
      <c r="N85">
        <v>2</v>
      </c>
      <c r="O85">
        <v>1</v>
      </c>
      <c r="P85" s="19" t="s">
        <v>52</v>
      </c>
      <c r="Q85">
        <v>4</v>
      </c>
      <c r="R85" s="19" t="s">
        <v>113</v>
      </c>
      <c r="S85">
        <v>24247</v>
      </c>
      <c r="T85" s="19" t="s">
        <v>54</v>
      </c>
      <c r="U85">
        <v>151.54</v>
      </c>
      <c r="V85">
        <v>0</v>
      </c>
      <c r="W85" s="19" t="s">
        <v>55</v>
      </c>
      <c r="X85">
        <v>17</v>
      </c>
      <c r="Y85">
        <v>3</v>
      </c>
      <c r="Z85">
        <v>4</v>
      </c>
      <c r="AA85">
        <v>0</v>
      </c>
      <c r="AB85">
        <v>6</v>
      </c>
      <c r="AC85">
        <v>2</v>
      </c>
      <c r="AD85">
        <v>2</v>
      </c>
      <c r="AE85">
        <v>5</v>
      </c>
      <c r="AF85">
        <v>2</v>
      </c>
      <c r="AG85">
        <v>3</v>
      </c>
      <c r="AH85">
        <v>4</v>
      </c>
      <c r="AI85">
        <v>0</v>
      </c>
      <c r="AJ85" s="19" t="s">
        <v>1567</v>
      </c>
      <c r="AK85" s="19" t="s">
        <v>1570</v>
      </c>
      <c r="AL85">
        <v>2</v>
      </c>
      <c r="AM85" s="19" t="s">
        <v>1564</v>
      </c>
      <c r="AN85">
        <v>-0.53119258624171228</v>
      </c>
      <c r="AO85">
        <v>290964</v>
      </c>
    </row>
    <row r="86" spans="1:41" x14ac:dyDescent="0.3">
      <c r="A86" s="19" t="s">
        <v>155</v>
      </c>
      <c r="B86">
        <v>24</v>
      </c>
      <c r="C86" s="19" t="s">
        <v>46</v>
      </c>
      <c r="D86" s="19" t="s">
        <v>55</v>
      </c>
      <c r="E86" s="19" t="s">
        <v>48</v>
      </c>
      <c r="F86">
        <v>1206</v>
      </c>
      <c r="G86" s="19" t="s">
        <v>49</v>
      </c>
      <c r="H86">
        <v>17</v>
      </c>
      <c r="I86">
        <v>1</v>
      </c>
      <c r="J86" s="19" t="s">
        <v>58</v>
      </c>
      <c r="K86">
        <v>1009</v>
      </c>
      <c r="L86">
        <v>4</v>
      </c>
      <c r="M86" s="19" t="s">
        <v>59</v>
      </c>
      <c r="N86">
        <v>2</v>
      </c>
      <c r="O86">
        <v>2</v>
      </c>
      <c r="P86" s="19" t="s">
        <v>120</v>
      </c>
      <c r="Q86">
        <v>3</v>
      </c>
      <c r="R86" s="19" t="s">
        <v>53</v>
      </c>
      <c r="S86">
        <v>25300</v>
      </c>
      <c r="T86" s="19" t="s">
        <v>72</v>
      </c>
      <c r="U86">
        <v>158.12</v>
      </c>
      <c r="V86">
        <v>1</v>
      </c>
      <c r="W86" s="19" t="s">
        <v>55</v>
      </c>
      <c r="X86">
        <v>15</v>
      </c>
      <c r="Y86">
        <v>3</v>
      </c>
      <c r="Z86">
        <v>2</v>
      </c>
      <c r="AA86">
        <v>2</v>
      </c>
      <c r="AB86">
        <v>5</v>
      </c>
      <c r="AC86">
        <v>6</v>
      </c>
      <c r="AD86">
        <v>3</v>
      </c>
      <c r="AE86">
        <v>4</v>
      </c>
      <c r="AF86">
        <v>2</v>
      </c>
      <c r="AG86">
        <v>3</v>
      </c>
      <c r="AH86">
        <v>2</v>
      </c>
      <c r="AI86">
        <v>0</v>
      </c>
      <c r="AJ86" s="19" t="s">
        <v>1567</v>
      </c>
      <c r="AK86" s="19" t="s">
        <v>1570</v>
      </c>
      <c r="AL86">
        <v>1</v>
      </c>
      <c r="AM86" s="19" t="s">
        <v>1565</v>
      </c>
      <c r="AN86">
        <v>-0.42883376662776734</v>
      </c>
      <c r="AO86">
        <v>303600</v>
      </c>
    </row>
    <row r="87" spans="1:41" x14ac:dyDescent="0.3">
      <c r="A87" s="19" t="s">
        <v>156</v>
      </c>
      <c r="B87">
        <v>24</v>
      </c>
      <c r="C87" s="19" t="s">
        <v>46</v>
      </c>
      <c r="D87" s="19" t="s">
        <v>55</v>
      </c>
      <c r="E87" s="19" t="s">
        <v>48</v>
      </c>
      <c r="F87">
        <v>477</v>
      </c>
      <c r="G87" s="19" t="s">
        <v>49</v>
      </c>
      <c r="H87">
        <v>24</v>
      </c>
      <c r="I87">
        <v>3</v>
      </c>
      <c r="J87" s="19" t="s">
        <v>58</v>
      </c>
      <c r="K87">
        <v>1173</v>
      </c>
      <c r="L87">
        <v>4</v>
      </c>
      <c r="M87" s="19" t="s">
        <v>51</v>
      </c>
      <c r="N87">
        <v>3</v>
      </c>
      <c r="O87">
        <v>1</v>
      </c>
      <c r="P87" s="19" t="s">
        <v>52</v>
      </c>
      <c r="Q87">
        <v>2</v>
      </c>
      <c r="R87" s="19" t="s">
        <v>53</v>
      </c>
      <c r="S87">
        <v>75065</v>
      </c>
      <c r="T87" s="19" t="s">
        <v>64</v>
      </c>
      <c r="U87">
        <v>469.16</v>
      </c>
      <c r="V87">
        <v>8</v>
      </c>
      <c r="W87" s="19" t="s">
        <v>55</v>
      </c>
      <c r="X87">
        <v>22</v>
      </c>
      <c r="Y87">
        <v>4</v>
      </c>
      <c r="Z87">
        <v>4</v>
      </c>
      <c r="AA87">
        <v>0</v>
      </c>
      <c r="AB87">
        <v>6</v>
      </c>
      <c r="AC87">
        <v>2</v>
      </c>
      <c r="AD87">
        <v>3</v>
      </c>
      <c r="AE87">
        <v>4</v>
      </c>
      <c r="AF87">
        <v>3</v>
      </c>
      <c r="AG87">
        <v>1</v>
      </c>
      <c r="AH87">
        <v>2</v>
      </c>
      <c r="AI87">
        <v>0</v>
      </c>
      <c r="AJ87" s="19" t="s">
        <v>1567</v>
      </c>
      <c r="AK87" s="19" t="s">
        <v>1562</v>
      </c>
      <c r="AL87">
        <v>1</v>
      </c>
      <c r="AM87" s="19" t="s">
        <v>1565</v>
      </c>
      <c r="AN87">
        <v>0.45135598275109767</v>
      </c>
      <c r="AO87">
        <v>900780</v>
      </c>
    </row>
    <row r="88" spans="1:41" x14ac:dyDescent="0.3">
      <c r="A88" s="19" t="s">
        <v>157</v>
      </c>
      <c r="B88">
        <v>24</v>
      </c>
      <c r="C88" s="19" t="s">
        <v>46</v>
      </c>
      <c r="D88" s="19" t="s">
        <v>47</v>
      </c>
      <c r="E88" s="19" t="s">
        <v>48</v>
      </c>
      <c r="F88">
        <v>984</v>
      </c>
      <c r="G88" s="19" t="s">
        <v>49</v>
      </c>
      <c r="H88">
        <v>17</v>
      </c>
      <c r="I88">
        <v>2</v>
      </c>
      <c r="J88" s="19" t="s">
        <v>50</v>
      </c>
      <c r="K88">
        <v>1219</v>
      </c>
      <c r="L88">
        <v>4</v>
      </c>
      <c r="M88" s="19" t="s">
        <v>59</v>
      </c>
      <c r="N88">
        <v>3</v>
      </c>
      <c r="O88">
        <v>1</v>
      </c>
      <c r="P88" s="19" t="s">
        <v>52</v>
      </c>
      <c r="Q88">
        <v>2</v>
      </c>
      <c r="R88" s="19" t="s">
        <v>113</v>
      </c>
      <c r="S88">
        <v>83798</v>
      </c>
      <c r="T88" s="19" t="s">
        <v>70</v>
      </c>
      <c r="U88">
        <v>523.74</v>
      </c>
      <c r="V88">
        <v>1</v>
      </c>
      <c r="W88" s="19" t="s">
        <v>55</v>
      </c>
      <c r="X88">
        <v>13</v>
      </c>
      <c r="Y88">
        <v>3</v>
      </c>
      <c r="Z88">
        <v>1</v>
      </c>
      <c r="AA88">
        <v>1</v>
      </c>
      <c r="AB88">
        <v>1</v>
      </c>
      <c r="AC88">
        <v>3</v>
      </c>
      <c r="AD88">
        <v>1</v>
      </c>
      <c r="AE88">
        <v>1</v>
      </c>
      <c r="AF88">
        <v>0</v>
      </c>
      <c r="AG88">
        <v>0</v>
      </c>
      <c r="AH88">
        <v>0</v>
      </c>
      <c r="AI88">
        <v>1</v>
      </c>
      <c r="AJ88" s="19" t="s">
        <v>1561</v>
      </c>
      <c r="AK88" s="19" t="s">
        <v>1562</v>
      </c>
      <c r="AL88">
        <v>2</v>
      </c>
      <c r="AM88" s="19" t="s">
        <v>1564</v>
      </c>
      <c r="AN88">
        <v>0.62020553710219783</v>
      </c>
      <c r="AO88">
        <v>1005576</v>
      </c>
    </row>
    <row r="89" spans="1:41" x14ac:dyDescent="0.3">
      <c r="A89" s="19" t="s">
        <v>158</v>
      </c>
      <c r="B89">
        <v>24</v>
      </c>
      <c r="C89" s="19" t="s">
        <v>46</v>
      </c>
      <c r="D89" s="19" t="s">
        <v>55</v>
      </c>
      <c r="E89" s="19" t="s">
        <v>48</v>
      </c>
      <c r="F89">
        <v>1476</v>
      </c>
      <c r="G89" s="19" t="s">
        <v>57</v>
      </c>
      <c r="H89">
        <v>4</v>
      </c>
      <c r="I89">
        <v>1</v>
      </c>
      <c r="J89" s="19" t="s">
        <v>58</v>
      </c>
      <c r="K89">
        <v>1445</v>
      </c>
      <c r="L89">
        <v>4</v>
      </c>
      <c r="M89" s="19" t="s">
        <v>59</v>
      </c>
      <c r="N89">
        <v>3</v>
      </c>
      <c r="O89">
        <v>2</v>
      </c>
      <c r="P89" s="19" t="s">
        <v>145</v>
      </c>
      <c r="Q89">
        <v>3</v>
      </c>
      <c r="R89" s="19" t="s">
        <v>113</v>
      </c>
      <c r="S89">
        <v>10268</v>
      </c>
      <c r="T89" s="19" t="s">
        <v>54</v>
      </c>
      <c r="U89">
        <v>64.180000000000007</v>
      </c>
      <c r="V89">
        <v>1</v>
      </c>
      <c r="W89" s="19" t="s">
        <v>47</v>
      </c>
      <c r="X89">
        <v>12</v>
      </c>
      <c r="Y89">
        <v>3</v>
      </c>
      <c r="Z89">
        <v>3</v>
      </c>
      <c r="AA89">
        <v>2</v>
      </c>
      <c r="AB89">
        <v>5</v>
      </c>
      <c r="AC89">
        <v>3</v>
      </c>
      <c r="AD89">
        <v>3</v>
      </c>
      <c r="AE89">
        <v>5</v>
      </c>
      <c r="AF89">
        <v>4</v>
      </c>
      <c r="AG89">
        <v>0</v>
      </c>
      <c r="AH89">
        <v>3</v>
      </c>
      <c r="AI89">
        <v>0</v>
      </c>
      <c r="AJ89" s="19" t="s">
        <v>1567</v>
      </c>
      <c r="AK89" s="19" t="s">
        <v>1562</v>
      </c>
      <c r="AL89">
        <v>1</v>
      </c>
      <c r="AM89" s="19" t="s">
        <v>1565</v>
      </c>
      <c r="AN89">
        <v>-0.79069659664467418</v>
      </c>
      <c r="AO89">
        <v>123216</v>
      </c>
    </row>
    <row r="90" spans="1:41" x14ac:dyDescent="0.3">
      <c r="A90" s="19" t="s">
        <v>159</v>
      </c>
      <c r="B90">
        <v>24</v>
      </c>
      <c r="C90" s="19" t="s">
        <v>46</v>
      </c>
      <c r="D90" s="19" t="s">
        <v>47</v>
      </c>
      <c r="E90" s="19" t="s">
        <v>62</v>
      </c>
      <c r="F90">
        <v>381</v>
      </c>
      <c r="G90" s="19" t="s">
        <v>49</v>
      </c>
      <c r="H90">
        <v>9</v>
      </c>
      <c r="I90">
        <v>3</v>
      </c>
      <c r="J90" s="19" t="s">
        <v>58</v>
      </c>
      <c r="K90">
        <v>1494</v>
      </c>
      <c r="L90">
        <v>2</v>
      </c>
      <c r="M90" s="19" t="s">
        <v>51</v>
      </c>
      <c r="N90">
        <v>3</v>
      </c>
      <c r="O90">
        <v>1</v>
      </c>
      <c r="P90" s="19" t="s">
        <v>52</v>
      </c>
      <c r="Q90">
        <v>1</v>
      </c>
      <c r="R90" s="19" t="s">
        <v>53</v>
      </c>
      <c r="S90">
        <v>87807</v>
      </c>
      <c r="T90" s="19" t="s">
        <v>70</v>
      </c>
      <c r="U90">
        <v>548.79</v>
      </c>
      <c r="V90">
        <v>2</v>
      </c>
      <c r="W90" s="19" t="s">
        <v>47</v>
      </c>
      <c r="X90">
        <v>11</v>
      </c>
      <c r="Y90">
        <v>3</v>
      </c>
      <c r="Z90">
        <v>3</v>
      </c>
      <c r="AA90">
        <v>0</v>
      </c>
      <c r="AB90">
        <v>4</v>
      </c>
      <c r="AC90">
        <v>2</v>
      </c>
      <c r="AD90">
        <v>2</v>
      </c>
      <c r="AE90">
        <v>0</v>
      </c>
      <c r="AF90">
        <v>0</v>
      </c>
      <c r="AG90">
        <v>0</v>
      </c>
      <c r="AH90">
        <v>0</v>
      </c>
      <c r="AI90">
        <v>1</v>
      </c>
      <c r="AJ90" s="19" t="s">
        <v>1561</v>
      </c>
      <c r="AK90" s="19" t="s">
        <v>1562</v>
      </c>
      <c r="AL90">
        <v>3</v>
      </c>
      <c r="AM90" s="19" t="s">
        <v>1568</v>
      </c>
      <c r="AN90">
        <v>0.69771817461434271</v>
      </c>
      <c r="AO90">
        <v>1053684</v>
      </c>
    </row>
    <row r="91" spans="1:41" x14ac:dyDescent="0.3">
      <c r="A91" s="19" t="s">
        <v>160</v>
      </c>
      <c r="B91">
        <v>24</v>
      </c>
      <c r="C91" s="19" t="s">
        <v>46</v>
      </c>
      <c r="D91" s="19" t="s">
        <v>55</v>
      </c>
      <c r="E91" s="19" t="s">
        <v>66</v>
      </c>
      <c r="F91">
        <v>830</v>
      </c>
      <c r="G91" s="19" t="s">
        <v>57</v>
      </c>
      <c r="H91">
        <v>13</v>
      </c>
      <c r="I91">
        <v>2</v>
      </c>
      <c r="J91" s="19" t="s">
        <v>50</v>
      </c>
      <c r="K91">
        <v>1495</v>
      </c>
      <c r="L91">
        <v>4</v>
      </c>
      <c r="M91" s="19" t="s">
        <v>59</v>
      </c>
      <c r="N91">
        <v>3</v>
      </c>
      <c r="O91">
        <v>1</v>
      </c>
      <c r="P91" s="19" t="s">
        <v>60</v>
      </c>
      <c r="Q91">
        <v>2</v>
      </c>
      <c r="R91" s="19" t="s">
        <v>113</v>
      </c>
      <c r="S91">
        <v>13185</v>
      </c>
      <c r="T91" s="19" t="s">
        <v>54</v>
      </c>
      <c r="U91">
        <v>82.41</v>
      </c>
      <c r="V91">
        <v>1</v>
      </c>
      <c r="W91" s="19" t="s">
        <v>55</v>
      </c>
      <c r="X91">
        <v>13</v>
      </c>
      <c r="Y91">
        <v>3</v>
      </c>
      <c r="Z91">
        <v>3</v>
      </c>
      <c r="AA91">
        <v>1</v>
      </c>
      <c r="AB91">
        <v>1</v>
      </c>
      <c r="AC91">
        <v>2</v>
      </c>
      <c r="AD91">
        <v>3</v>
      </c>
      <c r="AE91">
        <v>1</v>
      </c>
      <c r="AF91">
        <v>0</v>
      </c>
      <c r="AG91">
        <v>0</v>
      </c>
      <c r="AH91">
        <v>0</v>
      </c>
      <c r="AI91">
        <v>0</v>
      </c>
      <c r="AJ91" s="19" t="s">
        <v>1561</v>
      </c>
      <c r="AK91" s="19" t="s">
        <v>1562</v>
      </c>
      <c r="AL91">
        <v>1</v>
      </c>
      <c r="AM91" s="19" t="s">
        <v>1565</v>
      </c>
      <c r="AN91">
        <v>-0.73270107453907385</v>
      </c>
      <c r="AO91">
        <v>158220</v>
      </c>
    </row>
    <row r="92" spans="1:41" x14ac:dyDescent="0.3">
      <c r="A92" s="19" t="s">
        <v>161</v>
      </c>
      <c r="B92">
        <v>24</v>
      </c>
      <c r="C92" s="19" t="s">
        <v>46</v>
      </c>
      <c r="D92" s="19" t="s">
        <v>55</v>
      </c>
      <c r="E92" s="19" t="s">
        <v>48</v>
      </c>
      <c r="F92">
        <v>350</v>
      </c>
      <c r="G92" s="19" t="s">
        <v>49</v>
      </c>
      <c r="H92">
        <v>21</v>
      </c>
      <c r="I92">
        <v>2</v>
      </c>
      <c r="J92" s="19" t="s">
        <v>77</v>
      </c>
      <c r="K92">
        <v>1551</v>
      </c>
      <c r="L92">
        <v>3</v>
      </c>
      <c r="M92" s="19" t="s">
        <v>51</v>
      </c>
      <c r="N92">
        <v>2</v>
      </c>
      <c r="O92">
        <v>1</v>
      </c>
      <c r="P92" s="19" t="s">
        <v>52</v>
      </c>
      <c r="Q92">
        <v>1</v>
      </c>
      <c r="R92" s="19" t="s">
        <v>53</v>
      </c>
      <c r="S92">
        <v>64704</v>
      </c>
      <c r="T92" s="19" t="s">
        <v>64</v>
      </c>
      <c r="U92">
        <v>404.4</v>
      </c>
      <c r="V92">
        <v>0</v>
      </c>
      <c r="W92" s="19" t="s">
        <v>55</v>
      </c>
      <c r="X92">
        <v>14</v>
      </c>
      <c r="Y92">
        <v>3</v>
      </c>
      <c r="Z92">
        <v>2</v>
      </c>
      <c r="AA92">
        <v>3</v>
      </c>
      <c r="AB92">
        <v>2</v>
      </c>
      <c r="AC92">
        <v>3</v>
      </c>
      <c r="AD92">
        <v>3</v>
      </c>
      <c r="AE92">
        <v>1</v>
      </c>
      <c r="AF92">
        <v>1</v>
      </c>
      <c r="AG92">
        <v>0</v>
      </c>
      <c r="AH92">
        <v>0</v>
      </c>
      <c r="AI92">
        <v>0</v>
      </c>
      <c r="AJ92" s="19" t="s">
        <v>1561</v>
      </c>
      <c r="AK92" s="19" t="s">
        <v>1562</v>
      </c>
      <c r="AL92">
        <v>1</v>
      </c>
      <c r="AM92" s="19" t="s">
        <v>1565</v>
      </c>
      <c r="AN92">
        <v>0.25102960777895189</v>
      </c>
      <c r="AO92">
        <v>776448</v>
      </c>
    </row>
    <row r="93" spans="1:41" x14ac:dyDescent="0.3">
      <c r="A93" s="19" t="s">
        <v>162</v>
      </c>
      <c r="B93">
        <v>24</v>
      </c>
      <c r="C93" s="19" t="s">
        <v>46</v>
      </c>
      <c r="D93" s="19" t="s">
        <v>55</v>
      </c>
      <c r="E93" s="19" t="s">
        <v>62</v>
      </c>
      <c r="F93">
        <v>567</v>
      </c>
      <c r="G93" s="19" t="s">
        <v>49</v>
      </c>
      <c r="H93">
        <v>2</v>
      </c>
      <c r="I93">
        <v>1</v>
      </c>
      <c r="J93" s="19" t="s">
        <v>77</v>
      </c>
      <c r="K93">
        <v>1646</v>
      </c>
      <c r="L93">
        <v>1</v>
      </c>
      <c r="M93" s="19" t="s">
        <v>59</v>
      </c>
      <c r="N93">
        <v>3</v>
      </c>
      <c r="O93">
        <v>1</v>
      </c>
      <c r="P93" s="19" t="s">
        <v>67</v>
      </c>
      <c r="Q93">
        <v>4</v>
      </c>
      <c r="R93" s="19" t="s">
        <v>53</v>
      </c>
      <c r="S93">
        <v>87779</v>
      </c>
      <c r="T93" s="19" t="s">
        <v>70</v>
      </c>
      <c r="U93">
        <v>548.62</v>
      </c>
      <c r="V93">
        <v>1</v>
      </c>
      <c r="W93" s="19" t="s">
        <v>47</v>
      </c>
      <c r="X93">
        <v>13</v>
      </c>
      <c r="Y93">
        <v>3</v>
      </c>
      <c r="Z93">
        <v>3</v>
      </c>
      <c r="AA93">
        <v>0</v>
      </c>
      <c r="AB93">
        <v>6</v>
      </c>
      <c r="AC93">
        <v>2</v>
      </c>
      <c r="AD93">
        <v>3</v>
      </c>
      <c r="AE93">
        <v>6</v>
      </c>
      <c r="AF93">
        <v>3</v>
      </c>
      <c r="AG93">
        <v>1</v>
      </c>
      <c r="AH93">
        <v>3</v>
      </c>
      <c r="AI93">
        <v>0</v>
      </c>
      <c r="AJ93" s="19" t="s">
        <v>1569</v>
      </c>
      <c r="AK93" s="19" t="s">
        <v>1562</v>
      </c>
      <c r="AL93">
        <v>1</v>
      </c>
      <c r="AM93" s="19" t="s">
        <v>1565</v>
      </c>
      <c r="AN93">
        <v>0.76029398317733876</v>
      </c>
      <c r="AO93">
        <v>1053348</v>
      </c>
    </row>
    <row r="94" spans="1:41" x14ac:dyDescent="0.3">
      <c r="A94" s="19" t="s">
        <v>163</v>
      </c>
      <c r="B94">
        <v>24</v>
      </c>
      <c r="C94" s="19" t="s">
        <v>46</v>
      </c>
      <c r="D94" s="19" t="s">
        <v>55</v>
      </c>
      <c r="E94" s="19" t="s">
        <v>48</v>
      </c>
      <c r="F94">
        <v>581</v>
      </c>
      <c r="G94" s="19" t="s">
        <v>49</v>
      </c>
      <c r="H94">
        <v>9</v>
      </c>
      <c r="I94">
        <v>3</v>
      </c>
      <c r="J94" s="19" t="s">
        <v>58</v>
      </c>
      <c r="K94">
        <v>1707</v>
      </c>
      <c r="L94">
        <v>3</v>
      </c>
      <c r="M94" s="19" t="s">
        <v>51</v>
      </c>
      <c r="N94">
        <v>4</v>
      </c>
      <c r="O94">
        <v>1</v>
      </c>
      <c r="P94" s="19" t="s">
        <v>67</v>
      </c>
      <c r="Q94">
        <v>3</v>
      </c>
      <c r="R94" s="19" t="s">
        <v>113</v>
      </c>
      <c r="S94">
        <v>40099</v>
      </c>
      <c r="T94" s="19" t="s">
        <v>72</v>
      </c>
      <c r="U94">
        <v>250.62</v>
      </c>
      <c r="V94">
        <v>1</v>
      </c>
      <c r="W94" s="19" t="s">
        <v>55</v>
      </c>
      <c r="X94">
        <v>16</v>
      </c>
      <c r="Y94">
        <v>3</v>
      </c>
      <c r="Z94">
        <v>4</v>
      </c>
      <c r="AA94">
        <v>1</v>
      </c>
      <c r="AB94">
        <v>5</v>
      </c>
      <c r="AC94">
        <v>1</v>
      </c>
      <c r="AD94">
        <v>3</v>
      </c>
      <c r="AE94">
        <v>5</v>
      </c>
      <c r="AF94">
        <v>3</v>
      </c>
      <c r="AG94">
        <v>0</v>
      </c>
      <c r="AH94">
        <v>4</v>
      </c>
      <c r="AI94">
        <v>0</v>
      </c>
      <c r="AJ94" s="19" t="s">
        <v>1567</v>
      </c>
      <c r="AK94" s="19" t="s">
        <v>1562</v>
      </c>
      <c r="AL94">
        <v>0</v>
      </c>
      <c r="AM94" s="19" t="s">
        <v>1563</v>
      </c>
      <c r="AN94">
        <v>-0.19586656909479366</v>
      </c>
      <c r="AO94">
        <v>481188</v>
      </c>
    </row>
    <row r="95" spans="1:41" x14ac:dyDescent="0.3">
      <c r="A95" s="19" t="s">
        <v>164</v>
      </c>
      <c r="B95">
        <v>24</v>
      </c>
      <c r="C95" s="19" t="s">
        <v>46</v>
      </c>
      <c r="D95" s="19" t="s">
        <v>47</v>
      </c>
      <c r="E95" s="19" t="s">
        <v>48</v>
      </c>
      <c r="F95">
        <v>240</v>
      </c>
      <c r="G95" s="19" t="s">
        <v>80</v>
      </c>
      <c r="H95">
        <v>22</v>
      </c>
      <c r="I95">
        <v>1</v>
      </c>
      <c r="J95" s="19" t="s">
        <v>80</v>
      </c>
      <c r="K95">
        <v>1714</v>
      </c>
      <c r="L95">
        <v>4</v>
      </c>
      <c r="M95" s="19" t="s">
        <v>51</v>
      </c>
      <c r="N95">
        <v>1</v>
      </c>
      <c r="O95">
        <v>1</v>
      </c>
      <c r="P95" s="19" t="s">
        <v>80</v>
      </c>
      <c r="Q95">
        <v>3</v>
      </c>
      <c r="R95" s="19" t="s">
        <v>113</v>
      </c>
      <c r="S95">
        <v>9571</v>
      </c>
      <c r="T95" s="19" t="s">
        <v>54</v>
      </c>
      <c r="U95">
        <v>59.82</v>
      </c>
      <c r="V95">
        <v>1</v>
      </c>
      <c r="W95" s="19" t="s">
        <v>55</v>
      </c>
      <c r="X95">
        <v>11</v>
      </c>
      <c r="Y95">
        <v>3</v>
      </c>
      <c r="Z95">
        <v>3</v>
      </c>
      <c r="AA95">
        <v>1</v>
      </c>
      <c r="AB95">
        <v>1</v>
      </c>
      <c r="AC95">
        <v>2</v>
      </c>
      <c r="AD95">
        <v>3</v>
      </c>
      <c r="AE95">
        <v>1</v>
      </c>
      <c r="AF95">
        <v>0</v>
      </c>
      <c r="AG95">
        <v>0</v>
      </c>
      <c r="AH95">
        <v>0</v>
      </c>
      <c r="AI95">
        <v>1</v>
      </c>
      <c r="AJ95" s="19" t="s">
        <v>1561</v>
      </c>
      <c r="AK95" s="19" t="s">
        <v>1562</v>
      </c>
      <c r="AL95">
        <v>0</v>
      </c>
      <c r="AM95" s="19" t="s">
        <v>1563</v>
      </c>
      <c r="AN95">
        <v>-0.81138671082999514</v>
      </c>
      <c r="AO95">
        <v>114852</v>
      </c>
    </row>
    <row r="96" spans="1:41" x14ac:dyDescent="0.3">
      <c r="A96" s="19" t="s">
        <v>165</v>
      </c>
      <c r="B96">
        <v>24</v>
      </c>
      <c r="C96" s="19" t="s">
        <v>46</v>
      </c>
      <c r="D96" s="19" t="s">
        <v>55</v>
      </c>
      <c r="E96" s="19" t="s">
        <v>48</v>
      </c>
      <c r="F96">
        <v>506</v>
      </c>
      <c r="G96" s="19" t="s">
        <v>49</v>
      </c>
      <c r="H96">
        <v>29</v>
      </c>
      <c r="I96">
        <v>1</v>
      </c>
      <c r="J96" s="19" t="s">
        <v>58</v>
      </c>
      <c r="K96">
        <v>1725</v>
      </c>
      <c r="L96">
        <v>2</v>
      </c>
      <c r="M96" s="19" t="s">
        <v>51</v>
      </c>
      <c r="N96">
        <v>3</v>
      </c>
      <c r="O96">
        <v>1</v>
      </c>
      <c r="P96" s="19" t="s">
        <v>52</v>
      </c>
      <c r="Q96">
        <v>1</v>
      </c>
      <c r="R96" s="19" t="s">
        <v>53</v>
      </c>
      <c r="S96">
        <v>39044</v>
      </c>
      <c r="T96" s="19" t="s">
        <v>72</v>
      </c>
      <c r="U96">
        <v>244.02</v>
      </c>
      <c r="V96">
        <v>1</v>
      </c>
      <c r="W96" s="19" t="s">
        <v>55</v>
      </c>
      <c r="X96">
        <v>13</v>
      </c>
      <c r="Y96">
        <v>3</v>
      </c>
      <c r="Z96">
        <v>2</v>
      </c>
      <c r="AA96">
        <v>3</v>
      </c>
      <c r="AB96">
        <v>6</v>
      </c>
      <c r="AC96">
        <v>2</v>
      </c>
      <c r="AD96">
        <v>4</v>
      </c>
      <c r="AE96">
        <v>6</v>
      </c>
      <c r="AF96">
        <v>2</v>
      </c>
      <c r="AG96">
        <v>1</v>
      </c>
      <c r="AH96">
        <v>2</v>
      </c>
      <c r="AI96">
        <v>0</v>
      </c>
      <c r="AJ96" s="19" t="s">
        <v>1569</v>
      </c>
      <c r="AK96" s="19" t="s">
        <v>1562</v>
      </c>
      <c r="AL96">
        <v>1</v>
      </c>
      <c r="AM96" s="19" t="s">
        <v>1565</v>
      </c>
      <c r="AN96">
        <v>-0.24509767547413763</v>
      </c>
      <c r="AO96">
        <v>468528</v>
      </c>
    </row>
    <row r="97" spans="1:41" x14ac:dyDescent="0.3">
      <c r="A97" s="19" t="s">
        <v>166</v>
      </c>
      <c r="B97">
        <v>24</v>
      </c>
      <c r="C97" s="19" t="s">
        <v>46</v>
      </c>
      <c r="D97" s="19" t="s">
        <v>55</v>
      </c>
      <c r="E97" s="19" t="s">
        <v>62</v>
      </c>
      <c r="F97">
        <v>897</v>
      </c>
      <c r="G97" s="19" t="s">
        <v>80</v>
      </c>
      <c r="H97">
        <v>10</v>
      </c>
      <c r="I97">
        <v>3</v>
      </c>
      <c r="J97" s="19" t="s">
        <v>58</v>
      </c>
      <c r="K97">
        <v>1746</v>
      </c>
      <c r="L97">
        <v>1</v>
      </c>
      <c r="M97" s="19" t="s">
        <v>51</v>
      </c>
      <c r="N97">
        <v>3</v>
      </c>
      <c r="O97">
        <v>1</v>
      </c>
      <c r="P97" s="19" t="s">
        <v>80</v>
      </c>
      <c r="Q97">
        <v>4</v>
      </c>
      <c r="R97" s="19" t="s">
        <v>113</v>
      </c>
      <c r="S97">
        <v>52214</v>
      </c>
      <c r="T97" s="19" t="s">
        <v>64</v>
      </c>
      <c r="U97">
        <v>326.33999999999997</v>
      </c>
      <c r="V97">
        <v>0</v>
      </c>
      <c r="W97" s="19" t="s">
        <v>55</v>
      </c>
      <c r="X97">
        <v>14</v>
      </c>
      <c r="Y97">
        <v>3</v>
      </c>
      <c r="Z97">
        <v>4</v>
      </c>
      <c r="AA97">
        <v>1</v>
      </c>
      <c r="AB97">
        <v>3</v>
      </c>
      <c r="AC97">
        <v>2</v>
      </c>
      <c r="AD97">
        <v>3</v>
      </c>
      <c r="AE97">
        <v>2</v>
      </c>
      <c r="AF97">
        <v>2</v>
      </c>
      <c r="AG97">
        <v>2</v>
      </c>
      <c r="AH97">
        <v>1</v>
      </c>
      <c r="AI97">
        <v>0</v>
      </c>
      <c r="AJ97" s="19" t="s">
        <v>1566</v>
      </c>
      <c r="AK97" s="19" t="s">
        <v>1562</v>
      </c>
      <c r="AL97">
        <v>0</v>
      </c>
      <c r="AM97" s="19" t="s">
        <v>1563</v>
      </c>
      <c r="AN97">
        <v>2.8968162232016655E-2</v>
      </c>
      <c r="AO97">
        <v>626568</v>
      </c>
    </row>
    <row r="98" spans="1:41" x14ac:dyDescent="0.3">
      <c r="A98" s="19" t="s">
        <v>167</v>
      </c>
      <c r="B98">
        <v>24</v>
      </c>
      <c r="C98" s="19" t="s">
        <v>46</v>
      </c>
      <c r="D98" s="19" t="s">
        <v>55</v>
      </c>
      <c r="E98" s="19" t="s">
        <v>48</v>
      </c>
      <c r="F98">
        <v>771</v>
      </c>
      <c r="G98" s="19" t="s">
        <v>49</v>
      </c>
      <c r="H98">
        <v>1</v>
      </c>
      <c r="I98">
        <v>2</v>
      </c>
      <c r="J98" s="19" t="s">
        <v>50</v>
      </c>
      <c r="K98">
        <v>1981</v>
      </c>
      <c r="L98">
        <v>2</v>
      </c>
      <c r="M98" s="19" t="s">
        <v>51</v>
      </c>
      <c r="N98">
        <v>2</v>
      </c>
      <c r="O98">
        <v>2</v>
      </c>
      <c r="P98" s="19" t="s">
        <v>168</v>
      </c>
      <c r="Q98">
        <v>3</v>
      </c>
      <c r="R98" s="19" t="s">
        <v>53</v>
      </c>
      <c r="S98">
        <v>62228</v>
      </c>
      <c r="T98" s="19" t="s">
        <v>64</v>
      </c>
      <c r="U98">
        <v>388.92</v>
      </c>
      <c r="V98">
        <v>1</v>
      </c>
      <c r="W98" s="19" t="s">
        <v>55</v>
      </c>
      <c r="X98">
        <v>12</v>
      </c>
      <c r="Y98">
        <v>3</v>
      </c>
      <c r="Z98">
        <v>2</v>
      </c>
      <c r="AA98">
        <v>0</v>
      </c>
      <c r="AB98">
        <v>4</v>
      </c>
      <c r="AC98">
        <v>2</v>
      </c>
      <c r="AD98">
        <v>2</v>
      </c>
      <c r="AE98">
        <v>4</v>
      </c>
      <c r="AF98">
        <v>3</v>
      </c>
      <c r="AG98">
        <v>1</v>
      </c>
      <c r="AH98">
        <v>2</v>
      </c>
      <c r="AI98">
        <v>0</v>
      </c>
      <c r="AJ98" s="19" t="s">
        <v>1567</v>
      </c>
      <c r="AK98" s="19" t="s">
        <v>1562</v>
      </c>
      <c r="AL98">
        <v>1</v>
      </c>
      <c r="AM98" s="19" t="s">
        <v>1565</v>
      </c>
      <c r="AN98">
        <v>0.29132821856731217</v>
      </c>
      <c r="AO98">
        <v>746736</v>
      </c>
    </row>
    <row r="99" spans="1:41" x14ac:dyDescent="0.3">
      <c r="A99" s="19" t="s">
        <v>169</v>
      </c>
      <c r="B99">
        <v>25</v>
      </c>
      <c r="C99" s="19" t="s">
        <v>46</v>
      </c>
      <c r="D99" s="19" t="s">
        <v>47</v>
      </c>
      <c r="E99" s="19" t="s">
        <v>48</v>
      </c>
      <c r="F99">
        <v>240</v>
      </c>
      <c r="G99" s="19" t="s">
        <v>57</v>
      </c>
      <c r="H99">
        <v>5</v>
      </c>
      <c r="I99">
        <v>3</v>
      </c>
      <c r="J99" s="19" t="s">
        <v>63</v>
      </c>
      <c r="K99">
        <v>142</v>
      </c>
      <c r="L99">
        <v>3</v>
      </c>
      <c r="M99" s="19" t="s">
        <v>51</v>
      </c>
      <c r="N99">
        <v>2</v>
      </c>
      <c r="O99">
        <v>2</v>
      </c>
      <c r="P99" s="19" t="s">
        <v>145</v>
      </c>
      <c r="Q99">
        <v>3</v>
      </c>
      <c r="R99" s="19" t="s">
        <v>53</v>
      </c>
      <c r="S99">
        <v>49984</v>
      </c>
      <c r="T99" s="19" t="s">
        <v>72</v>
      </c>
      <c r="U99">
        <v>312.39999999999998</v>
      </c>
      <c r="V99">
        <v>1</v>
      </c>
      <c r="W99" s="19" t="s">
        <v>47</v>
      </c>
      <c r="X99">
        <v>11</v>
      </c>
      <c r="Y99">
        <v>3</v>
      </c>
      <c r="Z99">
        <v>4</v>
      </c>
      <c r="AA99">
        <v>0</v>
      </c>
      <c r="AB99">
        <v>6</v>
      </c>
      <c r="AC99">
        <v>1</v>
      </c>
      <c r="AD99">
        <v>3</v>
      </c>
      <c r="AE99">
        <v>6</v>
      </c>
      <c r="AF99">
        <v>4</v>
      </c>
      <c r="AG99">
        <v>0</v>
      </c>
      <c r="AH99">
        <v>3</v>
      </c>
      <c r="AI99">
        <v>1</v>
      </c>
      <c r="AJ99" s="19" t="s">
        <v>1569</v>
      </c>
      <c r="AK99" s="19" t="s">
        <v>1562</v>
      </c>
      <c r="AL99">
        <v>1</v>
      </c>
      <c r="AM99" s="19" t="s">
        <v>1565</v>
      </c>
      <c r="AN99">
        <v>1.8876247887865617E-2</v>
      </c>
      <c r="AO99">
        <v>599808</v>
      </c>
    </row>
    <row r="100" spans="1:41" x14ac:dyDescent="0.3">
      <c r="A100" s="19" t="s">
        <v>170</v>
      </c>
      <c r="B100">
        <v>25</v>
      </c>
      <c r="C100" s="19" t="s">
        <v>46</v>
      </c>
      <c r="D100" s="19" t="s">
        <v>55</v>
      </c>
      <c r="E100" s="19" t="s">
        <v>48</v>
      </c>
      <c r="F100">
        <v>1280</v>
      </c>
      <c r="G100" s="19" t="s">
        <v>49</v>
      </c>
      <c r="H100">
        <v>7</v>
      </c>
      <c r="I100">
        <v>1</v>
      </c>
      <c r="J100" s="19" t="s">
        <v>58</v>
      </c>
      <c r="K100">
        <v>143</v>
      </c>
      <c r="L100">
        <v>4</v>
      </c>
      <c r="M100" s="19" t="s">
        <v>51</v>
      </c>
      <c r="N100">
        <v>2</v>
      </c>
      <c r="O100">
        <v>1</v>
      </c>
      <c r="P100" s="19" t="s">
        <v>67</v>
      </c>
      <c r="Q100">
        <v>4</v>
      </c>
      <c r="R100" s="19" t="s">
        <v>113</v>
      </c>
      <c r="S100">
        <v>41774</v>
      </c>
      <c r="T100" s="19" t="s">
        <v>72</v>
      </c>
      <c r="U100">
        <v>261.08999999999997</v>
      </c>
      <c r="V100">
        <v>1</v>
      </c>
      <c r="W100" s="19" t="s">
        <v>55</v>
      </c>
      <c r="X100">
        <v>11</v>
      </c>
      <c r="Y100">
        <v>3</v>
      </c>
      <c r="Z100">
        <v>3</v>
      </c>
      <c r="AA100">
        <v>2</v>
      </c>
      <c r="AB100">
        <v>2</v>
      </c>
      <c r="AC100">
        <v>2</v>
      </c>
      <c r="AD100">
        <v>3</v>
      </c>
      <c r="AE100">
        <v>2</v>
      </c>
      <c r="AF100">
        <v>2</v>
      </c>
      <c r="AG100">
        <v>2</v>
      </c>
      <c r="AH100">
        <v>1</v>
      </c>
      <c r="AI100">
        <v>0</v>
      </c>
      <c r="AJ100" s="19" t="s">
        <v>1566</v>
      </c>
      <c r="AK100" s="19" t="s">
        <v>1562</v>
      </c>
      <c r="AL100">
        <v>0</v>
      </c>
      <c r="AM100" s="19" t="s">
        <v>1563</v>
      </c>
      <c r="AN100">
        <v>-0.1622766168075491</v>
      </c>
      <c r="AO100">
        <v>501288</v>
      </c>
    </row>
    <row r="101" spans="1:41" x14ac:dyDescent="0.3">
      <c r="A101" s="19" t="s">
        <v>171</v>
      </c>
      <c r="B101">
        <v>25</v>
      </c>
      <c r="C101" s="19" t="s">
        <v>46</v>
      </c>
      <c r="D101" s="19" t="s">
        <v>55</v>
      </c>
      <c r="E101" s="19" t="s">
        <v>48</v>
      </c>
      <c r="F101">
        <v>959</v>
      </c>
      <c r="G101" s="19" t="s">
        <v>57</v>
      </c>
      <c r="H101">
        <v>28</v>
      </c>
      <c r="I101">
        <v>3</v>
      </c>
      <c r="J101" s="19" t="s">
        <v>50</v>
      </c>
      <c r="K101">
        <v>183</v>
      </c>
      <c r="L101">
        <v>1</v>
      </c>
      <c r="M101" s="19" t="s">
        <v>51</v>
      </c>
      <c r="N101">
        <v>2</v>
      </c>
      <c r="O101">
        <v>2</v>
      </c>
      <c r="P101" s="19" t="s">
        <v>145</v>
      </c>
      <c r="Q101">
        <v>3</v>
      </c>
      <c r="R101" s="19" t="s">
        <v>113</v>
      </c>
      <c r="S101">
        <v>3568</v>
      </c>
      <c r="T101" s="19" t="s">
        <v>54</v>
      </c>
      <c r="U101">
        <v>22.3</v>
      </c>
      <c r="V101">
        <v>2</v>
      </c>
      <c r="W101" s="19" t="s">
        <v>55</v>
      </c>
      <c r="X101">
        <v>18</v>
      </c>
      <c r="Y101">
        <v>3</v>
      </c>
      <c r="Z101">
        <v>4</v>
      </c>
      <c r="AA101">
        <v>0</v>
      </c>
      <c r="AB101">
        <v>6</v>
      </c>
      <c r="AC101">
        <v>3</v>
      </c>
      <c r="AD101">
        <v>3</v>
      </c>
      <c r="AE101">
        <v>2</v>
      </c>
      <c r="AF101">
        <v>2</v>
      </c>
      <c r="AG101">
        <v>2</v>
      </c>
      <c r="AH101">
        <v>2</v>
      </c>
      <c r="AI101">
        <v>0</v>
      </c>
      <c r="AJ101" s="19" t="s">
        <v>1566</v>
      </c>
      <c r="AK101" s="19" t="s">
        <v>1562</v>
      </c>
      <c r="AL101">
        <v>0</v>
      </c>
      <c r="AM101" s="19" t="s">
        <v>1563</v>
      </c>
      <c r="AN101">
        <v>-0.92726971726024521</v>
      </c>
      <c r="AO101">
        <v>42816</v>
      </c>
    </row>
    <row r="102" spans="1:41" x14ac:dyDescent="0.3">
      <c r="A102" s="19" t="s">
        <v>172</v>
      </c>
      <c r="B102">
        <v>25</v>
      </c>
      <c r="C102" s="19" t="s">
        <v>46</v>
      </c>
      <c r="D102" s="19" t="s">
        <v>55</v>
      </c>
      <c r="E102" s="19" t="s">
        <v>48</v>
      </c>
      <c r="F102">
        <v>685</v>
      </c>
      <c r="G102" s="19" t="s">
        <v>49</v>
      </c>
      <c r="H102">
        <v>1</v>
      </c>
      <c r="I102">
        <v>3</v>
      </c>
      <c r="J102" s="19" t="s">
        <v>50</v>
      </c>
      <c r="K102">
        <v>350</v>
      </c>
      <c r="L102">
        <v>1</v>
      </c>
      <c r="M102" s="19" t="s">
        <v>59</v>
      </c>
      <c r="N102">
        <v>3</v>
      </c>
      <c r="O102">
        <v>2</v>
      </c>
      <c r="P102" s="19" t="s">
        <v>120</v>
      </c>
      <c r="Q102">
        <v>3</v>
      </c>
      <c r="R102" s="19" t="s">
        <v>113</v>
      </c>
      <c r="S102">
        <v>63592</v>
      </c>
      <c r="T102" s="19" t="s">
        <v>64</v>
      </c>
      <c r="U102">
        <v>397.45</v>
      </c>
      <c r="V102">
        <v>0</v>
      </c>
      <c r="W102" s="19" t="s">
        <v>55</v>
      </c>
      <c r="X102">
        <v>12</v>
      </c>
      <c r="Y102">
        <v>3</v>
      </c>
      <c r="Z102">
        <v>4</v>
      </c>
      <c r="AA102">
        <v>2</v>
      </c>
      <c r="AB102">
        <v>5</v>
      </c>
      <c r="AC102">
        <v>3</v>
      </c>
      <c r="AD102">
        <v>3</v>
      </c>
      <c r="AE102">
        <v>4</v>
      </c>
      <c r="AF102">
        <v>2</v>
      </c>
      <c r="AG102">
        <v>1</v>
      </c>
      <c r="AH102">
        <v>2</v>
      </c>
      <c r="AI102">
        <v>0</v>
      </c>
      <c r="AJ102" s="19" t="s">
        <v>1567</v>
      </c>
      <c r="AK102" s="19" t="s">
        <v>1562</v>
      </c>
      <c r="AL102">
        <v>0</v>
      </c>
      <c r="AM102" s="19" t="s">
        <v>1563</v>
      </c>
      <c r="AN102">
        <v>0.43563648666430904</v>
      </c>
      <c r="AO102">
        <v>763104</v>
      </c>
    </row>
    <row r="103" spans="1:41" x14ac:dyDescent="0.3">
      <c r="A103" s="19" t="s">
        <v>173</v>
      </c>
      <c r="B103">
        <v>25</v>
      </c>
      <c r="C103" s="19" t="s">
        <v>46</v>
      </c>
      <c r="D103" s="19" t="s">
        <v>55</v>
      </c>
      <c r="E103" s="19" t="s">
        <v>66</v>
      </c>
      <c r="F103">
        <v>675</v>
      </c>
      <c r="G103" s="19" t="s">
        <v>49</v>
      </c>
      <c r="H103">
        <v>5</v>
      </c>
      <c r="I103">
        <v>2</v>
      </c>
      <c r="J103" s="19" t="s">
        <v>50</v>
      </c>
      <c r="K103">
        <v>369</v>
      </c>
      <c r="L103">
        <v>2</v>
      </c>
      <c r="M103" s="19" t="s">
        <v>51</v>
      </c>
      <c r="N103">
        <v>4</v>
      </c>
      <c r="O103">
        <v>2</v>
      </c>
      <c r="P103" s="19" t="s">
        <v>168</v>
      </c>
      <c r="Q103">
        <v>1</v>
      </c>
      <c r="R103" s="19" t="s">
        <v>53</v>
      </c>
      <c r="S103">
        <v>68563</v>
      </c>
      <c r="T103" s="19" t="s">
        <v>64</v>
      </c>
      <c r="U103">
        <v>428.52</v>
      </c>
      <c r="V103">
        <v>1</v>
      </c>
      <c r="W103" s="19" t="s">
        <v>55</v>
      </c>
      <c r="X103">
        <v>12</v>
      </c>
      <c r="Y103">
        <v>3</v>
      </c>
      <c r="Z103">
        <v>4</v>
      </c>
      <c r="AA103">
        <v>2</v>
      </c>
      <c r="AB103">
        <v>6</v>
      </c>
      <c r="AC103">
        <v>2</v>
      </c>
      <c r="AD103">
        <v>3</v>
      </c>
      <c r="AE103">
        <v>6</v>
      </c>
      <c r="AF103">
        <v>3</v>
      </c>
      <c r="AG103">
        <v>1</v>
      </c>
      <c r="AH103">
        <v>5</v>
      </c>
      <c r="AI103">
        <v>0</v>
      </c>
      <c r="AJ103" s="19" t="s">
        <v>1569</v>
      </c>
      <c r="AK103" s="19" t="s">
        <v>1562</v>
      </c>
      <c r="AL103">
        <v>1</v>
      </c>
      <c r="AM103" s="19" t="s">
        <v>1565</v>
      </c>
      <c r="AN103">
        <v>0.42278936571367592</v>
      </c>
      <c r="AO103">
        <v>822756</v>
      </c>
    </row>
    <row r="104" spans="1:41" x14ac:dyDescent="0.3">
      <c r="A104" s="19" t="s">
        <v>174</v>
      </c>
      <c r="B104">
        <v>25</v>
      </c>
      <c r="C104" s="19" t="s">
        <v>46</v>
      </c>
      <c r="D104" s="19" t="s">
        <v>55</v>
      </c>
      <c r="E104" s="19" t="s">
        <v>48</v>
      </c>
      <c r="F104">
        <v>891</v>
      </c>
      <c r="G104" s="19" t="s">
        <v>57</v>
      </c>
      <c r="H104">
        <v>4</v>
      </c>
      <c r="I104">
        <v>2</v>
      </c>
      <c r="J104" s="19" t="s">
        <v>50</v>
      </c>
      <c r="K104">
        <v>527</v>
      </c>
      <c r="L104">
        <v>2</v>
      </c>
      <c r="M104" s="19" t="s">
        <v>59</v>
      </c>
      <c r="N104">
        <v>2</v>
      </c>
      <c r="O104">
        <v>2</v>
      </c>
      <c r="P104" s="19" t="s">
        <v>145</v>
      </c>
      <c r="Q104">
        <v>4</v>
      </c>
      <c r="R104" s="19" t="s">
        <v>53</v>
      </c>
      <c r="S104">
        <v>3695</v>
      </c>
      <c r="T104" s="19" t="s">
        <v>54</v>
      </c>
      <c r="U104">
        <v>23.09</v>
      </c>
      <c r="V104">
        <v>1</v>
      </c>
      <c r="W104" s="19" t="s">
        <v>47</v>
      </c>
      <c r="X104">
        <v>11</v>
      </c>
      <c r="Y104">
        <v>3</v>
      </c>
      <c r="Z104">
        <v>2</v>
      </c>
      <c r="AA104">
        <v>0</v>
      </c>
      <c r="AB104">
        <v>5</v>
      </c>
      <c r="AC104">
        <v>3</v>
      </c>
      <c r="AD104">
        <v>3</v>
      </c>
      <c r="AE104">
        <v>5</v>
      </c>
      <c r="AF104">
        <v>4</v>
      </c>
      <c r="AG104">
        <v>1</v>
      </c>
      <c r="AH104">
        <v>3</v>
      </c>
      <c r="AI104">
        <v>0</v>
      </c>
      <c r="AJ104" s="19" t="s">
        <v>1567</v>
      </c>
      <c r="AK104" s="19" t="s">
        <v>1562</v>
      </c>
      <c r="AL104">
        <v>1</v>
      </c>
      <c r="AM104" s="19" t="s">
        <v>1565</v>
      </c>
      <c r="AN104">
        <v>-0.92468094318290528</v>
      </c>
      <c r="AO104">
        <v>44340</v>
      </c>
    </row>
    <row r="105" spans="1:41" x14ac:dyDescent="0.3">
      <c r="A105" s="19" t="s">
        <v>175</v>
      </c>
      <c r="B105">
        <v>25</v>
      </c>
      <c r="C105" s="19" t="s">
        <v>46</v>
      </c>
      <c r="D105" s="19" t="s">
        <v>47</v>
      </c>
      <c r="E105" s="19" t="s">
        <v>48</v>
      </c>
      <c r="F105">
        <v>688</v>
      </c>
      <c r="G105" s="19" t="s">
        <v>49</v>
      </c>
      <c r="H105">
        <v>3</v>
      </c>
      <c r="I105">
        <v>3</v>
      </c>
      <c r="J105" s="19" t="s">
        <v>58</v>
      </c>
      <c r="K105">
        <v>538</v>
      </c>
      <c r="L105">
        <v>1</v>
      </c>
      <c r="M105" s="19" t="s">
        <v>51</v>
      </c>
      <c r="N105">
        <v>3</v>
      </c>
      <c r="O105">
        <v>1</v>
      </c>
      <c r="P105" s="19" t="s">
        <v>52</v>
      </c>
      <c r="Q105">
        <v>1</v>
      </c>
      <c r="R105" s="19" t="s">
        <v>113</v>
      </c>
      <c r="S105">
        <v>49190</v>
      </c>
      <c r="T105" s="19" t="s">
        <v>72</v>
      </c>
      <c r="U105">
        <v>307.44</v>
      </c>
      <c r="V105">
        <v>5</v>
      </c>
      <c r="W105" s="19" t="s">
        <v>55</v>
      </c>
      <c r="X105">
        <v>13</v>
      </c>
      <c r="Y105">
        <v>3</v>
      </c>
      <c r="Z105">
        <v>3</v>
      </c>
      <c r="AA105">
        <v>1</v>
      </c>
      <c r="AB105">
        <v>6</v>
      </c>
      <c r="AC105">
        <v>5</v>
      </c>
      <c r="AD105">
        <v>3</v>
      </c>
      <c r="AE105">
        <v>2</v>
      </c>
      <c r="AF105">
        <v>2</v>
      </c>
      <c r="AG105">
        <v>0</v>
      </c>
      <c r="AH105">
        <v>2</v>
      </c>
      <c r="AI105">
        <v>1</v>
      </c>
      <c r="AJ105" s="19" t="s">
        <v>1566</v>
      </c>
      <c r="AK105" s="19" t="s">
        <v>1562</v>
      </c>
      <c r="AL105">
        <v>1</v>
      </c>
      <c r="AM105" s="19" t="s">
        <v>1565</v>
      </c>
      <c r="AN105">
        <v>-4.8928251628235588E-2</v>
      </c>
      <c r="AO105">
        <v>590280</v>
      </c>
    </row>
    <row r="106" spans="1:41" x14ac:dyDescent="0.3">
      <c r="A106" s="19" t="s">
        <v>176</v>
      </c>
      <c r="B106">
        <v>25</v>
      </c>
      <c r="C106" s="19" t="s">
        <v>46</v>
      </c>
      <c r="D106" s="19" t="s">
        <v>55</v>
      </c>
      <c r="E106" s="19" t="s">
        <v>48</v>
      </c>
      <c r="F106">
        <v>622</v>
      </c>
      <c r="G106" s="19" t="s">
        <v>57</v>
      </c>
      <c r="H106">
        <v>13</v>
      </c>
      <c r="I106">
        <v>1</v>
      </c>
      <c r="J106" s="19" t="s">
        <v>58</v>
      </c>
      <c r="K106">
        <v>645</v>
      </c>
      <c r="L106">
        <v>2</v>
      </c>
      <c r="M106" s="19" t="s">
        <v>51</v>
      </c>
      <c r="N106">
        <v>3</v>
      </c>
      <c r="O106">
        <v>1</v>
      </c>
      <c r="P106" s="19" t="s">
        <v>60</v>
      </c>
      <c r="Q106">
        <v>3</v>
      </c>
      <c r="R106" s="19" t="s">
        <v>113</v>
      </c>
      <c r="S106">
        <v>6258</v>
      </c>
      <c r="T106" s="19" t="s">
        <v>54</v>
      </c>
      <c r="U106">
        <v>39.11</v>
      </c>
      <c r="V106">
        <v>1</v>
      </c>
      <c r="W106" s="19" t="s">
        <v>55</v>
      </c>
      <c r="X106">
        <v>11</v>
      </c>
      <c r="Y106">
        <v>3</v>
      </c>
      <c r="Z106">
        <v>3</v>
      </c>
      <c r="AA106">
        <v>0</v>
      </c>
      <c r="AB106">
        <v>7</v>
      </c>
      <c r="AC106">
        <v>1</v>
      </c>
      <c r="AD106">
        <v>3</v>
      </c>
      <c r="AE106">
        <v>7</v>
      </c>
      <c r="AF106">
        <v>4</v>
      </c>
      <c r="AG106">
        <v>0</v>
      </c>
      <c r="AH106">
        <v>6</v>
      </c>
      <c r="AI106">
        <v>0</v>
      </c>
      <c r="AJ106" s="19" t="s">
        <v>1569</v>
      </c>
      <c r="AK106" s="19" t="s">
        <v>1562</v>
      </c>
      <c r="AL106">
        <v>0</v>
      </c>
      <c r="AM106" s="19" t="s">
        <v>1563</v>
      </c>
      <c r="AN106">
        <v>-0.87313184106678221</v>
      </c>
      <c r="AO106">
        <v>75096</v>
      </c>
    </row>
    <row r="107" spans="1:41" x14ac:dyDescent="0.3">
      <c r="A107" s="19" t="s">
        <v>177</v>
      </c>
      <c r="B107">
        <v>25</v>
      </c>
      <c r="C107" s="19" t="s">
        <v>46</v>
      </c>
      <c r="D107" s="19" t="s">
        <v>55</v>
      </c>
      <c r="E107" s="19" t="s">
        <v>48</v>
      </c>
      <c r="F107">
        <v>810</v>
      </c>
      <c r="G107" s="19" t="s">
        <v>57</v>
      </c>
      <c r="H107">
        <v>8</v>
      </c>
      <c r="I107">
        <v>3</v>
      </c>
      <c r="J107" s="19" t="s">
        <v>50</v>
      </c>
      <c r="K107">
        <v>707</v>
      </c>
      <c r="L107">
        <v>4</v>
      </c>
      <c r="M107" s="19" t="s">
        <v>51</v>
      </c>
      <c r="N107">
        <v>4</v>
      </c>
      <c r="O107">
        <v>2</v>
      </c>
      <c r="P107" s="19" t="s">
        <v>145</v>
      </c>
      <c r="Q107">
        <v>2</v>
      </c>
      <c r="R107" s="19" t="s">
        <v>113</v>
      </c>
      <c r="S107">
        <v>88538</v>
      </c>
      <c r="T107" s="19" t="s">
        <v>70</v>
      </c>
      <c r="U107">
        <v>553.36</v>
      </c>
      <c r="V107">
        <v>0</v>
      </c>
      <c r="W107" s="19" t="s">
        <v>55</v>
      </c>
      <c r="X107">
        <v>22</v>
      </c>
      <c r="Y107">
        <v>4</v>
      </c>
      <c r="Z107">
        <v>3</v>
      </c>
      <c r="AA107">
        <v>1</v>
      </c>
      <c r="AB107">
        <v>4</v>
      </c>
      <c r="AC107">
        <v>4</v>
      </c>
      <c r="AD107">
        <v>3</v>
      </c>
      <c r="AE107">
        <v>3</v>
      </c>
      <c r="AF107">
        <v>2</v>
      </c>
      <c r="AG107">
        <v>1</v>
      </c>
      <c r="AH107">
        <v>2</v>
      </c>
      <c r="AI107">
        <v>0</v>
      </c>
      <c r="AJ107" s="19" t="s">
        <v>1566</v>
      </c>
      <c r="AK107" s="19" t="s">
        <v>1562</v>
      </c>
      <c r="AL107">
        <v>1</v>
      </c>
      <c r="AM107" s="19" t="s">
        <v>1565</v>
      </c>
      <c r="AN107">
        <v>0.80476282881513772</v>
      </c>
      <c r="AO107">
        <v>1062456</v>
      </c>
    </row>
    <row r="108" spans="1:41" x14ac:dyDescent="0.3">
      <c r="A108" s="19" t="s">
        <v>178</v>
      </c>
      <c r="B108">
        <v>25</v>
      </c>
      <c r="C108" s="19" t="s">
        <v>46</v>
      </c>
      <c r="D108" s="19" t="s">
        <v>55</v>
      </c>
      <c r="E108" s="19" t="s">
        <v>48</v>
      </c>
      <c r="F108">
        <v>883</v>
      </c>
      <c r="G108" s="19" t="s">
        <v>57</v>
      </c>
      <c r="H108">
        <v>26</v>
      </c>
      <c r="I108">
        <v>1</v>
      </c>
      <c r="J108" s="19" t="s">
        <v>58</v>
      </c>
      <c r="K108">
        <v>781</v>
      </c>
      <c r="L108">
        <v>3</v>
      </c>
      <c r="M108" s="19" t="s">
        <v>59</v>
      </c>
      <c r="N108">
        <v>3</v>
      </c>
      <c r="O108">
        <v>2</v>
      </c>
      <c r="P108" s="19" t="s">
        <v>145</v>
      </c>
      <c r="Q108">
        <v>4</v>
      </c>
      <c r="R108" s="19" t="s">
        <v>53</v>
      </c>
      <c r="S108">
        <v>40504</v>
      </c>
      <c r="T108" s="19" t="s">
        <v>72</v>
      </c>
      <c r="U108">
        <v>253.15</v>
      </c>
      <c r="V108">
        <v>1</v>
      </c>
      <c r="W108" s="19" t="s">
        <v>55</v>
      </c>
      <c r="X108">
        <v>23</v>
      </c>
      <c r="Y108">
        <v>4</v>
      </c>
      <c r="Z108">
        <v>2</v>
      </c>
      <c r="AA108">
        <v>0</v>
      </c>
      <c r="AB108">
        <v>6</v>
      </c>
      <c r="AC108">
        <v>5</v>
      </c>
      <c r="AD108">
        <v>2</v>
      </c>
      <c r="AE108">
        <v>6</v>
      </c>
      <c r="AF108">
        <v>5</v>
      </c>
      <c r="AG108">
        <v>1</v>
      </c>
      <c r="AH108">
        <v>4</v>
      </c>
      <c r="AI108">
        <v>0</v>
      </c>
      <c r="AJ108" s="19" t="s">
        <v>1569</v>
      </c>
      <c r="AK108" s="19" t="s">
        <v>1562</v>
      </c>
      <c r="AL108">
        <v>1</v>
      </c>
      <c r="AM108" s="19" t="s">
        <v>1565</v>
      </c>
      <c r="AN108">
        <v>-0.17436452575924077</v>
      </c>
      <c r="AO108">
        <v>486048</v>
      </c>
    </row>
    <row r="109" spans="1:41" x14ac:dyDescent="0.3">
      <c r="A109" s="19" t="s">
        <v>179</v>
      </c>
      <c r="B109">
        <v>25</v>
      </c>
      <c r="C109" s="19" t="s">
        <v>46</v>
      </c>
      <c r="D109" s="19" t="s">
        <v>55</v>
      </c>
      <c r="E109" s="19" t="s">
        <v>48</v>
      </c>
      <c r="F109">
        <v>180</v>
      </c>
      <c r="G109" s="19" t="s">
        <v>49</v>
      </c>
      <c r="H109">
        <v>2</v>
      </c>
      <c r="I109">
        <v>1</v>
      </c>
      <c r="J109" s="19" t="s">
        <v>58</v>
      </c>
      <c r="K109">
        <v>854</v>
      </c>
      <c r="L109">
        <v>1</v>
      </c>
      <c r="M109" s="19" t="s">
        <v>51</v>
      </c>
      <c r="N109">
        <v>4</v>
      </c>
      <c r="O109">
        <v>1</v>
      </c>
      <c r="P109" s="19" t="s">
        <v>67</v>
      </c>
      <c r="Q109">
        <v>1</v>
      </c>
      <c r="R109" s="19" t="s">
        <v>53</v>
      </c>
      <c r="S109">
        <v>34159</v>
      </c>
      <c r="T109" s="19" t="s">
        <v>72</v>
      </c>
      <c r="U109">
        <v>213.49</v>
      </c>
      <c r="V109">
        <v>7</v>
      </c>
      <c r="W109" s="19" t="s">
        <v>55</v>
      </c>
      <c r="X109">
        <v>13</v>
      </c>
      <c r="Y109">
        <v>3</v>
      </c>
      <c r="Z109">
        <v>3</v>
      </c>
      <c r="AA109">
        <v>0</v>
      </c>
      <c r="AB109">
        <v>6</v>
      </c>
      <c r="AC109">
        <v>3</v>
      </c>
      <c r="AD109">
        <v>2</v>
      </c>
      <c r="AE109">
        <v>4</v>
      </c>
      <c r="AF109">
        <v>3</v>
      </c>
      <c r="AG109">
        <v>0</v>
      </c>
      <c r="AH109">
        <v>1</v>
      </c>
      <c r="AI109">
        <v>0</v>
      </c>
      <c r="AJ109" s="19" t="s">
        <v>1567</v>
      </c>
      <c r="AK109" s="19" t="s">
        <v>1562</v>
      </c>
      <c r="AL109">
        <v>2</v>
      </c>
      <c r="AM109" s="19" t="s">
        <v>1564</v>
      </c>
      <c r="AN109">
        <v>-0.31498556407164907</v>
      </c>
      <c r="AO109">
        <v>409908</v>
      </c>
    </row>
    <row r="110" spans="1:41" x14ac:dyDescent="0.3">
      <c r="A110" s="19" t="s">
        <v>180</v>
      </c>
      <c r="B110">
        <v>25</v>
      </c>
      <c r="C110" s="19" t="s">
        <v>46</v>
      </c>
      <c r="D110" s="19" t="s">
        <v>55</v>
      </c>
      <c r="E110" s="19" t="s">
        <v>48</v>
      </c>
      <c r="F110">
        <v>141</v>
      </c>
      <c r="G110" s="19" t="s">
        <v>57</v>
      </c>
      <c r="H110">
        <v>3</v>
      </c>
      <c r="I110">
        <v>1</v>
      </c>
      <c r="J110" s="19" t="s">
        <v>82</v>
      </c>
      <c r="K110">
        <v>879</v>
      </c>
      <c r="L110">
        <v>3</v>
      </c>
      <c r="M110" s="19" t="s">
        <v>51</v>
      </c>
      <c r="N110">
        <v>3</v>
      </c>
      <c r="O110">
        <v>2</v>
      </c>
      <c r="P110" s="19" t="s">
        <v>145</v>
      </c>
      <c r="Q110">
        <v>1</v>
      </c>
      <c r="R110" s="19" t="s">
        <v>113</v>
      </c>
      <c r="S110">
        <v>14986</v>
      </c>
      <c r="T110" s="19" t="s">
        <v>54</v>
      </c>
      <c r="U110">
        <v>93.66</v>
      </c>
      <c r="V110">
        <v>1</v>
      </c>
      <c r="W110" s="19" t="s">
        <v>47</v>
      </c>
      <c r="X110">
        <v>18</v>
      </c>
      <c r="Y110">
        <v>3</v>
      </c>
      <c r="Z110">
        <v>4</v>
      </c>
      <c r="AA110">
        <v>0</v>
      </c>
      <c r="AB110">
        <v>5</v>
      </c>
      <c r="AC110">
        <v>3</v>
      </c>
      <c r="AD110">
        <v>3</v>
      </c>
      <c r="AE110">
        <v>5</v>
      </c>
      <c r="AF110">
        <v>3</v>
      </c>
      <c r="AG110">
        <v>0</v>
      </c>
      <c r="AH110">
        <v>3</v>
      </c>
      <c r="AI110">
        <v>0</v>
      </c>
      <c r="AJ110" s="19" t="s">
        <v>1567</v>
      </c>
      <c r="AK110" s="19" t="s">
        <v>1562</v>
      </c>
      <c r="AL110">
        <v>2</v>
      </c>
      <c r="AM110" s="19" t="s">
        <v>1564</v>
      </c>
      <c r="AN110">
        <v>-0.69452465887388859</v>
      </c>
      <c r="AO110">
        <v>179832</v>
      </c>
    </row>
    <row r="111" spans="1:41" x14ac:dyDescent="0.3">
      <c r="A111" s="19" t="s">
        <v>181</v>
      </c>
      <c r="B111">
        <v>25</v>
      </c>
      <c r="C111" s="19" t="s">
        <v>46</v>
      </c>
      <c r="D111" s="19" t="s">
        <v>55</v>
      </c>
      <c r="E111" s="19" t="s">
        <v>48</v>
      </c>
      <c r="F111">
        <v>583</v>
      </c>
      <c r="G111" s="19" t="s">
        <v>57</v>
      </c>
      <c r="H111">
        <v>4</v>
      </c>
      <c r="I111">
        <v>1</v>
      </c>
      <c r="J111" s="19" t="s">
        <v>63</v>
      </c>
      <c r="K111">
        <v>885</v>
      </c>
      <c r="L111">
        <v>3</v>
      </c>
      <c r="M111" s="19" t="s">
        <v>51</v>
      </c>
      <c r="N111">
        <v>2</v>
      </c>
      <c r="O111">
        <v>2</v>
      </c>
      <c r="P111" s="19" t="s">
        <v>145</v>
      </c>
      <c r="Q111">
        <v>1</v>
      </c>
      <c r="R111" s="19" t="s">
        <v>113</v>
      </c>
      <c r="S111">
        <v>62858</v>
      </c>
      <c r="T111" s="19" t="s">
        <v>64</v>
      </c>
      <c r="U111">
        <v>392.86</v>
      </c>
      <c r="V111">
        <v>1</v>
      </c>
      <c r="W111" s="19" t="s">
        <v>55</v>
      </c>
      <c r="X111">
        <v>12</v>
      </c>
      <c r="Y111">
        <v>3</v>
      </c>
      <c r="Z111">
        <v>1</v>
      </c>
      <c r="AA111">
        <v>0</v>
      </c>
      <c r="AB111">
        <v>5</v>
      </c>
      <c r="AC111">
        <v>1</v>
      </c>
      <c r="AD111">
        <v>4</v>
      </c>
      <c r="AE111">
        <v>5</v>
      </c>
      <c r="AF111">
        <v>2</v>
      </c>
      <c r="AG111">
        <v>0</v>
      </c>
      <c r="AH111">
        <v>3</v>
      </c>
      <c r="AI111">
        <v>0</v>
      </c>
      <c r="AJ111" s="19" t="s">
        <v>1567</v>
      </c>
      <c r="AK111" s="19" t="s">
        <v>1562</v>
      </c>
      <c r="AL111">
        <v>1</v>
      </c>
      <c r="AM111" s="19" t="s">
        <v>1565</v>
      </c>
      <c r="AN111">
        <v>0.2813004799482926</v>
      </c>
      <c r="AO111">
        <v>754296</v>
      </c>
    </row>
    <row r="112" spans="1:41" x14ac:dyDescent="0.3">
      <c r="A112" s="19" t="s">
        <v>182</v>
      </c>
      <c r="B112">
        <v>25</v>
      </c>
      <c r="C112" s="19" t="s">
        <v>46</v>
      </c>
      <c r="D112" s="19" t="s">
        <v>47</v>
      </c>
      <c r="E112" s="19" t="s">
        <v>48</v>
      </c>
      <c r="F112">
        <v>867</v>
      </c>
      <c r="G112" s="19" t="s">
        <v>57</v>
      </c>
      <c r="H112">
        <v>19</v>
      </c>
      <c r="I112">
        <v>2</v>
      </c>
      <c r="J112" s="19" t="s">
        <v>63</v>
      </c>
      <c r="K112">
        <v>952</v>
      </c>
      <c r="L112">
        <v>3</v>
      </c>
      <c r="M112" s="19" t="s">
        <v>51</v>
      </c>
      <c r="N112">
        <v>2</v>
      </c>
      <c r="O112">
        <v>1</v>
      </c>
      <c r="P112" s="19" t="s">
        <v>60</v>
      </c>
      <c r="Q112">
        <v>2</v>
      </c>
      <c r="R112" s="19" t="s">
        <v>113</v>
      </c>
      <c r="S112">
        <v>13666</v>
      </c>
      <c r="T112" s="19" t="s">
        <v>54</v>
      </c>
      <c r="U112">
        <v>85.41</v>
      </c>
      <c r="V112">
        <v>1</v>
      </c>
      <c r="W112" s="19" t="s">
        <v>47</v>
      </c>
      <c r="X112">
        <v>18</v>
      </c>
      <c r="Y112">
        <v>3</v>
      </c>
      <c r="Z112">
        <v>3</v>
      </c>
      <c r="AA112">
        <v>3</v>
      </c>
      <c r="AB112">
        <v>1</v>
      </c>
      <c r="AC112">
        <v>2</v>
      </c>
      <c r="AD112">
        <v>3</v>
      </c>
      <c r="AE112">
        <v>1</v>
      </c>
      <c r="AF112">
        <v>0</v>
      </c>
      <c r="AG112">
        <v>0</v>
      </c>
      <c r="AH112">
        <v>0</v>
      </c>
      <c r="AI112">
        <v>1</v>
      </c>
      <c r="AJ112" s="19" t="s">
        <v>1561</v>
      </c>
      <c r="AK112" s="19" t="s">
        <v>1562</v>
      </c>
      <c r="AL112">
        <v>2</v>
      </c>
      <c r="AM112" s="19" t="s">
        <v>1564</v>
      </c>
      <c r="AN112">
        <v>-0.72294978268115151</v>
      </c>
      <c r="AO112">
        <v>163992</v>
      </c>
    </row>
    <row r="113" spans="1:41" x14ac:dyDescent="0.3">
      <c r="A113" s="19" t="s">
        <v>183</v>
      </c>
      <c r="B113">
        <v>25</v>
      </c>
      <c r="C113" s="19" t="s">
        <v>46</v>
      </c>
      <c r="D113" s="19" t="s">
        <v>47</v>
      </c>
      <c r="E113" s="19" t="s">
        <v>48</v>
      </c>
      <c r="F113">
        <v>1219</v>
      </c>
      <c r="G113" s="19" t="s">
        <v>49</v>
      </c>
      <c r="H113">
        <v>4</v>
      </c>
      <c r="I113">
        <v>1</v>
      </c>
      <c r="J113" s="19" t="s">
        <v>77</v>
      </c>
      <c r="K113">
        <v>1106</v>
      </c>
      <c r="L113">
        <v>4</v>
      </c>
      <c r="M113" s="19" t="s">
        <v>51</v>
      </c>
      <c r="N113">
        <v>3</v>
      </c>
      <c r="O113">
        <v>1</v>
      </c>
      <c r="P113" s="19" t="s">
        <v>52</v>
      </c>
      <c r="Q113">
        <v>4</v>
      </c>
      <c r="R113" s="19" t="s">
        <v>113</v>
      </c>
      <c r="S113">
        <v>39660</v>
      </c>
      <c r="T113" s="19" t="s">
        <v>72</v>
      </c>
      <c r="U113">
        <v>247.88</v>
      </c>
      <c r="V113">
        <v>1</v>
      </c>
      <c r="W113" s="19" t="s">
        <v>47</v>
      </c>
      <c r="X113">
        <v>15</v>
      </c>
      <c r="Y113">
        <v>3</v>
      </c>
      <c r="Z113">
        <v>2</v>
      </c>
      <c r="AA113">
        <v>1</v>
      </c>
      <c r="AB113">
        <v>7</v>
      </c>
      <c r="AC113">
        <v>3</v>
      </c>
      <c r="AD113">
        <v>4</v>
      </c>
      <c r="AE113">
        <v>7</v>
      </c>
      <c r="AF113">
        <v>7</v>
      </c>
      <c r="AG113">
        <v>5</v>
      </c>
      <c r="AH113">
        <v>6</v>
      </c>
      <c r="AI113">
        <v>1</v>
      </c>
      <c r="AJ113" s="19" t="s">
        <v>1569</v>
      </c>
      <c r="AK113" s="19" t="s">
        <v>1570</v>
      </c>
      <c r="AL113">
        <v>2</v>
      </c>
      <c r="AM113" s="19" t="s">
        <v>1564</v>
      </c>
      <c r="AN113">
        <v>-0.2331875271310393</v>
      </c>
      <c r="AO113">
        <v>475920</v>
      </c>
    </row>
    <row r="114" spans="1:41" x14ac:dyDescent="0.3">
      <c r="A114" s="19" t="s">
        <v>184</v>
      </c>
      <c r="B114">
        <v>25</v>
      </c>
      <c r="C114" s="19" t="s">
        <v>46</v>
      </c>
      <c r="D114" s="19" t="s">
        <v>55</v>
      </c>
      <c r="E114" s="19" t="s">
        <v>48</v>
      </c>
      <c r="F114">
        <v>1356</v>
      </c>
      <c r="G114" s="19" t="s">
        <v>57</v>
      </c>
      <c r="H114">
        <v>10</v>
      </c>
      <c r="I114">
        <v>4</v>
      </c>
      <c r="J114" s="19" t="s">
        <v>50</v>
      </c>
      <c r="K114">
        <v>1240</v>
      </c>
      <c r="L114">
        <v>3</v>
      </c>
      <c r="M114" s="19" t="s">
        <v>51</v>
      </c>
      <c r="N114">
        <v>3</v>
      </c>
      <c r="O114">
        <v>2</v>
      </c>
      <c r="P114" s="19" t="s">
        <v>145</v>
      </c>
      <c r="Q114">
        <v>4</v>
      </c>
      <c r="R114" s="19" t="s">
        <v>53</v>
      </c>
      <c r="S114">
        <v>4561</v>
      </c>
      <c r="T114" s="19" t="s">
        <v>54</v>
      </c>
      <c r="U114">
        <v>28.51</v>
      </c>
      <c r="V114">
        <v>0</v>
      </c>
      <c r="W114" s="19" t="s">
        <v>55</v>
      </c>
      <c r="X114">
        <v>14</v>
      </c>
      <c r="Y114">
        <v>3</v>
      </c>
      <c r="Z114">
        <v>2</v>
      </c>
      <c r="AA114">
        <v>0</v>
      </c>
      <c r="AB114">
        <v>5</v>
      </c>
      <c r="AC114">
        <v>4</v>
      </c>
      <c r="AD114">
        <v>3</v>
      </c>
      <c r="AE114">
        <v>4</v>
      </c>
      <c r="AF114">
        <v>3</v>
      </c>
      <c r="AG114">
        <v>1</v>
      </c>
      <c r="AH114">
        <v>1</v>
      </c>
      <c r="AI114">
        <v>0</v>
      </c>
      <c r="AJ114" s="19" t="s">
        <v>1567</v>
      </c>
      <c r="AK114" s="19" t="s">
        <v>1562</v>
      </c>
      <c r="AL114">
        <v>0</v>
      </c>
      <c r="AM114" s="19" t="s">
        <v>1563</v>
      </c>
      <c r="AN114">
        <v>-0.90702835774214641</v>
      </c>
      <c r="AO114">
        <v>54732</v>
      </c>
    </row>
    <row r="115" spans="1:41" x14ac:dyDescent="0.3">
      <c r="A115" s="19" t="s">
        <v>185</v>
      </c>
      <c r="B115">
        <v>25</v>
      </c>
      <c r="C115" s="19" t="s">
        <v>46</v>
      </c>
      <c r="D115" s="19" t="s">
        <v>47</v>
      </c>
      <c r="E115" s="19" t="s">
        <v>62</v>
      </c>
      <c r="F115">
        <v>599</v>
      </c>
      <c r="G115" s="19" t="s">
        <v>57</v>
      </c>
      <c r="H115">
        <v>24</v>
      </c>
      <c r="I115">
        <v>1</v>
      </c>
      <c r="J115" s="19" t="s">
        <v>50</v>
      </c>
      <c r="K115">
        <v>1273</v>
      </c>
      <c r="L115">
        <v>3</v>
      </c>
      <c r="M115" s="19" t="s">
        <v>51</v>
      </c>
      <c r="N115">
        <v>1</v>
      </c>
      <c r="O115">
        <v>1</v>
      </c>
      <c r="P115" s="19" t="s">
        <v>60</v>
      </c>
      <c r="Q115">
        <v>4</v>
      </c>
      <c r="R115" s="19" t="s">
        <v>53</v>
      </c>
      <c r="S115">
        <v>27854</v>
      </c>
      <c r="T115" s="19" t="s">
        <v>72</v>
      </c>
      <c r="U115">
        <v>174.09</v>
      </c>
      <c r="V115">
        <v>1</v>
      </c>
      <c r="W115" s="19" t="s">
        <v>47</v>
      </c>
      <c r="X115">
        <v>14</v>
      </c>
      <c r="Y115">
        <v>3</v>
      </c>
      <c r="Z115">
        <v>4</v>
      </c>
      <c r="AA115">
        <v>0</v>
      </c>
      <c r="AB115">
        <v>1</v>
      </c>
      <c r="AC115">
        <v>4</v>
      </c>
      <c r="AD115">
        <v>3</v>
      </c>
      <c r="AE115">
        <v>1</v>
      </c>
      <c r="AF115">
        <v>0</v>
      </c>
      <c r="AG115">
        <v>1</v>
      </c>
      <c r="AH115">
        <v>0</v>
      </c>
      <c r="AI115">
        <v>1</v>
      </c>
      <c r="AJ115" s="19" t="s">
        <v>1561</v>
      </c>
      <c r="AK115" s="19" t="s">
        <v>1562</v>
      </c>
      <c r="AL115">
        <v>1</v>
      </c>
      <c r="AM115" s="19" t="s">
        <v>1565</v>
      </c>
      <c r="AN115">
        <v>-0.43531708230651212</v>
      </c>
      <c r="AO115">
        <v>334248</v>
      </c>
    </row>
    <row r="116" spans="1:41" x14ac:dyDescent="0.3">
      <c r="A116" s="19" t="s">
        <v>186</v>
      </c>
      <c r="B116">
        <v>25</v>
      </c>
      <c r="C116" s="19" t="s">
        <v>46</v>
      </c>
      <c r="D116" s="19" t="s">
        <v>55</v>
      </c>
      <c r="E116" s="19" t="s">
        <v>48</v>
      </c>
      <c r="F116">
        <v>266</v>
      </c>
      <c r="G116" s="19" t="s">
        <v>49</v>
      </c>
      <c r="H116">
        <v>1</v>
      </c>
      <c r="I116">
        <v>3</v>
      </c>
      <c r="J116" s="19" t="s">
        <v>58</v>
      </c>
      <c r="K116">
        <v>1303</v>
      </c>
      <c r="L116">
        <v>4</v>
      </c>
      <c r="M116" s="19" t="s">
        <v>59</v>
      </c>
      <c r="N116">
        <v>3</v>
      </c>
      <c r="O116">
        <v>1</v>
      </c>
      <c r="P116" s="19" t="s">
        <v>67</v>
      </c>
      <c r="Q116">
        <v>2</v>
      </c>
      <c r="R116" s="19" t="s">
        <v>53</v>
      </c>
      <c r="S116">
        <v>65505</v>
      </c>
      <c r="T116" s="19" t="s">
        <v>64</v>
      </c>
      <c r="U116">
        <v>409.41</v>
      </c>
      <c r="V116">
        <v>1</v>
      </c>
      <c r="W116" s="19" t="s">
        <v>55</v>
      </c>
      <c r="X116">
        <v>18</v>
      </c>
      <c r="Y116">
        <v>3</v>
      </c>
      <c r="Z116">
        <v>4</v>
      </c>
      <c r="AA116">
        <v>0</v>
      </c>
      <c r="AB116">
        <v>2</v>
      </c>
      <c r="AC116">
        <v>3</v>
      </c>
      <c r="AD116">
        <v>2</v>
      </c>
      <c r="AE116">
        <v>2</v>
      </c>
      <c r="AF116">
        <v>2</v>
      </c>
      <c r="AG116">
        <v>2</v>
      </c>
      <c r="AH116">
        <v>1</v>
      </c>
      <c r="AI116">
        <v>0</v>
      </c>
      <c r="AJ116" s="19" t="s">
        <v>1566</v>
      </c>
      <c r="AK116" s="19" t="s">
        <v>1562</v>
      </c>
      <c r="AL116">
        <v>2</v>
      </c>
      <c r="AM116" s="19" t="s">
        <v>1564</v>
      </c>
      <c r="AN116">
        <v>0.31361780571698894</v>
      </c>
      <c r="AO116">
        <v>786060</v>
      </c>
    </row>
    <row r="117" spans="1:41" x14ac:dyDescent="0.3">
      <c r="A117" s="19" t="s">
        <v>187</v>
      </c>
      <c r="B117">
        <v>25</v>
      </c>
      <c r="C117" s="19" t="s">
        <v>46</v>
      </c>
      <c r="D117" s="19" t="s">
        <v>55</v>
      </c>
      <c r="E117" s="19" t="s">
        <v>48</v>
      </c>
      <c r="F117">
        <v>882</v>
      </c>
      <c r="G117" s="19" t="s">
        <v>49</v>
      </c>
      <c r="H117">
        <v>19</v>
      </c>
      <c r="I117">
        <v>1</v>
      </c>
      <c r="J117" s="19" t="s">
        <v>58</v>
      </c>
      <c r="K117">
        <v>1358</v>
      </c>
      <c r="L117">
        <v>4</v>
      </c>
      <c r="M117" s="19" t="s">
        <v>51</v>
      </c>
      <c r="N117">
        <v>3</v>
      </c>
      <c r="O117">
        <v>1</v>
      </c>
      <c r="P117" s="19" t="s">
        <v>52</v>
      </c>
      <c r="Q117">
        <v>4</v>
      </c>
      <c r="R117" s="19" t="s">
        <v>113</v>
      </c>
      <c r="S117">
        <v>53251</v>
      </c>
      <c r="T117" s="19" t="s">
        <v>64</v>
      </c>
      <c r="U117">
        <v>332.82</v>
      </c>
      <c r="V117">
        <v>3</v>
      </c>
      <c r="W117" s="19" t="s">
        <v>55</v>
      </c>
      <c r="X117">
        <v>11</v>
      </c>
      <c r="Y117">
        <v>3</v>
      </c>
      <c r="Z117">
        <v>3</v>
      </c>
      <c r="AA117">
        <v>3</v>
      </c>
      <c r="AB117">
        <v>7</v>
      </c>
      <c r="AC117">
        <v>6</v>
      </c>
      <c r="AD117">
        <v>2</v>
      </c>
      <c r="AE117">
        <v>3</v>
      </c>
      <c r="AF117">
        <v>2</v>
      </c>
      <c r="AG117">
        <v>1</v>
      </c>
      <c r="AH117">
        <v>2</v>
      </c>
      <c r="AI117">
        <v>0</v>
      </c>
      <c r="AJ117" s="19" t="s">
        <v>1566</v>
      </c>
      <c r="AK117" s="19" t="s">
        <v>1562</v>
      </c>
      <c r="AL117">
        <v>1</v>
      </c>
      <c r="AM117" s="19" t="s">
        <v>1565</v>
      </c>
      <c r="AN117">
        <v>2.9589788016768176E-2</v>
      </c>
      <c r="AO117">
        <v>639012</v>
      </c>
    </row>
    <row r="118" spans="1:41" x14ac:dyDescent="0.3">
      <c r="A118" s="19" t="s">
        <v>188</v>
      </c>
      <c r="B118">
        <v>25</v>
      </c>
      <c r="C118" s="19" t="s">
        <v>46</v>
      </c>
      <c r="D118" s="19" t="s">
        <v>55</v>
      </c>
      <c r="E118" s="19" t="s">
        <v>48</v>
      </c>
      <c r="F118">
        <v>1372</v>
      </c>
      <c r="G118" s="19" t="s">
        <v>57</v>
      </c>
      <c r="H118">
        <v>18</v>
      </c>
      <c r="I118">
        <v>1</v>
      </c>
      <c r="J118" s="19" t="s">
        <v>50</v>
      </c>
      <c r="K118">
        <v>1399</v>
      </c>
      <c r="L118">
        <v>1</v>
      </c>
      <c r="M118" s="19" t="s">
        <v>51</v>
      </c>
      <c r="N118">
        <v>4</v>
      </c>
      <c r="O118">
        <v>2</v>
      </c>
      <c r="P118" s="19" t="s">
        <v>145</v>
      </c>
      <c r="Q118">
        <v>3</v>
      </c>
      <c r="R118" s="19" t="s">
        <v>113</v>
      </c>
      <c r="S118">
        <v>23662</v>
      </c>
      <c r="T118" s="19" t="s">
        <v>54</v>
      </c>
      <c r="U118">
        <v>147.88999999999999</v>
      </c>
      <c r="V118">
        <v>2</v>
      </c>
      <c r="W118" s="19" t="s">
        <v>55</v>
      </c>
      <c r="X118">
        <v>11</v>
      </c>
      <c r="Y118">
        <v>3</v>
      </c>
      <c r="Z118">
        <v>2</v>
      </c>
      <c r="AA118">
        <v>0</v>
      </c>
      <c r="AB118">
        <v>6</v>
      </c>
      <c r="AC118">
        <v>3</v>
      </c>
      <c r="AD118">
        <v>2</v>
      </c>
      <c r="AE118">
        <v>3</v>
      </c>
      <c r="AF118">
        <v>2</v>
      </c>
      <c r="AG118">
        <v>1</v>
      </c>
      <c r="AH118">
        <v>2</v>
      </c>
      <c r="AI118">
        <v>0</v>
      </c>
      <c r="AJ118" s="19" t="s">
        <v>1566</v>
      </c>
      <c r="AK118" s="19" t="s">
        <v>1562</v>
      </c>
      <c r="AL118">
        <v>1</v>
      </c>
      <c r="AM118" s="19" t="s">
        <v>1565</v>
      </c>
      <c r="AN118">
        <v>-0.51767265970065068</v>
      </c>
      <c r="AO118">
        <v>283944</v>
      </c>
    </row>
    <row r="119" spans="1:41" x14ac:dyDescent="0.3">
      <c r="A119" s="19" t="s">
        <v>189</v>
      </c>
      <c r="B119">
        <v>25</v>
      </c>
      <c r="C119" s="19" t="s">
        <v>46</v>
      </c>
      <c r="D119" s="19" t="s">
        <v>55</v>
      </c>
      <c r="E119" s="19" t="s">
        <v>48</v>
      </c>
      <c r="F119">
        <v>949</v>
      </c>
      <c r="G119" s="19" t="s">
        <v>49</v>
      </c>
      <c r="H119">
        <v>1</v>
      </c>
      <c r="I119">
        <v>3</v>
      </c>
      <c r="J119" s="19" t="s">
        <v>77</v>
      </c>
      <c r="K119">
        <v>1415</v>
      </c>
      <c r="L119">
        <v>1</v>
      </c>
      <c r="M119" s="19" t="s">
        <v>51</v>
      </c>
      <c r="N119">
        <v>3</v>
      </c>
      <c r="O119">
        <v>1</v>
      </c>
      <c r="P119" s="19" t="s">
        <v>52</v>
      </c>
      <c r="Q119">
        <v>4</v>
      </c>
      <c r="R119" s="19" t="s">
        <v>113</v>
      </c>
      <c r="S119">
        <v>9392</v>
      </c>
      <c r="T119" s="19" t="s">
        <v>54</v>
      </c>
      <c r="U119">
        <v>58.7</v>
      </c>
      <c r="V119">
        <v>4</v>
      </c>
      <c r="W119" s="19" t="s">
        <v>55</v>
      </c>
      <c r="X119">
        <v>11</v>
      </c>
      <c r="Y119">
        <v>3</v>
      </c>
      <c r="Z119">
        <v>2</v>
      </c>
      <c r="AA119">
        <v>1</v>
      </c>
      <c r="AB119">
        <v>7</v>
      </c>
      <c r="AC119">
        <v>2</v>
      </c>
      <c r="AD119">
        <v>2</v>
      </c>
      <c r="AE119">
        <v>3</v>
      </c>
      <c r="AF119">
        <v>2</v>
      </c>
      <c r="AG119">
        <v>0</v>
      </c>
      <c r="AH119">
        <v>2</v>
      </c>
      <c r="AI119">
        <v>0</v>
      </c>
      <c r="AJ119" s="19" t="s">
        <v>1566</v>
      </c>
      <c r="AK119" s="19" t="s">
        <v>1562</v>
      </c>
      <c r="AL119">
        <v>1</v>
      </c>
      <c r="AM119" s="19" t="s">
        <v>1565</v>
      </c>
      <c r="AN119">
        <v>-0.81840890708055269</v>
      </c>
      <c r="AO119">
        <v>112704</v>
      </c>
    </row>
    <row r="120" spans="1:41" x14ac:dyDescent="0.3">
      <c r="A120" s="19" t="s">
        <v>190</v>
      </c>
      <c r="B120">
        <v>25</v>
      </c>
      <c r="C120" s="19" t="s">
        <v>46</v>
      </c>
      <c r="D120" s="19" t="s">
        <v>47</v>
      </c>
      <c r="E120" s="19" t="s">
        <v>48</v>
      </c>
      <c r="F120">
        <v>383</v>
      </c>
      <c r="G120" s="19" t="s">
        <v>57</v>
      </c>
      <c r="H120">
        <v>9</v>
      </c>
      <c r="I120">
        <v>2</v>
      </c>
      <c r="J120" s="19" t="s">
        <v>50</v>
      </c>
      <c r="K120">
        <v>1439</v>
      </c>
      <c r="L120">
        <v>1</v>
      </c>
      <c r="M120" s="19" t="s">
        <v>51</v>
      </c>
      <c r="N120">
        <v>2</v>
      </c>
      <c r="O120">
        <v>1</v>
      </c>
      <c r="P120" s="19" t="s">
        <v>60</v>
      </c>
      <c r="Q120">
        <v>1</v>
      </c>
      <c r="R120" s="19" t="s">
        <v>113</v>
      </c>
      <c r="S120">
        <v>31535</v>
      </c>
      <c r="T120" s="19" t="s">
        <v>72</v>
      </c>
      <c r="U120">
        <v>197.09</v>
      </c>
      <c r="V120">
        <v>3</v>
      </c>
      <c r="W120" s="19" t="s">
        <v>55</v>
      </c>
      <c r="X120">
        <v>12</v>
      </c>
      <c r="Y120">
        <v>3</v>
      </c>
      <c r="Z120">
        <v>1</v>
      </c>
      <c r="AA120">
        <v>0</v>
      </c>
      <c r="AB120">
        <v>6</v>
      </c>
      <c r="AC120">
        <v>2</v>
      </c>
      <c r="AD120">
        <v>3</v>
      </c>
      <c r="AE120">
        <v>3</v>
      </c>
      <c r="AF120">
        <v>2</v>
      </c>
      <c r="AG120">
        <v>2</v>
      </c>
      <c r="AH120">
        <v>2</v>
      </c>
      <c r="AI120">
        <v>1</v>
      </c>
      <c r="AJ120" s="19" t="s">
        <v>1566</v>
      </c>
      <c r="AK120" s="19" t="s">
        <v>1562</v>
      </c>
      <c r="AL120">
        <v>1</v>
      </c>
      <c r="AM120" s="19" t="s">
        <v>1565</v>
      </c>
      <c r="AN120">
        <v>-0.36069233110274501</v>
      </c>
      <c r="AO120">
        <v>378420</v>
      </c>
    </row>
    <row r="121" spans="1:41" x14ac:dyDescent="0.3">
      <c r="A121" s="19" t="s">
        <v>191</v>
      </c>
      <c r="B121">
        <v>25</v>
      </c>
      <c r="C121" s="19" t="s">
        <v>46</v>
      </c>
      <c r="D121" s="19" t="s">
        <v>55</v>
      </c>
      <c r="E121" s="19" t="s">
        <v>62</v>
      </c>
      <c r="F121">
        <v>772</v>
      </c>
      <c r="G121" s="19" t="s">
        <v>49</v>
      </c>
      <c r="H121">
        <v>2</v>
      </c>
      <c r="I121">
        <v>1</v>
      </c>
      <c r="J121" s="19" t="s">
        <v>50</v>
      </c>
      <c r="K121">
        <v>1653</v>
      </c>
      <c r="L121">
        <v>4</v>
      </c>
      <c r="M121" s="19" t="s">
        <v>51</v>
      </c>
      <c r="N121">
        <v>4</v>
      </c>
      <c r="O121">
        <v>2</v>
      </c>
      <c r="P121" s="19" t="s">
        <v>120</v>
      </c>
      <c r="Q121">
        <v>3</v>
      </c>
      <c r="R121" s="19" t="s">
        <v>53</v>
      </c>
      <c r="S121">
        <v>79603</v>
      </c>
      <c r="T121" s="19" t="s">
        <v>64</v>
      </c>
      <c r="U121">
        <v>497.52</v>
      </c>
      <c r="V121">
        <v>1</v>
      </c>
      <c r="W121" s="19" t="s">
        <v>55</v>
      </c>
      <c r="X121">
        <v>17</v>
      </c>
      <c r="Y121">
        <v>3</v>
      </c>
      <c r="Z121">
        <v>3</v>
      </c>
      <c r="AA121">
        <v>2</v>
      </c>
      <c r="AB121">
        <v>7</v>
      </c>
      <c r="AC121">
        <v>6</v>
      </c>
      <c r="AD121">
        <v>3</v>
      </c>
      <c r="AE121">
        <v>7</v>
      </c>
      <c r="AF121">
        <v>7</v>
      </c>
      <c r="AG121">
        <v>0</v>
      </c>
      <c r="AH121">
        <v>7</v>
      </c>
      <c r="AI121">
        <v>0</v>
      </c>
      <c r="AJ121" s="19" t="s">
        <v>1569</v>
      </c>
      <c r="AK121" s="19" t="s">
        <v>1562</v>
      </c>
      <c r="AL121">
        <v>0</v>
      </c>
      <c r="AM121" s="19" t="s">
        <v>1563</v>
      </c>
      <c r="AN121">
        <v>0.7970966670011792</v>
      </c>
      <c r="AO121">
        <v>955236</v>
      </c>
    </row>
    <row r="122" spans="1:41" x14ac:dyDescent="0.3">
      <c r="A122" s="19" t="s">
        <v>192</v>
      </c>
      <c r="B122">
        <v>25</v>
      </c>
      <c r="C122" s="19" t="s">
        <v>46</v>
      </c>
      <c r="D122" s="19" t="s">
        <v>55</v>
      </c>
      <c r="E122" s="19" t="s">
        <v>48</v>
      </c>
      <c r="F122">
        <v>309</v>
      </c>
      <c r="G122" s="19" t="s">
        <v>80</v>
      </c>
      <c r="H122">
        <v>2</v>
      </c>
      <c r="I122">
        <v>3</v>
      </c>
      <c r="J122" s="19" t="s">
        <v>80</v>
      </c>
      <c r="K122">
        <v>1987</v>
      </c>
      <c r="L122">
        <v>3</v>
      </c>
      <c r="M122" s="19" t="s">
        <v>59</v>
      </c>
      <c r="N122">
        <v>3</v>
      </c>
      <c r="O122">
        <v>1</v>
      </c>
      <c r="P122" s="19" t="s">
        <v>80</v>
      </c>
      <c r="Q122">
        <v>2</v>
      </c>
      <c r="R122" s="19" t="s">
        <v>113</v>
      </c>
      <c r="S122">
        <v>53256</v>
      </c>
      <c r="T122" s="19" t="s">
        <v>64</v>
      </c>
      <c r="U122">
        <v>332.85</v>
      </c>
      <c r="V122">
        <v>4</v>
      </c>
      <c r="W122" s="19" t="s">
        <v>55</v>
      </c>
      <c r="X122">
        <v>14</v>
      </c>
      <c r="Y122">
        <v>3</v>
      </c>
      <c r="Z122">
        <v>3</v>
      </c>
      <c r="AA122">
        <v>0</v>
      </c>
      <c r="AB122">
        <v>6</v>
      </c>
      <c r="AC122">
        <v>3</v>
      </c>
      <c r="AD122">
        <v>3</v>
      </c>
      <c r="AE122">
        <v>2</v>
      </c>
      <c r="AF122">
        <v>0</v>
      </c>
      <c r="AG122">
        <v>1</v>
      </c>
      <c r="AH122">
        <v>2</v>
      </c>
      <c r="AI122">
        <v>0</v>
      </c>
      <c r="AJ122" s="19" t="s">
        <v>1566</v>
      </c>
      <c r="AK122" s="19" t="s">
        <v>1562</v>
      </c>
      <c r="AL122">
        <v>1</v>
      </c>
      <c r="AM122" s="19" t="s">
        <v>1565</v>
      </c>
      <c r="AN122">
        <v>4.950259409024934E-2</v>
      </c>
      <c r="AO122">
        <v>639072</v>
      </c>
    </row>
    <row r="123" spans="1:41" x14ac:dyDescent="0.3">
      <c r="A123" s="19" t="s">
        <v>193</v>
      </c>
      <c r="B123">
        <v>25</v>
      </c>
      <c r="C123" s="19" t="s">
        <v>46</v>
      </c>
      <c r="D123" s="19" t="s">
        <v>55</v>
      </c>
      <c r="E123" s="19" t="s">
        <v>48</v>
      </c>
      <c r="F123">
        <v>977</v>
      </c>
      <c r="G123" s="19" t="s">
        <v>49</v>
      </c>
      <c r="H123">
        <v>2</v>
      </c>
      <c r="I123">
        <v>1</v>
      </c>
      <c r="J123" s="19" t="s">
        <v>82</v>
      </c>
      <c r="K123">
        <v>1992</v>
      </c>
      <c r="L123">
        <v>4</v>
      </c>
      <c r="M123" s="19" t="s">
        <v>51</v>
      </c>
      <c r="N123">
        <v>3</v>
      </c>
      <c r="O123">
        <v>1</v>
      </c>
      <c r="P123" s="19" t="s">
        <v>52</v>
      </c>
      <c r="Q123">
        <v>3</v>
      </c>
      <c r="R123" s="19" t="s">
        <v>53</v>
      </c>
      <c r="S123">
        <v>90135</v>
      </c>
      <c r="T123" s="19" t="s">
        <v>70</v>
      </c>
      <c r="U123">
        <v>563.34</v>
      </c>
      <c r="V123">
        <v>6</v>
      </c>
      <c r="W123" s="19" t="s">
        <v>47</v>
      </c>
      <c r="X123">
        <v>19</v>
      </c>
      <c r="Y123">
        <v>3</v>
      </c>
      <c r="Z123">
        <v>3</v>
      </c>
      <c r="AA123">
        <v>1</v>
      </c>
      <c r="AB123">
        <v>7</v>
      </c>
      <c r="AC123">
        <v>2</v>
      </c>
      <c r="AD123">
        <v>2</v>
      </c>
      <c r="AE123">
        <v>2</v>
      </c>
      <c r="AF123">
        <v>2</v>
      </c>
      <c r="AG123">
        <v>0</v>
      </c>
      <c r="AH123">
        <v>2</v>
      </c>
      <c r="AI123">
        <v>0</v>
      </c>
      <c r="AJ123" s="19" t="s">
        <v>1566</v>
      </c>
      <c r="AK123" s="19" t="s">
        <v>1562</v>
      </c>
      <c r="AL123">
        <v>2</v>
      </c>
      <c r="AM123" s="19" t="s">
        <v>1564</v>
      </c>
      <c r="AN123">
        <v>0.7427292547161819</v>
      </c>
      <c r="AO123">
        <v>1081620</v>
      </c>
    </row>
    <row r="124" spans="1:41" x14ac:dyDescent="0.3">
      <c r="A124" s="19" t="s">
        <v>194</v>
      </c>
      <c r="B124">
        <v>25</v>
      </c>
      <c r="C124" s="19" t="s">
        <v>46</v>
      </c>
      <c r="D124" s="19" t="s">
        <v>55</v>
      </c>
      <c r="E124" s="19" t="s">
        <v>48</v>
      </c>
      <c r="F124">
        <v>1382</v>
      </c>
      <c r="G124" s="19" t="s">
        <v>57</v>
      </c>
      <c r="H124">
        <v>8</v>
      </c>
      <c r="I124">
        <v>2</v>
      </c>
      <c r="J124" s="19" t="s">
        <v>82</v>
      </c>
      <c r="K124">
        <v>2018</v>
      </c>
      <c r="L124">
        <v>1</v>
      </c>
      <c r="M124" s="19" t="s">
        <v>59</v>
      </c>
      <c r="N124">
        <v>3</v>
      </c>
      <c r="O124">
        <v>2</v>
      </c>
      <c r="P124" s="19" t="s">
        <v>145</v>
      </c>
      <c r="Q124">
        <v>3</v>
      </c>
      <c r="R124" s="19" t="s">
        <v>53</v>
      </c>
      <c r="S124">
        <v>36222</v>
      </c>
      <c r="T124" s="19" t="s">
        <v>72</v>
      </c>
      <c r="U124">
        <v>226.39</v>
      </c>
      <c r="V124">
        <v>0</v>
      </c>
      <c r="W124" s="19" t="s">
        <v>47</v>
      </c>
      <c r="X124">
        <v>22</v>
      </c>
      <c r="Y124">
        <v>4</v>
      </c>
      <c r="Z124">
        <v>2</v>
      </c>
      <c r="AA124">
        <v>1</v>
      </c>
      <c r="AB124">
        <v>6</v>
      </c>
      <c r="AC124">
        <v>3</v>
      </c>
      <c r="AD124">
        <v>2</v>
      </c>
      <c r="AE124">
        <v>5</v>
      </c>
      <c r="AF124">
        <v>3</v>
      </c>
      <c r="AG124">
        <v>0</v>
      </c>
      <c r="AH124">
        <v>4</v>
      </c>
      <c r="AI124">
        <v>0</v>
      </c>
      <c r="AJ124" s="19" t="s">
        <v>1567</v>
      </c>
      <c r="AK124" s="19" t="s">
        <v>1562</v>
      </c>
      <c r="AL124">
        <v>2</v>
      </c>
      <c r="AM124" s="19" t="s">
        <v>1564</v>
      </c>
      <c r="AN124">
        <v>-0.26164901866608781</v>
      </c>
      <c r="AO124">
        <v>434664</v>
      </c>
    </row>
    <row r="125" spans="1:41" x14ac:dyDescent="0.3">
      <c r="A125" s="19" t="s">
        <v>195</v>
      </c>
      <c r="B125">
        <v>26</v>
      </c>
      <c r="C125" s="19" t="s">
        <v>196</v>
      </c>
      <c r="D125" s="19" t="s">
        <v>47</v>
      </c>
      <c r="E125" s="19" t="s">
        <v>48</v>
      </c>
      <c r="F125">
        <v>1357</v>
      </c>
      <c r="G125" s="19" t="s">
        <v>49</v>
      </c>
      <c r="H125">
        <v>25</v>
      </c>
      <c r="I125">
        <v>3</v>
      </c>
      <c r="J125" s="19" t="s">
        <v>50</v>
      </c>
      <c r="K125">
        <v>55</v>
      </c>
      <c r="L125">
        <v>1</v>
      </c>
      <c r="M125" s="19" t="s">
        <v>51</v>
      </c>
      <c r="N125">
        <v>1</v>
      </c>
      <c r="O125">
        <v>1</v>
      </c>
      <c r="P125" s="19" t="s">
        <v>52</v>
      </c>
      <c r="Q125">
        <v>3</v>
      </c>
      <c r="R125" s="19" t="s">
        <v>53</v>
      </c>
      <c r="S125">
        <v>78373</v>
      </c>
      <c r="T125" s="19" t="s">
        <v>64</v>
      </c>
      <c r="U125">
        <v>489.83</v>
      </c>
      <c r="V125">
        <v>1</v>
      </c>
      <c r="W125" s="19" t="s">
        <v>55</v>
      </c>
      <c r="X125">
        <v>12</v>
      </c>
      <c r="Y125">
        <v>3</v>
      </c>
      <c r="Z125">
        <v>3</v>
      </c>
      <c r="AA125">
        <v>0</v>
      </c>
      <c r="AB125">
        <v>1</v>
      </c>
      <c r="AC125">
        <v>2</v>
      </c>
      <c r="AD125">
        <v>2</v>
      </c>
      <c r="AE125">
        <v>1</v>
      </c>
      <c r="AF125">
        <v>0</v>
      </c>
      <c r="AG125">
        <v>0</v>
      </c>
      <c r="AH125">
        <v>1</v>
      </c>
      <c r="AI125">
        <v>1</v>
      </c>
      <c r="AJ125" s="19" t="s">
        <v>1561</v>
      </c>
      <c r="AK125" s="19" t="s">
        <v>1562</v>
      </c>
      <c r="AL125">
        <v>1</v>
      </c>
      <c r="AM125" s="19" t="s">
        <v>1565</v>
      </c>
      <c r="AN125">
        <v>0.51531502612604785</v>
      </c>
      <c r="AO125">
        <v>940476</v>
      </c>
    </row>
    <row r="126" spans="1:41" x14ac:dyDescent="0.3">
      <c r="A126" s="19" t="s">
        <v>197</v>
      </c>
      <c r="B126">
        <v>26</v>
      </c>
      <c r="C126" s="19" t="s">
        <v>196</v>
      </c>
      <c r="D126" s="19" t="s">
        <v>55</v>
      </c>
      <c r="E126" s="19" t="s">
        <v>48</v>
      </c>
      <c r="F126">
        <v>1443</v>
      </c>
      <c r="G126" s="19" t="s">
        <v>57</v>
      </c>
      <c r="H126">
        <v>23</v>
      </c>
      <c r="I126">
        <v>3</v>
      </c>
      <c r="J126" s="19" t="s">
        <v>63</v>
      </c>
      <c r="K126">
        <v>72</v>
      </c>
      <c r="L126">
        <v>3</v>
      </c>
      <c r="M126" s="19" t="s">
        <v>59</v>
      </c>
      <c r="N126">
        <v>2</v>
      </c>
      <c r="O126">
        <v>2</v>
      </c>
      <c r="P126" s="19" t="s">
        <v>145</v>
      </c>
      <c r="Q126">
        <v>4</v>
      </c>
      <c r="R126" s="19" t="s">
        <v>113</v>
      </c>
      <c r="S126">
        <v>80575</v>
      </c>
      <c r="T126" s="19" t="s">
        <v>64</v>
      </c>
      <c r="U126">
        <v>503.59</v>
      </c>
      <c r="V126">
        <v>7</v>
      </c>
      <c r="W126" s="19" t="s">
        <v>47</v>
      </c>
      <c r="X126">
        <v>19</v>
      </c>
      <c r="Y126">
        <v>3</v>
      </c>
      <c r="Z126">
        <v>3</v>
      </c>
      <c r="AA126">
        <v>1</v>
      </c>
      <c r="AB126">
        <v>5</v>
      </c>
      <c r="AC126">
        <v>2</v>
      </c>
      <c r="AD126">
        <v>2</v>
      </c>
      <c r="AE126">
        <v>2</v>
      </c>
      <c r="AF126">
        <v>2</v>
      </c>
      <c r="AG126">
        <v>0</v>
      </c>
      <c r="AH126">
        <v>0</v>
      </c>
      <c r="AI126">
        <v>0</v>
      </c>
      <c r="AJ126" s="19" t="s">
        <v>1566</v>
      </c>
      <c r="AK126" s="19" t="s">
        <v>1562</v>
      </c>
      <c r="AL126">
        <v>2</v>
      </c>
      <c r="AM126" s="19" t="s">
        <v>1564</v>
      </c>
      <c r="AN126">
        <v>0.64244465576113896</v>
      </c>
      <c r="AO126">
        <v>966900</v>
      </c>
    </row>
    <row r="127" spans="1:41" x14ac:dyDescent="0.3">
      <c r="A127" s="19" t="s">
        <v>198</v>
      </c>
      <c r="B127">
        <v>26</v>
      </c>
      <c r="C127" s="19" t="s">
        <v>196</v>
      </c>
      <c r="D127" s="19" t="s">
        <v>55</v>
      </c>
      <c r="E127" s="19" t="s">
        <v>48</v>
      </c>
      <c r="F127">
        <v>841</v>
      </c>
      <c r="G127" s="19" t="s">
        <v>49</v>
      </c>
      <c r="H127">
        <v>6</v>
      </c>
      <c r="I127">
        <v>3</v>
      </c>
      <c r="J127" s="19" t="s">
        <v>82</v>
      </c>
      <c r="K127">
        <v>164</v>
      </c>
      <c r="L127">
        <v>3</v>
      </c>
      <c r="M127" s="19" t="s">
        <v>59</v>
      </c>
      <c r="N127">
        <v>2</v>
      </c>
      <c r="O127">
        <v>1</v>
      </c>
      <c r="P127" s="19" t="s">
        <v>67</v>
      </c>
      <c r="Q127">
        <v>2</v>
      </c>
      <c r="R127" s="19" t="s">
        <v>113</v>
      </c>
      <c r="S127">
        <v>97354</v>
      </c>
      <c r="T127" s="19" t="s">
        <v>70</v>
      </c>
      <c r="U127">
        <v>608.46</v>
      </c>
      <c r="V127">
        <v>1</v>
      </c>
      <c r="W127" s="19" t="s">
        <v>55</v>
      </c>
      <c r="X127">
        <v>19</v>
      </c>
      <c r="Y127">
        <v>3</v>
      </c>
      <c r="Z127">
        <v>3</v>
      </c>
      <c r="AA127">
        <v>0</v>
      </c>
      <c r="AB127">
        <v>5</v>
      </c>
      <c r="AC127">
        <v>3</v>
      </c>
      <c r="AD127">
        <v>2</v>
      </c>
      <c r="AE127">
        <v>5</v>
      </c>
      <c r="AF127">
        <v>4</v>
      </c>
      <c r="AG127">
        <v>4</v>
      </c>
      <c r="AH127">
        <v>3</v>
      </c>
      <c r="AI127">
        <v>0</v>
      </c>
      <c r="AJ127" s="19" t="s">
        <v>1567</v>
      </c>
      <c r="AK127" s="19" t="s">
        <v>1570</v>
      </c>
      <c r="AL127">
        <v>3</v>
      </c>
      <c r="AM127" s="19" t="s">
        <v>1568</v>
      </c>
      <c r="AN127">
        <v>0.95230818804322948</v>
      </c>
      <c r="AO127">
        <v>1168248</v>
      </c>
    </row>
    <row r="128" spans="1:41" x14ac:dyDescent="0.3">
      <c r="A128" s="19" t="s">
        <v>199</v>
      </c>
      <c r="B128">
        <v>26</v>
      </c>
      <c r="C128" s="19" t="s">
        <v>196</v>
      </c>
      <c r="D128" s="19" t="s">
        <v>55</v>
      </c>
      <c r="E128" s="19" t="s">
        <v>48</v>
      </c>
      <c r="F128">
        <v>1355</v>
      </c>
      <c r="G128" s="19" t="s">
        <v>80</v>
      </c>
      <c r="H128">
        <v>25</v>
      </c>
      <c r="I128">
        <v>1</v>
      </c>
      <c r="J128" s="19" t="s">
        <v>50</v>
      </c>
      <c r="K128">
        <v>177</v>
      </c>
      <c r="L128">
        <v>3</v>
      </c>
      <c r="M128" s="19" t="s">
        <v>59</v>
      </c>
      <c r="N128">
        <v>3</v>
      </c>
      <c r="O128">
        <v>1</v>
      </c>
      <c r="P128" s="19" t="s">
        <v>80</v>
      </c>
      <c r="Q128">
        <v>3</v>
      </c>
      <c r="R128" s="19" t="s">
        <v>113</v>
      </c>
      <c r="S128">
        <v>85651</v>
      </c>
      <c r="T128" s="19" t="s">
        <v>70</v>
      </c>
      <c r="U128">
        <v>535.32000000000005</v>
      </c>
      <c r="V128">
        <v>1</v>
      </c>
      <c r="W128" s="19" t="s">
        <v>55</v>
      </c>
      <c r="X128">
        <v>23</v>
      </c>
      <c r="Y128">
        <v>4</v>
      </c>
      <c r="Z128">
        <v>4</v>
      </c>
      <c r="AA128">
        <v>1</v>
      </c>
      <c r="AB128">
        <v>8</v>
      </c>
      <c r="AC128">
        <v>3</v>
      </c>
      <c r="AD128">
        <v>3</v>
      </c>
      <c r="AE128">
        <v>8</v>
      </c>
      <c r="AF128">
        <v>7</v>
      </c>
      <c r="AG128">
        <v>5</v>
      </c>
      <c r="AH128">
        <v>7</v>
      </c>
      <c r="AI128">
        <v>0</v>
      </c>
      <c r="AJ128" s="19" t="s">
        <v>1569</v>
      </c>
      <c r="AK128" s="19" t="s">
        <v>1570</v>
      </c>
      <c r="AL128">
        <v>1</v>
      </c>
      <c r="AM128" s="19" t="s">
        <v>1565</v>
      </c>
      <c r="AN128">
        <v>0.68790270929893249</v>
      </c>
      <c r="AO128">
        <v>1027812</v>
      </c>
    </row>
    <row r="129" spans="1:41" x14ac:dyDescent="0.3">
      <c r="A129" s="19" t="s">
        <v>200</v>
      </c>
      <c r="B129">
        <v>26</v>
      </c>
      <c r="C129" s="19" t="s">
        <v>196</v>
      </c>
      <c r="D129" s="19" t="s">
        <v>55</v>
      </c>
      <c r="E129" s="19" t="s">
        <v>62</v>
      </c>
      <c r="F129">
        <v>1479</v>
      </c>
      <c r="G129" s="19" t="s">
        <v>49</v>
      </c>
      <c r="H129">
        <v>1</v>
      </c>
      <c r="I129">
        <v>3</v>
      </c>
      <c r="J129" s="19" t="s">
        <v>50</v>
      </c>
      <c r="K129">
        <v>384</v>
      </c>
      <c r="L129">
        <v>3</v>
      </c>
      <c r="M129" s="19" t="s">
        <v>59</v>
      </c>
      <c r="N129">
        <v>3</v>
      </c>
      <c r="O129">
        <v>2</v>
      </c>
      <c r="P129" s="19" t="s">
        <v>120</v>
      </c>
      <c r="Q129">
        <v>2</v>
      </c>
      <c r="R129" s="19" t="s">
        <v>53</v>
      </c>
      <c r="S129">
        <v>64335</v>
      </c>
      <c r="T129" s="19" t="s">
        <v>64</v>
      </c>
      <c r="U129">
        <v>402.09</v>
      </c>
      <c r="V129">
        <v>1</v>
      </c>
      <c r="W129" s="19" t="s">
        <v>55</v>
      </c>
      <c r="X129">
        <v>20</v>
      </c>
      <c r="Y129">
        <v>4</v>
      </c>
      <c r="Z129">
        <v>1</v>
      </c>
      <c r="AA129">
        <v>1</v>
      </c>
      <c r="AB129">
        <v>6</v>
      </c>
      <c r="AC129">
        <v>6</v>
      </c>
      <c r="AD129">
        <v>1</v>
      </c>
      <c r="AE129">
        <v>6</v>
      </c>
      <c r="AF129">
        <v>5</v>
      </c>
      <c r="AG129">
        <v>1</v>
      </c>
      <c r="AH129">
        <v>4</v>
      </c>
      <c r="AI129">
        <v>0</v>
      </c>
      <c r="AJ129" s="19" t="s">
        <v>1569</v>
      </c>
      <c r="AK129" s="19" t="s">
        <v>1562</v>
      </c>
      <c r="AL129">
        <v>2</v>
      </c>
      <c r="AM129" s="19" t="s">
        <v>1564</v>
      </c>
      <c r="AN129">
        <v>0.45241026181828409</v>
      </c>
      <c r="AO129">
        <v>772020</v>
      </c>
    </row>
    <row r="130" spans="1:41" x14ac:dyDescent="0.3">
      <c r="A130" s="19" t="s">
        <v>201</v>
      </c>
      <c r="B130">
        <v>26</v>
      </c>
      <c r="C130" s="19" t="s">
        <v>196</v>
      </c>
      <c r="D130" s="19" t="s">
        <v>55</v>
      </c>
      <c r="E130" s="19" t="s">
        <v>62</v>
      </c>
      <c r="F130">
        <v>496</v>
      </c>
      <c r="G130" s="19" t="s">
        <v>49</v>
      </c>
      <c r="H130">
        <v>11</v>
      </c>
      <c r="I130">
        <v>2</v>
      </c>
      <c r="J130" s="19" t="s">
        <v>58</v>
      </c>
      <c r="K130">
        <v>390</v>
      </c>
      <c r="L130">
        <v>1</v>
      </c>
      <c r="M130" s="19" t="s">
        <v>51</v>
      </c>
      <c r="N130">
        <v>3</v>
      </c>
      <c r="O130">
        <v>2</v>
      </c>
      <c r="P130" s="19" t="s">
        <v>168</v>
      </c>
      <c r="Q130">
        <v>1</v>
      </c>
      <c r="R130" s="19" t="s">
        <v>113</v>
      </c>
      <c r="S130">
        <v>11965</v>
      </c>
      <c r="T130" s="19" t="s">
        <v>54</v>
      </c>
      <c r="U130">
        <v>74.78</v>
      </c>
      <c r="V130">
        <v>1</v>
      </c>
      <c r="W130" s="19" t="s">
        <v>47</v>
      </c>
      <c r="X130">
        <v>13</v>
      </c>
      <c r="Y130">
        <v>3</v>
      </c>
      <c r="Z130">
        <v>3</v>
      </c>
      <c r="AA130">
        <v>1</v>
      </c>
      <c r="AB130">
        <v>5</v>
      </c>
      <c r="AC130">
        <v>3</v>
      </c>
      <c r="AD130">
        <v>3</v>
      </c>
      <c r="AE130">
        <v>5</v>
      </c>
      <c r="AF130">
        <v>3</v>
      </c>
      <c r="AG130">
        <v>3</v>
      </c>
      <c r="AH130">
        <v>3</v>
      </c>
      <c r="AI130">
        <v>0</v>
      </c>
      <c r="AJ130" s="19" t="s">
        <v>1567</v>
      </c>
      <c r="AK130" s="19" t="s">
        <v>1570</v>
      </c>
      <c r="AL130">
        <v>3</v>
      </c>
      <c r="AM130" s="19" t="s">
        <v>1568</v>
      </c>
      <c r="AN130">
        <v>-0.7517075571260865</v>
      </c>
      <c r="AO130">
        <v>143580</v>
      </c>
    </row>
    <row r="131" spans="1:41" x14ac:dyDescent="0.3">
      <c r="A131" s="19" t="s">
        <v>202</v>
      </c>
      <c r="B131">
        <v>26</v>
      </c>
      <c r="C131" s="19" t="s">
        <v>196</v>
      </c>
      <c r="D131" s="19" t="s">
        <v>47</v>
      </c>
      <c r="E131" s="19" t="s">
        <v>48</v>
      </c>
      <c r="F131">
        <v>1449</v>
      </c>
      <c r="G131" s="19" t="s">
        <v>49</v>
      </c>
      <c r="H131">
        <v>16</v>
      </c>
      <c r="I131">
        <v>4</v>
      </c>
      <c r="J131" s="19" t="s">
        <v>58</v>
      </c>
      <c r="K131">
        <v>394</v>
      </c>
      <c r="L131">
        <v>1</v>
      </c>
      <c r="M131" s="19" t="s">
        <v>51</v>
      </c>
      <c r="N131">
        <v>3</v>
      </c>
      <c r="O131">
        <v>1</v>
      </c>
      <c r="P131" s="19" t="s">
        <v>52</v>
      </c>
      <c r="Q131">
        <v>2</v>
      </c>
      <c r="R131" s="19" t="s">
        <v>53</v>
      </c>
      <c r="S131">
        <v>25538</v>
      </c>
      <c r="T131" s="19" t="s">
        <v>72</v>
      </c>
      <c r="U131">
        <v>159.61000000000001</v>
      </c>
      <c r="V131">
        <v>2</v>
      </c>
      <c r="W131" s="19" t="s">
        <v>47</v>
      </c>
      <c r="X131">
        <v>13</v>
      </c>
      <c r="Y131">
        <v>3</v>
      </c>
      <c r="Z131">
        <v>4</v>
      </c>
      <c r="AA131">
        <v>1</v>
      </c>
      <c r="AB131">
        <v>5</v>
      </c>
      <c r="AC131">
        <v>2</v>
      </c>
      <c r="AD131">
        <v>3</v>
      </c>
      <c r="AE131">
        <v>3</v>
      </c>
      <c r="AF131">
        <v>2</v>
      </c>
      <c r="AG131">
        <v>0</v>
      </c>
      <c r="AH131">
        <v>2</v>
      </c>
      <c r="AI131">
        <v>1</v>
      </c>
      <c r="AJ131" s="19" t="s">
        <v>1566</v>
      </c>
      <c r="AK131" s="19" t="s">
        <v>1562</v>
      </c>
      <c r="AL131">
        <v>2</v>
      </c>
      <c r="AM131" s="19" t="s">
        <v>1564</v>
      </c>
      <c r="AN131">
        <v>-0.50623154482784871</v>
      </c>
      <c r="AO131">
        <v>306456</v>
      </c>
    </row>
    <row r="132" spans="1:41" x14ac:dyDescent="0.3">
      <c r="A132" s="19" t="s">
        <v>203</v>
      </c>
      <c r="B132">
        <v>26</v>
      </c>
      <c r="C132" s="19" t="s">
        <v>196</v>
      </c>
      <c r="D132" s="19" t="s">
        <v>47</v>
      </c>
      <c r="E132" s="19" t="s">
        <v>48</v>
      </c>
      <c r="F132">
        <v>950</v>
      </c>
      <c r="G132" s="19" t="s">
        <v>57</v>
      </c>
      <c r="H132">
        <v>4</v>
      </c>
      <c r="I132">
        <v>4</v>
      </c>
      <c r="J132" s="19" t="s">
        <v>63</v>
      </c>
      <c r="K132">
        <v>401</v>
      </c>
      <c r="L132">
        <v>4</v>
      </c>
      <c r="M132" s="19" t="s">
        <v>51</v>
      </c>
      <c r="N132">
        <v>2</v>
      </c>
      <c r="O132">
        <v>2</v>
      </c>
      <c r="P132" s="19" t="s">
        <v>145</v>
      </c>
      <c r="Q132">
        <v>4</v>
      </c>
      <c r="R132" s="19" t="s">
        <v>53</v>
      </c>
      <c r="S132">
        <v>71592</v>
      </c>
      <c r="T132" s="19" t="s">
        <v>64</v>
      </c>
      <c r="U132">
        <v>447.45</v>
      </c>
      <c r="V132">
        <v>1</v>
      </c>
      <c r="W132" s="19" t="s">
        <v>47</v>
      </c>
      <c r="X132">
        <v>12</v>
      </c>
      <c r="Y132">
        <v>3</v>
      </c>
      <c r="Z132">
        <v>2</v>
      </c>
      <c r="AA132">
        <v>0</v>
      </c>
      <c r="AB132">
        <v>8</v>
      </c>
      <c r="AC132">
        <v>0</v>
      </c>
      <c r="AD132">
        <v>3</v>
      </c>
      <c r="AE132">
        <v>8</v>
      </c>
      <c r="AF132">
        <v>7</v>
      </c>
      <c r="AG132">
        <v>7</v>
      </c>
      <c r="AH132">
        <v>4</v>
      </c>
      <c r="AI132">
        <v>1</v>
      </c>
      <c r="AJ132" s="19" t="s">
        <v>1569</v>
      </c>
      <c r="AK132" s="19" t="s">
        <v>1570</v>
      </c>
      <c r="AL132">
        <v>2</v>
      </c>
      <c r="AM132" s="19" t="s">
        <v>1564</v>
      </c>
      <c r="AN132">
        <v>0.45933475389700856</v>
      </c>
      <c r="AO132">
        <v>859104</v>
      </c>
    </row>
    <row r="133" spans="1:41" x14ac:dyDescent="0.3">
      <c r="A133" s="19" t="s">
        <v>204</v>
      </c>
      <c r="B133">
        <v>26</v>
      </c>
      <c r="C133" s="19" t="s">
        <v>196</v>
      </c>
      <c r="D133" s="19" t="s">
        <v>55</v>
      </c>
      <c r="E133" s="19" t="s">
        <v>48</v>
      </c>
      <c r="F133">
        <v>933</v>
      </c>
      <c r="G133" s="19" t="s">
        <v>57</v>
      </c>
      <c r="H133">
        <v>1</v>
      </c>
      <c r="I133">
        <v>3</v>
      </c>
      <c r="J133" s="19" t="s">
        <v>50</v>
      </c>
      <c r="K133">
        <v>476</v>
      </c>
      <c r="L133">
        <v>3</v>
      </c>
      <c r="M133" s="19" t="s">
        <v>51</v>
      </c>
      <c r="N133">
        <v>3</v>
      </c>
      <c r="O133">
        <v>2</v>
      </c>
      <c r="P133" s="19" t="s">
        <v>145</v>
      </c>
      <c r="Q133">
        <v>3</v>
      </c>
      <c r="R133" s="19" t="s">
        <v>113</v>
      </c>
      <c r="S133">
        <v>99018</v>
      </c>
      <c r="T133" s="19" t="s">
        <v>70</v>
      </c>
      <c r="U133">
        <v>618.86</v>
      </c>
      <c r="V133">
        <v>1</v>
      </c>
      <c r="W133" s="19" t="s">
        <v>55</v>
      </c>
      <c r="X133">
        <v>17</v>
      </c>
      <c r="Y133">
        <v>3</v>
      </c>
      <c r="Z133">
        <v>2</v>
      </c>
      <c r="AA133">
        <v>1</v>
      </c>
      <c r="AB133">
        <v>8</v>
      </c>
      <c r="AC133">
        <v>3</v>
      </c>
      <c r="AD133">
        <v>3</v>
      </c>
      <c r="AE133">
        <v>8</v>
      </c>
      <c r="AF133">
        <v>7</v>
      </c>
      <c r="AG133">
        <v>7</v>
      </c>
      <c r="AH133">
        <v>7</v>
      </c>
      <c r="AI133">
        <v>0</v>
      </c>
      <c r="AJ133" s="19" t="s">
        <v>1569</v>
      </c>
      <c r="AK133" s="19" t="s">
        <v>1570</v>
      </c>
      <c r="AL133">
        <v>1</v>
      </c>
      <c r="AM133" s="19" t="s">
        <v>1565</v>
      </c>
      <c r="AN133">
        <v>1.0183876503153144</v>
      </c>
      <c r="AO133">
        <v>1188216</v>
      </c>
    </row>
    <row r="134" spans="1:41" x14ac:dyDescent="0.3">
      <c r="A134" s="19" t="s">
        <v>205</v>
      </c>
      <c r="B134">
        <v>26</v>
      </c>
      <c r="C134" s="19" t="s">
        <v>196</v>
      </c>
      <c r="D134" s="19" t="s">
        <v>47</v>
      </c>
      <c r="E134" s="19" t="s">
        <v>62</v>
      </c>
      <c r="F134">
        <v>575</v>
      </c>
      <c r="G134" s="19" t="s">
        <v>49</v>
      </c>
      <c r="H134">
        <v>3</v>
      </c>
      <c r="I134">
        <v>1</v>
      </c>
      <c r="J134" s="19" t="s">
        <v>77</v>
      </c>
      <c r="K134">
        <v>510</v>
      </c>
      <c r="L134">
        <v>3</v>
      </c>
      <c r="M134" s="19" t="s">
        <v>51</v>
      </c>
      <c r="N134">
        <v>3</v>
      </c>
      <c r="O134">
        <v>1</v>
      </c>
      <c r="P134" s="19" t="s">
        <v>67</v>
      </c>
      <c r="Q134">
        <v>1</v>
      </c>
      <c r="R134" s="19" t="s">
        <v>53</v>
      </c>
      <c r="S134">
        <v>9110</v>
      </c>
      <c r="T134" s="19" t="s">
        <v>54</v>
      </c>
      <c r="U134">
        <v>56.94</v>
      </c>
      <c r="V134">
        <v>0</v>
      </c>
      <c r="W134" s="19" t="s">
        <v>55</v>
      </c>
      <c r="X134">
        <v>22</v>
      </c>
      <c r="Y134">
        <v>4</v>
      </c>
      <c r="Z134">
        <v>3</v>
      </c>
      <c r="AA134">
        <v>0</v>
      </c>
      <c r="AB134">
        <v>7</v>
      </c>
      <c r="AC134">
        <v>2</v>
      </c>
      <c r="AD134">
        <v>3</v>
      </c>
      <c r="AE134">
        <v>6</v>
      </c>
      <c r="AF134">
        <v>4</v>
      </c>
      <c r="AG134">
        <v>0</v>
      </c>
      <c r="AH134">
        <v>4</v>
      </c>
      <c r="AI134">
        <v>1</v>
      </c>
      <c r="AJ134" s="19" t="s">
        <v>1569</v>
      </c>
      <c r="AK134" s="19" t="s">
        <v>1562</v>
      </c>
      <c r="AL134">
        <v>1</v>
      </c>
      <c r="AM134" s="19" t="s">
        <v>1565</v>
      </c>
      <c r="AN134">
        <v>-0.81731076696310556</v>
      </c>
      <c r="AO134">
        <v>109320</v>
      </c>
    </row>
    <row r="135" spans="1:41" x14ac:dyDescent="0.3">
      <c r="A135" s="19" t="s">
        <v>206</v>
      </c>
      <c r="B135">
        <v>26</v>
      </c>
      <c r="C135" s="19" t="s">
        <v>196</v>
      </c>
      <c r="D135" s="19" t="s">
        <v>55</v>
      </c>
      <c r="E135" s="19" t="s">
        <v>48</v>
      </c>
      <c r="F135">
        <v>1349</v>
      </c>
      <c r="G135" s="19" t="s">
        <v>49</v>
      </c>
      <c r="H135">
        <v>23</v>
      </c>
      <c r="I135">
        <v>3</v>
      </c>
      <c r="J135" s="19" t="s">
        <v>50</v>
      </c>
      <c r="K135">
        <v>560</v>
      </c>
      <c r="L135">
        <v>1</v>
      </c>
      <c r="M135" s="19" t="s">
        <v>59</v>
      </c>
      <c r="N135">
        <v>3</v>
      </c>
      <c r="O135">
        <v>1</v>
      </c>
      <c r="P135" s="19" t="s">
        <v>67</v>
      </c>
      <c r="Q135">
        <v>4</v>
      </c>
      <c r="R135" s="19" t="s">
        <v>53</v>
      </c>
      <c r="S135">
        <v>80309</v>
      </c>
      <c r="T135" s="19" t="s">
        <v>64</v>
      </c>
      <c r="U135">
        <v>501.93</v>
      </c>
      <c r="V135">
        <v>1</v>
      </c>
      <c r="W135" s="19" t="s">
        <v>55</v>
      </c>
      <c r="X135">
        <v>22</v>
      </c>
      <c r="Y135">
        <v>4</v>
      </c>
      <c r="Z135">
        <v>2</v>
      </c>
      <c r="AA135">
        <v>2</v>
      </c>
      <c r="AB135">
        <v>3</v>
      </c>
      <c r="AC135">
        <v>3</v>
      </c>
      <c r="AD135">
        <v>1</v>
      </c>
      <c r="AE135">
        <v>3</v>
      </c>
      <c r="AF135">
        <v>2</v>
      </c>
      <c r="AG135">
        <v>0</v>
      </c>
      <c r="AH135">
        <v>2</v>
      </c>
      <c r="AI135">
        <v>0</v>
      </c>
      <c r="AJ135" s="19" t="s">
        <v>1566</v>
      </c>
      <c r="AK135" s="19" t="s">
        <v>1562</v>
      </c>
      <c r="AL135">
        <v>1</v>
      </c>
      <c r="AM135" s="19" t="s">
        <v>1565</v>
      </c>
      <c r="AN135">
        <v>0.61049282282765693</v>
      </c>
      <c r="AO135">
        <v>963708</v>
      </c>
    </row>
    <row r="136" spans="1:41" x14ac:dyDescent="0.3">
      <c r="A136" s="19" t="s">
        <v>207</v>
      </c>
      <c r="B136">
        <v>26</v>
      </c>
      <c r="C136" s="19" t="s">
        <v>196</v>
      </c>
      <c r="D136" s="19" t="s">
        <v>47</v>
      </c>
      <c r="E136" s="19" t="s">
        <v>62</v>
      </c>
      <c r="F136">
        <v>426</v>
      </c>
      <c r="G136" s="19" t="s">
        <v>80</v>
      </c>
      <c r="H136">
        <v>17</v>
      </c>
      <c r="I136">
        <v>4</v>
      </c>
      <c r="J136" s="19" t="s">
        <v>50</v>
      </c>
      <c r="K136">
        <v>608</v>
      </c>
      <c r="L136">
        <v>2</v>
      </c>
      <c r="M136" s="19" t="s">
        <v>59</v>
      </c>
      <c r="N136">
        <v>3</v>
      </c>
      <c r="O136">
        <v>1</v>
      </c>
      <c r="P136" s="19" t="s">
        <v>80</v>
      </c>
      <c r="Q136">
        <v>3</v>
      </c>
      <c r="R136" s="19" t="s">
        <v>53</v>
      </c>
      <c r="S136">
        <v>28266</v>
      </c>
      <c r="T136" s="19" t="s">
        <v>72</v>
      </c>
      <c r="U136">
        <v>176.66</v>
      </c>
      <c r="V136">
        <v>0</v>
      </c>
      <c r="W136" s="19" t="s">
        <v>47</v>
      </c>
      <c r="X136">
        <v>11</v>
      </c>
      <c r="Y136">
        <v>3</v>
      </c>
      <c r="Z136">
        <v>2</v>
      </c>
      <c r="AA136">
        <v>1</v>
      </c>
      <c r="AB136">
        <v>8</v>
      </c>
      <c r="AC136">
        <v>2</v>
      </c>
      <c r="AD136">
        <v>2</v>
      </c>
      <c r="AE136">
        <v>7</v>
      </c>
      <c r="AF136">
        <v>7</v>
      </c>
      <c r="AG136">
        <v>1</v>
      </c>
      <c r="AH136">
        <v>0</v>
      </c>
      <c r="AI136">
        <v>1</v>
      </c>
      <c r="AJ136" s="19" t="s">
        <v>1569</v>
      </c>
      <c r="AK136" s="19" t="s">
        <v>1562</v>
      </c>
      <c r="AL136">
        <v>2</v>
      </c>
      <c r="AM136" s="19" t="s">
        <v>1564</v>
      </c>
      <c r="AN136">
        <v>-0.44296904903569573</v>
      </c>
      <c r="AO136">
        <v>339192</v>
      </c>
    </row>
    <row r="137" spans="1:41" x14ac:dyDescent="0.3">
      <c r="A137" s="19" t="s">
        <v>208</v>
      </c>
      <c r="B137">
        <v>26</v>
      </c>
      <c r="C137" s="19" t="s">
        <v>196</v>
      </c>
      <c r="D137" s="19" t="s">
        <v>55</v>
      </c>
      <c r="E137" s="19" t="s">
        <v>48</v>
      </c>
      <c r="F137">
        <v>775</v>
      </c>
      <c r="G137" s="19" t="s">
        <v>57</v>
      </c>
      <c r="H137">
        <v>29</v>
      </c>
      <c r="I137">
        <v>2</v>
      </c>
      <c r="J137" s="19" t="s">
        <v>58</v>
      </c>
      <c r="K137">
        <v>618</v>
      </c>
      <c r="L137">
        <v>1</v>
      </c>
      <c r="M137" s="19" t="s">
        <v>51</v>
      </c>
      <c r="N137">
        <v>3</v>
      </c>
      <c r="O137">
        <v>2</v>
      </c>
      <c r="P137" s="19" t="s">
        <v>145</v>
      </c>
      <c r="Q137">
        <v>3</v>
      </c>
      <c r="R137" s="19" t="s">
        <v>53</v>
      </c>
      <c r="S137">
        <v>53992</v>
      </c>
      <c r="T137" s="19" t="s">
        <v>64</v>
      </c>
      <c r="U137">
        <v>337.45</v>
      </c>
      <c r="V137">
        <v>5</v>
      </c>
      <c r="W137" s="19" t="s">
        <v>55</v>
      </c>
      <c r="X137">
        <v>12</v>
      </c>
      <c r="Y137">
        <v>3</v>
      </c>
      <c r="Z137">
        <v>1</v>
      </c>
      <c r="AA137">
        <v>2</v>
      </c>
      <c r="AB137">
        <v>8</v>
      </c>
      <c r="AC137">
        <v>5</v>
      </c>
      <c r="AD137">
        <v>3</v>
      </c>
      <c r="AE137">
        <v>0</v>
      </c>
      <c r="AF137">
        <v>0</v>
      </c>
      <c r="AG137">
        <v>0</v>
      </c>
      <c r="AH137">
        <v>0</v>
      </c>
      <c r="AI137">
        <v>0</v>
      </c>
      <c r="AJ137" s="19" t="s">
        <v>1561</v>
      </c>
      <c r="AK137" s="19" t="s">
        <v>1562</v>
      </c>
      <c r="AL137">
        <v>0</v>
      </c>
      <c r="AM137" s="19" t="s">
        <v>1563</v>
      </c>
      <c r="AN137">
        <v>0.10057551168297135</v>
      </c>
      <c r="AO137">
        <v>647904</v>
      </c>
    </row>
    <row r="138" spans="1:41" x14ac:dyDescent="0.3">
      <c r="A138" s="19" t="s">
        <v>209</v>
      </c>
      <c r="B138">
        <v>26</v>
      </c>
      <c r="C138" s="19" t="s">
        <v>196</v>
      </c>
      <c r="D138" s="19" t="s">
        <v>47</v>
      </c>
      <c r="E138" s="19" t="s">
        <v>48</v>
      </c>
      <c r="F138">
        <v>471</v>
      </c>
      <c r="G138" s="19" t="s">
        <v>49</v>
      </c>
      <c r="H138">
        <v>24</v>
      </c>
      <c r="I138">
        <v>3</v>
      </c>
      <c r="J138" s="19" t="s">
        <v>77</v>
      </c>
      <c r="K138">
        <v>622</v>
      </c>
      <c r="L138">
        <v>3</v>
      </c>
      <c r="M138" s="19" t="s">
        <v>51</v>
      </c>
      <c r="N138">
        <v>1</v>
      </c>
      <c r="O138">
        <v>1</v>
      </c>
      <c r="P138" s="19" t="s">
        <v>52</v>
      </c>
      <c r="Q138">
        <v>4</v>
      </c>
      <c r="R138" s="19" t="s">
        <v>53</v>
      </c>
      <c r="S138">
        <v>83948</v>
      </c>
      <c r="T138" s="19" t="s">
        <v>70</v>
      </c>
      <c r="U138">
        <v>524.66999999999996</v>
      </c>
      <c r="V138">
        <v>1</v>
      </c>
      <c r="W138" s="19" t="s">
        <v>47</v>
      </c>
      <c r="X138">
        <v>18</v>
      </c>
      <c r="Y138">
        <v>3</v>
      </c>
      <c r="Z138">
        <v>2</v>
      </c>
      <c r="AA138">
        <v>0</v>
      </c>
      <c r="AB138">
        <v>1</v>
      </c>
      <c r="AC138">
        <v>3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v>1</v>
      </c>
      <c r="AJ138" s="19" t="s">
        <v>1561</v>
      </c>
      <c r="AK138" s="19" t="s">
        <v>1562</v>
      </c>
      <c r="AL138">
        <v>2</v>
      </c>
      <c r="AM138" s="19" t="s">
        <v>1564</v>
      </c>
      <c r="AN138">
        <v>0.62310573556236792</v>
      </c>
      <c r="AO138">
        <v>1007376</v>
      </c>
    </row>
    <row r="139" spans="1:41" x14ac:dyDescent="0.3">
      <c r="A139" s="19" t="s">
        <v>210</v>
      </c>
      <c r="B139">
        <v>26</v>
      </c>
      <c r="C139" s="19" t="s">
        <v>196</v>
      </c>
      <c r="D139" s="19" t="s">
        <v>55</v>
      </c>
      <c r="E139" s="19" t="s">
        <v>48</v>
      </c>
      <c r="F139">
        <v>703</v>
      </c>
      <c r="G139" s="19" t="s">
        <v>57</v>
      </c>
      <c r="H139">
        <v>28</v>
      </c>
      <c r="I139">
        <v>2</v>
      </c>
      <c r="J139" s="19" t="s">
        <v>63</v>
      </c>
      <c r="K139">
        <v>641</v>
      </c>
      <c r="L139">
        <v>1</v>
      </c>
      <c r="M139" s="19" t="s">
        <v>51</v>
      </c>
      <c r="N139">
        <v>3</v>
      </c>
      <c r="O139">
        <v>2</v>
      </c>
      <c r="P139" s="19" t="s">
        <v>145</v>
      </c>
      <c r="Q139">
        <v>2</v>
      </c>
      <c r="R139" s="19" t="s">
        <v>113</v>
      </c>
      <c r="S139">
        <v>99806</v>
      </c>
      <c r="T139" s="19" t="s">
        <v>70</v>
      </c>
      <c r="U139">
        <v>623.79</v>
      </c>
      <c r="V139">
        <v>1</v>
      </c>
      <c r="W139" s="19" t="s">
        <v>55</v>
      </c>
      <c r="X139">
        <v>20</v>
      </c>
      <c r="Y139">
        <v>4</v>
      </c>
      <c r="Z139">
        <v>4</v>
      </c>
      <c r="AA139">
        <v>2</v>
      </c>
      <c r="AB139">
        <v>6</v>
      </c>
      <c r="AC139">
        <v>5</v>
      </c>
      <c r="AD139">
        <v>4</v>
      </c>
      <c r="AE139">
        <v>5</v>
      </c>
      <c r="AF139">
        <v>3</v>
      </c>
      <c r="AG139">
        <v>1</v>
      </c>
      <c r="AH139">
        <v>4</v>
      </c>
      <c r="AI139">
        <v>0</v>
      </c>
      <c r="AJ139" s="19" t="s">
        <v>1567</v>
      </c>
      <c r="AK139" s="19" t="s">
        <v>1562</v>
      </c>
      <c r="AL139">
        <v>1</v>
      </c>
      <c r="AM139" s="19" t="s">
        <v>1565</v>
      </c>
      <c r="AN139">
        <v>1.0344502800235338</v>
      </c>
      <c r="AO139">
        <v>1197672</v>
      </c>
    </row>
    <row r="140" spans="1:41" x14ac:dyDescent="0.3">
      <c r="A140" s="19" t="s">
        <v>211</v>
      </c>
      <c r="B140">
        <v>26</v>
      </c>
      <c r="C140" s="19" t="s">
        <v>196</v>
      </c>
      <c r="D140" s="19" t="s">
        <v>55</v>
      </c>
      <c r="E140" s="19" t="s">
        <v>48</v>
      </c>
      <c r="F140">
        <v>991</v>
      </c>
      <c r="G140" s="19" t="s">
        <v>49</v>
      </c>
      <c r="H140">
        <v>6</v>
      </c>
      <c r="I140">
        <v>3</v>
      </c>
      <c r="J140" s="19" t="s">
        <v>50</v>
      </c>
      <c r="K140">
        <v>686</v>
      </c>
      <c r="L140">
        <v>3</v>
      </c>
      <c r="M140" s="19" t="s">
        <v>59</v>
      </c>
      <c r="N140">
        <v>3</v>
      </c>
      <c r="O140">
        <v>1</v>
      </c>
      <c r="P140" s="19" t="s">
        <v>52</v>
      </c>
      <c r="Q140">
        <v>4</v>
      </c>
      <c r="R140" s="19" t="s">
        <v>113</v>
      </c>
      <c r="S140">
        <v>7910</v>
      </c>
      <c r="T140" s="19" t="s">
        <v>54</v>
      </c>
      <c r="U140">
        <v>49.44</v>
      </c>
      <c r="V140">
        <v>1</v>
      </c>
      <c r="W140" s="19" t="s">
        <v>47</v>
      </c>
      <c r="X140">
        <v>13</v>
      </c>
      <c r="Y140">
        <v>3</v>
      </c>
      <c r="Z140">
        <v>3</v>
      </c>
      <c r="AA140">
        <v>1</v>
      </c>
      <c r="AB140">
        <v>3</v>
      </c>
      <c r="AC140">
        <v>2</v>
      </c>
      <c r="AD140">
        <v>3</v>
      </c>
      <c r="AE140">
        <v>3</v>
      </c>
      <c r="AF140">
        <v>2</v>
      </c>
      <c r="AG140">
        <v>0</v>
      </c>
      <c r="AH140">
        <v>2</v>
      </c>
      <c r="AI140">
        <v>0</v>
      </c>
      <c r="AJ140" s="19" t="s">
        <v>1566</v>
      </c>
      <c r="AK140" s="19" t="s">
        <v>1562</v>
      </c>
      <c r="AL140">
        <v>1</v>
      </c>
      <c r="AM140" s="19" t="s">
        <v>1565</v>
      </c>
      <c r="AN140">
        <v>-0.84706286786703278</v>
      </c>
      <c r="AO140">
        <v>94920</v>
      </c>
    </row>
    <row r="141" spans="1:41" x14ac:dyDescent="0.3">
      <c r="A141" s="19" t="s">
        <v>212</v>
      </c>
      <c r="B141">
        <v>26</v>
      </c>
      <c r="C141" s="19" t="s">
        <v>196</v>
      </c>
      <c r="D141" s="19" t="s">
        <v>47</v>
      </c>
      <c r="E141" s="19" t="s">
        <v>48</v>
      </c>
      <c r="F141">
        <v>1146</v>
      </c>
      <c r="G141" s="19" t="s">
        <v>57</v>
      </c>
      <c r="H141">
        <v>8</v>
      </c>
      <c r="I141">
        <v>3</v>
      </c>
      <c r="J141" s="19" t="s">
        <v>77</v>
      </c>
      <c r="K141">
        <v>796</v>
      </c>
      <c r="L141">
        <v>4</v>
      </c>
      <c r="M141" s="19" t="s">
        <v>51</v>
      </c>
      <c r="N141">
        <v>2</v>
      </c>
      <c r="O141">
        <v>2</v>
      </c>
      <c r="P141" s="19" t="s">
        <v>145</v>
      </c>
      <c r="Q141">
        <v>1</v>
      </c>
      <c r="R141" s="19" t="s">
        <v>53</v>
      </c>
      <c r="S141">
        <v>1206</v>
      </c>
      <c r="T141" s="19" t="s">
        <v>54</v>
      </c>
      <c r="U141">
        <v>7.54</v>
      </c>
      <c r="V141">
        <v>6</v>
      </c>
      <c r="W141" s="19" t="s">
        <v>55</v>
      </c>
      <c r="X141">
        <v>17</v>
      </c>
      <c r="Y141">
        <v>3</v>
      </c>
      <c r="Z141">
        <v>3</v>
      </c>
      <c r="AA141">
        <v>0</v>
      </c>
      <c r="AB141">
        <v>6</v>
      </c>
      <c r="AC141">
        <v>2</v>
      </c>
      <c r="AD141">
        <v>2</v>
      </c>
      <c r="AE141">
        <v>4</v>
      </c>
      <c r="AF141">
        <v>3</v>
      </c>
      <c r="AG141">
        <v>1</v>
      </c>
      <c r="AH141">
        <v>2</v>
      </c>
      <c r="AI141">
        <v>1</v>
      </c>
      <c r="AJ141" s="19" t="s">
        <v>1567</v>
      </c>
      <c r="AK141" s="19" t="s">
        <v>1562</v>
      </c>
      <c r="AL141">
        <v>2</v>
      </c>
      <c r="AM141" s="19" t="s">
        <v>1564</v>
      </c>
      <c r="AN141">
        <v>-0.97541683828919723</v>
      </c>
      <c r="AO141">
        <v>14472</v>
      </c>
    </row>
    <row r="142" spans="1:41" x14ac:dyDescent="0.3">
      <c r="A142" s="19" t="s">
        <v>213</v>
      </c>
      <c r="B142">
        <v>26</v>
      </c>
      <c r="C142" s="19" t="s">
        <v>196</v>
      </c>
      <c r="D142" s="19" t="s">
        <v>47</v>
      </c>
      <c r="E142" s="19" t="s">
        <v>62</v>
      </c>
      <c r="F142">
        <v>887</v>
      </c>
      <c r="G142" s="19" t="s">
        <v>49</v>
      </c>
      <c r="H142">
        <v>5</v>
      </c>
      <c r="I142">
        <v>2</v>
      </c>
      <c r="J142" s="19" t="s">
        <v>58</v>
      </c>
      <c r="K142">
        <v>848</v>
      </c>
      <c r="L142">
        <v>3</v>
      </c>
      <c r="M142" s="19" t="s">
        <v>59</v>
      </c>
      <c r="N142">
        <v>2</v>
      </c>
      <c r="O142">
        <v>1</v>
      </c>
      <c r="P142" s="19" t="s">
        <v>67</v>
      </c>
      <c r="Q142">
        <v>3</v>
      </c>
      <c r="R142" s="19" t="s">
        <v>113</v>
      </c>
      <c r="S142">
        <v>88054</v>
      </c>
      <c r="T142" s="19" t="s">
        <v>70</v>
      </c>
      <c r="U142">
        <v>550.34</v>
      </c>
      <c r="V142">
        <v>1</v>
      </c>
      <c r="W142" s="19" t="s">
        <v>47</v>
      </c>
      <c r="X142">
        <v>14</v>
      </c>
      <c r="Y142">
        <v>3</v>
      </c>
      <c r="Z142">
        <v>1</v>
      </c>
      <c r="AA142">
        <v>1</v>
      </c>
      <c r="AB142">
        <v>8</v>
      </c>
      <c r="AC142">
        <v>2</v>
      </c>
      <c r="AD142">
        <v>3</v>
      </c>
      <c r="AE142">
        <v>8</v>
      </c>
      <c r="AF142">
        <v>7</v>
      </c>
      <c r="AG142">
        <v>1</v>
      </c>
      <c r="AH142">
        <v>7</v>
      </c>
      <c r="AI142">
        <v>1</v>
      </c>
      <c r="AJ142" s="19" t="s">
        <v>1569</v>
      </c>
      <c r="AK142" s="19" t="s">
        <v>1562</v>
      </c>
      <c r="AL142">
        <v>1</v>
      </c>
      <c r="AM142" s="19" t="s">
        <v>1565</v>
      </c>
      <c r="AN142">
        <v>0.76580875146330429</v>
      </c>
      <c r="AO142">
        <v>1056648</v>
      </c>
    </row>
    <row r="143" spans="1:41" x14ac:dyDescent="0.3">
      <c r="A143" s="19" t="s">
        <v>214</v>
      </c>
      <c r="B143">
        <v>26</v>
      </c>
      <c r="C143" s="19" t="s">
        <v>196</v>
      </c>
      <c r="D143" s="19" t="s">
        <v>55</v>
      </c>
      <c r="E143" s="19" t="s">
        <v>62</v>
      </c>
      <c r="F143">
        <v>1283</v>
      </c>
      <c r="G143" s="19" t="s">
        <v>57</v>
      </c>
      <c r="H143">
        <v>1</v>
      </c>
      <c r="I143">
        <v>3</v>
      </c>
      <c r="J143" s="19" t="s">
        <v>58</v>
      </c>
      <c r="K143">
        <v>956</v>
      </c>
      <c r="L143">
        <v>3</v>
      </c>
      <c r="M143" s="19" t="s">
        <v>51</v>
      </c>
      <c r="N143">
        <v>2</v>
      </c>
      <c r="O143">
        <v>2</v>
      </c>
      <c r="P143" s="19" t="s">
        <v>145</v>
      </c>
      <c r="Q143">
        <v>1</v>
      </c>
      <c r="R143" s="19" t="s">
        <v>53</v>
      </c>
      <c r="S143">
        <v>88897</v>
      </c>
      <c r="T143" s="19" t="s">
        <v>70</v>
      </c>
      <c r="U143">
        <v>555.61</v>
      </c>
      <c r="V143">
        <v>1</v>
      </c>
      <c r="W143" s="19" t="s">
        <v>55</v>
      </c>
      <c r="X143">
        <v>12</v>
      </c>
      <c r="Y143">
        <v>3</v>
      </c>
      <c r="Z143">
        <v>2</v>
      </c>
      <c r="AA143">
        <v>0</v>
      </c>
      <c r="AB143">
        <v>7</v>
      </c>
      <c r="AC143">
        <v>2</v>
      </c>
      <c r="AD143">
        <v>3</v>
      </c>
      <c r="AE143">
        <v>7</v>
      </c>
      <c r="AF143">
        <v>7</v>
      </c>
      <c r="AG143">
        <v>0</v>
      </c>
      <c r="AH143">
        <v>7</v>
      </c>
      <c r="AI143">
        <v>0</v>
      </c>
      <c r="AJ143" s="19" t="s">
        <v>1569</v>
      </c>
      <c r="AK143" s="19" t="s">
        <v>1562</v>
      </c>
      <c r="AL143">
        <v>1</v>
      </c>
      <c r="AM143" s="19" t="s">
        <v>1565</v>
      </c>
      <c r="AN143">
        <v>0.81208070199438998</v>
      </c>
      <c r="AO143">
        <v>1066764</v>
      </c>
    </row>
    <row r="144" spans="1:41" x14ac:dyDescent="0.3">
      <c r="A144" s="19" t="s">
        <v>215</v>
      </c>
      <c r="B144">
        <v>26</v>
      </c>
      <c r="C144" s="19" t="s">
        <v>196</v>
      </c>
      <c r="D144" s="19" t="s">
        <v>55</v>
      </c>
      <c r="E144" s="19" t="s">
        <v>48</v>
      </c>
      <c r="F144">
        <v>1066</v>
      </c>
      <c r="G144" s="19" t="s">
        <v>49</v>
      </c>
      <c r="H144">
        <v>2</v>
      </c>
      <c r="I144">
        <v>2</v>
      </c>
      <c r="J144" s="19" t="s">
        <v>58</v>
      </c>
      <c r="K144">
        <v>1018</v>
      </c>
      <c r="L144">
        <v>4</v>
      </c>
      <c r="M144" s="19" t="s">
        <v>51</v>
      </c>
      <c r="N144">
        <v>4</v>
      </c>
      <c r="O144">
        <v>2</v>
      </c>
      <c r="P144" s="19" t="s">
        <v>120</v>
      </c>
      <c r="Q144">
        <v>4</v>
      </c>
      <c r="R144" s="19" t="s">
        <v>113</v>
      </c>
      <c r="S144">
        <v>24419</v>
      </c>
      <c r="T144" s="19" t="s">
        <v>54</v>
      </c>
      <c r="U144">
        <v>152.62</v>
      </c>
      <c r="V144">
        <v>1</v>
      </c>
      <c r="W144" s="19" t="s">
        <v>55</v>
      </c>
      <c r="X144">
        <v>12</v>
      </c>
      <c r="Y144">
        <v>3</v>
      </c>
      <c r="Z144">
        <v>2</v>
      </c>
      <c r="AA144">
        <v>0</v>
      </c>
      <c r="AB144">
        <v>8</v>
      </c>
      <c r="AC144">
        <v>2</v>
      </c>
      <c r="AD144">
        <v>3</v>
      </c>
      <c r="AE144">
        <v>8</v>
      </c>
      <c r="AF144">
        <v>7</v>
      </c>
      <c r="AG144">
        <v>1</v>
      </c>
      <c r="AH144">
        <v>3</v>
      </c>
      <c r="AI144">
        <v>0</v>
      </c>
      <c r="AJ144" s="19" t="s">
        <v>1569</v>
      </c>
      <c r="AK144" s="19" t="s">
        <v>1562</v>
      </c>
      <c r="AL144">
        <v>0</v>
      </c>
      <c r="AM144" s="19" t="s">
        <v>1563</v>
      </c>
      <c r="AN144">
        <v>-0.44872299396377274</v>
      </c>
      <c r="AO144">
        <v>293028</v>
      </c>
    </row>
    <row r="145" spans="1:41" x14ac:dyDescent="0.3">
      <c r="A145" s="19" t="s">
        <v>216</v>
      </c>
      <c r="B145">
        <v>26</v>
      </c>
      <c r="C145" s="19" t="s">
        <v>196</v>
      </c>
      <c r="D145" s="19" t="s">
        <v>47</v>
      </c>
      <c r="E145" s="19" t="s">
        <v>66</v>
      </c>
      <c r="F145">
        <v>265</v>
      </c>
      <c r="G145" s="19" t="s">
        <v>57</v>
      </c>
      <c r="H145">
        <v>29</v>
      </c>
      <c r="I145">
        <v>2</v>
      </c>
      <c r="J145" s="19" t="s">
        <v>58</v>
      </c>
      <c r="K145">
        <v>1037</v>
      </c>
      <c r="L145">
        <v>2</v>
      </c>
      <c r="M145" s="19" t="s">
        <v>51</v>
      </c>
      <c r="N145">
        <v>1</v>
      </c>
      <c r="O145">
        <v>2</v>
      </c>
      <c r="P145" s="19" t="s">
        <v>145</v>
      </c>
      <c r="Q145">
        <v>1</v>
      </c>
      <c r="R145" s="19" t="s">
        <v>53</v>
      </c>
      <c r="S145">
        <v>51636</v>
      </c>
      <c r="T145" s="19" t="s">
        <v>64</v>
      </c>
      <c r="U145">
        <v>322.73</v>
      </c>
      <c r="V145">
        <v>8</v>
      </c>
      <c r="W145" s="19" t="s">
        <v>55</v>
      </c>
      <c r="X145">
        <v>18</v>
      </c>
      <c r="Y145">
        <v>3</v>
      </c>
      <c r="Z145">
        <v>4</v>
      </c>
      <c r="AA145">
        <v>0</v>
      </c>
      <c r="AB145">
        <v>7</v>
      </c>
      <c r="AC145">
        <v>6</v>
      </c>
      <c r="AD145">
        <v>3</v>
      </c>
      <c r="AE145">
        <v>2</v>
      </c>
      <c r="AF145">
        <v>2</v>
      </c>
      <c r="AG145">
        <v>2</v>
      </c>
      <c r="AH145">
        <v>2</v>
      </c>
      <c r="AI145">
        <v>1</v>
      </c>
      <c r="AJ145" s="19" t="s">
        <v>1566</v>
      </c>
      <c r="AK145" s="19" t="s">
        <v>1562</v>
      </c>
      <c r="AL145">
        <v>1</v>
      </c>
      <c r="AM145" s="19" t="s">
        <v>1565</v>
      </c>
      <c r="AN145">
        <v>5.2550694941137746E-2</v>
      </c>
      <c r="AO145">
        <v>619632</v>
      </c>
    </row>
    <row r="146" spans="1:41" x14ac:dyDescent="0.3">
      <c r="A146" s="19" t="s">
        <v>217</v>
      </c>
      <c r="B146">
        <v>26</v>
      </c>
      <c r="C146" s="19" t="s">
        <v>196</v>
      </c>
      <c r="D146" s="19" t="s">
        <v>47</v>
      </c>
      <c r="E146" s="19" t="s">
        <v>62</v>
      </c>
      <c r="F146">
        <v>342</v>
      </c>
      <c r="G146" s="19" t="s">
        <v>49</v>
      </c>
      <c r="H146">
        <v>2</v>
      </c>
      <c r="I146">
        <v>3</v>
      </c>
      <c r="J146" s="19" t="s">
        <v>50</v>
      </c>
      <c r="K146">
        <v>1053</v>
      </c>
      <c r="L146">
        <v>1</v>
      </c>
      <c r="M146" s="19" t="s">
        <v>51</v>
      </c>
      <c r="N146">
        <v>3</v>
      </c>
      <c r="O146">
        <v>1</v>
      </c>
      <c r="P146" s="19" t="s">
        <v>67</v>
      </c>
      <c r="Q146">
        <v>1</v>
      </c>
      <c r="R146" s="19" t="s">
        <v>113</v>
      </c>
      <c r="S146">
        <v>51015</v>
      </c>
      <c r="T146" s="19" t="s">
        <v>64</v>
      </c>
      <c r="U146">
        <v>318.83999999999997</v>
      </c>
      <c r="V146">
        <v>6</v>
      </c>
      <c r="W146" s="19" t="s">
        <v>47</v>
      </c>
      <c r="X146">
        <v>14</v>
      </c>
      <c r="Y146">
        <v>3</v>
      </c>
      <c r="Z146">
        <v>2</v>
      </c>
      <c r="AA146">
        <v>1</v>
      </c>
      <c r="AB146">
        <v>6</v>
      </c>
      <c r="AC146">
        <v>2</v>
      </c>
      <c r="AD146">
        <v>3</v>
      </c>
      <c r="AE146">
        <v>3</v>
      </c>
      <c r="AF146">
        <v>2</v>
      </c>
      <c r="AG146">
        <v>1</v>
      </c>
      <c r="AH146">
        <v>2</v>
      </c>
      <c r="AI146">
        <v>1</v>
      </c>
      <c r="AJ146" s="19" t="s">
        <v>1566</v>
      </c>
      <c r="AK146" s="19" t="s">
        <v>1562</v>
      </c>
      <c r="AL146">
        <v>2</v>
      </c>
      <c r="AM146" s="19" t="s">
        <v>1564</v>
      </c>
      <c r="AN146">
        <v>2.3039651303750734E-2</v>
      </c>
      <c r="AO146">
        <v>612180</v>
      </c>
    </row>
    <row r="147" spans="1:41" x14ac:dyDescent="0.3">
      <c r="A147" s="19" t="s">
        <v>218</v>
      </c>
      <c r="B147">
        <v>26</v>
      </c>
      <c r="C147" s="19" t="s">
        <v>196</v>
      </c>
      <c r="D147" s="19" t="s">
        <v>55</v>
      </c>
      <c r="E147" s="19" t="s">
        <v>62</v>
      </c>
      <c r="F147">
        <v>921</v>
      </c>
      <c r="G147" s="19" t="s">
        <v>49</v>
      </c>
      <c r="H147">
        <v>1</v>
      </c>
      <c r="I147">
        <v>1</v>
      </c>
      <c r="J147" s="19" t="s">
        <v>58</v>
      </c>
      <c r="K147">
        <v>1068</v>
      </c>
      <c r="L147">
        <v>1</v>
      </c>
      <c r="M147" s="19" t="s">
        <v>59</v>
      </c>
      <c r="N147">
        <v>2</v>
      </c>
      <c r="O147">
        <v>1</v>
      </c>
      <c r="P147" s="19" t="s">
        <v>67</v>
      </c>
      <c r="Q147">
        <v>3</v>
      </c>
      <c r="R147" s="19" t="s">
        <v>53</v>
      </c>
      <c r="S147">
        <v>55268</v>
      </c>
      <c r="T147" s="19" t="s">
        <v>64</v>
      </c>
      <c r="U147">
        <v>345.42</v>
      </c>
      <c r="V147">
        <v>1</v>
      </c>
      <c r="W147" s="19" t="s">
        <v>55</v>
      </c>
      <c r="X147">
        <v>13</v>
      </c>
      <c r="Y147">
        <v>3</v>
      </c>
      <c r="Z147">
        <v>3</v>
      </c>
      <c r="AA147">
        <v>2</v>
      </c>
      <c r="AB147">
        <v>5</v>
      </c>
      <c r="AC147">
        <v>5</v>
      </c>
      <c r="AD147">
        <v>3</v>
      </c>
      <c r="AE147">
        <v>5</v>
      </c>
      <c r="AF147">
        <v>3</v>
      </c>
      <c r="AG147">
        <v>1</v>
      </c>
      <c r="AH147">
        <v>3</v>
      </c>
      <c r="AI147">
        <v>0</v>
      </c>
      <c r="AJ147" s="19" t="s">
        <v>1567</v>
      </c>
      <c r="AK147" s="19" t="s">
        <v>1562</v>
      </c>
      <c r="AL147">
        <v>0</v>
      </c>
      <c r="AM147" s="19" t="s">
        <v>1563</v>
      </c>
      <c r="AN147">
        <v>0.10832804955906489</v>
      </c>
      <c r="AO147">
        <v>663216</v>
      </c>
    </row>
    <row r="148" spans="1:41" x14ac:dyDescent="0.3">
      <c r="A148" s="19" t="s">
        <v>219</v>
      </c>
      <c r="B148">
        <v>26</v>
      </c>
      <c r="C148" s="19" t="s">
        <v>196</v>
      </c>
      <c r="D148" s="19" t="s">
        <v>55</v>
      </c>
      <c r="E148" s="19" t="s">
        <v>48</v>
      </c>
      <c r="F148">
        <v>192</v>
      </c>
      <c r="G148" s="19" t="s">
        <v>49</v>
      </c>
      <c r="H148">
        <v>1</v>
      </c>
      <c r="I148">
        <v>2</v>
      </c>
      <c r="J148" s="19" t="s">
        <v>58</v>
      </c>
      <c r="K148">
        <v>1083</v>
      </c>
      <c r="L148">
        <v>1</v>
      </c>
      <c r="M148" s="19" t="s">
        <v>51</v>
      </c>
      <c r="N148">
        <v>2</v>
      </c>
      <c r="O148">
        <v>1</v>
      </c>
      <c r="P148" s="19" t="s">
        <v>52</v>
      </c>
      <c r="Q148">
        <v>1</v>
      </c>
      <c r="R148" s="19" t="s">
        <v>113</v>
      </c>
      <c r="S148">
        <v>88939</v>
      </c>
      <c r="T148" s="19" t="s">
        <v>70</v>
      </c>
      <c r="U148">
        <v>555.87</v>
      </c>
      <c r="V148">
        <v>1</v>
      </c>
      <c r="W148" s="19" t="s">
        <v>55</v>
      </c>
      <c r="X148">
        <v>16</v>
      </c>
      <c r="Y148">
        <v>3</v>
      </c>
      <c r="Z148">
        <v>1</v>
      </c>
      <c r="AA148">
        <v>2</v>
      </c>
      <c r="AB148">
        <v>6</v>
      </c>
      <c r="AC148">
        <v>2</v>
      </c>
      <c r="AD148">
        <v>3</v>
      </c>
      <c r="AE148">
        <v>5</v>
      </c>
      <c r="AF148">
        <v>3</v>
      </c>
      <c r="AG148">
        <v>1</v>
      </c>
      <c r="AH148">
        <v>3</v>
      </c>
      <c r="AI148">
        <v>0</v>
      </c>
      <c r="AJ148" s="19" t="s">
        <v>1567</v>
      </c>
      <c r="AK148" s="19" t="s">
        <v>1562</v>
      </c>
      <c r="AL148">
        <v>1</v>
      </c>
      <c r="AM148" s="19" t="s">
        <v>1565</v>
      </c>
      <c r="AN148">
        <v>0.71960500566042596</v>
      </c>
      <c r="AO148">
        <v>1067268</v>
      </c>
    </row>
    <row r="149" spans="1:41" x14ac:dyDescent="0.3">
      <c r="A149" s="19" t="s">
        <v>220</v>
      </c>
      <c r="B149">
        <v>26</v>
      </c>
      <c r="C149" s="19" t="s">
        <v>196</v>
      </c>
      <c r="D149" s="19" t="s">
        <v>47</v>
      </c>
      <c r="E149" s="19" t="s">
        <v>48</v>
      </c>
      <c r="F149">
        <v>1330</v>
      </c>
      <c r="G149" s="19" t="s">
        <v>49</v>
      </c>
      <c r="H149">
        <v>21</v>
      </c>
      <c r="I149">
        <v>3</v>
      </c>
      <c r="J149" s="19" t="s">
        <v>58</v>
      </c>
      <c r="K149">
        <v>1107</v>
      </c>
      <c r="L149">
        <v>1</v>
      </c>
      <c r="M149" s="19" t="s">
        <v>51</v>
      </c>
      <c r="N149">
        <v>3</v>
      </c>
      <c r="O149">
        <v>1</v>
      </c>
      <c r="P149" s="19" t="s">
        <v>52</v>
      </c>
      <c r="Q149">
        <v>3</v>
      </c>
      <c r="R149" s="19" t="s">
        <v>53</v>
      </c>
      <c r="S149">
        <v>19141</v>
      </c>
      <c r="T149" s="19" t="s">
        <v>54</v>
      </c>
      <c r="U149">
        <v>119.63</v>
      </c>
      <c r="V149">
        <v>1</v>
      </c>
      <c r="W149" s="19" t="s">
        <v>55</v>
      </c>
      <c r="X149">
        <v>20</v>
      </c>
      <c r="Y149">
        <v>4</v>
      </c>
      <c r="Z149">
        <v>3</v>
      </c>
      <c r="AA149">
        <v>1</v>
      </c>
      <c r="AB149">
        <v>1</v>
      </c>
      <c r="AC149">
        <v>0</v>
      </c>
      <c r="AD149">
        <v>2</v>
      </c>
      <c r="AE149">
        <v>1</v>
      </c>
      <c r="AF149">
        <v>1</v>
      </c>
      <c r="AG149">
        <v>0</v>
      </c>
      <c r="AH149">
        <v>0</v>
      </c>
      <c r="AI149">
        <v>1</v>
      </c>
      <c r="AJ149" s="19" t="s">
        <v>1561</v>
      </c>
      <c r="AK149" s="19" t="s">
        <v>1562</v>
      </c>
      <c r="AL149">
        <v>1</v>
      </c>
      <c r="AM149" s="19" t="s">
        <v>1565</v>
      </c>
      <c r="AN149">
        <v>-0.6299153418259007</v>
      </c>
      <c r="AO149">
        <v>229692</v>
      </c>
    </row>
    <row r="150" spans="1:41" x14ac:dyDescent="0.3">
      <c r="A150" s="19" t="s">
        <v>221</v>
      </c>
      <c r="B150">
        <v>26</v>
      </c>
      <c r="C150" s="19" t="s">
        <v>196</v>
      </c>
      <c r="D150" s="19" t="s">
        <v>55</v>
      </c>
      <c r="E150" s="19" t="s">
        <v>48</v>
      </c>
      <c r="F150">
        <v>1384</v>
      </c>
      <c r="G150" s="19" t="s">
        <v>49</v>
      </c>
      <c r="H150">
        <v>3</v>
      </c>
      <c r="I150">
        <v>4</v>
      </c>
      <c r="J150" s="19" t="s">
        <v>58</v>
      </c>
      <c r="K150">
        <v>1177</v>
      </c>
      <c r="L150">
        <v>1</v>
      </c>
      <c r="M150" s="19" t="s">
        <v>51</v>
      </c>
      <c r="N150">
        <v>4</v>
      </c>
      <c r="O150">
        <v>1</v>
      </c>
      <c r="P150" s="19" t="s">
        <v>52</v>
      </c>
      <c r="Q150">
        <v>4</v>
      </c>
      <c r="R150" s="19" t="s">
        <v>113</v>
      </c>
      <c r="S150">
        <v>81356</v>
      </c>
      <c r="T150" s="19" t="s">
        <v>64</v>
      </c>
      <c r="U150">
        <v>508.48</v>
      </c>
      <c r="V150">
        <v>1</v>
      </c>
      <c r="W150" s="19" t="s">
        <v>55</v>
      </c>
      <c r="X150">
        <v>22</v>
      </c>
      <c r="Y150">
        <v>4</v>
      </c>
      <c r="Z150">
        <v>2</v>
      </c>
      <c r="AA150">
        <v>1</v>
      </c>
      <c r="AB150">
        <v>8</v>
      </c>
      <c r="AC150">
        <v>2</v>
      </c>
      <c r="AD150">
        <v>3</v>
      </c>
      <c r="AE150">
        <v>8</v>
      </c>
      <c r="AF150">
        <v>7</v>
      </c>
      <c r="AG150">
        <v>0</v>
      </c>
      <c r="AH150">
        <v>7</v>
      </c>
      <c r="AI150">
        <v>0</v>
      </c>
      <c r="AJ150" s="19" t="s">
        <v>1569</v>
      </c>
      <c r="AK150" s="19" t="s">
        <v>1562</v>
      </c>
      <c r="AL150">
        <v>0</v>
      </c>
      <c r="AM150" s="19" t="s">
        <v>1563</v>
      </c>
      <c r="AN150">
        <v>0.57299030617062952</v>
      </c>
      <c r="AO150">
        <v>976272</v>
      </c>
    </row>
    <row r="151" spans="1:41" x14ac:dyDescent="0.3">
      <c r="A151" s="19" t="s">
        <v>222</v>
      </c>
      <c r="B151">
        <v>26</v>
      </c>
      <c r="C151" s="19" t="s">
        <v>196</v>
      </c>
      <c r="D151" s="19" t="s">
        <v>55</v>
      </c>
      <c r="E151" s="19" t="s">
        <v>48</v>
      </c>
      <c r="F151">
        <v>583</v>
      </c>
      <c r="G151" s="19" t="s">
        <v>49</v>
      </c>
      <c r="H151">
        <v>4</v>
      </c>
      <c r="I151">
        <v>2</v>
      </c>
      <c r="J151" s="19" t="s">
        <v>50</v>
      </c>
      <c r="K151">
        <v>1275</v>
      </c>
      <c r="L151">
        <v>3</v>
      </c>
      <c r="M151" s="19" t="s">
        <v>51</v>
      </c>
      <c r="N151">
        <v>3</v>
      </c>
      <c r="O151">
        <v>1</v>
      </c>
      <c r="P151" s="19" t="s">
        <v>67</v>
      </c>
      <c r="Q151">
        <v>4</v>
      </c>
      <c r="R151" s="19" t="s">
        <v>53</v>
      </c>
      <c r="S151">
        <v>72910</v>
      </c>
      <c r="T151" s="19" t="s">
        <v>64</v>
      </c>
      <c r="U151">
        <v>455.69</v>
      </c>
      <c r="V151">
        <v>1</v>
      </c>
      <c r="W151" s="19" t="s">
        <v>47</v>
      </c>
      <c r="X151">
        <v>20</v>
      </c>
      <c r="Y151">
        <v>4</v>
      </c>
      <c r="Z151">
        <v>2</v>
      </c>
      <c r="AA151">
        <v>0</v>
      </c>
      <c r="AB151">
        <v>8</v>
      </c>
      <c r="AC151">
        <v>2</v>
      </c>
      <c r="AD151">
        <v>2</v>
      </c>
      <c r="AE151">
        <v>8</v>
      </c>
      <c r="AF151">
        <v>5</v>
      </c>
      <c r="AG151">
        <v>2</v>
      </c>
      <c r="AH151">
        <v>2</v>
      </c>
      <c r="AI151">
        <v>0</v>
      </c>
      <c r="AJ151" s="19" t="s">
        <v>1569</v>
      </c>
      <c r="AK151" s="19" t="s">
        <v>1562</v>
      </c>
      <c r="AL151">
        <v>2</v>
      </c>
      <c r="AM151" s="19" t="s">
        <v>1564</v>
      </c>
      <c r="AN151">
        <v>0.46211547538089709</v>
      </c>
      <c r="AO151">
        <v>874920</v>
      </c>
    </row>
    <row r="152" spans="1:41" x14ac:dyDescent="0.3">
      <c r="A152" s="19" t="s">
        <v>223</v>
      </c>
      <c r="B152">
        <v>26</v>
      </c>
      <c r="C152" s="19" t="s">
        <v>196</v>
      </c>
      <c r="D152" s="19" t="s">
        <v>55</v>
      </c>
      <c r="E152" s="19" t="s">
        <v>48</v>
      </c>
      <c r="F152">
        <v>683</v>
      </c>
      <c r="G152" s="19" t="s">
        <v>49</v>
      </c>
      <c r="H152">
        <v>2</v>
      </c>
      <c r="I152">
        <v>1</v>
      </c>
      <c r="J152" s="19" t="s">
        <v>58</v>
      </c>
      <c r="K152">
        <v>1407</v>
      </c>
      <c r="L152">
        <v>1</v>
      </c>
      <c r="M152" s="19" t="s">
        <v>51</v>
      </c>
      <c r="N152">
        <v>2</v>
      </c>
      <c r="O152">
        <v>1</v>
      </c>
      <c r="P152" s="19" t="s">
        <v>67</v>
      </c>
      <c r="Q152">
        <v>4</v>
      </c>
      <c r="R152" s="19" t="s">
        <v>53</v>
      </c>
      <c r="S152">
        <v>57044</v>
      </c>
      <c r="T152" s="19" t="s">
        <v>64</v>
      </c>
      <c r="U152">
        <v>356.52</v>
      </c>
      <c r="V152">
        <v>0</v>
      </c>
      <c r="W152" s="19" t="s">
        <v>55</v>
      </c>
      <c r="X152">
        <v>12</v>
      </c>
      <c r="Y152">
        <v>3</v>
      </c>
      <c r="Z152">
        <v>4</v>
      </c>
      <c r="AA152">
        <v>0</v>
      </c>
      <c r="AB152">
        <v>5</v>
      </c>
      <c r="AC152">
        <v>2</v>
      </c>
      <c r="AD152">
        <v>3</v>
      </c>
      <c r="AE152">
        <v>4</v>
      </c>
      <c r="AF152">
        <v>3</v>
      </c>
      <c r="AG152">
        <v>1</v>
      </c>
      <c r="AH152">
        <v>1</v>
      </c>
      <c r="AI152">
        <v>0</v>
      </c>
      <c r="AJ152" s="19" t="s">
        <v>1567</v>
      </c>
      <c r="AK152" s="19" t="s">
        <v>1562</v>
      </c>
      <c r="AL152">
        <v>0</v>
      </c>
      <c r="AM152" s="19" t="s">
        <v>1563</v>
      </c>
      <c r="AN152">
        <v>0.14394342583497319</v>
      </c>
      <c r="AO152">
        <v>684528</v>
      </c>
    </row>
    <row r="153" spans="1:41" x14ac:dyDescent="0.3">
      <c r="A153" s="19" t="s">
        <v>224</v>
      </c>
      <c r="B153">
        <v>26</v>
      </c>
      <c r="C153" s="19" t="s">
        <v>196</v>
      </c>
      <c r="D153" s="19" t="s">
        <v>55</v>
      </c>
      <c r="E153" s="19" t="s">
        <v>48</v>
      </c>
      <c r="F153">
        <v>652</v>
      </c>
      <c r="G153" s="19" t="s">
        <v>49</v>
      </c>
      <c r="H153">
        <v>7</v>
      </c>
      <c r="I153">
        <v>3</v>
      </c>
      <c r="J153" s="19" t="s">
        <v>82</v>
      </c>
      <c r="K153">
        <v>1417</v>
      </c>
      <c r="L153">
        <v>3</v>
      </c>
      <c r="M153" s="19" t="s">
        <v>51</v>
      </c>
      <c r="N153">
        <v>4</v>
      </c>
      <c r="O153">
        <v>1</v>
      </c>
      <c r="P153" s="19" t="s">
        <v>52</v>
      </c>
      <c r="Q153">
        <v>1</v>
      </c>
      <c r="R153" s="19" t="s">
        <v>53</v>
      </c>
      <c r="S153">
        <v>68214</v>
      </c>
      <c r="T153" s="19" t="s">
        <v>64</v>
      </c>
      <c r="U153">
        <v>426.34</v>
      </c>
      <c r="V153">
        <v>0</v>
      </c>
      <c r="W153" s="19" t="s">
        <v>55</v>
      </c>
      <c r="X153">
        <v>12</v>
      </c>
      <c r="Y153">
        <v>3</v>
      </c>
      <c r="Z153">
        <v>4</v>
      </c>
      <c r="AA153">
        <v>0</v>
      </c>
      <c r="AB153">
        <v>8</v>
      </c>
      <c r="AC153">
        <v>2</v>
      </c>
      <c r="AD153">
        <v>3</v>
      </c>
      <c r="AE153">
        <v>7</v>
      </c>
      <c r="AF153">
        <v>7</v>
      </c>
      <c r="AG153">
        <v>0</v>
      </c>
      <c r="AH153">
        <v>7</v>
      </c>
      <c r="AI153">
        <v>0</v>
      </c>
      <c r="AJ153" s="19" t="s">
        <v>1569</v>
      </c>
      <c r="AK153" s="19" t="s">
        <v>1562</v>
      </c>
      <c r="AL153">
        <v>1</v>
      </c>
      <c r="AM153" s="19" t="s">
        <v>1565</v>
      </c>
      <c r="AN153">
        <v>0.31889425174693103</v>
      </c>
      <c r="AO153">
        <v>818568</v>
      </c>
    </row>
    <row r="154" spans="1:41" x14ac:dyDescent="0.3">
      <c r="A154" s="19" t="s">
        <v>225</v>
      </c>
      <c r="B154">
        <v>26</v>
      </c>
      <c r="C154" s="19" t="s">
        <v>196</v>
      </c>
      <c r="D154" s="19" t="s">
        <v>55</v>
      </c>
      <c r="E154" s="19" t="s">
        <v>48</v>
      </c>
      <c r="F154">
        <v>474</v>
      </c>
      <c r="G154" s="19" t="s">
        <v>49</v>
      </c>
      <c r="H154">
        <v>3</v>
      </c>
      <c r="I154">
        <v>3</v>
      </c>
      <c r="J154" s="19" t="s">
        <v>50</v>
      </c>
      <c r="K154">
        <v>1581</v>
      </c>
      <c r="L154">
        <v>1</v>
      </c>
      <c r="M154" s="19" t="s">
        <v>59</v>
      </c>
      <c r="N154">
        <v>3</v>
      </c>
      <c r="O154">
        <v>1</v>
      </c>
      <c r="P154" s="19" t="s">
        <v>67</v>
      </c>
      <c r="Q154">
        <v>4</v>
      </c>
      <c r="R154" s="19" t="s">
        <v>113</v>
      </c>
      <c r="S154">
        <v>34827</v>
      </c>
      <c r="T154" s="19" t="s">
        <v>72</v>
      </c>
      <c r="U154">
        <v>217.67</v>
      </c>
      <c r="V154">
        <v>1</v>
      </c>
      <c r="W154" s="19" t="s">
        <v>55</v>
      </c>
      <c r="X154">
        <v>21</v>
      </c>
      <c r="Y154">
        <v>4</v>
      </c>
      <c r="Z154">
        <v>1</v>
      </c>
      <c r="AA154">
        <v>0</v>
      </c>
      <c r="AB154">
        <v>1</v>
      </c>
      <c r="AC154">
        <v>5</v>
      </c>
      <c r="AD154">
        <v>3</v>
      </c>
      <c r="AE154">
        <v>1</v>
      </c>
      <c r="AF154">
        <v>0</v>
      </c>
      <c r="AG154">
        <v>0</v>
      </c>
      <c r="AH154">
        <v>0</v>
      </c>
      <c r="AI154">
        <v>0</v>
      </c>
      <c r="AJ154" s="19" t="s">
        <v>1561</v>
      </c>
      <c r="AK154" s="19" t="s">
        <v>1562</v>
      </c>
      <c r="AL154">
        <v>0</v>
      </c>
      <c r="AM154" s="19" t="s">
        <v>1563</v>
      </c>
      <c r="AN154">
        <v>-0.30158969056246737</v>
      </c>
      <c r="AO154">
        <v>417924</v>
      </c>
    </row>
    <row r="155" spans="1:41" x14ac:dyDescent="0.3">
      <c r="A155" s="19" t="s">
        <v>226</v>
      </c>
      <c r="B155">
        <v>26</v>
      </c>
      <c r="C155" s="19" t="s">
        <v>196</v>
      </c>
      <c r="D155" s="19" t="s">
        <v>55</v>
      </c>
      <c r="E155" s="19" t="s">
        <v>66</v>
      </c>
      <c r="F155">
        <v>786</v>
      </c>
      <c r="G155" s="19" t="s">
        <v>49</v>
      </c>
      <c r="H155">
        <v>7</v>
      </c>
      <c r="I155">
        <v>3</v>
      </c>
      <c r="J155" s="19" t="s">
        <v>58</v>
      </c>
      <c r="K155">
        <v>1693</v>
      </c>
      <c r="L155">
        <v>4</v>
      </c>
      <c r="M155" s="19" t="s">
        <v>51</v>
      </c>
      <c r="N155">
        <v>3</v>
      </c>
      <c r="O155">
        <v>1</v>
      </c>
      <c r="P155" s="19" t="s">
        <v>52</v>
      </c>
      <c r="Q155">
        <v>4</v>
      </c>
      <c r="R155" s="19" t="s">
        <v>53</v>
      </c>
      <c r="S155">
        <v>56820</v>
      </c>
      <c r="T155" s="19" t="s">
        <v>64</v>
      </c>
      <c r="U155">
        <v>355.12</v>
      </c>
      <c r="V155">
        <v>1</v>
      </c>
      <c r="W155" s="19" t="s">
        <v>55</v>
      </c>
      <c r="X155">
        <v>20</v>
      </c>
      <c r="Y155">
        <v>4</v>
      </c>
      <c r="Z155">
        <v>3</v>
      </c>
      <c r="AA155">
        <v>0</v>
      </c>
      <c r="AB155">
        <v>7</v>
      </c>
      <c r="AC155">
        <v>5</v>
      </c>
      <c r="AD155">
        <v>3</v>
      </c>
      <c r="AE155">
        <v>7</v>
      </c>
      <c r="AF155">
        <v>7</v>
      </c>
      <c r="AG155">
        <v>5</v>
      </c>
      <c r="AH155">
        <v>7</v>
      </c>
      <c r="AI155">
        <v>0</v>
      </c>
      <c r="AJ155" s="19" t="s">
        <v>1569</v>
      </c>
      <c r="AK155" s="19" t="s">
        <v>1570</v>
      </c>
      <c r="AL155">
        <v>1</v>
      </c>
      <c r="AM155" s="19" t="s">
        <v>1565</v>
      </c>
      <c r="AN155">
        <v>9.859517671241419E-2</v>
      </c>
      <c r="AO155">
        <v>681840</v>
      </c>
    </row>
    <row r="156" spans="1:41" x14ac:dyDescent="0.3">
      <c r="A156" s="19" t="s">
        <v>227</v>
      </c>
      <c r="B156">
        <v>26</v>
      </c>
      <c r="C156" s="19" t="s">
        <v>196</v>
      </c>
      <c r="D156" s="19" t="s">
        <v>55</v>
      </c>
      <c r="E156" s="19" t="s">
        <v>48</v>
      </c>
      <c r="F156">
        <v>390</v>
      </c>
      <c r="G156" s="19" t="s">
        <v>49</v>
      </c>
      <c r="H156">
        <v>17</v>
      </c>
      <c r="I156">
        <v>4</v>
      </c>
      <c r="J156" s="19" t="s">
        <v>58</v>
      </c>
      <c r="K156">
        <v>1718</v>
      </c>
      <c r="L156">
        <v>4</v>
      </c>
      <c r="M156" s="19" t="s">
        <v>51</v>
      </c>
      <c r="N156">
        <v>1</v>
      </c>
      <c r="O156">
        <v>1</v>
      </c>
      <c r="P156" s="19" t="s">
        <v>52</v>
      </c>
      <c r="Q156">
        <v>3</v>
      </c>
      <c r="R156" s="19" t="s">
        <v>113</v>
      </c>
      <c r="S156">
        <v>63623</v>
      </c>
      <c r="T156" s="19" t="s">
        <v>64</v>
      </c>
      <c r="U156">
        <v>397.64</v>
      </c>
      <c r="V156">
        <v>1</v>
      </c>
      <c r="W156" s="19" t="s">
        <v>55</v>
      </c>
      <c r="X156">
        <v>15</v>
      </c>
      <c r="Y156">
        <v>3</v>
      </c>
      <c r="Z156">
        <v>3</v>
      </c>
      <c r="AA156">
        <v>3</v>
      </c>
      <c r="AB156">
        <v>3</v>
      </c>
      <c r="AC156">
        <v>3</v>
      </c>
      <c r="AD156">
        <v>4</v>
      </c>
      <c r="AE156">
        <v>3</v>
      </c>
      <c r="AF156">
        <v>2</v>
      </c>
      <c r="AG156">
        <v>0</v>
      </c>
      <c r="AH156">
        <v>2</v>
      </c>
      <c r="AI156">
        <v>0</v>
      </c>
      <c r="AJ156" s="19" t="s">
        <v>1566</v>
      </c>
      <c r="AK156" s="19" t="s">
        <v>1562</v>
      </c>
      <c r="AL156">
        <v>0</v>
      </c>
      <c r="AM156" s="19" t="s">
        <v>1563</v>
      </c>
      <c r="AN156">
        <v>0.23012884420932644</v>
      </c>
      <c r="AO156">
        <v>763476</v>
      </c>
    </row>
    <row r="157" spans="1:41" x14ac:dyDescent="0.3">
      <c r="A157" s="19" t="s">
        <v>228</v>
      </c>
      <c r="B157">
        <v>26</v>
      </c>
      <c r="C157" s="19" t="s">
        <v>196</v>
      </c>
      <c r="D157" s="19" t="s">
        <v>47</v>
      </c>
      <c r="E157" s="19" t="s">
        <v>48</v>
      </c>
      <c r="F157">
        <v>920</v>
      </c>
      <c r="G157" s="19" t="s">
        <v>80</v>
      </c>
      <c r="H157">
        <v>20</v>
      </c>
      <c r="I157">
        <v>2</v>
      </c>
      <c r="J157" s="19" t="s">
        <v>58</v>
      </c>
      <c r="K157">
        <v>1818</v>
      </c>
      <c r="L157">
        <v>4</v>
      </c>
      <c r="M157" s="19" t="s">
        <v>59</v>
      </c>
      <c r="N157">
        <v>3</v>
      </c>
      <c r="O157">
        <v>1</v>
      </c>
      <c r="P157" s="19" t="s">
        <v>80</v>
      </c>
      <c r="Q157">
        <v>2</v>
      </c>
      <c r="R157" s="19" t="s">
        <v>113</v>
      </c>
      <c r="S157">
        <v>82734</v>
      </c>
      <c r="T157" s="19" t="s">
        <v>64</v>
      </c>
      <c r="U157">
        <v>517.09</v>
      </c>
      <c r="V157">
        <v>0</v>
      </c>
      <c r="W157" s="19" t="s">
        <v>47</v>
      </c>
      <c r="X157">
        <v>11</v>
      </c>
      <c r="Y157">
        <v>3</v>
      </c>
      <c r="Z157">
        <v>3</v>
      </c>
      <c r="AA157">
        <v>0</v>
      </c>
      <c r="AB157">
        <v>6</v>
      </c>
      <c r="AC157">
        <v>3</v>
      </c>
      <c r="AD157">
        <v>3</v>
      </c>
      <c r="AE157">
        <v>5</v>
      </c>
      <c r="AF157">
        <v>1</v>
      </c>
      <c r="AG157">
        <v>1</v>
      </c>
      <c r="AH157">
        <v>4</v>
      </c>
      <c r="AI157">
        <v>1</v>
      </c>
      <c r="AJ157" s="19" t="s">
        <v>1567</v>
      </c>
      <c r="AK157" s="19" t="s">
        <v>1562</v>
      </c>
      <c r="AL157">
        <v>2</v>
      </c>
      <c r="AM157" s="19" t="s">
        <v>1564</v>
      </c>
      <c r="AN157">
        <v>0.63041812414493559</v>
      </c>
      <c r="AO157">
        <v>992808</v>
      </c>
    </row>
    <row r="158" spans="1:41" x14ac:dyDescent="0.3">
      <c r="A158" s="19" t="s">
        <v>229</v>
      </c>
      <c r="B158">
        <v>26</v>
      </c>
      <c r="C158" s="19" t="s">
        <v>196</v>
      </c>
      <c r="D158" s="19" t="s">
        <v>55</v>
      </c>
      <c r="E158" s="19" t="s">
        <v>48</v>
      </c>
      <c r="F158">
        <v>572</v>
      </c>
      <c r="G158" s="19" t="s">
        <v>57</v>
      </c>
      <c r="H158">
        <v>10</v>
      </c>
      <c r="I158">
        <v>3</v>
      </c>
      <c r="J158" s="19" t="s">
        <v>58</v>
      </c>
      <c r="K158">
        <v>1836</v>
      </c>
      <c r="L158">
        <v>3</v>
      </c>
      <c r="M158" s="19" t="s">
        <v>51</v>
      </c>
      <c r="N158">
        <v>3</v>
      </c>
      <c r="O158">
        <v>2</v>
      </c>
      <c r="P158" s="19" t="s">
        <v>145</v>
      </c>
      <c r="Q158">
        <v>4</v>
      </c>
      <c r="R158" s="19" t="s">
        <v>53</v>
      </c>
      <c r="S158">
        <v>76450</v>
      </c>
      <c r="T158" s="19" t="s">
        <v>64</v>
      </c>
      <c r="U158">
        <v>477.81</v>
      </c>
      <c r="V158">
        <v>1</v>
      </c>
      <c r="W158" s="19" t="s">
        <v>55</v>
      </c>
      <c r="X158">
        <v>13</v>
      </c>
      <c r="Y158">
        <v>3</v>
      </c>
      <c r="Z158">
        <v>1</v>
      </c>
      <c r="AA158">
        <v>0</v>
      </c>
      <c r="AB158">
        <v>5</v>
      </c>
      <c r="AC158">
        <v>4</v>
      </c>
      <c r="AD158">
        <v>3</v>
      </c>
      <c r="AE158">
        <v>5</v>
      </c>
      <c r="AF158">
        <v>3</v>
      </c>
      <c r="AG158">
        <v>1</v>
      </c>
      <c r="AH158">
        <v>2</v>
      </c>
      <c r="AI158">
        <v>0</v>
      </c>
      <c r="AJ158" s="19" t="s">
        <v>1567</v>
      </c>
      <c r="AK158" s="19" t="s">
        <v>1562</v>
      </c>
      <c r="AL158">
        <v>0</v>
      </c>
      <c r="AM158" s="19" t="s">
        <v>1563</v>
      </c>
      <c r="AN158">
        <v>0.55836045836722403</v>
      </c>
      <c r="AO158">
        <v>917400</v>
      </c>
    </row>
    <row r="159" spans="1:41" x14ac:dyDescent="0.3">
      <c r="A159" s="19" t="s">
        <v>230</v>
      </c>
      <c r="B159">
        <v>26</v>
      </c>
      <c r="C159" s="19" t="s">
        <v>196</v>
      </c>
      <c r="D159" s="19" t="s">
        <v>55</v>
      </c>
      <c r="E159" s="19" t="s">
        <v>48</v>
      </c>
      <c r="F159">
        <v>482</v>
      </c>
      <c r="G159" s="19" t="s">
        <v>49</v>
      </c>
      <c r="H159">
        <v>1</v>
      </c>
      <c r="I159">
        <v>2</v>
      </c>
      <c r="J159" s="19" t="s">
        <v>50</v>
      </c>
      <c r="K159">
        <v>1893</v>
      </c>
      <c r="L159">
        <v>2</v>
      </c>
      <c r="M159" s="19" t="s">
        <v>59</v>
      </c>
      <c r="N159">
        <v>2</v>
      </c>
      <c r="O159">
        <v>1</v>
      </c>
      <c r="P159" s="19" t="s">
        <v>67</v>
      </c>
      <c r="Q159">
        <v>3</v>
      </c>
      <c r="R159" s="19" t="s">
        <v>113</v>
      </c>
      <c r="S159">
        <v>94426</v>
      </c>
      <c r="T159" s="19" t="s">
        <v>70</v>
      </c>
      <c r="U159">
        <v>590.16</v>
      </c>
      <c r="V159">
        <v>1</v>
      </c>
      <c r="W159" s="19" t="s">
        <v>47</v>
      </c>
      <c r="X159">
        <v>13</v>
      </c>
      <c r="Y159">
        <v>3</v>
      </c>
      <c r="Z159">
        <v>3</v>
      </c>
      <c r="AA159">
        <v>1</v>
      </c>
      <c r="AB159">
        <v>1</v>
      </c>
      <c r="AC159">
        <v>3</v>
      </c>
      <c r="AD159">
        <v>2</v>
      </c>
      <c r="AE159">
        <v>1</v>
      </c>
      <c r="AF159">
        <v>0</v>
      </c>
      <c r="AG159">
        <v>1</v>
      </c>
      <c r="AH159">
        <v>0</v>
      </c>
      <c r="AI159">
        <v>0</v>
      </c>
      <c r="AJ159" s="19" t="s">
        <v>1561</v>
      </c>
      <c r="AK159" s="19" t="s">
        <v>1562</v>
      </c>
      <c r="AL159">
        <v>2</v>
      </c>
      <c r="AM159" s="19" t="s">
        <v>1564</v>
      </c>
      <c r="AN159">
        <v>0.89359094607484013</v>
      </c>
      <c r="AO159">
        <v>1133112</v>
      </c>
    </row>
    <row r="160" spans="1:41" x14ac:dyDescent="0.3">
      <c r="A160" s="19" t="s">
        <v>231</v>
      </c>
      <c r="B160">
        <v>26</v>
      </c>
      <c r="C160" s="19" t="s">
        <v>196</v>
      </c>
      <c r="D160" s="19" t="s">
        <v>55</v>
      </c>
      <c r="E160" s="19" t="s">
        <v>62</v>
      </c>
      <c r="F160">
        <v>1096</v>
      </c>
      <c r="G160" s="19" t="s">
        <v>49</v>
      </c>
      <c r="H160">
        <v>6</v>
      </c>
      <c r="I160">
        <v>3</v>
      </c>
      <c r="J160" s="19" t="s">
        <v>82</v>
      </c>
      <c r="K160">
        <v>1918</v>
      </c>
      <c r="L160">
        <v>3</v>
      </c>
      <c r="M160" s="19" t="s">
        <v>51</v>
      </c>
      <c r="N160">
        <v>4</v>
      </c>
      <c r="O160">
        <v>1</v>
      </c>
      <c r="P160" s="19" t="s">
        <v>52</v>
      </c>
      <c r="Q160">
        <v>4</v>
      </c>
      <c r="R160" s="19" t="s">
        <v>113</v>
      </c>
      <c r="S160">
        <v>23299</v>
      </c>
      <c r="T160" s="19" t="s">
        <v>54</v>
      </c>
      <c r="U160">
        <v>145.62</v>
      </c>
      <c r="V160">
        <v>0</v>
      </c>
      <c r="W160" s="19" t="s">
        <v>55</v>
      </c>
      <c r="X160">
        <v>18</v>
      </c>
      <c r="Y160">
        <v>3</v>
      </c>
      <c r="Z160">
        <v>1</v>
      </c>
      <c r="AA160">
        <v>1</v>
      </c>
      <c r="AB160">
        <v>8</v>
      </c>
      <c r="AC160">
        <v>3</v>
      </c>
      <c r="AD160">
        <v>3</v>
      </c>
      <c r="AE160">
        <v>7</v>
      </c>
      <c r="AF160">
        <v>7</v>
      </c>
      <c r="AG160">
        <v>7</v>
      </c>
      <c r="AH160">
        <v>7</v>
      </c>
      <c r="AI160">
        <v>0</v>
      </c>
      <c r="AJ160" s="19" t="s">
        <v>1569</v>
      </c>
      <c r="AK160" s="19" t="s">
        <v>1570</v>
      </c>
      <c r="AL160">
        <v>1</v>
      </c>
      <c r="AM160" s="19" t="s">
        <v>1565</v>
      </c>
      <c r="AN160">
        <v>-0.54952184050998698</v>
      </c>
      <c r="AO160">
        <v>279588</v>
      </c>
    </row>
    <row r="161" spans="1:41" x14ac:dyDescent="0.3">
      <c r="A161" s="19" t="s">
        <v>232</v>
      </c>
      <c r="B161">
        <v>26</v>
      </c>
      <c r="C161" s="19" t="s">
        <v>196</v>
      </c>
      <c r="D161" s="19" t="s">
        <v>55</v>
      </c>
      <c r="E161" s="19" t="s">
        <v>48</v>
      </c>
      <c r="F161">
        <v>157</v>
      </c>
      <c r="G161" s="19" t="s">
        <v>49</v>
      </c>
      <c r="H161">
        <v>1</v>
      </c>
      <c r="I161">
        <v>3</v>
      </c>
      <c r="J161" s="19" t="s">
        <v>58</v>
      </c>
      <c r="K161">
        <v>1952</v>
      </c>
      <c r="L161">
        <v>3</v>
      </c>
      <c r="M161" s="19" t="s">
        <v>51</v>
      </c>
      <c r="N161">
        <v>3</v>
      </c>
      <c r="O161">
        <v>1</v>
      </c>
      <c r="P161" s="19" t="s">
        <v>52</v>
      </c>
      <c r="Q161">
        <v>1</v>
      </c>
      <c r="R161" s="19" t="s">
        <v>53</v>
      </c>
      <c r="S161">
        <v>44585</v>
      </c>
      <c r="T161" s="19" t="s">
        <v>72</v>
      </c>
      <c r="U161">
        <v>278.66000000000003</v>
      </c>
      <c r="V161">
        <v>0</v>
      </c>
      <c r="W161" s="19" t="s">
        <v>55</v>
      </c>
      <c r="X161">
        <v>13</v>
      </c>
      <c r="Y161">
        <v>3</v>
      </c>
      <c r="Z161">
        <v>4</v>
      </c>
      <c r="AA161">
        <v>0</v>
      </c>
      <c r="AB161">
        <v>8</v>
      </c>
      <c r="AC161">
        <v>6</v>
      </c>
      <c r="AD161">
        <v>2</v>
      </c>
      <c r="AE161">
        <v>7</v>
      </c>
      <c r="AF161">
        <v>7</v>
      </c>
      <c r="AG161">
        <v>7</v>
      </c>
      <c r="AH161">
        <v>6</v>
      </c>
      <c r="AI161">
        <v>0</v>
      </c>
      <c r="AJ161" s="19" t="s">
        <v>1569</v>
      </c>
      <c r="AK161" s="19" t="s">
        <v>1570</v>
      </c>
      <c r="AL161">
        <v>3</v>
      </c>
      <c r="AM161" s="19" t="s">
        <v>1568</v>
      </c>
      <c r="AN161">
        <v>-0.13796434435545607</v>
      </c>
      <c r="AO161">
        <v>535020</v>
      </c>
    </row>
    <row r="162" spans="1:41" x14ac:dyDescent="0.3">
      <c r="A162" s="19" t="s">
        <v>233</v>
      </c>
      <c r="B162">
        <v>26</v>
      </c>
      <c r="C162" s="19" t="s">
        <v>196</v>
      </c>
      <c r="D162" s="19" t="s">
        <v>55</v>
      </c>
      <c r="E162" s="19" t="s">
        <v>48</v>
      </c>
      <c r="F162">
        <v>1167</v>
      </c>
      <c r="G162" s="19" t="s">
        <v>57</v>
      </c>
      <c r="H162">
        <v>5</v>
      </c>
      <c r="I162">
        <v>3</v>
      </c>
      <c r="J162" s="19" t="s">
        <v>82</v>
      </c>
      <c r="K162">
        <v>2060</v>
      </c>
      <c r="L162">
        <v>4</v>
      </c>
      <c r="M162" s="19" t="s">
        <v>59</v>
      </c>
      <c r="N162">
        <v>2</v>
      </c>
      <c r="O162">
        <v>1</v>
      </c>
      <c r="P162" s="19" t="s">
        <v>60</v>
      </c>
      <c r="Q162">
        <v>3</v>
      </c>
      <c r="R162" s="19" t="s">
        <v>53</v>
      </c>
      <c r="S162">
        <v>65044</v>
      </c>
      <c r="T162" s="19" t="s">
        <v>64</v>
      </c>
      <c r="U162">
        <v>406.52</v>
      </c>
      <c r="V162">
        <v>0</v>
      </c>
      <c r="W162" s="19" t="s">
        <v>55</v>
      </c>
      <c r="X162">
        <v>18</v>
      </c>
      <c r="Y162">
        <v>3</v>
      </c>
      <c r="Z162">
        <v>4</v>
      </c>
      <c r="AA162">
        <v>0</v>
      </c>
      <c r="AB162">
        <v>5</v>
      </c>
      <c r="AC162">
        <v>2</v>
      </c>
      <c r="AD162">
        <v>3</v>
      </c>
      <c r="AE162">
        <v>4</v>
      </c>
      <c r="AF162">
        <v>2</v>
      </c>
      <c r="AG162">
        <v>0</v>
      </c>
      <c r="AH162">
        <v>0</v>
      </c>
      <c r="AI162">
        <v>0</v>
      </c>
      <c r="AJ162" s="19" t="s">
        <v>1567</v>
      </c>
      <c r="AK162" s="19" t="s">
        <v>1562</v>
      </c>
      <c r="AL162">
        <v>0</v>
      </c>
      <c r="AM162" s="19" t="s">
        <v>1563</v>
      </c>
      <c r="AN162">
        <v>0.31863415302847797</v>
      </c>
      <c r="AO162">
        <v>780528</v>
      </c>
    </row>
    <row r="163" spans="1:41" x14ac:dyDescent="0.3">
      <c r="A163" s="19" t="s">
        <v>233</v>
      </c>
      <c r="B163">
        <v>26</v>
      </c>
      <c r="C163" s="19" t="s">
        <v>196</v>
      </c>
      <c r="D163" s="19" t="s">
        <v>55</v>
      </c>
      <c r="E163" s="19" t="s">
        <v>48</v>
      </c>
      <c r="F163">
        <v>1167</v>
      </c>
      <c r="G163" s="19" t="s">
        <v>57</v>
      </c>
      <c r="H163">
        <v>5</v>
      </c>
      <c r="I163">
        <v>3</v>
      </c>
      <c r="J163" s="19" t="s">
        <v>82</v>
      </c>
      <c r="K163">
        <v>2060</v>
      </c>
      <c r="L163">
        <v>4</v>
      </c>
      <c r="M163" s="19" t="s">
        <v>59</v>
      </c>
      <c r="N163">
        <v>2</v>
      </c>
      <c r="O163">
        <v>1</v>
      </c>
      <c r="P163" s="19" t="s">
        <v>60</v>
      </c>
      <c r="Q163">
        <v>3</v>
      </c>
      <c r="R163" s="19" t="s">
        <v>53</v>
      </c>
      <c r="S163">
        <v>43557</v>
      </c>
      <c r="T163" s="19" t="s">
        <v>72</v>
      </c>
      <c r="U163">
        <v>272.23</v>
      </c>
      <c r="V163">
        <v>0</v>
      </c>
      <c r="W163" s="19" t="s">
        <v>55</v>
      </c>
      <c r="X163">
        <v>18</v>
      </c>
      <c r="Y163">
        <v>3</v>
      </c>
      <c r="Z163">
        <v>4</v>
      </c>
      <c r="AA163">
        <v>0</v>
      </c>
      <c r="AB163">
        <v>5</v>
      </c>
      <c r="AC163">
        <v>2</v>
      </c>
      <c r="AD163">
        <v>3</v>
      </c>
      <c r="AE163">
        <v>4</v>
      </c>
      <c r="AF163">
        <v>2</v>
      </c>
      <c r="AG163">
        <v>0</v>
      </c>
      <c r="AH163">
        <v>5</v>
      </c>
      <c r="AI163">
        <v>0</v>
      </c>
      <c r="AJ163" s="19" t="s">
        <v>1567</v>
      </c>
      <c r="AK163" s="19" t="s">
        <v>1562</v>
      </c>
      <c r="AL163">
        <v>0</v>
      </c>
      <c r="AM163" s="19" t="s">
        <v>1563</v>
      </c>
      <c r="AN163">
        <v>-0.11697085352282433</v>
      </c>
      <c r="AO163">
        <v>522684</v>
      </c>
    </row>
    <row r="164" spans="1:41" x14ac:dyDescent="0.3">
      <c r="A164" s="19" t="s">
        <v>234</v>
      </c>
      <c r="B164">
        <v>27</v>
      </c>
      <c r="C164" s="19" t="s">
        <v>196</v>
      </c>
      <c r="D164" s="19" t="s">
        <v>55</v>
      </c>
      <c r="E164" s="19" t="s">
        <v>48</v>
      </c>
      <c r="F164">
        <v>591</v>
      </c>
      <c r="G164" s="19" t="s">
        <v>49</v>
      </c>
      <c r="H164">
        <v>2</v>
      </c>
      <c r="I164">
        <v>1</v>
      </c>
      <c r="J164" s="19" t="s">
        <v>58</v>
      </c>
      <c r="K164">
        <v>7</v>
      </c>
      <c r="L164">
        <v>1</v>
      </c>
      <c r="M164" s="19" t="s">
        <v>51</v>
      </c>
      <c r="N164">
        <v>3</v>
      </c>
      <c r="O164">
        <v>1</v>
      </c>
      <c r="P164" s="19" t="s">
        <v>52</v>
      </c>
      <c r="Q164">
        <v>2</v>
      </c>
      <c r="R164" s="19" t="s">
        <v>113</v>
      </c>
      <c r="S164">
        <v>50080</v>
      </c>
      <c r="T164" s="19" t="s">
        <v>64</v>
      </c>
      <c r="U164">
        <v>313</v>
      </c>
      <c r="V164">
        <v>9</v>
      </c>
      <c r="W164" s="19" t="s">
        <v>55</v>
      </c>
      <c r="X164">
        <v>12</v>
      </c>
      <c r="Y164">
        <v>3</v>
      </c>
      <c r="Z164">
        <v>4</v>
      </c>
      <c r="AA164">
        <v>1</v>
      </c>
      <c r="AB164">
        <v>6</v>
      </c>
      <c r="AC164">
        <v>3</v>
      </c>
      <c r="AD164">
        <v>3</v>
      </c>
      <c r="AE164">
        <v>2</v>
      </c>
      <c r="AF164">
        <v>2</v>
      </c>
      <c r="AG164">
        <v>2</v>
      </c>
      <c r="AH164">
        <v>2</v>
      </c>
      <c r="AI164">
        <v>0</v>
      </c>
      <c r="AJ164" s="19" t="s">
        <v>1566</v>
      </c>
      <c r="AK164" s="19" t="s">
        <v>1562</v>
      </c>
      <c r="AL164">
        <v>1</v>
      </c>
      <c r="AM164" s="19" t="s">
        <v>1565</v>
      </c>
      <c r="AN164">
        <v>-3.1720407431226637E-2</v>
      </c>
      <c r="AO164">
        <v>600960</v>
      </c>
    </row>
    <row r="165" spans="1:41" x14ac:dyDescent="0.3">
      <c r="A165" s="19" t="s">
        <v>235</v>
      </c>
      <c r="B165">
        <v>27</v>
      </c>
      <c r="C165" s="19" t="s">
        <v>196</v>
      </c>
      <c r="D165" s="19" t="s">
        <v>55</v>
      </c>
      <c r="E165" s="19" t="s">
        <v>48</v>
      </c>
      <c r="F165">
        <v>1240</v>
      </c>
      <c r="G165" s="19" t="s">
        <v>49</v>
      </c>
      <c r="H165">
        <v>2</v>
      </c>
      <c r="I165">
        <v>4</v>
      </c>
      <c r="J165" s="19" t="s">
        <v>50</v>
      </c>
      <c r="K165">
        <v>54</v>
      </c>
      <c r="L165">
        <v>4</v>
      </c>
      <c r="M165" s="19" t="s">
        <v>59</v>
      </c>
      <c r="N165">
        <v>3</v>
      </c>
      <c r="O165">
        <v>1</v>
      </c>
      <c r="P165" s="19" t="s">
        <v>52</v>
      </c>
      <c r="Q165">
        <v>1</v>
      </c>
      <c r="R165" s="19" t="s">
        <v>53</v>
      </c>
      <c r="S165">
        <v>3693</v>
      </c>
      <c r="T165" s="19" t="s">
        <v>54</v>
      </c>
      <c r="U165">
        <v>23.08</v>
      </c>
      <c r="V165">
        <v>1</v>
      </c>
      <c r="W165" s="19" t="s">
        <v>55</v>
      </c>
      <c r="X165">
        <v>13</v>
      </c>
      <c r="Y165">
        <v>3</v>
      </c>
      <c r="Z165">
        <v>4</v>
      </c>
      <c r="AA165">
        <v>1</v>
      </c>
      <c r="AB165">
        <v>1</v>
      </c>
      <c r="AC165">
        <v>6</v>
      </c>
      <c r="AD165">
        <v>3</v>
      </c>
      <c r="AE165">
        <v>1</v>
      </c>
      <c r="AF165">
        <v>0</v>
      </c>
      <c r="AG165">
        <v>0</v>
      </c>
      <c r="AH165">
        <v>0</v>
      </c>
      <c r="AI165">
        <v>0</v>
      </c>
      <c r="AJ165" s="19" t="s">
        <v>1561</v>
      </c>
      <c r="AK165" s="19" t="s">
        <v>1562</v>
      </c>
      <c r="AL165">
        <v>1</v>
      </c>
      <c r="AM165" s="19" t="s">
        <v>1565</v>
      </c>
      <c r="AN165">
        <v>-0.92859711391061339</v>
      </c>
      <c r="AO165">
        <v>44316</v>
      </c>
    </row>
    <row r="166" spans="1:41" x14ac:dyDescent="0.3">
      <c r="A166" s="19" t="s">
        <v>236</v>
      </c>
      <c r="B166">
        <v>27</v>
      </c>
      <c r="C166" s="19" t="s">
        <v>196</v>
      </c>
      <c r="D166" s="19" t="s">
        <v>55</v>
      </c>
      <c r="E166" s="19" t="s">
        <v>62</v>
      </c>
      <c r="F166">
        <v>994</v>
      </c>
      <c r="G166" s="19" t="s">
        <v>57</v>
      </c>
      <c r="H166">
        <v>8</v>
      </c>
      <c r="I166">
        <v>3</v>
      </c>
      <c r="J166" s="19" t="s">
        <v>50</v>
      </c>
      <c r="K166">
        <v>56</v>
      </c>
      <c r="L166">
        <v>4</v>
      </c>
      <c r="M166" s="19" t="s">
        <v>51</v>
      </c>
      <c r="N166">
        <v>3</v>
      </c>
      <c r="O166">
        <v>3</v>
      </c>
      <c r="P166" s="19" t="s">
        <v>145</v>
      </c>
      <c r="Q166">
        <v>3</v>
      </c>
      <c r="R166" s="19" t="s">
        <v>53</v>
      </c>
      <c r="S166">
        <v>96003</v>
      </c>
      <c r="T166" s="19" t="s">
        <v>70</v>
      </c>
      <c r="U166">
        <v>600.02</v>
      </c>
      <c r="V166">
        <v>1</v>
      </c>
      <c r="W166" s="19" t="s">
        <v>55</v>
      </c>
      <c r="X166">
        <v>15</v>
      </c>
      <c r="Y166">
        <v>3</v>
      </c>
      <c r="Z166">
        <v>4</v>
      </c>
      <c r="AA166">
        <v>0</v>
      </c>
      <c r="AB166">
        <v>9</v>
      </c>
      <c r="AC166">
        <v>0</v>
      </c>
      <c r="AD166">
        <v>3</v>
      </c>
      <c r="AE166">
        <v>9</v>
      </c>
      <c r="AF166">
        <v>8</v>
      </c>
      <c r="AG166">
        <v>1</v>
      </c>
      <c r="AH166">
        <v>7</v>
      </c>
      <c r="AI166">
        <v>0</v>
      </c>
      <c r="AJ166" s="19" t="s">
        <v>1569</v>
      </c>
      <c r="AK166" s="19" t="s">
        <v>1562</v>
      </c>
      <c r="AL166">
        <v>0</v>
      </c>
      <c r="AM166" s="19" t="s">
        <v>1563</v>
      </c>
      <c r="AN166">
        <v>0.95692974603830749</v>
      </c>
      <c r="AO166">
        <v>1152036</v>
      </c>
    </row>
    <row r="167" spans="1:41" x14ac:dyDescent="0.3">
      <c r="A167" s="19" t="s">
        <v>237</v>
      </c>
      <c r="B167">
        <v>27</v>
      </c>
      <c r="C167" s="19" t="s">
        <v>196</v>
      </c>
      <c r="D167" s="19" t="s">
        <v>55</v>
      </c>
      <c r="E167" s="19" t="s">
        <v>66</v>
      </c>
      <c r="F167">
        <v>691</v>
      </c>
      <c r="G167" s="19" t="s">
        <v>49</v>
      </c>
      <c r="H167">
        <v>9</v>
      </c>
      <c r="I167">
        <v>3</v>
      </c>
      <c r="J167" s="19" t="s">
        <v>58</v>
      </c>
      <c r="K167">
        <v>218</v>
      </c>
      <c r="L167">
        <v>4</v>
      </c>
      <c r="M167" s="19" t="s">
        <v>51</v>
      </c>
      <c r="N167">
        <v>3</v>
      </c>
      <c r="O167">
        <v>1</v>
      </c>
      <c r="P167" s="19" t="s">
        <v>67</v>
      </c>
      <c r="Q167">
        <v>2</v>
      </c>
      <c r="R167" s="19" t="s">
        <v>53</v>
      </c>
      <c r="S167">
        <v>96259</v>
      </c>
      <c r="T167" s="19" t="s">
        <v>70</v>
      </c>
      <c r="U167">
        <v>601.62</v>
      </c>
      <c r="V167">
        <v>6</v>
      </c>
      <c r="W167" s="19" t="s">
        <v>55</v>
      </c>
      <c r="X167">
        <v>18</v>
      </c>
      <c r="Y167">
        <v>3</v>
      </c>
      <c r="Z167">
        <v>4</v>
      </c>
      <c r="AA167">
        <v>1</v>
      </c>
      <c r="AB167">
        <v>6</v>
      </c>
      <c r="AC167">
        <v>1</v>
      </c>
      <c r="AD167">
        <v>1</v>
      </c>
      <c r="AE167">
        <v>2</v>
      </c>
      <c r="AF167">
        <v>2</v>
      </c>
      <c r="AG167">
        <v>2</v>
      </c>
      <c r="AH167">
        <v>2</v>
      </c>
      <c r="AI167">
        <v>0</v>
      </c>
      <c r="AJ167" s="19" t="s">
        <v>1566</v>
      </c>
      <c r="AK167" s="19" t="s">
        <v>1562</v>
      </c>
      <c r="AL167">
        <v>2</v>
      </c>
      <c r="AM167" s="19" t="s">
        <v>1564</v>
      </c>
      <c r="AN167">
        <v>0.93034938341365758</v>
      </c>
      <c r="AO167">
        <v>1155108</v>
      </c>
    </row>
    <row r="168" spans="1:41" x14ac:dyDescent="0.3">
      <c r="A168" s="19" t="s">
        <v>238</v>
      </c>
      <c r="B168">
        <v>27</v>
      </c>
      <c r="C168" s="19" t="s">
        <v>196</v>
      </c>
      <c r="D168" s="19" t="s">
        <v>55</v>
      </c>
      <c r="E168" s="19" t="s">
        <v>66</v>
      </c>
      <c r="F168">
        <v>1450</v>
      </c>
      <c r="G168" s="19" t="s">
        <v>49</v>
      </c>
      <c r="H168">
        <v>3</v>
      </c>
      <c r="I168">
        <v>3</v>
      </c>
      <c r="J168" s="19" t="s">
        <v>58</v>
      </c>
      <c r="K168">
        <v>224</v>
      </c>
      <c r="L168">
        <v>3</v>
      </c>
      <c r="M168" s="19" t="s">
        <v>51</v>
      </c>
      <c r="N168">
        <v>2</v>
      </c>
      <c r="O168">
        <v>1</v>
      </c>
      <c r="P168" s="19" t="s">
        <v>67</v>
      </c>
      <c r="Q168">
        <v>3</v>
      </c>
      <c r="R168" s="19" t="s">
        <v>53</v>
      </c>
      <c r="S168">
        <v>70163</v>
      </c>
      <c r="T168" s="19" t="s">
        <v>64</v>
      </c>
      <c r="U168">
        <v>438.52</v>
      </c>
      <c r="V168">
        <v>1</v>
      </c>
      <c r="W168" s="19" t="s">
        <v>47</v>
      </c>
      <c r="X168">
        <v>15</v>
      </c>
      <c r="Y168">
        <v>3</v>
      </c>
      <c r="Z168">
        <v>4</v>
      </c>
      <c r="AA168">
        <v>1</v>
      </c>
      <c r="AB168">
        <v>1</v>
      </c>
      <c r="AC168">
        <v>2</v>
      </c>
      <c r="AD168">
        <v>2</v>
      </c>
      <c r="AE168">
        <v>1</v>
      </c>
      <c r="AF168">
        <v>1</v>
      </c>
      <c r="AG168">
        <v>0</v>
      </c>
      <c r="AH168">
        <v>1</v>
      </c>
      <c r="AI168">
        <v>0</v>
      </c>
      <c r="AJ168" s="19" t="s">
        <v>1561</v>
      </c>
      <c r="AK168" s="19" t="s">
        <v>1562</v>
      </c>
      <c r="AL168">
        <v>2</v>
      </c>
      <c r="AM168" s="19" t="s">
        <v>1564</v>
      </c>
      <c r="AN168">
        <v>0.40702795362981598</v>
      </c>
      <c r="AO168">
        <v>841956</v>
      </c>
    </row>
    <row r="169" spans="1:41" x14ac:dyDescent="0.3">
      <c r="A169" s="19" t="s">
        <v>239</v>
      </c>
      <c r="B169">
        <v>27</v>
      </c>
      <c r="C169" s="19" t="s">
        <v>196</v>
      </c>
      <c r="D169" s="19" t="s">
        <v>55</v>
      </c>
      <c r="E169" s="19" t="s">
        <v>48</v>
      </c>
      <c r="F169">
        <v>1157</v>
      </c>
      <c r="G169" s="19" t="s">
        <v>49</v>
      </c>
      <c r="H169">
        <v>17</v>
      </c>
      <c r="I169">
        <v>3</v>
      </c>
      <c r="J169" s="19" t="s">
        <v>77</v>
      </c>
      <c r="K169">
        <v>233</v>
      </c>
      <c r="L169">
        <v>3</v>
      </c>
      <c r="M169" s="19" t="s">
        <v>51</v>
      </c>
      <c r="N169">
        <v>3</v>
      </c>
      <c r="O169">
        <v>1</v>
      </c>
      <c r="P169" s="19" t="s">
        <v>67</v>
      </c>
      <c r="Q169">
        <v>2</v>
      </c>
      <c r="R169" s="19" t="s">
        <v>113</v>
      </c>
      <c r="S169">
        <v>26939</v>
      </c>
      <c r="T169" s="19" t="s">
        <v>72</v>
      </c>
      <c r="U169">
        <v>168.37</v>
      </c>
      <c r="V169">
        <v>0</v>
      </c>
      <c r="W169" s="19" t="s">
        <v>47</v>
      </c>
      <c r="X169">
        <v>16</v>
      </c>
      <c r="Y169">
        <v>3</v>
      </c>
      <c r="Z169">
        <v>4</v>
      </c>
      <c r="AA169">
        <v>1</v>
      </c>
      <c r="AB169">
        <v>6</v>
      </c>
      <c r="AC169">
        <v>3</v>
      </c>
      <c r="AD169">
        <v>2</v>
      </c>
      <c r="AE169">
        <v>5</v>
      </c>
      <c r="AF169">
        <v>2</v>
      </c>
      <c r="AG169">
        <v>1</v>
      </c>
      <c r="AH169">
        <v>1</v>
      </c>
      <c r="AI169">
        <v>0</v>
      </c>
      <c r="AJ169" s="19" t="s">
        <v>1567</v>
      </c>
      <c r="AK169" s="19" t="s">
        <v>1562</v>
      </c>
      <c r="AL169">
        <v>3</v>
      </c>
      <c r="AM169" s="19" t="s">
        <v>1568</v>
      </c>
      <c r="AN169">
        <v>-0.45977329870681682</v>
      </c>
      <c r="AO169">
        <v>323268</v>
      </c>
    </row>
    <row r="170" spans="1:41" x14ac:dyDescent="0.3">
      <c r="A170" s="19" t="s">
        <v>240</v>
      </c>
      <c r="B170">
        <v>27</v>
      </c>
      <c r="C170" s="19" t="s">
        <v>196</v>
      </c>
      <c r="D170" s="19" t="s">
        <v>55</v>
      </c>
      <c r="E170" s="19" t="s">
        <v>48</v>
      </c>
      <c r="F170">
        <v>894</v>
      </c>
      <c r="G170" s="19" t="s">
        <v>49</v>
      </c>
      <c r="H170">
        <v>9</v>
      </c>
      <c r="I170">
        <v>3</v>
      </c>
      <c r="J170" s="19" t="s">
        <v>58</v>
      </c>
      <c r="K170">
        <v>260</v>
      </c>
      <c r="L170">
        <v>4</v>
      </c>
      <c r="M170" s="19" t="s">
        <v>59</v>
      </c>
      <c r="N170">
        <v>3</v>
      </c>
      <c r="O170">
        <v>1</v>
      </c>
      <c r="P170" s="19" t="s">
        <v>67</v>
      </c>
      <c r="Q170">
        <v>2</v>
      </c>
      <c r="R170" s="19" t="s">
        <v>53</v>
      </c>
      <c r="S170">
        <v>49925</v>
      </c>
      <c r="T170" s="19" t="s">
        <v>72</v>
      </c>
      <c r="U170">
        <v>312.02999999999997</v>
      </c>
      <c r="V170">
        <v>1</v>
      </c>
      <c r="W170" s="19" t="s">
        <v>55</v>
      </c>
      <c r="X170">
        <v>16</v>
      </c>
      <c r="Y170">
        <v>3</v>
      </c>
      <c r="Z170">
        <v>4</v>
      </c>
      <c r="AA170">
        <v>0</v>
      </c>
      <c r="AB170">
        <v>7</v>
      </c>
      <c r="AC170">
        <v>2</v>
      </c>
      <c r="AD170">
        <v>2</v>
      </c>
      <c r="AE170">
        <v>7</v>
      </c>
      <c r="AF170">
        <v>7</v>
      </c>
      <c r="AG170">
        <v>0</v>
      </c>
      <c r="AH170">
        <v>3</v>
      </c>
      <c r="AI170">
        <v>0</v>
      </c>
      <c r="AJ170" s="19" t="s">
        <v>1569</v>
      </c>
      <c r="AK170" s="19" t="s">
        <v>1562</v>
      </c>
      <c r="AL170">
        <v>2</v>
      </c>
      <c r="AM170" s="19" t="s">
        <v>1564</v>
      </c>
      <c r="AN170">
        <v>1.1811151884691827E-3</v>
      </c>
      <c r="AO170">
        <v>599100</v>
      </c>
    </row>
    <row r="171" spans="1:41" x14ac:dyDescent="0.3">
      <c r="A171" s="19" t="s">
        <v>241</v>
      </c>
      <c r="B171">
        <v>27</v>
      </c>
      <c r="C171" s="19" t="s">
        <v>196</v>
      </c>
      <c r="D171" s="19" t="s">
        <v>55</v>
      </c>
      <c r="E171" s="19" t="s">
        <v>62</v>
      </c>
      <c r="F171">
        <v>472</v>
      </c>
      <c r="G171" s="19" t="s">
        <v>49</v>
      </c>
      <c r="H171">
        <v>1</v>
      </c>
      <c r="I171">
        <v>1</v>
      </c>
      <c r="J171" s="19" t="s">
        <v>77</v>
      </c>
      <c r="K171">
        <v>274</v>
      </c>
      <c r="L171">
        <v>3</v>
      </c>
      <c r="M171" s="19" t="s">
        <v>51</v>
      </c>
      <c r="N171">
        <v>2</v>
      </c>
      <c r="O171">
        <v>2</v>
      </c>
      <c r="P171" s="19" t="s">
        <v>120</v>
      </c>
      <c r="Q171">
        <v>1</v>
      </c>
      <c r="R171" s="19" t="s">
        <v>113</v>
      </c>
      <c r="S171">
        <v>43941</v>
      </c>
      <c r="T171" s="19" t="s">
        <v>72</v>
      </c>
      <c r="U171">
        <v>274.63</v>
      </c>
      <c r="V171">
        <v>5</v>
      </c>
      <c r="W171" s="19" t="s">
        <v>55</v>
      </c>
      <c r="X171">
        <v>19</v>
      </c>
      <c r="Y171">
        <v>3</v>
      </c>
      <c r="Z171">
        <v>3</v>
      </c>
      <c r="AA171">
        <v>1</v>
      </c>
      <c r="AB171">
        <v>6</v>
      </c>
      <c r="AC171">
        <v>1</v>
      </c>
      <c r="AD171">
        <v>3</v>
      </c>
      <c r="AE171">
        <v>2</v>
      </c>
      <c r="AF171">
        <v>2</v>
      </c>
      <c r="AG171">
        <v>2</v>
      </c>
      <c r="AH171">
        <v>0</v>
      </c>
      <c r="AI171">
        <v>0</v>
      </c>
      <c r="AJ171" s="19" t="s">
        <v>1566</v>
      </c>
      <c r="AK171" s="19" t="s">
        <v>1562</v>
      </c>
      <c r="AL171">
        <v>1</v>
      </c>
      <c r="AM171" s="19" t="s">
        <v>1565</v>
      </c>
      <c r="AN171">
        <v>-7.9993889087243246E-3</v>
      </c>
      <c r="AO171">
        <v>527292</v>
      </c>
    </row>
    <row r="172" spans="1:41" x14ac:dyDescent="0.3">
      <c r="A172" s="19" t="s">
        <v>242</v>
      </c>
      <c r="B172">
        <v>27</v>
      </c>
      <c r="C172" s="19" t="s">
        <v>196</v>
      </c>
      <c r="D172" s="19" t="s">
        <v>55</v>
      </c>
      <c r="E172" s="19" t="s">
        <v>62</v>
      </c>
      <c r="F172">
        <v>1242</v>
      </c>
      <c r="G172" s="19" t="s">
        <v>57</v>
      </c>
      <c r="H172">
        <v>20</v>
      </c>
      <c r="I172">
        <v>3</v>
      </c>
      <c r="J172" s="19" t="s">
        <v>50</v>
      </c>
      <c r="K172">
        <v>293</v>
      </c>
      <c r="L172">
        <v>4</v>
      </c>
      <c r="M172" s="19" t="s">
        <v>59</v>
      </c>
      <c r="N172">
        <v>3</v>
      </c>
      <c r="O172">
        <v>2</v>
      </c>
      <c r="P172" s="19" t="s">
        <v>145</v>
      </c>
      <c r="Q172">
        <v>3</v>
      </c>
      <c r="R172" s="19" t="s">
        <v>53</v>
      </c>
      <c r="S172">
        <v>22834</v>
      </c>
      <c r="T172" s="19" t="s">
        <v>54</v>
      </c>
      <c r="U172">
        <v>142.71</v>
      </c>
      <c r="V172">
        <v>1</v>
      </c>
      <c r="W172" s="19" t="s">
        <v>55</v>
      </c>
      <c r="X172">
        <v>14</v>
      </c>
      <c r="Y172">
        <v>3</v>
      </c>
      <c r="Z172">
        <v>4</v>
      </c>
      <c r="AA172">
        <v>0</v>
      </c>
      <c r="AB172">
        <v>7</v>
      </c>
      <c r="AC172">
        <v>2</v>
      </c>
      <c r="AD172">
        <v>3</v>
      </c>
      <c r="AE172">
        <v>7</v>
      </c>
      <c r="AF172">
        <v>7</v>
      </c>
      <c r="AG172">
        <v>0</v>
      </c>
      <c r="AH172">
        <v>7</v>
      </c>
      <c r="AI172">
        <v>0</v>
      </c>
      <c r="AJ172" s="19" t="s">
        <v>1569</v>
      </c>
      <c r="AK172" s="19" t="s">
        <v>1562</v>
      </c>
      <c r="AL172">
        <v>0</v>
      </c>
      <c r="AM172" s="19" t="s">
        <v>1563</v>
      </c>
      <c r="AN172">
        <v>-0.53455065132299284</v>
      </c>
      <c r="AO172">
        <v>274008</v>
      </c>
    </row>
    <row r="173" spans="1:41" x14ac:dyDescent="0.3">
      <c r="A173" s="19" t="s">
        <v>243</v>
      </c>
      <c r="B173">
        <v>27</v>
      </c>
      <c r="C173" s="19" t="s">
        <v>196</v>
      </c>
      <c r="D173" s="19" t="s">
        <v>55</v>
      </c>
      <c r="E173" s="19" t="s">
        <v>48</v>
      </c>
      <c r="F173">
        <v>1220</v>
      </c>
      <c r="G173" s="19" t="s">
        <v>49</v>
      </c>
      <c r="H173">
        <v>5</v>
      </c>
      <c r="I173">
        <v>3</v>
      </c>
      <c r="J173" s="19" t="s">
        <v>50</v>
      </c>
      <c r="K173">
        <v>434</v>
      </c>
      <c r="L173">
        <v>3</v>
      </c>
      <c r="M173" s="19" t="s">
        <v>59</v>
      </c>
      <c r="N173">
        <v>3</v>
      </c>
      <c r="O173">
        <v>1</v>
      </c>
      <c r="P173" s="19" t="s">
        <v>67</v>
      </c>
      <c r="Q173">
        <v>2</v>
      </c>
      <c r="R173" s="19" t="s">
        <v>53</v>
      </c>
      <c r="S173">
        <v>19047</v>
      </c>
      <c r="T173" s="19" t="s">
        <v>54</v>
      </c>
      <c r="U173">
        <v>119.04</v>
      </c>
      <c r="V173">
        <v>1</v>
      </c>
      <c r="W173" s="19" t="s">
        <v>47</v>
      </c>
      <c r="X173">
        <v>12</v>
      </c>
      <c r="Y173">
        <v>3</v>
      </c>
      <c r="Z173">
        <v>2</v>
      </c>
      <c r="AA173">
        <v>0</v>
      </c>
      <c r="AB173">
        <v>4</v>
      </c>
      <c r="AC173">
        <v>2</v>
      </c>
      <c r="AD173">
        <v>2</v>
      </c>
      <c r="AE173">
        <v>4</v>
      </c>
      <c r="AF173">
        <v>3</v>
      </c>
      <c r="AG173">
        <v>1</v>
      </c>
      <c r="AH173">
        <v>2</v>
      </c>
      <c r="AI173">
        <v>0</v>
      </c>
      <c r="AJ173" s="19" t="s">
        <v>1567</v>
      </c>
      <c r="AK173" s="19" t="s">
        <v>1562</v>
      </c>
      <c r="AL173">
        <v>3</v>
      </c>
      <c r="AM173" s="19" t="s">
        <v>1568</v>
      </c>
      <c r="AN173">
        <v>-0.6180371216625985</v>
      </c>
      <c r="AO173">
        <v>228564</v>
      </c>
    </row>
    <row r="174" spans="1:41" x14ac:dyDescent="0.3">
      <c r="A174" s="19" t="s">
        <v>244</v>
      </c>
      <c r="B174">
        <v>27</v>
      </c>
      <c r="C174" s="19" t="s">
        <v>196</v>
      </c>
      <c r="D174" s="19" t="s">
        <v>55</v>
      </c>
      <c r="E174" s="19" t="s">
        <v>48</v>
      </c>
      <c r="F174">
        <v>1377</v>
      </c>
      <c r="G174" s="19" t="s">
        <v>57</v>
      </c>
      <c r="H174">
        <v>2</v>
      </c>
      <c r="I174">
        <v>3</v>
      </c>
      <c r="J174" s="19" t="s">
        <v>50</v>
      </c>
      <c r="K174">
        <v>437</v>
      </c>
      <c r="L174">
        <v>4</v>
      </c>
      <c r="M174" s="19" t="s">
        <v>51</v>
      </c>
      <c r="N174">
        <v>3</v>
      </c>
      <c r="O174">
        <v>2</v>
      </c>
      <c r="P174" s="19" t="s">
        <v>145</v>
      </c>
      <c r="Q174">
        <v>3</v>
      </c>
      <c r="R174" s="19" t="s">
        <v>53</v>
      </c>
      <c r="S174">
        <v>27105</v>
      </c>
      <c r="T174" s="19" t="s">
        <v>72</v>
      </c>
      <c r="U174">
        <v>169.41</v>
      </c>
      <c r="V174">
        <v>1</v>
      </c>
      <c r="W174" s="19" t="s">
        <v>47</v>
      </c>
      <c r="X174">
        <v>11</v>
      </c>
      <c r="Y174">
        <v>3</v>
      </c>
      <c r="Z174">
        <v>1</v>
      </c>
      <c r="AA174">
        <v>0</v>
      </c>
      <c r="AB174">
        <v>5</v>
      </c>
      <c r="AC174">
        <v>3</v>
      </c>
      <c r="AD174">
        <v>3</v>
      </c>
      <c r="AE174">
        <v>5</v>
      </c>
      <c r="AF174">
        <v>4</v>
      </c>
      <c r="AG174">
        <v>0</v>
      </c>
      <c r="AH174">
        <v>4</v>
      </c>
      <c r="AI174">
        <v>0</v>
      </c>
      <c r="AJ174" s="19" t="s">
        <v>1567</v>
      </c>
      <c r="AK174" s="19" t="s">
        <v>1562</v>
      </c>
      <c r="AL174">
        <v>1</v>
      </c>
      <c r="AM174" s="19" t="s">
        <v>1565</v>
      </c>
      <c r="AN174">
        <v>-0.44749038294252969</v>
      </c>
      <c r="AO174">
        <v>325260</v>
      </c>
    </row>
    <row r="175" spans="1:41" x14ac:dyDescent="0.3">
      <c r="A175" s="19" t="s">
        <v>245</v>
      </c>
      <c r="B175">
        <v>27</v>
      </c>
      <c r="C175" s="19" t="s">
        <v>196</v>
      </c>
      <c r="D175" s="19" t="s">
        <v>55</v>
      </c>
      <c r="E175" s="19" t="s">
        <v>66</v>
      </c>
      <c r="F175">
        <v>210</v>
      </c>
      <c r="G175" s="19" t="s">
        <v>57</v>
      </c>
      <c r="H175">
        <v>1</v>
      </c>
      <c r="I175">
        <v>1</v>
      </c>
      <c r="J175" s="19" t="s">
        <v>63</v>
      </c>
      <c r="K175">
        <v>449</v>
      </c>
      <c r="L175">
        <v>3</v>
      </c>
      <c r="M175" s="19" t="s">
        <v>51</v>
      </c>
      <c r="N175">
        <v>3</v>
      </c>
      <c r="O175">
        <v>2</v>
      </c>
      <c r="P175" s="19" t="s">
        <v>145</v>
      </c>
      <c r="Q175">
        <v>2</v>
      </c>
      <c r="R175" s="19" t="s">
        <v>113</v>
      </c>
      <c r="S175">
        <v>76766</v>
      </c>
      <c r="T175" s="19" t="s">
        <v>64</v>
      </c>
      <c r="U175">
        <v>479.79</v>
      </c>
      <c r="V175">
        <v>0</v>
      </c>
      <c r="W175" s="19" t="s">
        <v>47</v>
      </c>
      <c r="X175">
        <v>13</v>
      </c>
      <c r="Y175">
        <v>3</v>
      </c>
      <c r="Z175">
        <v>4</v>
      </c>
      <c r="AA175">
        <v>1</v>
      </c>
      <c r="AB175">
        <v>6</v>
      </c>
      <c r="AC175">
        <v>0</v>
      </c>
      <c r="AD175">
        <v>3</v>
      </c>
      <c r="AE175">
        <v>5</v>
      </c>
      <c r="AF175">
        <v>4</v>
      </c>
      <c r="AG175">
        <v>1</v>
      </c>
      <c r="AH175">
        <v>4</v>
      </c>
      <c r="AI175">
        <v>0</v>
      </c>
      <c r="AJ175" s="19" t="s">
        <v>1567</v>
      </c>
      <c r="AK175" s="19" t="s">
        <v>1562</v>
      </c>
      <c r="AL175">
        <v>2</v>
      </c>
      <c r="AM175" s="19" t="s">
        <v>1564</v>
      </c>
      <c r="AN175">
        <v>0.56480181748879421</v>
      </c>
      <c r="AO175">
        <v>921192</v>
      </c>
    </row>
    <row r="176" spans="1:41" x14ac:dyDescent="0.3">
      <c r="A176" s="19" t="s">
        <v>246</v>
      </c>
      <c r="B176">
        <v>27</v>
      </c>
      <c r="C176" s="19" t="s">
        <v>196</v>
      </c>
      <c r="D176" s="19" t="s">
        <v>55</v>
      </c>
      <c r="E176" s="19" t="s">
        <v>48</v>
      </c>
      <c r="F176">
        <v>1130</v>
      </c>
      <c r="G176" s="19" t="s">
        <v>57</v>
      </c>
      <c r="H176">
        <v>8</v>
      </c>
      <c r="I176">
        <v>4</v>
      </c>
      <c r="J176" s="19" t="s">
        <v>63</v>
      </c>
      <c r="K176">
        <v>458</v>
      </c>
      <c r="L176">
        <v>2</v>
      </c>
      <c r="M176" s="19" t="s">
        <v>59</v>
      </c>
      <c r="N176">
        <v>3</v>
      </c>
      <c r="O176">
        <v>2</v>
      </c>
      <c r="P176" s="19" t="s">
        <v>145</v>
      </c>
      <c r="Q176">
        <v>2</v>
      </c>
      <c r="R176" s="19" t="s">
        <v>113</v>
      </c>
      <c r="S176">
        <v>16707</v>
      </c>
      <c r="T176" s="19" t="s">
        <v>54</v>
      </c>
      <c r="U176">
        <v>104.42</v>
      </c>
      <c r="V176">
        <v>1</v>
      </c>
      <c r="W176" s="19" t="s">
        <v>55</v>
      </c>
      <c r="X176">
        <v>18</v>
      </c>
      <c r="Y176">
        <v>3</v>
      </c>
      <c r="Z176">
        <v>1</v>
      </c>
      <c r="AA176">
        <v>1</v>
      </c>
      <c r="AB176">
        <v>8</v>
      </c>
      <c r="AC176">
        <v>3</v>
      </c>
      <c r="AD176">
        <v>3</v>
      </c>
      <c r="AE176">
        <v>8</v>
      </c>
      <c r="AF176">
        <v>7</v>
      </c>
      <c r="AG176">
        <v>0</v>
      </c>
      <c r="AH176">
        <v>7</v>
      </c>
      <c r="AI176">
        <v>0</v>
      </c>
      <c r="AJ176" s="19" t="s">
        <v>1569</v>
      </c>
      <c r="AK176" s="19" t="s">
        <v>1562</v>
      </c>
      <c r="AL176">
        <v>1</v>
      </c>
      <c r="AM176" s="19" t="s">
        <v>1565</v>
      </c>
      <c r="AN176">
        <v>-0.65944371251875455</v>
      </c>
      <c r="AO176">
        <v>200484</v>
      </c>
    </row>
    <row r="177" spans="1:41" x14ac:dyDescent="0.3">
      <c r="A177" s="19" t="s">
        <v>247</v>
      </c>
      <c r="B177">
        <v>27</v>
      </c>
      <c r="C177" s="19" t="s">
        <v>196</v>
      </c>
      <c r="D177" s="19" t="s">
        <v>55</v>
      </c>
      <c r="E177" s="19" t="s">
        <v>48</v>
      </c>
      <c r="F177">
        <v>1469</v>
      </c>
      <c r="G177" s="19" t="s">
        <v>49</v>
      </c>
      <c r="H177">
        <v>1</v>
      </c>
      <c r="I177">
        <v>2</v>
      </c>
      <c r="J177" s="19" t="s">
        <v>58</v>
      </c>
      <c r="K177">
        <v>497</v>
      </c>
      <c r="L177">
        <v>4</v>
      </c>
      <c r="M177" s="19" t="s">
        <v>51</v>
      </c>
      <c r="N177">
        <v>3</v>
      </c>
      <c r="O177">
        <v>1</v>
      </c>
      <c r="P177" s="19" t="s">
        <v>52</v>
      </c>
      <c r="Q177">
        <v>2</v>
      </c>
      <c r="R177" s="19" t="s">
        <v>53</v>
      </c>
      <c r="S177">
        <v>22976</v>
      </c>
      <c r="T177" s="19" t="s">
        <v>54</v>
      </c>
      <c r="U177">
        <v>143.6</v>
      </c>
      <c r="V177">
        <v>1</v>
      </c>
      <c r="W177" s="19" t="s">
        <v>55</v>
      </c>
      <c r="X177">
        <v>11</v>
      </c>
      <c r="Y177">
        <v>3</v>
      </c>
      <c r="Z177">
        <v>2</v>
      </c>
      <c r="AA177">
        <v>1</v>
      </c>
      <c r="AB177">
        <v>5</v>
      </c>
      <c r="AC177">
        <v>2</v>
      </c>
      <c r="AD177">
        <v>3</v>
      </c>
      <c r="AE177">
        <v>5</v>
      </c>
      <c r="AF177">
        <v>2</v>
      </c>
      <c r="AG177">
        <v>0</v>
      </c>
      <c r="AH177">
        <v>4</v>
      </c>
      <c r="AI177">
        <v>0</v>
      </c>
      <c r="AJ177" s="19" t="s">
        <v>1567</v>
      </c>
      <c r="AK177" s="19" t="s">
        <v>1562</v>
      </c>
      <c r="AL177">
        <v>1</v>
      </c>
      <c r="AM177" s="19" t="s">
        <v>1565</v>
      </c>
      <c r="AN177">
        <v>-0.55576693452755321</v>
      </c>
      <c r="AO177">
        <v>275712</v>
      </c>
    </row>
    <row r="178" spans="1:41" x14ac:dyDescent="0.3">
      <c r="A178" s="19" t="s">
        <v>248</v>
      </c>
      <c r="B178">
        <v>27</v>
      </c>
      <c r="C178" s="19" t="s">
        <v>196</v>
      </c>
      <c r="D178" s="19" t="s">
        <v>55</v>
      </c>
      <c r="E178" s="19" t="s">
        <v>48</v>
      </c>
      <c r="F178">
        <v>798</v>
      </c>
      <c r="G178" s="19" t="s">
        <v>49</v>
      </c>
      <c r="H178">
        <v>6</v>
      </c>
      <c r="I178">
        <v>4</v>
      </c>
      <c r="J178" s="19" t="s">
        <v>58</v>
      </c>
      <c r="K178">
        <v>655</v>
      </c>
      <c r="L178">
        <v>1</v>
      </c>
      <c r="M178" s="19" t="s">
        <v>59</v>
      </c>
      <c r="N178">
        <v>2</v>
      </c>
      <c r="O178">
        <v>1</v>
      </c>
      <c r="P178" s="19" t="s">
        <v>67</v>
      </c>
      <c r="Q178">
        <v>3</v>
      </c>
      <c r="R178" s="19" t="s">
        <v>53</v>
      </c>
      <c r="S178">
        <v>45262</v>
      </c>
      <c r="T178" s="19" t="s">
        <v>72</v>
      </c>
      <c r="U178">
        <v>282.89</v>
      </c>
      <c r="V178">
        <v>0</v>
      </c>
      <c r="W178" s="19" t="s">
        <v>55</v>
      </c>
      <c r="X178">
        <v>12</v>
      </c>
      <c r="Y178">
        <v>3</v>
      </c>
      <c r="Z178">
        <v>3</v>
      </c>
      <c r="AA178">
        <v>2</v>
      </c>
      <c r="AB178">
        <v>6</v>
      </c>
      <c r="AC178">
        <v>5</v>
      </c>
      <c r="AD178">
        <v>2</v>
      </c>
      <c r="AE178">
        <v>5</v>
      </c>
      <c r="AF178">
        <v>3</v>
      </c>
      <c r="AG178">
        <v>0</v>
      </c>
      <c r="AH178">
        <v>3</v>
      </c>
      <c r="AI178">
        <v>0</v>
      </c>
      <c r="AJ178" s="19" t="s">
        <v>1567</v>
      </c>
      <c r="AK178" s="19" t="s">
        <v>1562</v>
      </c>
      <c r="AL178">
        <v>1</v>
      </c>
      <c r="AM178" s="19" t="s">
        <v>1565</v>
      </c>
      <c r="AN178">
        <v>-9.2329301238648132E-2</v>
      </c>
      <c r="AO178">
        <v>543144</v>
      </c>
    </row>
    <row r="179" spans="1:41" x14ac:dyDescent="0.3">
      <c r="A179" s="19" t="s">
        <v>249</v>
      </c>
      <c r="B179">
        <v>27</v>
      </c>
      <c r="C179" s="19" t="s">
        <v>196</v>
      </c>
      <c r="D179" s="19" t="s">
        <v>47</v>
      </c>
      <c r="E179" s="19" t="s">
        <v>48</v>
      </c>
      <c r="F179">
        <v>1420</v>
      </c>
      <c r="G179" s="19" t="s">
        <v>57</v>
      </c>
      <c r="H179">
        <v>2</v>
      </c>
      <c r="I179">
        <v>1</v>
      </c>
      <c r="J179" s="19" t="s">
        <v>63</v>
      </c>
      <c r="K179">
        <v>667</v>
      </c>
      <c r="L179">
        <v>3</v>
      </c>
      <c r="M179" s="19" t="s">
        <v>51</v>
      </c>
      <c r="N179">
        <v>3</v>
      </c>
      <c r="O179">
        <v>1</v>
      </c>
      <c r="P179" s="19" t="s">
        <v>60</v>
      </c>
      <c r="Q179">
        <v>1</v>
      </c>
      <c r="R179" s="19" t="s">
        <v>53</v>
      </c>
      <c r="S179">
        <v>24776</v>
      </c>
      <c r="T179" s="19" t="s">
        <v>54</v>
      </c>
      <c r="U179">
        <v>154.85</v>
      </c>
      <c r="V179">
        <v>0</v>
      </c>
      <c r="W179" s="19" t="s">
        <v>55</v>
      </c>
      <c r="X179">
        <v>11</v>
      </c>
      <c r="Y179">
        <v>3</v>
      </c>
      <c r="Z179">
        <v>2</v>
      </c>
      <c r="AA179">
        <v>1</v>
      </c>
      <c r="AB179">
        <v>5</v>
      </c>
      <c r="AC179">
        <v>3</v>
      </c>
      <c r="AD179">
        <v>3</v>
      </c>
      <c r="AE179">
        <v>4</v>
      </c>
      <c r="AF179">
        <v>3</v>
      </c>
      <c r="AG179">
        <v>0</v>
      </c>
      <c r="AH179">
        <v>2</v>
      </c>
      <c r="AI179">
        <v>1</v>
      </c>
      <c r="AJ179" s="19" t="s">
        <v>1567</v>
      </c>
      <c r="AK179" s="19" t="s">
        <v>1562</v>
      </c>
      <c r="AL179">
        <v>1</v>
      </c>
      <c r="AM179" s="19" t="s">
        <v>1565</v>
      </c>
      <c r="AN179">
        <v>-0.49771724101479659</v>
      </c>
      <c r="AO179">
        <v>297312</v>
      </c>
    </row>
    <row r="180" spans="1:41" x14ac:dyDescent="0.3">
      <c r="A180" s="19" t="s">
        <v>250</v>
      </c>
      <c r="B180">
        <v>27</v>
      </c>
      <c r="C180" s="19" t="s">
        <v>196</v>
      </c>
      <c r="D180" s="19" t="s">
        <v>55</v>
      </c>
      <c r="E180" s="19" t="s">
        <v>48</v>
      </c>
      <c r="F180">
        <v>1115</v>
      </c>
      <c r="G180" s="19" t="s">
        <v>49</v>
      </c>
      <c r="H180">
        <v>3</v>
      </c>
      <c r="I180">
        <v>4</v>
      </c>
      <c r="J180" s="19" t="s">
        <v>58</v>
      </c>
      <c r="K180">
        <v>700</v>
      </c>
      <c r="L180">
        <v>1</v>
      </c>
      <c r="M180" s="19" t="s">
        <v>51</v>
      </c>
      <c r="N180">
        <v>2</v>
      </c>
      <c r="O180">
        <v>1</v>
      </c>
      <c r="P180" s="19" t="s">
        <v>67</v>
      </c>
      <c r="Q180">
        <v>4</v>
      </c>
      <c r="R180" s="19" t="s">
        <v>53</v>
      </c>
      <c r="S180">
        <v>31080</v>
      </c>
      <c r="T180" s="19" t="s">
        <v>72</v>
      </c>
      <c r="U180">
        <v>194.25</v>
      </c>
      <c r="V180">
        <v>0</v>
      </c>
      <c r="W180" s="19" t="s">
        <v>55</v>
      </c>
      <c r="X180">
        <v>13</v>
      </c>
      <c r="Y180">
        <v>3</v>
      </c>
      <c r="Z180">
        <v>4</v>
      </c>
      <c r="AA180">
        <v>0</v>
      </c>
      <c r="AB180">
        <v>5</v>
      </c>
      <c r="AC180">
        <v>0</v>
      </c>
      <c r="AD180">
        <v>3</v>
      </c>
      <c r="AE180">
        <v>4</v>
      </c>
      <c r="AF180">
        <v>2</v>
      </c>
      <c r="AG180">
        <v>1</v>
      </c>
      <c r="AH180">
        <v>1</v>
      </c>
      <c r="AI180">
        <v>0</v>
      </c>
      <c r="AJ180" s="19" t="s">
        <v>1567</v>
      </c>
      <c r="AK180" s="19" t="s">
        <v>1562</v>
      </c>
      <c r="AL180">
        <v>0</v>
      </c>
      <c r="AM180" s="19" t="s">
        <v>1563</v>
      </c>
      <c r="AN180">
        <v>-0.37673091517160495</v>
      </c>
      <c r="AO180">
        <v>372960</v>
      </c>
    </row>
    <row r="181" spans="1:41" x14ac:dyDescent="0.3">
      <c r="A181" s="19" t="s">
        <v>251</v>
      </c>
      <c r="B181">
        <v>27</v>
      </c>
      <c r="C181" s="19" t="s">
        <v>196</v>
      </c>
      <c r="D181" s="19" t="s">
        <v>55</v>
      </c>
      <c r="E181" s="19" t="s">
        <v>62</v>
      </c>
      <c r="F181">
        <v>1410</v>
      </c>
      <c r="G181" s="19" t="s">
        <v>57</v>
      </c>
      <c r="H181">
        <v>3</v>
      </c>
      <c r="I181">
        <v>1</v>
      </c>
      <c r="J181" s="19" t="s">
        <v>58</v>
      </c>
      <c r="K181">
        <v>714</v>
      </c>
      <c r="L181">
        <v>4</v>
      </c>
      <c r="M181" s="19" t="s">
        <v>59</v>
      </c>
      <c r="N181">
        <v>4</v>
      </c>
      <c r="O181">
        <v>2</v>
      </c>
      <c r="P181" s="19" t="s">
        <v>145</v>
      </c>
      <c r="Q181">
        <v>4</v>
      </c>
      <c r="R181" s="19" t="s">
        <v>53</v>
      </c>
      <c r="S181">
        <v>67842</v>
      </c>
      <c r="T181" s="19" t="s">
        <v>64</v>
      </c>
      <c r="U181">
        <v>424.01</v>
      </c>
      <c r="V181">
        <v>1</v>
      </c>
      <c r="W181" s="19" t="s">
        <v>47</v>
      </c>
      <c r="X181">
        <v>20</v>
      </c>
      <c r="Y181">
        <v>4</v>
      </c>
      <c r="Z181">
        <v>2</v>
      </c>
      <c r="AA181">
        <v>2</v>
      </c>
      <c r="AB181">
        <v>6</v>
      </c>
      <c r="AC181">
        <v>3</v>
      </c>
      <c r="AD181">
        <v>3</v>
      </c>
      <c r="AE181">
        <v>6</v>
      </c>
      <c r="AF181">
        <v>5</v>
      </c>
      <c r="AG181">
        <v>0</v>
      </c>
      <c r="AH181">
        <v>4</v>
      </c>
      <c r="AI181">
        <v>0</v>
      </c>
      <c r="AJ181" s="19" t="s">
        <v>1569</v>
      </c>
      <c r="AK181" s="19" t="s">
        <v>1562</v>
      </c>
      <c r="AL181">
        <v>1</v>
      </c>
      <c r="AM181" s="19" t="s">
        <v>1565</v>
      </c>
      <c r="AN181">
        <v>0.38289457444799496</v>
      </c>
      <c r="AO181">
        <v>814104</v>
      </c>
    </row>
    <row r="182" spans="1:41" x14ac:dyDescent="0.3">
      <c r="A182" s="19" t="s">
        <v>252</v>
      </c>
      <c r="B182">
        <v>27</v>
      </c>
      <c r="C182" s="19" t="s">
        <v>196</v>
      </c>
      <c r="D182" s="19" t="s">
        <v>55</v>
      </c>
      <c r="E182" s="19" t="s">
        <v>48</v>
      </c>
      <c r="F182">
        <v>608</v>
      </c>
      <c r="G182" s="19" t="s">
        <v>49</v>
      </c>
      <c r="H182">
        <v>1</v>
      </c>
      <c r="I182">
        <v>2</v>
      </c>
      <c r="J182" s="19" t="s">
        <v>50</v>
      </c>
      <c r="K182">
        <v>725</v>
      </c>
      <c r="L182">
        <v>3</v>
      </c>
      <c r="M182" s="19" t="s">
        <v>59</v>
      </c>
      <c r="N182">
        <v>3</v>
      </c>
      <c r="O182">
        <v>3</v>
      </c>
      <c r="P182" s="19" t="s">
        <v>120</v>
      </c>
      <c r="Q182">
        <v>1</v>
      </c>
      <c r="R182" s="19" t="s">
        <v>113</v>
      </c>
      <c r="S182">
        <v>62373</v>
      </c>
      <c r="T182" s="19" t="s">
        <v>64</v>
      </c>
      <c r="U182">
        <v>389.83</v>
      </c>
      <c r="V182">
        <v>1</v>
      </c>
      <c r="W182" s="19" t="s">
        <v>55</v>
      </c>
      <c r="X182">
        <v>11</v>
      </c>
      <c r="Y182">
        <v>3</v>
      </c>
      <c r="Z182">
        <v>4</v>
      </c>
      <c r="AA182">
        <v>0</v>
      </c>
      <c r="AB182">
        <v>9</v>
      </c>
      <c r="AC182">
        <v>3</v>
      </c>
      <c r="AD182">
        <v>3</v>
      </c>
      <c r="AE182">
        <v>9</v>
      </c>
      <c r="AF182">
        <v>7</v>
      </c>
      <c r="AG182">
        <v>0</v>
      </c>
      <c r="AH182">
        <v>7</v>
      </c>
      <c r="AI182">
        <v>0</v>
      </c>
      <c r="AJ182" s="19" t="s">
        <v>1569</v>
      </c>
      <c r="AK182" s="19" t="s">
        <v>1562</v>
      </c>
      <c r="AL182">
        <v>1</v>
      </c>
      <c r="AM182" s="19" t="s">
        <v>1565</v>
      </c>
      <c r="AN182">
        <v>0.40811665905637418</v>
      </c>
      <c r="AO182">
        <v>748476</v>
      </c>
    </row>
    <row r="183" spans="1:41" x14ac:dyDescent="0.3">
      <c r="A183" s="19" t="s">
        <v>253</v>
      </c>
      <c r="B183">
        <v>27</v>
      </c>
      <c r="C183" s="19" t="s">
        <v>196</v>
      </c>
      <c r="D183" s="19" t="s">
        <v>55</v>
      </c>
      <c r="E183" s="19" t="s">
        <v>62</v>
      </c>
      <c r="F183">
        <v>294</v>
      </c>
      <c r="G183" s="19" t="s">
        <v>49</v>
      </c>
      <c r="H183">
        <v>10</v>
      </c>
      <c r="I183">
        <v>2</v>
      </c>
      <c r="J183" s="19" t="s">
        <v>50</v>
      </c>
      <c r="K183">
        <v>733</v>
      </c>
      <c r="L183">
        <v>4</v>
      </c>
      <c r="M183" s="19" t="s">
        <v>51</v>
      </c>
      <c r="N183">
        <v>3</v>
      </c>
      <c r="O183">
        <v>3</v>
      </c>
      <c r="P183" s="19" t="s">
        <v>120</v>
      </c>
      <c r="Q183">
        <v>1</v>
      </c>
      <c r="R183" s="19" t="s">
        <v>53</v>
      </c>
      <c r="S183">
        <v>7776</v>
      </c>
      <c r="T183" s="19" t="s">
        <v>54</v>
      </c>
      <c r="U183">
        <v>48.6</v>
      </c>
      <c r="V183">
        <v>1</v>
      </c>
      <c r="W183" s="19" t="s">
        <v>55</v>
      </c>
      <c r="X183">
        <v>21</v>
      </c>
      <c r="Y183">
        <v>4</v>
      </c>
      <c r="Z183">
        <v>3</v>
      </c>
      <c r="AA183">
        <v>2</v>
      </c>
      <c r="AB183">
        <v>9</v>
      </c>
      <c r="AC183">
        <v>4</v>
      </c>
      <c r="AD183">
        <v>2</v>
      </c>
      <c r="AE183">
        <v>9</v>
      </c>
      <c r="AF183">
        <v>7</v>
      </c>
      <c r="AG183">
        <v>1</v>
      </c>
      <c r="AH183">
        <v>7</v>
      </c>
      <c r="AI183">
        <v>0</v>
      </c>
      <c r="AJ183" s="19" t="s">
        <v>1569</v>
      </c>
      <c r="AK183" s="19" t="s">
        <v>1562</v>
      </c>
      <c r="AL183">
        <v>2</v>
      </c>
      <c r="AM183" s="19" t="s">
        <v>1564</v>
      </c>
      <c r="AN183">
        <v>-0.8244510422647241</v>
      </c>
      <c r="AO183">
        <v>93312</v>
      </c>
    </row>
    <row r="184" spans="1:41" x14ac:dyDescent="0.3">
      <c r="A184" s="19" t="s">
        <v>254</v>
      </c>
      <c r="B184">
        <v>27</v>
      </c>
      <c r="C184" s="19" t="s">
        <v>196</v>
      </c>
      <c r="D184" s="19" t="s">
        <v>55</v>
      </c>
      <c r="E184" s="19" t="s">
        <v>48</v>
      </c>
      <c r="F184">
        <v>975</v>
      </c>
      <c r="G184" s="19" t="s">
        <v>49</v>
      </c>
      <c r="H184">
        <v>7</v>
      </c>
      <c r="I184">
        <v>3</v>
      </c>
      <c r="J184" s="19" t="s">
        <v>58</v>
      </c>
      <c r="K184">
        <v>764</v>
      </c>
      <c r="L184">
        <v>4</v>
      </c>
      <c r="M184" s="19" t="s">
        <v>59</v>
      </c>
      <c r="N184">
        <v>2</v>
      </c>
      <c r="O184">
        <v>2</v>
      </c>
      <c r="P184" s="19" t="s">
        <v>168</v>
      </c>
      <c r="Q184">
        <v>1</v>
      </c>
      <c r="R184" s="19" t="s">
        <v>53</v>
      </c>
      <c r="S184">
        <v>93787</v>
      </c>
      <c r="T184" s="19" t="s">
        <v>70</v>
      </c>
      <c r="U184">
        <v>586.16999999999996</v>
      </c>
      <c r="V184">
        <v>8</v>
      </c>
      <c r="W184" s="19" t="s">
        <v>55</v>
      </c>
      <c r="X184">
        <v>19</v>
      </c>
      <c r="Y184">
        <v>3</v>
      </c>
      <c r="Z184">
        <v>1</v>
      </c>
      <c r="AA184">
        <v>0</v>
      </c>
      <c r="AB184">
        <v>9</v>
      </c>
      <c r="AC184">
        <v>2</v>
      </c>
      <c r="AD184">
        <v>1</v>
      </c>
      <c r="AE184">
        <v>7</v>
      </c>
      <c r="AF184">
        <v>6</v>
      </c>
      <c r="AG184">
        <v>0</v>
      </c>
      <c r="AH184">
        <v>7</v>
      </c>
      <c r="AI184">
        <v>0</v>
      </c>
      <c r="AJ184" s="19" t="s">
        <v>1569</v>
      </c>
      <c r="AK184" s="19" t="s">
        <v>1562</v>
      </c>
      <c r="AL184">
        <v>2</v>
      </c>
      <c r="AM184" s="19" t="s">
        <v>1564</v>
      </c>
      <c r="AN184">
        <v>0.94622677307277281</v>
      </c>
      <c r="AO184">
        <v>1125444</v>
      </c>
    </row>
    <row r="185" spans="1:41" x14ac:dyDescent="0.3">
      <c r="A185" s="19" t="s">
        <v>255</v>
      </c>
      <c r="B185">
        <v>27</v>
      </c>
      <c r="C185" s="19" t="s">
        <v>196</v>
      </c>
      <c r="D185" s="19" t="s">
        <v>55</v>
      </c>
      <c r="E185" s="19" t="s">
        <v>62</v>
      </c>
      <c r="F185">
        <v>829</v>
      </c>
      <c r="G185" s="19" t="s">
        <v>57</v>
      </c>
      <c r="H185">
        <v>8</v>
      </c>
      <c r="I185">
        <v>1</v>
      </c>
      <c r="J185" s="19" t="s">
        <v>63</v>
      </c>
      <c r="K185">
        <v>800</v>
      </c>
      <c r="L185">
        <v>3</v>
      </c>
      <c r="M185" s="19" t="s">
        <v>51</v>
      </c>
      <c r="N185">
        <v>3</v>
      </c>
      <c r="O185">
        <v>2</v>
      </c>
      <c r="P185" s="19" t="s">
        <v>145</v>
      </c>
      <c r="Q185">
        <v>4</v>
      </c>
      <c r="R185" s="19" t="s">
        <v>113</v>
      </c>
      <c r="S185">
        <v>56016</v>
      </c>
      <c r="T185" s="19" t="s">
        <v>64</v>
      </c>
      <c r="U185">
        <v>350.1</v>
      </c>
      <c r="V185">
        <v>0</v>
      </c>
      <c r="W185" s="19" t="s">
        <v>55</v>
      </c>
      <c r="X185">
        <v>19</v>
      </c>
      <c r="Y185">
        <v>3</v>
      </c>
      <c r="Z185">
        <v>2</v>
      </c>
      <c r="AA185">
        <v>1</v>
      </c>
      <c r="AB185">
        <v>5</v>
      </c>
      <c r="AC185">
        <v>3</v>
      </c>
      <c r="AD185">
        <v>3</v>
      </c>
      <c r="AE185">
        <v>4</v>
      </c>
      <c r="AF185">
        <v>2</v>
      </c>
      <c r="AG185">
        <v>1</v>
      </c>
      <c r="AH185">
        <v>1</v>
      </c>
      <c r="AI185">
        <v>0</v>
      </c>
      <c r="AJ185" s="19" t="s">
        <v>1567</v>
      </c>
      <c r="AK185" s="19" t="s">
        <v>1562</v>
      </c>
      <c r="AL185">
        <v>0</v>
      </c>
      <c r="AM185" s="19" t="s">
        <v>1563</v>
      </c>
      <c r="AN185">
        <v>0.14183282453758564</v>
      </c>
      <c r="AO185">
        <v>672192</v>
      </c>
    </row>
    <row r="186" spans="1:41" x14ac:dyDescent="0.3">
      <c r="A186" s="19" t="s">
        <v>256</v>
      </c>
      <c r="B186">
        <v>27</v>
      </c>
      <c r="C186" s="19" t="s">
        <v>196</v>
      </c>
      <c r="D186" s="19" t="s">
        <v>55</v>
      </c>
      <c r="E186" s="19" t="s">
        <v>48</v>
      </c>
      <c r="F186">
        <v>269</v>
      </c>
      <c r="G186" s="19" t="s">
        <v>49</v>
      </c>
      <c r="H186">
        <v>5</v>
      </c>
      <c r="I186">
        <v>1</v>
      </c>
      <c r="J186" s="19" t="s">
        <v>77</v>
      </c>
      <c r="K186">
        <v>844</v>
      </c>
      <c r="L186">
        <v>3</v>
      </c>
      <c r="M186" s="19" t="s">
        <v>51</v>
      </c>
      <c r="N186">
        <v>2</v>
      </c>
      <c r="O186">
        <v>3</v>
      </c>
      <c r="P186" s="19" t="s">
        <v>257</v>
      </c>
      <c r="Q186">
        <v>4</v>
      </c>
      <c r="R186" s="19" t="s">
        <v>53</v>
      </c>
      <c r="S186">
        <v>10474</v>
      </c>
      <c r="T186" s="19" t="s">
        <v>54</v>
      </c>
      <c r="U186">
        <v>65.459999999999994</v>
      </c>
      <c r="V186">
        <v>1</v>
      </c>
      <c r="W186" s="19" t="s">
        <v>47</v>
      </c>
      <c r="X186">
        <v>16</v>
      </c>
      <c r="Y186">
        <v>3</v>
      </c>
      <c r="Z186">
        <v>2</v>
      </c>
      <c r="AA186">
        <v>1</v>
      </c>
      <c r="AB186">
        <v>9</v>
      </c>
      <c r="AC186">
        <v>3</v>
      </c>
      <c r="AD186">
        <v>3</v>
      </c>
      <c r="AE186">
        <v>9</v>
      </c>
      <c r="AF186">
        <v>8</v>
      </c>
      <c r="AG186">
        <v>0</v>
      </c>
      <c r="AH186">
        <v>8</v>
      </c>
      <c r="AI186">
        <v>0</v>
      </c>
      <c r="AJ186" s="19" t="s">
        <v>1569</v>
      </c>
      <c r="AK186" s="19" t="s">
        <v>1562</v>
      </c>
      <c r="AL186">
        <v>1</v>
      </c>
      <c r="AM186" s="19" t="s">
        <v>1565</v>
      </c>
      <c r="AN186">
        <v>-0.7932616604894196</v>
      </c>
      <c r="AO186">
        <v>125688</v>
      </c>
    </row>
    <row r="187" spans="1:41" x14ac:dyDescent="0.3">
      <c r="A187" s="19" t="s">
        <v>258</v>
      </c>
      <c r="B187">
        <v>27</v>
      </c>
      <c r="C187" s="19" t="s">
        <v>196</v>
      </c>
      <c r="D187" s="19" t="s">
        <v>55</v>
      </c>
      <c r="E187" s="19" t="s">
        <v>66</v>
      </c>
      <c r="F187">
        <v>443</v>
      </c>
      <c r="G187" s="19" t="s">
        <v>49</v>
      </c>
      <c r="H187">
        <v>3</v>
      </c>
      <c r="I187">
        <v>3</v>
      </c>
      <c r="J187" s="19" t="s">
        <v>58</v>
      </c>
      <c r="K187">
        <v>850</v>
      </c>
      <c r="L187">
        <v>4</v>
      </c>
      <c r="M187" s="19" t="s">
        <v>51</v>
      </c>
      <c r="N187">
        <v>3</v>
      </c>
      <c r="O187">
        <v>1</v>
      </c>
      <c r="P187" s="19" t="s">
        <v>67</v>
      </c>
      <c r="Q187">
        <v>4</v>
      </c>
      <c r="R187" s="19" t="s">
        <v>113</v>
      </c>
      <c r="S187">
        <v>59053</v>
      </c>
      <c r="T187" s="19" t="s">
        <v>64</v>
      </c>
      <c r="U187">
        <v>369.08</v>
      </c>
      <c r="V187">
        <v>1</v>
      </c>
      <c r="W187" s="19" t="s">
        <v>55</v>
      </c>
      <c r="X187">
        <v>11</v>
      </c>
      <c r="Y187">
        <v>3</v>
      </c>
      <c r="Z187">
        <v>3</v>
      </c>
      <c r="AA187">
        <v>3</v>
      </c>
      <c r="AB187">
        <v>0</v>
      </c>
      <c r="AC187">
        <v>6</v>
      </c>
      <c r="AD187">
        <v>2</v>
      </c>
      <c r="AE187">
        <v>0</v>
      </c>
      <c r="AF187">
        <v>0</v>
      </c>
      <c r="AG187">
        <v>0</v>
      </c>
      <c r="AH187">
        <v>0</v>
      </c>
      <c r="AI187">
        <v>0</v>
      </c>
      <c r="AJ187" s="19" t="s">
        <v>1561</v>
      </c>
      <c r="AK187" s="19" t="s">
        <v>1562</v>
      </c>
      <c r="AL187">
        <v>1</v>
      </c>
      <c r="AM187" s="19" t="s">
        <v>1565</v>
      </c>
      <c r="AN187">
        <v>0.18423131487680863</v>
      </c>
      <c r="AO187">
        <v>708636</v>
      </c>
    </row>
    <row r="188" spans="1:41" x14ac:dyDescent="0.3">
      <c r="A188" s="19" t="s">
        <v>259</v>
      </c>
      <c r="B188">
        <v>27</v>
      </c>
      <c r="C188" s="19" t="s">
        <v>196</v>
      </c>
      <c r="D188" s="19" t="s">
        <v>55</v>
      </c>
      <c r="E188" s="19" t="s">
        <v>48</v>
      </c>
      <c r="F188">
        <v>618</v>
      </c>
      <c r="G188" s="19" t="s">
        <v>49</v>
      </c>
      <c r="H188">
        <v>4</v>
      </c>
      <c r="I188">
        <v>3</v>
      </c>
      <c r="J188" s="19" t="s">
        <v>50</v>
      </c>
      <c r="K188">
        <v>933</v>
      </c>
      <c r="L188">
        <v>2</v>
      </c>
      <c r="M188" s="19" t="s">
        <v>59</v>
      </c>
      <c r="N188">
        <v>3</v>
      </c>
      <c r="O188">
        <v>1</v>
      </c>
      <c r="P188" s="19" t="s">
        <v>67</v>
      </c>
      <c r="Q188">
        <v>3</v>
      </c>
      <c r="R188" s="19" t="s">
        <v>53</v>
      </c>
      <c r="S188">
        <v>22959</v>
      </c>
      <c r="T188" s="19" t="s">
        <v>54</v>
      </c>
      <c r="U188">
        <v>143.49</v>
      </c>
      <c r="V188">
        <v>1</v>
      </c>
      <c r="W188" s="19" t="s">
        <v>55</v>
      </c>
      <c r="X188">
        <v>19</v>
      </c>
      <c r="Y188">
        <v>3</v>
      </c>
      <c r="Z188">
        <v>3</v>
      </c>
      <c r="AA188">
        <v>0</v>
      </c>
      <c r="AB188">
        <v>1</v>
      </c>
      <c r="AC188">
        <v>2</v>
      </c>
      <c r="AD188">
        <v>3</v>
      </c>
      <c r="AE188">
        <v>1</v>
      </c>
      <c r="AF188">
        <v>1</v>
      </c>
      <c r="AG188">
        <v>0</v>
      </c>
      <c r="AH188">
        <v>0</v>
      </c>
      <c r="AI188">
        <v>0</v>
      </c>
      <c r="AJ188" s="19" t="s">
        <v>1561</v>
      </c>
      <c r="AK188" s="19" t="s">
        <v>1562</v>
      </c>
      <c r="AL188">
        <v>0</v>
      </c>
      <c r="AM188" s="19" t="s">
        <v>1563</v>
      </c>
      <c r="AN188">
        <v>-0.53958703608188152</v>
      </c>
      <c r="AO188">
        <v>275508</v>
      </c>
    </row>
    <row r="189" spans="1:41" x14ac:dyDescent="0.3">
      <c r="A189" s="19" t="s">
        <v>260</v>
      </c>
      <c r="B189">
        <v>27</v>
      </c>
      <c r="C189" s="19" t="s">
        <v>196</v>
      </c>
      <c r="D189" s="19" t="s">
        <v>55</v>
      </c>
      <c r="E189" s="19" t="s">
        <v>48</v>
      </c>
      <c r="F189">
        <v>1134</v>
      </c>
      <c r="G189" s="19" t="s">
        <v>49</v>
      </c>
      <c r="H189">
        <v>16</v>
      </c>
      <c r="I189">
        <v>4</v>
      </c>
      <c r="J189" s="19" t="s">
        <v>77</v>
      </c>
      <c r="K189">
        <v>1001</v>
      </c>
      <c r="L189">
        <v>3</v>
      </c>
      <c r="M189" s="19" t="s">
        <v>59</v>
      </c>
      <c r="N189">
        <v>3</v>
      </c>
      <c r="O189">
        <v>1</v>
      </c>
      <c r="P189" s="19" t="s">
        <v>52</v>
      </c>
      <c r="Q189">
        <v>2</v>
      </c>
      <c r="R189" s="19" t="s">
        <v>113</v>
      </c>
      <c r="S189">
        <v>6530</v>
      </c>
      <c r="T189" s="19" t="s">
        <v>54</v>
      </c>
      <c r="U189">
        <v>40.81</v>
      </c>
      <c r="V189">
        <v>9</v>
      </c>
      <c r="W189" s="19" t="s">
        <v>55</v>
      </c>
      <c r="X189">
        <v>14</v>
      </c>
      <c r="Y189">
        <v>3</v>
      </c>
      <c r="Z189">
        <v>2</v>
      </c>
      <c r="AA189">
        <v>1</v>
      </c>
      <c r="AB189">
        <v>4</v>
      </c>
      <c r="AC189">
        <v>2</v>
      </c>
      <c r="AD189">
        <v>3</v>
      </c>
      <c r="AE189">
        <v>2</v>
      </c>
      <c r="AF189">
        <v>2</v>
      </c>
      <c r="AG189">
        <v>2</v>
      </c>
      <c r="AH189">
        <v>2</v>
      </c>
      <c r="AI189">
        <v>0</v>
      </c>
      <c r="AJ189" s="19" t="s">
        <v>1566</v>
      </c>
      <c r="AK189" s="19" t="s">
        <v>1562</v>
      </c>
      <c r="AL189">
        <v>1</v>
      </c>
      <c r="AM189" s="19" t="s">
        <v>1565</v>
      </c>
      <c r="AN189">
        <v>-0.87374469370059726</v>
      </c>
      <c r="AO189">
        <v>78360</v>
      </c>
    </row>
    <row r="190" spans="1:41" x14ac:dyDescent="0.3">
      <c r="A190" s="19" t="s">
        <v>261</v>
      </c>
      <c r="B190">
        <v>27</v>
      </c>
      <c r="C190" s="19" t="s">
        <v>196</v>
      </c>
      <c r="D190" s="19" t="s">
        <v>55</v>
      </c>
      <c r="E190" s="19" t="s">
        <v>48</v>
      </c>
      <c r="F190">
        <v>1055</v>
      </c>
      <c r="G190" s="19" t="s">
        <v>49</v>
      </c>
      <c r="H190">
        <v>2</v>
      </c>
      <c r="I190">
        <v>4</v>
      </c>
      <c r="J190" s="19" t="s">
        <v>50</v>
      </c>
      <c r="K190">
        <v>1027</v>
      </c>
      <c r="L190">
        <v>1</v>
      </c>
      <c r="M190" s="19" t="s">
        <v>59</v>
      </c>
      <c r="N190">
        <v>3</v>
      </c>
      <c r="O190">
        <v>2</v>
      </c>
      <c r="P190" s="19" t="s">
        <v>120</v>
      </c>
      <c r="Q190">
        <v>4</v>
      </c>
      <c r="R190" s="19" t="s">
        <v>113</v>
      </c>
      <c r="S190">
        <v>95856</v>
      </c>
      <c r="T190" s="19" t="s">
        <v>70</v>
      </c>
      <c r="U190">
        <v>599.1</v>
      </c>
      <c r="V190">
        <v>0</v>
      </c>
      <c r="W190" s="19" t="s">
        <v>55</v>
      </c>
      <c r="X190">
        <v>18</v>
      </c>
      <c r="Y190">
        <v>3</v>
      </c>
      <c r="Z190">
        <v>2</v>
      </c>
      <c r="AA190">
        <v>1</v>
      </c>
      <c r="AB190">
        <v>4</v>
      </c>
      <c r="AC190">
        <v>2</v>
      </c>
      <c r="AD190">
        <v>3</v>
      </c>
      <c r="AE190">
        <v>3</v>
      </c>
      <c r="AF190">
        <v>2</v>
      </c>
      <c r="AG190">
        <v>2</v>
      </c>
      <c r="AH190">
        <v>2</v>
      </c>
      <c r="AI190">
        <v>0</v>
      </c>
      <c r="AJ190" s="19" t="s">
        <v>1566</v>
      </c>
      <c r="AK190" s="19" t="s">
        <v>1562</v>
      </c>
      <c r="AL190">
        <v>0</v>
      </c>
      <c r="AM190" s="19" t="s">
        <v>1563</v>
      </c>
      <c r="AN190">
        <v>1.1640201765268274</v>
      </c>
      <c r="AO190">
        <v>1150272</v>
      </c>
    </row>
    <row r="191" spans="1:41" x14ac:dyDescent="0.3">
      <c r="A191" s="19" t="s">
        <v>262</v>
      </c>
      <c r="B191">
        <v>27</v>
      </c>
      <c r="C191" s="19" t="s">
        <v>196</v>
      </c>
      <c r="D191" s="19" t="s">
        <v>55</v>
      </c>
      <c r="E191" s="19" t="s">
        <v>66</v>
      </c>
      <c r="F191">
        <v>1277</v>
      </c>
      <c r="G191" s="19" t="s">
        <v>49</v>
      </c>
      <c r="H191">
        <v>8</v>
      </c>
      <c r="I191">
        <v>5</v>
      </c>
      <c r="J191" s="19" t="s">
        <v>50</v>
      </c>
      <c r="K191">
        <v>1094</v>
      </c>
      <c r="L191">
        <v>1</v>
      </c>
      <c r="M191" s="19" t="s">
        <v>51</v>
      </c>
      <c r="N191">
        <v>1</v>
      </c>
      <c r="O191">
        <v>1</v>
      </c>
      <c r="P191" s="19" t="s">
        <v>52</v>
      </c>
      <c r="Q191">
        <v>3</v>
      </c>
      <c r="R191" s="19" t="s">
        <v>113</v>
      </c>
      <c r="S191">
        <v>4748</v>
      </c>
      <c r="T191" s="19" t="s">
        <v>54</v>
      </c>
      <c r="U191">
        <v>29.68</v>
      </c>
      <c r="V191">
        <v>1</v>
      </c>
      <c r="W191" s="19" t="s">
        <v>55</v>
      </c>
      <c r="X191">
        <v>19</v>
      </c>
      <c r="Y191">
        <v>3</v>
      </c>
      <c r="Z191">
        <v>4</v>
      </c>
      <c r="AA191">
        <v>3</v>
      </c>
      <c r="AB191">
        <v>3</v>
      </c>
      <c r="AC191">
        <v>4</v>
      </c>
      <c r="AD191">
        <v>3</v>
      </c>
      <c r="AE191">
        <v>3</v>
      </c>
      <c r="AF191">
        <v>2</v>
      </c>
      <c r="AG191">
        <v>1</v>
      </c>
      <c r="AH191">
        <v>2</v>
      </c>
      <c r="AI191">
        <v>0</v>
      </c>
      <c r="AJ191" s="19" t="s">
        <v>1566</v>
      </c>
      <c r="AK191" s="19" t="s">
        <v>1562</v>
      </c>
      <c r="AL191">
        <v>0</v>
      </c>
      <c r="AM191" s="19" t="s">
        <v>1563</v>
      </c>
      <c r="AN191">
        <v>-0.90819905140741741</v>
      </c>
      <c r="AO191">
        <v>56976</v>
      </c>
    </row>
    <row r="192" spans="1:41" x14ac:dyDescent="0.3">
      <c r="A192" s="19" t="s">
        <v>263</v>
      </c>
      <c r="B192">
        <v>27</v>
      </c>
      <c r="C192" s="19" t="s">
        <v>196</v>
      </c>
      <c r="D192" s="19" t="s">
        <v>55</v>
      </c>
      <c r="E192" s="19" t="s">
        <v>48</v>
      </c>
      <c r="F192">
        <v>199</v>
      </c>
      <c r="G192" s="19" t="s">
        <v>49</v>
      </c>
      <c r="H192">
        <v>6</v>
      </c>
      <c r="I192">
        <v>3</v>
      </c>
      <c r="J192" s="19" t="s">
        <v>50</v>
      </c>
      <c r="K192">
        <v>1162</v>
      </c>
      <c r="L192">
        <v>4</v>
      </c>
      <c r="M192" s="19" t="s">
        <v>51</v>
      </c>
      <c r="N192">
        <v>2</v>
      </c>
      <c r="O192">
        <v>1</v>
      </c>
      <c r="P192" s="19" t="s">
        <v>67</v>
      </c>
      <c r="Q192">
        <v>3</v>
      </c>
      <c r="R192" s="19" t="s">
        <v>113</v>
      </c>
      <c r="S192">
        <v>98504</v>
      </c>
      <c r="T192" s="19" t="s">
        <v>70</v>
      </c>
      <c r="U192">
        <v>615.65</v>
      </c>
      <c r="V192">
        <v>1</v>
      </c>
      <c r="W192" s="19" t="s">
        <v>55</v>
      </c>
      <c r="X192">
        <v>13</v>
      </c>
      <c r="Y192">
        <v>3</v>
      </c>
      <c r="Z192">
        <v>3</v>
      </c>
      <c r="AA192">
        <v>1</v>
      </c>
      <c r="AB192">
        <v>4</v>
      </c>
      <c r="AC192">
        <v>0</v>
      </c>
      <c r="AD192">
        <v>3</v>
      </c>
      <c r="AE192">
        <v>4</v>
      </c>
      <c r="AF192">
        <v>2</v>
      </c>
      <c r="AG192">
        <v>2</v>
      </c>
      <c r="AH192">
        <v>2</v>
      </c>
      <c r="AI192">
        <v>0</v>
      </c>
      <c r="AJ192" s="19" t="s">
        <v>1567</v>
      </c>
      <c r="AK192" s="19" t="s">
        <v>1562</v>
      </c>
      <c r="AL192">
        <v>0</v>
      </c>
      <c r="AM192" s="19" t="s">
        <v>1563</v>
      </c>
      <c r="AN192">
        <v>0.97536994632999441</v>
      </c>
      <c r="AO192">
        <v>1182048</v>
      </c>
    </row>
    <row r="193" spans="1:41" x14ac:dyDescent="0.3">
      <c r="A193" s="19" t="s">
        <v>264</v>
      </c>
      <c r="B193">
        <v>27</v>
      </c>
      <c r="C193" s="19" t="s">
        <v>196</v>
      </c>
      <c r="D193" s="19" t="s">
        <v>55</v>
      </c>
      <c r="E193" s="19" t="s">
        <v>48</v>
      </c>
      <c r="F193">
        <v>1103</v>
      </c>
      <c r="G193" s="19" t="s">
        <v>49</v>
      </c>
      <c r="H193">
        <v>14</v>
      </c>
      <c r="I193">
        <v>3</v>
      </c>
      <c r="J193" s="19" t="s">
        <v>50</v>
      </c>
      <c r="K193">
        <v>1244</v>
      </c>
      <c r="L193">
        <v>1</v>
      </c>
      <c r="M193" s="19" t="s">
        <v>51</v>
      </c>
      <c r="N193">
        <v>3</v>
      </c>
      <c r="O193">
        <v>1</v>
      </c>
      <c r="P193" s="19" t="s">
        <v>67</v>
      </c>
      <c r="Q193">
        <v>1</v>
      </c>
      <c r="R193" s="19" t="s">
        <v>113</v>
      </c>
      <c r="S193">
        <v>99098</v>
      </c>
      <c r="T193" s="19" t="s">
        <v>70</v>
      </c>
      <c r="U193">
        <v>619.36</v>
      </c>
      <c r="V193">
        <v>1</v>
      </c>
      <c r="W193" s="19" t="s">
        <v>47</v>
      </c>
      <c r="X193">
        <v>14</v>
      </c>
      <c r="Y193">
        <v>3</v>
      </c>
      <c r="Z193">
        <v>4</v>
      </c>
      <c r="AA193">
        <v>2</v>
      </c>
      <c r="AB193">
        <v>9</v>
      </c>
      <c r="AC193">
        <v>3</v>
      </c>
      <c r="AD193">
        <v>2</v>
      </c>
      <c r="AE193">
        <v>9</v>
      </c>
      <c r="AF193">
        <v>7</v>
      </c>
      <c r="AG193">
        <v>6</v>
      </c>
      <c r="AH193">
        <v>8</v>
      </c>
      <c r="AI193">
        <v>0</v>
      </c>
      <c r="AJ193" s="19" t="s">
        <v>1569</v>
      </c>
      <c r="AK193" s="19" t="s">
        <v>1570</v>
      </c>
      <c r="AL193">
        <v>4</v>
      </c>
      <c r="AM193" s="19" t="s">
        <v>1568</v>
      </c>
      <c r="AN193">
        <v>0.98728184582767986</v>
      </c>
      <c r="AO193">
        <v>1189176</v>
      </c>
    </row>
    <row r="194" spans="1:41" x14ac:dyDescent="0.3">
      <c r="A194" s="19" t="s">
        <v>265</v>
      </c>
      <c r="B194">
        <v>27</v>
      </c>
      <c r="C194" s="19" t="s">
        <v>196</v>
      </c>
      <c r="D194" s="19" t="s">
        <v>55</v>
      </c>
      <c r="E194" s="19" t="s">
        <v>48</v>
      </c>
      <c r="F194">
        <v>1167</v>
      </c>
      <c r="G194" s="19" t="s">
        <v>49</v>
      </c>
      <c r="H194">
        <v>4</v>
      </c>
      <c r="I194">
        <v>2</v>
      </c>
      <c r="J194" s="19" t="s">
        <v>50</v>
      </c>
      <c r="K194">
        <v>1259</v>
      </c>
      <c r="L194">
        <v>1</v>
      </c>
      <c r="M194" s="19" t="s">
        <v>51</v>
      </c>
      <c r="N194">
        <v>3</v>
      </c>
      <c r="O194">
        <v>1</v>
      </c>
      <c r="P194" s="19" t="s">
        <v>67</v>
      </c>
      <c r="Q194">
        <v>3</v>
      </c>
      <c r="R194" s="19" t="s">
        <v>53</v>
      </c>
      <c r="S194">
        <v>14545</v>
      </c>
      <c r="T194" s="19" t="s">
        <v>54</v>
      </c>
      <c r="U194">
        <v>90.91</v>
      </c>
      <c r="V194">
        <v>1</v>
      </c>
      <c r="W194" s="19" t="s">
        <v>55</v>
      </c>
      <c r="X194">
        <v>11</v>
      </c>
      <c r="Y194">
        <v>3</v>
      </c>
      <c r="Z194">
        <v>2</v>
      </c>
      <c r="AA194">
        <v>3</v>
      </c>
      <c r="AB194">
        <v>5</v>
      </c>
      <c r="AC194">
        <v>2</v>
      </c>
      <c r="AD194">
        <v>3</v>
      </c>
      <c r="AE194">
        <v>5</v>
      </c>
      <c r="AF194">
        <v>3</v>
      </c>
      <c r="AG194">
        <v>0</v>
      </c>
      <c r="AH194">
        <v>3</v>
      </c>
      <c r="AI194">
        <v>0</v>
      </c>
      <c r="AJ194" s="19" t="s">
        <v>1567</v>
      </c>
      <c r="AK194" s="19" t="s">
        <v>1562</v>
      </c>
      <c r="AL194">
        <v>0</v>
      </c>
      <c r="AM194" s="19" t="s">
        <v>1563</v>
      </c>
      <c r="AN194">
        <v>-0.70831889192956865</v>
      </c>
      <c r="AO194">
        <v>174540</v>
      </c>
    </row>
    <row r="195" spans="1:41" x14ac:dyDescent="0.3">
      <c r="A195" s="19" t="s">
        <v>266</v>
      </c>
      <c r="B195">
        <v>27</v>
      </c>
      <c r="C195" s="19" t="s">
        <v>196</v>
      </c>
      <c r="D195" s="19" t="s">
        <v>55</v>
      </c>
      <c r="E195" s="19" t="s">
        <v>48</v>
      </c>
      <c r="F195">
        <v>1291</v>
      </c>
      <c r="G195" s="19" t="s">
        <v>57</v>
      </c>
      <c r="H195">
        <v>11</v>
      </c>
      <c r="I195">
        <v>3</v>
      </c>
      <c r="J195" s="19" t="s">
        <v>58</v>
      </c>
      <c r="K195">
        <v>1364</v>
      </c>
      <c r="L195">
        <v>3</v>
      </c>
      <c r="M195" s="19" t="s">
        <v>59</v>
      </c>
      <c r="N195">
        <v>4</v>
      </c>
      <c r="O195">
        <v>1</v>
      </c>
      <c r="P195" s="19" t="s">
        <v>60</v>
      </c>
      <c r="Q195">
        <v>4</v>
      </c>
      <c r="R195" s="19" t="s">
        <v>113</v>
      </c>
      <c r="S195">
        <v>67199</v>
      </c>
      <c r="T195" s="19" t="s">
        <v>64</v>
      </c>
      <c r="U195">
        <v>419.99</v>
      </c>
      <c r="V195">
        <v>8</v>
      </c>
      <c r="W195" s="19" t="s">
        <v>55</v>
      </c>
      <c r="X195">
        <v>14</v>
      </c>
      <c r="Y195">
        <v>3</v>
      </c>
      <c r="Z195">
        <v>2</v>
      </c>
      <c r="AA195">
        <v>1</v>
      </c>
      <c r="AB195">
        <v>5</v>
      </c>
      <c r="AC195">
        <v>4</v>
      </c>
      <c r="AD195">
        <v>3</v>
      </c>
      <c r="AE195">
        <v>1</v>
      </c>
      <c r="AF195">
        <v>0</v>
      </c>
      <c r="AG195">
        <v>0</v>
      </c>
      <c r="AH195">
        <v>0</v>
      </c>
      <c r="AI195">
        <v>0</v>
      </c>
      <c r="AJ195" s="19" t="s">
        <v>1561</v>
      </c>
      <c r="AK195" s="19" t="s">
        <v>1562</v>
      </c>
      <c r="AL195">
        <v>0</v>
      </c>
      <c r="AM195" s="19" t="s">
        <v>1563</v>
      </c>
      <c r="AN195">
        <v>0.36232237330669531</v>
      </c>
      <c r="AO195">
        <v>806388</v>
      </c>
    </row>
    <row r="196" spans="1:41" x14ac:dyDescent="0.3">
      <c r="A196" s="19" t="s">
        <v>267</v>
      </c>
      <c r="B196">
        <v>27</v>
      </c>
      <c r="C196" s="19" t="s">
        <v>196</v>
      </c>
      <c r="D196" s="19" t="s">
        <v>55</v>
      </c>
      <c r="E196" s="19" t="s">
        <v>62</v>
      </c>
      <c r="F196">
        <v>793</v>
      </c>
      <c r="G196" s="19" t="s">
        <v>57</v>
      </c>
      <c r="H196">
        <v>2</v>
      </c>
      <c r="I196">
        <v>1</v>
      </c>
      <c r="J196" s="19" t="s">
        <v>50</v>
      </c>
      <c r="K196">
        <v>1371</v>
      </c>
      <c r="L196">
        <v>4</v>
      </c>
      <c r="M196" s="19" t="s">
        <v>51</v>
      </c>
      <c r="N196">
        <v>1</v>
      </c>
      <c r="O196">
        <v>2</v>
      </c>
      <c r="P196" s="19" t="s">
        <v>145</v>
      </c>
      <c r="Q196">
        <v>4</v>
      </c>
      <c r="R196" s="19" t="s">
        <v>53</v>
      </c>
      <c r="S196">
        <v>35766</v>
      </c>
      <c r="T196" s="19" t="s">
        <v>72</v>
      </c>
      <c r="U196">
        <v>223.54</v>
      </c>
      <c r="V196">
        <v>3</v>
      </c>
      <c r="W196" s="19" t="s">
        <v>55</v>
      </c>
      <c r="X196">
        <v>20</v>
      </c>
      <c r="Y196">
        <v>4</v>
      </c>
      <c r="Z196">
        <v>2</v>
      </c>
      <c r="AA196">
        <v>0</v>
      </c>
      <c r="AB196">
        <v>8</v>
      </c>
      <c r="AC196">
        <v>3</v>
      </c>
      <c r="AD196">
        <v>3</v>
      </c>
      <c r="AE196">
        <v>6</v>
      </c>
      <c r="AF196">
        <v>2</v>
      </c>
      <c r="AG196">
        <v>0</v>
      </c>
      <c r="AH196">
        <v>0</v>
      </c>
      <c r="AI196">
        <v>0</v>
      </c>
      <c r="AJ196" s="19" t="s">
        <v>1569</v>
      </c>
      <c r="AK196" s="19" t="s">
        <v>1562</v>
      </c>
      <c r="AL196">
        <v>0</v>
      </c>
      <c r="AM196" s="19" t="s">
        <v>1563</v>
      </c>
      <c r="AN196">
        <v>-0.27094414448708781</v>
      </c>
      <c r="AO196">
        <v>429192</v>
      </c>
    </row>
    <row r="197" spans="1:41" x14ac:dyDescent="0.3">
      <c r="A197" s="19" t="s">
        <v>268</v>
      </c>
      <c r="B197">
        <v>27</v>
      </c>
      <c r="C197" s="19" t="s">
        <v>196</v>
      </c>
      <c r="D197" s="19" t="s">
        <v>55</v>
      </c>
      <c r="E197" s="19" t="s">
        <v>48</v>
      </c>
      <c r="F197">
        <v>205</v>
      </c>
      <c r="G197" s="19" t="s">
        <v>57</v>
      </c>
      <c r="H197">
        <v>10</v>
      </c>
      <c r="I197">
        <v>3</v>
      </c>
      <c r="J197" s="19" t="s">
        <v>63</v>
      </c>
      <c r="K197">
        <v>1403</v>
      </c>
      <c r="L197">
        <v>4</v>
      </c>
      <c r="M197" s="19" t="s">
        <v>59</v>
      </c>
      <c r="N197">
        <v>2</v>
      </c>
      <c r="O197">
        <v>2</v>
      </c>
      <c r="P197" s="19" t="s">
        <v>145</v>
      </c>
      <c r="Q197">
        <v>4</v>
      </c>
      <c r="R197" s="19" t="s">
        <v>113</v>
      </c>
      <c r="S197">
        <v>74530</v>
      </c>
      <c r="T197" s="19" t="s">
        <v>64</v>
      </c>
      <c r="U197">
        <v>465.81</v>
      </c>
      <c r="V197">
        <v>1</v>
      </c>
      <c r="W197" s="19" t="s">
        <v>47</v>
      </c>
      <c r="X197">
        <v>11</v>
      </c>
      <c r="Y197">
        <v>3</v>
      </c>
      <c r="Z197">
        <v>4</v>
      </c>
      <c r="AA197">
        <v>0</v>
      </c>
      <c r="AB197">
        <v>6</v>
      </c>
      <c r="AC197">
        <v>3</v>
      </c>
      <c r="AD197">
        <v>3</v>
      </c>
      <c r="AE197">
        <v>6</v>
      </c>
      <c r="AF197">
        <v>2</v>
      </c>
      <c r="AG197">
        <v>4</v>
      </c>
      <c r="AH197">
        <v>4</v>
      </c>
      <c r="AI197">
        <v>0</v>
      </c>
      <c r="AJ197" s="19" t="s">
        <v>1569</v>
      </c>
      <c r="AK197" s="19" t="s">
        <v>1570</v>
      </c>
      <c r="AL197">
        <v>2</v>
      </c>
      <c r="AM197" s="19" t="s">
        <v>1564</v>
      </c>
      <c r="AN197">
        <v>0.51922308648932902</v>
      </c>
      <c r="AO197">
        <v>894360</v>
      </c>
    </row>
    <row r="198" spans="1:41" x14ac:dyDescent="0.3">
      <c r="A198" s="19" t="s">
        <v>269</v>
      </c>
      <c r="B198">
        <v>27</v>
      </c>
      <c r="C198" s="19" t="s">
        <v>196</v>
      </c>
      <c r="D198" s="19" t="s">
        <v>47</v>
      </c>
      <c r="E198" s="19" t="s">
        <v>48</v>
      </c>
      <c r="F198">
        <v>135</v>
      </c>
      <c r="G198" s="19" t="s">
        <v>49</v>
      </c>
      <c r="H198">
        <v>17</v>
      </c>
      <c r="I198">
        <v>4</v>
      </c>
      <c r="J198" s="19" t="s">
        <v>50</v>
      </c>
      <c r="K198">
        <v>1405</v>
      </c>
      <c r="L198">
        <v>4</v>
      </c>
      <c r="M198" s="19" t="s">
        <v>59</v>
      </c>
      <c r="N198">
        <v>3</v>
      </c>
      <c r="O198">
        <v>1</v>
      </c>
      <c r="P198" s="19" t="s">
        <v>67</v>
      </c>
      <c r="Q198">
        <v>3</v>
      </c>
      <c r="R198" s="19" t="s">
        <v>53</v>
      </c>
      <c r="S198">
        <v>94557</v>
      </c>
      <c r="T198" s="19" t="s">
        <v>70</v>
      </c>
      <c r="U198">
        <v>590.98</v>
      </c>
      <c r="V198">
        <v>1</v>
      </c>
      <c r="W198" s="19" t="s">
        <v>47</v>
      </c>
      <c r="X198">
        <v>13</v>
      </c>
      <c r="Y198">
        <v>3</v>
      </c>
      <c r="Z198">
        <v>4</v>
      </c>
      <c r="AA198">
        <v>0</v>
      </c>
      <c r="AB198">
        <v>8</v>
      </c>
      <c r="AC198">
        <v>2</v>
      </c>
      <c r="AD198">
        <v>3</v>
      </c>
      <c r="AE198">
        <v>8</v>
      </c>
      <c r="AF198">
        <v>2</v>
      </c>
      <c r="AG198">
        <v>7</v>
      </c>
      <c r="AH198">
        <v>7</v>
      </c>
      <c r="AI198">
        <v>1</v>
      </c>
      <c r="AJ198" s="19" t="s">
        <v>1569</v>
      </c>
      <c r="AK198" s="19" t="s">
        <v>1570</v>
      </c>
      <c r="AL198">
        <v>2</v>
      </c>
      <c r="AM198" s="19" t="s">
        <v>1564</v>
      </c>
      <c r="AN198">
        <v>0.89621798114924545</v>
      </c>
      <c r="AO198">
        <v>1134684</v>
      </c>
    </row>
    <row r="199" spans="1:41" x14ac:dyDescent="0.3">
      <c r="A199" s="19" t="s">
        <v>270</v>
      </c>
      <c r="B199">
        <v>27</v>
      </c>
      <c r="C199" s="19" t="s">
        <v>196</v>
      </c>
      <c r="D199" s="19" t="s">
        <v>55</v>
      </c>
      <c r="E199" s="19" t="s">
        <v>48</v>
      </c>
      <c r="F199">
        <v>1377</v>
      </c>
      <c r="G199" s="19" t="s">
        <v>49</v>
      </c>
      <c r="H199">
        <v>11</v>
      </c>
      <c r="I199">
        <v>1</v>
      </c>
      <c r="J199" s="19" t="s">
        <v>50</v>
      </c>
      <c r="K199">
        <v>1434</v>
      </c>
      <c r="L199">
        <v>2</v>
      </c>
      <c r="M199" s="19" t="s">
        <v>51</v>
      </c>
      <c r="N199">
        <v>3</v>
      </c>
      <c r="O199">
        <v>1</v>
      </c>
      <c r="P199" s="19" t="s">
        <v>52</v>
      </c>
      <c r="Q199">
        <v>1</v>
      </c>
      <c r="R199" s="19" t="s">
        <v>113</v>
      </c>
      <c r="S199">
        <v>62087</v>
      </c>
      <c r="T199" s="19" t="s">
        <v>64</v>
      </c>
      <c r="U199">
        <v>388.04</v>
      </c>
      <c r="V199">
        <v>0</v>
      </c>
      <c r="W199" s="19" t="s">
        <v>55</v>
      </c>
      <c r="X199">
        <v>14</v>
      </c>
      <c r="Y199">
        <v>3</v>
      </c>
      <c r="Z199">
        <v>2</v>
      </c>
      <c r="AA199">
        <v>0</v>
      </c>
      <c r="AB199">
        <v>6</v>
      </c>
      <c r="AC199">
        <v>3</v>
      </c>
      <c r="AD199">
        <v>4</v>
      </c>
      <c r="AE199">
        <v>5</v>
      </c>
      <c r="AF199">
        <v>0</v>
      </c>
      <c r="AG199">
        <v>1</v>
      </c>
      <c r="AH199">
        <v>4</v>
      </c>
      <c r="AI199">
        <v>0</v>
      </c>
      <c r="AJ199" s="19" t="s">
        <v>1567</v>
      </c>
      <c r="AK199" s="19" t="s">
        <v>1562</v>
      </c>
      <c r="AL199">
        <v>1</v>
      </c>
      <c r="AM199" s="19" t="s">
        <v>1565</v>
      </c>
      <c r="AN199">
        <v>0.20043081197718512</v>
      </c>
      <c r="AO199">
        <v>745044</v>
      </c>
    </row>
    <row r="200" spans="1:41" x14ac:dyDescent="0.3">
      <c r="A200" s="19" t="s">
        <v>271</v>
      </c>
      <c r="B200">
        <v>27</v>
      </c>
      <c r="C200" s="19" t="s">
        <v>196</v>
      </c>
      <c r="D200" s="19" t="s">
        <v>55</v>
      </c>
      <c r="E200" s="19" t="s">
        <v>48</v>
      </c>
      <c r="F200">
        <v>1302</v>
      </c>
      <c r="G200" s="19" t="s">
        <v>49</v>
      </c>
      <c r="H200">
        <v>19</v>
      </c>
      <c r="I200">
        <v>3</v>
      </c>
      <c r="J200" s="19" t="s">
        <v>82</v>
      </c>
      <c r="K200">
        <v>1619</v>
      </c>
      <c r="L200">
        <v>4</v>
      </c>
      <c r="M200" s="19" t="s">
        <v>51</v>
      </c>
      <c r="N200">
        <v>2</v>
      </c>
      <c r="O200">
        <v>1</v>
      </c>
      <c r="P200" s="19" t="s">
        <v>52</v>
      </c>
      <c r="Q200">
        <v>1</v>
      </c>
      <c r="R200" s="19" t="s">
        <v>53</v>
      </c>
      <c r="S200">
        <v>96839</v>
      </c>
      <c r="T200" s="19" t="s">
        <v>70</v>
      </c>
      <c r="U200">
        <v>605.24</v>
      </c>
      <c r="V200">
        <v>1</v>
      </c>
      <c r="W200" s="19" t="s">
        <v>55</v>
      </c>
      <c r="X200">
        <v>11</v>
      </c>
      <c r="Y200">
        <v>3</v>
      </c>
      <c r="Z200">
        <v>1</v>
      </c>
      <c r="AA200">
        <v>2</v>
      </c>
      <c r="AB200">
        <v>7</v>
      </c>
      <c r="AC200">
        <v>3</v>
      </c>
      <c r="AD200">
        <v>3</v>
      </c>
      <c r="AE200">
        <v>7</v>
      </c>
      <c r="AF200">
        <v>7</v>
      </c>
      <c r="AG200">
        <v>0</v>
      </c>
      <c r="AH200">
        <v>7</v>
      </c>
      <c r="AI200">
        <v>0</v>
      </c>
      <c r="AJ200" s="19" t="s">
        <v>1569</v>
      </c>
      <c r="AK200" s="19" t="s">
        <v>1562</v>
      </c>
      <c r="AL200">
        <v>1</v>
      </c>
      <c r="AM200" s="19" t="s">
        <v>1565</v>
      </c>
      <c r="AN200">
        <v>0.87234879122938191</v>
      </c>
      <c r="AO200">
        <v>1162068</v>
      </c>
    </row>
    <row r="201" spans="1:41" x14ac:dyDescent="0.3">
      <c r="A201" s="19" t="s">
        <v>272</v>
      </c>
      <c r="B201">
        <v>27</v>
      </c>
      <c r="C201" s="19" t="s">
        <v>196</v>
      </c>
      <c r="D201" s="19" t="s">
        <v>55</v>
      </c>
      <c r="E201" s="19" t="s">
        <v>48</v>
      </c>
      <c r="F201">
        <v>486</v>
      </c>
      <c r="G201" s="19" t="s">
        <v>49</v>
      </c>
      <c r="H201">
        <v>8</v>
      </c>
      <c r="I201">
        <v>3</v>
      </c>
      <c r="J201" s="19" t="s">
        <v>58</v>
      </c>
      <c r="K201">
        <v>1647</v>
      </c>
      <c r="L201">
        <v>2</v>
      </c>
      <c r="M201" s="19" t="s">
        <v>59</v>
      </c>
      <c r="N201">
        <v>4</v>
      </c>
      <c r="O201">
        <v>1</v>
      </c>
      <c r="P201" s="19" t="s">
        <v>67</v>
      </c>
      <c r="Q201">
        <v>3</v>
      </c>
      <c r="R201" s="19" t="s">
        <v>113</v>
      </c>
      <c r="S201">
        <v>69840</v>
      </c>
      <c r="T201" s="19" t="s">
        <v>64</v>
      </c>
      <c r="U201">
        <v>436.5</v>
      </c>
      <c r="V201">
        <v>7</v>
      </c>
      <c r="W201" s="19" t="s">
        <v>55</v>
      </c>
      <c r="X201">
        <v>17</v>
      </c>
      <c r="Y201">
        <v>3</v>
      </c>
      <c r="Z201">
        <v>1</v>
      </c>
      <c r="AA201">
        <v>0</v>
      </c>
      <c r="AB201">
        <v>5</v>
      </c>
      <c r="AC201">
        <v>0</v>
      </c>
      <c r="AD201">
        <v>3</v>
      </c>
      <c r="AE201">
        <v>3</v>
      </c>
      <c r="AF201">
        <v>2</v>
      </c>
      <c r="AG201">
        <v>0</v>
      </c>
      <c r="AH201">
        <v>2</v>
      </c>
      <c r="AI201">
        <v>0</v>
      </c>
      <c r="AJ201" s="19" t="s">
        <v>1566</v>
      </c>
      <c r="AK201" s="19" t="s">
        <v>1562</v>
      </c>
      <c r="AL201">
        <v>0</v>
      </c>
      <c r="AM201" s="19" t="s">
        <v>1563</v>
      </c>
      <c r="AN201">
        <v>0.40055060760666378</v>
      </c>
      <c r="AO201">
        <v>838080</v>
      </c>
    </row>
    <row r="202" spans="1:41" x14ac:dyDescent="0.3">
      <c r="A202" s="19" t="s">
        <v>273</v>
      </c>
      <c r="B202">
        <v>27</v>
      </c>
      <c r="C202" s="19" t="s">
        <v>196</v>
      </c>
      <c r="D202" s="19" t="s">
        <v>55</v>
      </c>
      <c r="E202" s="19" t="s">
        <v>62</v>
      </c>
      <c r="F202">
        <v>591</v>
      </c>
      <c r="G202" s="19" t="s">
        <v>49</v>
      </c>
      <c r="H202">
        <v>2</v>
      </c>
      <c r="I202">
        <v>3</v>
      </c>
      <c r="J202" s="19" t="s">
        <v>58</v>
      </c>
      <c r="K202">
        <v>1648</v>
      </c>
      <c r="L202">
        <v>4</v>
      </c>
      <c r="M202" s="19" t="s">
        <v>51</v>
      </c>
      <c r="N202">
        <v>3</v>
      </c>
      <c r="O202">
        <v>1</v>
      </c>
      <c r="P202" s="19" t="s">
        <v>67</v>
      </c>
      <c r="Q202">
        <v>4</v>
      </c>
      <c r="R202" s="19" t="s">
        <v>53</v>
      </c>
      <c r="S202">
        <v>55384</v>
      </c>
      <c r="T202" s="19" t="s">
        <v>64</v>
      </c>
      <c r="U202">
        <v>346.15</v>
      </c>
      <c r="V202">
        <v>2</v>
      </c>
      <c r="W202" s="19" t="s">
        <v>55</v>
      </c>
      <c r="X202">
        <v>13</v>
      </c>
      <c r="Y202">
        <v>3</v>
      </c>
      <c r="Z202">
        <v>3</v>
      </c>
      <c r="AA202">
        <v>0</v>
      </c>
      <c r="AB202">
        <v>6</v>
      </c>
      <c r="AC202">
        <v>0</v>
      </c>
      <c r="AD202">
        <v>2</v>
      </c>
      <c r="AE202">
        <v>4</v>
      </c>
      <c r="AF202">
        <v>2</v>
      </c>
      <c r="AG202">
        <v>1</v>
      </c>
      <c r="AH202">
        <v>2</v>
      </c>
      <c r="AI202">
        <v>0</v>
      </c>
      <c r="AJ202" s="19" t="s">
        <v>1567</v>
      </c>
      <c r="AK202" s="19" t="s">
        <v>1562</v>
      </c>
      <c r="AL202">
        <v>1</v>
      </c>
      <c r="AM202" s="19" t="s">
        <v>1565</v>
      </c>
      <c r="AN202">
        <v>0.11065427909059944</v>
      </c>
      <c r="AO202">
        <v>664608</v>
      </c>
    </row>
    <row r="203" spans="1:41" x14ac:dyDescent="0.3">
      <c r="A203" s="19" t="s">
        <v>274</v>
      </c>
      <c r="B203">
        <v>27</v>
      </c>
      <c r="C203" s="19" t="s">
        <v>196</v>
      </c>
      <c r="D203" s="19" t="s">
        <v>55</v>
      </c>
      <c r="E203" s="19" t="s">
        <v>48</v>
      </c>
      <c r="F203">
        <v>1054</v>
      </c>
      <c r="G203" s="19" t="s">
        <v>49</v>
      </c>
      <c r="H203">
        <v>8</v>
      </c>
      <c r="I203">
        <v>3</v>
      </c>
      <c r="J203" s="19" t="s">
        <v>58</v>
      </c>
      <c r="K203">
        <v>1751</v>
      </c>
      <c r="L203">
        <v>3</v>
      </c>
      <c r="M203" s="19" t="s">
        <v>59</v>
      </c>
      <c r="N203">
        <v>3</v>
      </c>
      <c r="O203">
        <v>1</v>
      </c>
      <c r="P203" s="19" t="s">
        <v>67</v>
      </c>
      <c r="Q203">
        <v>4</v>
      </c>
      <c r="R203" s="19" t="s">
        <v>53</v>
      </c>
      <c r="S203">
        <v>52005</v>
      </c>
      <c r="T203" s="19" t="s">
        <v>64</v>
      </c>
      <c r="U203">
        <v>325.02999999999997</v>
      </c>
      <c r="V203">
        <v>1</v>
      </c>
      <c r="W203" s="19" t="s">
        <v>55</v>
      </c>
      <c r="X203">
        <v>11</v>
      </c>
      <c r="Y203">
        <v>3</v>
      </c>
      <c r="Z203">
        <v>3</v>
      </c>
      <c r="AA203">
        <v>0</v>
      </c>
      <c r="AB203">
        <v>6</v>
      </c>
      <c r="AC203">
        <v>5</v>
      </c>
      <c r="AD203">
        <v>2</v>
      </c>
      <c r="AE203">
        <v>6</v>
      </c>
      <c r="AF203">
        <v>2</v>
      </c>
      <c r="AG203">
        <v>1</v>
      </c>
      <c r="AH203">
        <v>4</v>
      </c>
      <c r="AI203">
        <v>0</v>
      </c>
      <c r="AJ203" s="19" t="s">
        <v>1569</v>
      </c>
      <c r="AK203" s="19" t="s">
        <v>1562</v>
      </c>
      <c r="AL203">
        <v>1</v>
      </c>
      <c r="AM203" s="19" t="s">
        <v>1565</v>
      </c>
      <c r="AN203">
        <v>4.2892817133226638E-2</v>
      </c>
      <c r="AO203">
        <v>624060</v>
      </c>
    </row>
    <row r="204" spans="1:41" x14ac:dyDescent="0.3">
      <c r="A204" s="19" t="s">
        <v>275</v>
      </c>
      <c r="B204">
        <v>27</v>
      </c>
      <c r="C204" s="19" t="s">
        <v>196</v>
      </c>
      <c r="D204" s="19" t="s">
        <v>55</v>
      </c>
      <c r="E204" s="19" t="s">
        <v>62</v>
      </c>
      <c r="F204">
        <v>1297</v>
      </c>
      <c r="G204" s="19" t="s">
        <v>49</v>
      </c>
      <c r="H204">
        <v>5</v>
      </c>
      <c r="I204">
        <v>2</v>
      </c>
      <c r="J204" s="19" t="s">
        <v>50</v>
      </c>
      <c r="K204">
        <v>1850</v>
      </c>
      <c r="L204">
        <v>4</v>
      </c>
      <c r="M204" s="19" t="s">
        <v>59</v>
      </c>
      <c r="N204">
        <v>3</v>
      </c>
      <c r="O204">
        <v>1</v>
      </c>
      <c r="P204" s="19" t="s">
        <v>52</v>
      </c>
      <c r="Q204">
        <v>4</v>
      </c>
      <c r="R204" s="19" t="s">
        <v>53</v>
      </c>
      <c r="S204">
        <v>47576</v>
      </c>
      <c r="T204" s="19" t="s">
        <v>72</v>
      </c>
      <c r="U204">
        <v>297.35000000000002</v>
      </c>
      <c r="V204">
        <v>0</v>
      </c>
      <c r="W204" s="19" t="s">
        <v>47</v>
      </c>
      <c r="X204">
        <v>14</v>
      </c>
      <c r="Y204">
        <v>3</v>
      </c>
      <c r="Z204">
        <v>3</v>
      </c>
      <c r="AA204">
        <v>0</v>
      </c>
      <c r="AB204">
        <v>6</v>
      </c>
      <c r="AC204">
        <v>3</v>
      </c>
      <c r="AD204">
        <v>2</v>
      </c>
      <c r="AE204">
        <v>5</v>
      </c>
      <c r="AF204">
        <v>4</v>
      </c>
      <c r="AG204">
        <v>0</v>
      </c>
      <c r="AH204">
        <v>2</v>
      </c>
      <c r="AI204">
        <v>0</v>
      </c>
      <c r="AJ204" s="19" t="s">
        <v>1567</v>
      </c>
      <c r="AK204" s="19" t="s">
        <v>1562</v>
      </c>
      <c r="AL204">
        <v>2</v>
      </c>
      <c r="AM204" s="19" t="s">
        <v>1564</v>
      </c>
      <c r="AN204">
        <v>-8.0134387059665302E-2</v>
      </c>
      <c r="AO204">
        <v>570912</v>
      </c>
    </row>
    <row r="205" spans="1:41" x14ac:dyDescent="0.3">
      <c r="A205" s="19" t="s">
        <v>276</v>
      </c>
      <c r="B205">
        <v>27</v>
      </c>
      <c r="C205" s="19" t="s">
        <v>196</v>
      </c>
      <c r="D205" s="19" t="s">
        <v>55</v>
      </c>
      <c r="E205" s="19" t="s">
        <v>48</v>
      </c>
      <c r="F205">
        <v>728</v>
      </c>
      <c r="G205" s="19" t="s">
        <v>57</v>
      </c>
      <c r="H205">
        <v>23</v>
      </c>
      <c r="I205">
        <v>1</v>
      </c>
      <c r="J205" s="19" t="s">
        <v>58</v>
      </c>
      <c r="K205">
        <v>1864</v>
      </c>
      <c r="L205">
        <v>2</v>
      </c>
      <c r="M205" s="19" t="s">
        <v>59</v>
      </c>
      <c r="N205">
        <v>2</v>
      </c>
      <c r="O205">
        <v>2</v>
      </c>
      <c r="P205" s="19" t="s">
        <v>60</v>
      </c>
      <c r="Q205">
        <v>3</v>
      </c>
      <c r="R205" s="19" t="s">
        <v>113</v>
      </c>
      <c r="S205">
        <v>40353</v>
      </c>
      <c r="T205" s="19" t="s">
        <v>72</v>
      </c>
      <c r="U205">
        <v>252.21</v>
      </c>
      <c r="V205">
        <v>1</v>
      </c>
      <c r="W205" s="19" t="s">
        <v>55</v>
      </c>
      <c r="X205">
        <v>21</v>
      </c>
      <c r="Y205">
        <v>4</v>
      </c>
      <c r="Z205">
        <v>4</v>
      </c>
      <c r="AA205">
        <v>1</v>
      </c>
      <c r="AB205">
        <v>9</v>
      </c>
      <c r="AC205">
        <v>5</v>
      </c>
      <c r="AD205">
        <v>3</v>
      </c>
      <c r="AE205">
        <v>9</v>
      </c>
      <c r="AF205">
        <v>8</v>
      </c>
      <c r="AG205">
        <v>5</v>
      </c>
      <c r="AH205">
        <v>8</v>
      </c>
      <c r="AI205">
        <v>0</v>
      </c>
      <c r="AJ205" s="19" t="s">
        <v>1569</v>
      </c>
      <c r="AK205" s="19" t="s">
        <v>1570</v>
      </c>
      <c r="AL205">
        <v>1</v>
      </c>
      <c r="AM205" s="19" t="s">
        <v>1565</v>
      </c>
      <c r="AN205">
        <v>-0.18192540469285143</v>
      </c>
      <c r="AO205">
        <v>484236</v>
      </c>
    </row>
    <row r="206" spans="1:41" x14ac:dyDescent="0.3">
      <c r="A206" s="19" t="s">
        <v>277</v>
      </c>
      <c r="B206">
        <v>27</v>
      </c>
      <c r="C206" s="19" t="s">
        <v>196</v>
      </c>
      <c r="D206" s="19" t="s">
        <v>55</v>
      </c>
      <c r="E206" s="19" t="s">
        <v>62</v>
      </c>
      <c r="F206">
        <v>1131</v>
      </c>
      <c r="G206" s="19" t="s">
        <v>49</v>
      </c>
      <c r="H206">
        <v>15</v>
      </c>
      <c r="I206">
        <v>3</v>
      </c>
      <c r="J206" s="19" t="s">
        <v>50</v>
      </c>
      <c r="K206">
        <v>1870</v>
      </c>
      <c r="L206">
        <v>4</v>
      </c>
      <c r="M206" s="19" t="s">
        <v>59</v>
      </c>
      <c r="N206">
        <v>2</v>
      </c>
      <c r="O206">
        <v>1</v>
      </c>
      <c r="P206" s="19" t="s">
        <v>67</v>
      </c>
      <c r="Q206">
        <v>1</v>
      </c>
      <c r="R206" s="19" t="s">
        <v>113</v>
      </c>
      <c r="S206">
        <v>63003</v>
      </c>
      <c r="T206" s="19" t="s">
        <v>64</v>
      </c>
      <c r="U206">
        <v>393.77</v>
      </c>
      <c r="V206">
        <v>0</v>
      </c>
      <c r="W206" s="19" t="s">
        <v>55</v>
      </c>
      <c r="X206">
        <v>19</v>
      </c>
      <c r="Y206">
        <v>3</v>
      </c>
      <c r="Z206">
        <v>4</v>
      </c>
      <c r="AA206">
        <v>1</v>
      </c>
      <c r="AB206">
        <v>8</v>
      </c>
      <c r="AC206">
        <v>2</v>
      </c>
      <c r="AD206">
        <v>2</v>
      </c>
      <c r="AE206">
        <v>7</v>
      </c>
      <c r="AF206">
        <v>6</v>
      </c>
      <c r="AG206">
        <v>7</v>
      </c>
      <c r="AH206">
        <v>3</v>
      </c>
      <c r="AI206">
        <v>0</v>
      </c>
      <c r="AJ206" s="19" t="s">
        <v>1569</v>
      </c>
      <c r="AK206" s="19" t="s">
        <v>1570</v>
      </c>
      <c r="AL206">
        <v>3</v>
      </c>
      <c r="AM206" s="19" t="s">
        <v>1568</v>
      </c>
      <c r="AN206">
        <v>0.26344344116613166</v>
      </c>
      <c r="AO206">
        <v>756036</v>
      </c>
    </row>
    <row r="207" spans="1:41" x14ac:dyDescent="0.3">
      <c r="A207" s="19" t="s">
        <v>278</v>
      </c>
      <c r="B207">
        <v>27</v>
      </c>
      <c r="C207" s="19" t="s">
        <v>196</v>
      </c>
      <c r="D207" s="19" t="s">
        <v>55</v>
      </c>
      <c r="E207" s="19" t="s">
        <v>48</v>
      </c>
      <c r="F207">
        <v>511</v>
      </c>
      <c r="G207" s="19" t="s">
        <v>57</v>
      </c>
      <c r="H207">
        <v>2</v>
      </c>
      <c r="I207">
        <v>2</v>
      </c>
      <c r="J207" s="19" t="s">
        <v>58</v>
      </c>
      <c r="K207">
        <v>1898</v>
      </c>
      <c r="L207">
        <v>1</v>
      </c>
      <c r="M207" s="19" t="s">
        <v>59</v>
      </c>
      <c r="N207">
        <v>4</v>
      </c>
      <c r="O207">
        <v>2</v>
      </c>
      <c r="P207" s="19" t="s">
        <v>145</v>
      </c>
      <c r="Q207">
        <v>3</v>
      </c>
      <c r="R207" s="19" t="s">
        <v>53</v>
      </c>
      <c r="S207">
        <v>84211</v>
      </c>
      <c r="T207" s="19" t="s">
        <v>70</v>
      </c>
      <c r="U207">
        <v>526.32000000000005</v>
      </c>
      <c r="V207">
        <v>0</v>
      </c>
      <c r="W207" s="19" t="s">
        <v>55</v>
      </c>
      <c r="X207">
        <v>14</v>
      </c>
      <c r="Y207">
        <v>3</v>
      </c>
      <c r="Z207">
        <v>2</v>
      </c>
      <c r="AA207">
        <v>0</v>
      </c>
      <c r="AB207">
        <v>9</v>
      </c>
      <c r="AC207">
        <v>5</v>
      </c>
      <c r="AD207">
        <v>2</v>
      </c>
      <c r="AE207">
        <v>8</v>
      </c>
      <c r="AF207">
        <v>7</v>
      </c>
      <c r="AG207">
        <v>0</v>
      </c>
      <c r="AH207">
        <v>7</v>
      </c>
      <c r="AI207">
        <v>0</v>
      </c>
      <c r="AJ207" s="19" t="s">
        <v>1569</v>
      </c>
      <c r="AK207" s="19" t="s">
        <v>1562</v>
      </c>
      <c r="AL207">
        <v>1</v>
      </c>
      <c r="AM207" s="19" t="s">
        <v>1565</v>
      </c>
      <c r="AN207">
        <v>0.71656105375490264</v>
      </c>
      <c r="AO207">
        <v>1010532</v>
      </c>
    </row>
    <row r="208" spans="1:41" x14ac:dyDescent="0.3">
      <c r="A208" s="19" t="s">
        <v>279</v>
      </c>
      <c r="B208">
        <v>27</v>
      </c>
      <c r="C208" s="19" t="s">
        <v>196</v>
      </c>
      <c r="D208" s="19" t="s">
        <v>55</v>
      </c>
      <c r="E208" s="19" t="s">
        <v>48</v>
      </c>
      <c r="F208">
        <v>1354</v>
      </c>
      <c r="G208" s="19" t="s">
        <v>49</v>
      </c>
      <c r="H208">
        <v>2</v>
      </c>
      <c r="I208">
        <v>4</v>
      </c>
      <c r="J208" s="19" t="s">
        <v>77</v>
      </c>
      <c r="K208">
        <v>1931</v>
      </c>
      <c r="L208">
        <v>2</v>
      </c>
      <c r="M208" s="19" t="s">
        <v>51</v>
      </c>
      <c r="N208">
        <v>3</v>
      </c>
      <c r="O208">
        <v>1</v>
      </c>
      <c r="P208" s="19" t="s">
        <v>67</v>
      </c>
      <c r="Q208">
        <v>2</v>
      </c>
      <c r="R208" s="19" t="s">
        <v>113</v>
      </c>
      <c r="S208">
        <v>53733</v>
      </c>
      <c r="T208" s="19" t="s">
        <v>64</v>
      </c>
      <c r="U208">
        <v>335.83</v>
      </c>
      <c r="V208">
        <v>1</v>
      </c>
      <c r="W208" s="19" t="s">
        <v>55</v>
      </c>
      <c r="X208">
        <v>11</v>
      </c>
      <c r="Y208">
        <v>3</v>
      </c>
      <c r="Z208">
        <v>3</v>
      </c>
      <c r="AA208">
        <v>1</v>
      </c>
      <c r="AB208">
        <v>6</v>
      </c>
      <c r="AC208">
        <v>3</v>
      </c>
      <c r="AD208">
        <v>2</v>
      </c>
      <c r="AE208">
        <v>5</v>
      </c>
      <c r="AF208">
        <v>3</v>
      </c>
      <c r="AG208">
        <v>1</v>
      </c>
      <c r="AH208">
        <v>2</v>
      </c>
      <c r="AI208">
        <v>0</v>
      </c>
      <c r="AJ208" s="19" t="s">
        <v>1567</v>
      </c>
      <c r="AK208" s="19" t="s">
        <v>1562</v>
      </c>
      <c r="AL208">
        <v>2</v>
      </c>
      <c r="AM208" s="19" t="s">
        <v>1564</v>
      </c>
      <c r="AN208">
        <v>7.7545615671948218E-2</v>
      </c>
      <c r="AO208">
        <v>644796</v>
      </c>
    </row>
    <row r="209" spans="1:41" x14ac:dyDescent="0.3">
      <c r="A209" s="19" t="s">
        <v>280</v>
      </c>
      <c r="B209">
        <v>27</v>
      </c>
      <c r="C209" s="19" t="s">
        <v>196</v>
      </c>
      <c r="D209" s="19" t="s">
        <v>47</v>
      </c>
      <c r="E209" s="19" t="s">
        <v>62</v>
      </c>
      <c r="F209">
        <v>1337</v>
      </c>
      <c r="G209" s="19" t="s">
        <v>80</v>
      </c>
      <c r="H209">
        <v>22</v>
      </c>
      <c r="I209">
        <v>3</v>
      </c>
      <c r="J209" s="19" t="s">
        <v>80</v>
      </c>
      <c r="K209">
        <v>1944</v>
      </c>
      <c r="L209">
        <v>1</v>
      </c>
      <c r="M209" s="19" t="s">
        <v>59</v>
      </c>
      <c r="N209">
        <v>2</v>
      </c>
      <c r="O209">
        <v>1</v>
      </c>
      <c r="P209" s="19" t="s">
        <v>80</v>
      </c>
      <c r="Q209">
        <v>2</v>
      </c>
      <c r="R209" s="19" t="s">
        <v>113</v>
      </c>
      <c r="S209">
        <v>66318</v>
      </c>
      <c r="T209" s="19" t="s">
        <v>64</v>
      </c>
      <c r="U209">
        <v>414.49</v>
      </c>
      <c r="V209">
        <v>1</v>
      </c>
      <c r="W209" s="19" t="s">
        <v>55</v>
      </c>
      <c r="X209">
        <v>12</v>
      </c>
      <c r="Y209">
        <v>3</v>
      </c>
      <c r="Z209">
        <v>1</v>
      </c>
      <c r="AA209">
        <v>0</v>
      </c>
      <c r="AB209">
        <v>1</v>
      </c>
      <c r="AC209">
        <v>2</v>
      </c>
      <c r="AD209">
        <v>3</v>
      </c>
      <c r="AE209">
        <v>1</v>
      </c>
      <c r="AF209">
        <v>0</v>
      </c>
      <c r="AG209">
        <v>0</v>
      </c>
      <c r="AH209">
        <v>0</v>
      </c>
      <c r="AI209">
        <v>1</v>
      </c>
      <c r="AJ209" s="19" t="s">
        <v>1561</v>
      </c>
      <c r="AK209" s="19" t="s">
        <v>1562</v>
      </c>
      <c r="AL209">
        <v>1</v>
      </c>
      <c r="AM209" s="19" t="s">
        <v>1565</v>
      </c>
      <c r="AN209">
        <v>0.30691214200986094</v>
      </c>
      <c r="AO209">
        <v>795816</v>
      </c>
    </row>
    <row r="210" spans="1:41" x14ac:dyDescent="0.3">
      <c r="A210" s="19" t="s">
        <v>281</v>
      </c>
      <c r="B210">
        <v>27</v>
      </c>
      <c r="C210" s="19" t="s">
        <v>196</v>
      </c>
      <c r="D210" s="19" t="s">
        <v>55</v>
      </c>
      <c r="E210" s="19" t="s">
        <v>48</v>
      </c>
      <c r="F210">
        <v>954</v>
      </c>
      <c r="G210" s="19" t="s">
        <v>57</v>
      </c>
      <c r="H210">
        <v>9</v>
      </c>
      <c r="I210">
        <v>3</v>
      </c>
      <c r="J210" s="19" t="s">
        <v>63</v>
      </c>
      <c r="K210">
        <v>1965</v>
      </c>
      <c r="L210">
        <v>4</v>
      </c>
      <c r="M210" s="19" t="s">
        <v>51</v>
      </c>
      <c r="N210">
        <v>3</v>
      </c>
      <c r="O210">
        <v>2</v>
      </c>
      <c r="P210" s="19" t="s">
        <v>145</v>
      </c>
      <c r="Q210">
        <v>4</v>
      </c>
      <c r="R210" s="19" t="s">
        <v>53</v>
      </c>
      <c r="S210">
        <v>90474</v>
      </c>
      <c r="T210" s="19" t="s">
        <v>70</v>
      </c>
      <c r="U210">
        <v>565.46</v>
      </c>
      <c r="V210">
        <v>1</v>
      </c>
      <c r="W210" s="19" t="s">
        <v>55</v>
      </c>
      <c r="X210">
        <v>14</v>
      </c>
      <c r="Y210">
        <v>3</v>
      </c>
      <c r="Z210">
        <v>1</v>
      </c>
      <c r="AA210">
        <v>0</v>
      </c>
      <c r="AB210">
        <v>7</v>
      </c>
      <c r="AC210">
        <v>5</v>
      </c>
      <c r="AD210">
        <v>3</v>
      </c>
      <c r="AE210">
        <v>7</v>
      </c>
      <c r="AF210">
        <v>7</v>
      </c>
      <c r="AG210">
        <v>0</v>
      </c>
      <c r="AH210">
        <v>7</v>
      </c>
      <c r="AI210">
        <v>0</v>
      </c>
      <c r="AJ210" s="19" t="s">
        <v>1569</v>
      </c>
      <c r="AK210" s="19" t="s">
        <v>1562</v>
      </c>
      <c r="AL210">
        <v>0</v>
      </c>
      <c r="AM210" s="19" t="s">
        <v>1563</v>
      </c>
      <c r="AN210">
        <v>0.8442263454586818</v>
      </c>
      <c r="AO210">
        <v>1085688</v>
      </c>
    </row>
    <row r="211" spans="1:41" x14ac:dyDescent="0.3">
      <c r="A211" s="19" t="s">
        <v>282</v>
      </c>
      <c r="B211">
        <v>27</v>
      </c>
      <c r="C211" s="19" t="s">
        <v>196</v>
      </c>
      <c r="D211" s="19" t="s">
        <v>55</v>
      </c>
      <c r="E211" s="19" t="s">
        <v>48</v>
      </c>
      <c r="F211">
        <v>155</v>
      </c>
      <c r="G211" s="19" t="s">
        <v>49</v>
      </c>
      <c r="H211">
        <v>4</v>
      </c>
      <c r="I211">
        <v>3</v>
      </c>
      <c r="J211" s="19" t="s">
        <v>50</v>
      </c>
      <c r="K211">
        <v>2064</v>
      </c>
      <c r="L211">
        <v>2</v>
      </c>
      <c r="M211" s="19" t="s">
        <v>51</v>
      </c>
      <c r="N211">
        <v>4</v>
      </c>
      <c r="O211">
        <v>2</v>
      </c>
      <c r="P211" s="19" t="s">
        <v>120</v>
      </c>
      <c r="Q211">
        <v>2</v>
      </c>
      <c r="R211" s="19" t="s">
        <v>113</v>
      </c>
      <c r="S211">
        <v>24664</v>
      </c>
      <c r="T211" s="19" t="s">
        <v>54</v>
      </c>
      <c r="U211">
        <v>154.15</v>
      </c>
      <c r="V211">
        <v>1</v>
      </c>
      <c r="W211" s="19" t="s">
        <v>47</v>
      </c>
      <c r="X211">
        <v>20</v>
      </c>
      <c r="Y211">
        <v>4</v>
      </c>
      <c r="Z211">
        <v>2</v>
      </c>
      <c r="AA211">
        <v>1</v>
      </c>
      <c r="AB211">
        <v>6</v>
      </c>
      <c r="AC211">
        <v>0</v>
      </c>
      <c r="AD211">
        <v>3</v>
      </c>
      <c r="AE211">
        <v>6</v>
      </c>
      <c r="AF211">
        <v>2</v>
      </c>
      <c r="AG211">
        <v>0</v>
      </c>
      <c r="AH211">
        <v>3</v>
      </c>
      <c r="AI211">
        <v>0</v>
      </c>
      <c r="AJ211" s="19" t="s">
        <v>1569</v>
      </c>
      <c r="AK211" s="19" t="s">
        <v>1562</v>
      </c>
      <c r="AL211">
        <v>2</v>
      </c>
      <c r="AM211" s="19" t="s">
        <v>1564</v>
      </c>
      <c r="AN211">
        <v>-0.44319193755364639</v>
      </c>
      <c r="AO211">
        <v>295968</v>
      </c>
    </row>
    <row r="212" spans="1:41" x14ac:dyDescent="0.3">
      <c r="A212" s="19" t="s">
        <v>282</v>
      </c>
      <c r="B212">
        <v>27</v>
      </c>
      <c r="C212" s="19" t="s">
        <v>196</v>
      </c>
      <c r="D212" s="19" t="s">
        <v>55</v>
      </c>
      <c r="E212" s="19" t="s">
        <v>48</v>
      </c>
      <c r="F212">
        <v>155</v>
      </c>
      <c r="G212" s="19" t="s">
        <v>49</v>
      </c>
      <c r="H212">
        <v>4</v>
      </c>
      <c r="I212">
        <v>3</v>
      </c>
      <c r="J212" s="19" t="s">
        <v>50</v>
      </c>
      <c r="K212">
        <v>2064</v>
      </c>
      <c r="L212">
        <v>2</v>
      </c>
      <c r="M212" s="19" t="s">
        <v>51</v>
      </c>
      <c r="N212">
        <v>4</v>
      </c>
      <c r="O212">
        <v>2</v>
      </c>
      <c r="P212" s="19" t="s">
        <v>120</v>
      </c>
      <c r="Q212">
        <v>2</v>
      </c>
      <c r="R212" s="19" t="s">
        <v>113</v>
      </c>
      <c r="S212">
        <v>68172</v>
      </c>
      <c r="T212" s="19" t="s">
        <v>64</v>
      </c>
      <c r="U212">
        <v>426.08</v>
      </c>
      <c r="V212">
        <v>1</v>
      </c>
      <c r="W212" s="19" t="s">
        <v>47</v>
      </c>
      <c r="X212">
        <v>20</v>
      </c>
      <c r="Y212">
        <v>4</v>
      </c>
      <c r="Z212">
        <v>2</v>
      </c>
      <c r="AA212">
        <v>1</v>
      </c>
      <c r="AB212">
        <v>6</v>
      </c>
      <c r="AC212">
        <v>0</v>
      </c>
      <c r="AD212">
        <v>3</v>
      </c>
      <c r="AE212">
        <v>6</v>
      </c>
      <c r="AF212">
        <v>2</v>
      </c>
      <c r="AG212">
        <v>0</v>
      </c>
      <c r="AH212">
        <v>3</v>
      </c>
      <c r="AI212">
        <v>0</v>
      </c>
      <c r="AJ212" s="19" t="s">
        <v>1569</v>
      </c>
      <c r="AK212" s="19" t="s">
        <v>1562</v>
      </c>
      <c r="AL212">
        <v>2</v>
      </c>
      <c r="AM212" s="19" t="s">
        <v>1564</v>
      </c>
      <c r="AN212">
        <v>0.53903337792299777</v>
      </c>
      <c r="AO212">
        <v>818064</v>
      </c>
    </row>
    <row r="213" spans="1:41" x14ac:dyDescent="0.3">
      <c r="A213" s="19" t="s">
        <v>283</v>
      </c>
      <c r="B213">
        <v>28</v>
      </c>
      <c r="C213" s="19" t="s">
        <v>196</v>
      </c>
      <c r="D213" s="19" t="s">
        <v>47</v>
      </c>
      <c r="E213" s="19" t="s">
        <v>48</v>
      </c>
      <c r="F213">
        <v>103</v>
      </c>
      <c r="G213" s="19" t="s">
        <v>49</v>
      </c>
      <c r="H213">
        <v>24</v>
      </c>
      <c r="I213">
        <v>3</v>
      </c>
      <c r="J213" s="19" t="s">
        <v>50</v>
      </c>
      <c r="K213">
        <v>19</v>
      </c>
      <c r="L213">
        <v>3</v>
      </c>
      <c r="M213" s="19" t="s">
        <v>51</v>
      </c>
      <c r="N213">
        <v>2</v>
      </c>
      <c r="O213">
        <v>1</v>
      </c>
      <c r="P213" s="19" t="s">
        <v>52</v>
      </c>
      <c r="Q213">
        <v>3</v>
      </c>
      <c r="R213" s="19" t="s">
        <v>53</v>
      </c>
      <c r="S213">
        <v>86616</v>
      </c>
      <c r="T213" s="19" t="s">
        <v>70</v>
      </c>
      <c r="U213">
        <v>541.35</v>
      </c>
      <c r="V213">
        <v>5</v>
      </c>
      <c r="W213" s="19" t="s">
        <v>47</v>
      </c>
      <c r="X213">
        <v>14</v>
      </c>
      <c r="Y213">
        <v>3</v>
      </c>
      <c r="Z213">
        <v>2</v>
      </c>
      <c r="AA213">
        <v>0</v>
      </c>
      <c r="AB213">
        <v>6</v>
      </c>
      <c r="AC213">
        <v>4</v>
      </c>
      <c r="AD213">
        <v>3</v>
      </c>
      <c r="AE213">
        <v>4</v>
      </c>
      <c r="AF213">
        <v>2</v>
      </c>
      <c r="AG213">
        <v>0</v>
      </c>
      <c r="AH213">
        <v>3</v>
      </c>
      <c r="AI213">
        <v>1</v>
      </c>
      <c r="AJ213" s="19" t="s">
        <v>1567</v>
      </c>
      <c r="AK213" s="19" t="s">
        <v>1562</v>
      </c>
      <c r="AL213">
        <v>1</v>
      </c>
      <c r="AM213" s="19" t="s">
        <v>1565</v>
      </c>
      <c r="AN213">
        <v>0.67469059884059257</v>
      </c>
      <c r="AO213">
        <v>1039392</v>
      </c>
    </row>
    <row r="214" spans="1:41" x14ac:dyDescent="0.3">
      <c r="A214" s="19" t="s">
        <v>284</v>
      </c>
      <c r="B214">
        <v>28</v>
      </c>
      <c r="C214" s="19" t="s">
        <v>196</v>
      </c>
      <c r="D214" s="19" t="s">
        <v>47</v>
      </c>
      <c r="E214" s="19" t="s">
        <v>48</v>
      </c>
      <c r="F214">
        <v>1434</v>
      </c>
      <c r="G214" s="19" t="s">
        <v>49</v>
      </c>
      <c r="H214">
        <v>5</v>
      </c>
      <c r="I214">
        <v>4</v>
      </c>
      <c r="J214" s="19" t="s">
        <v>77</v>
      </c>
      <c r="K214">
        <v>65</v>
      </c>
      <c r="L214">
        <v>3</v>
      </c>
      <c r="M214" s="19" t="s">
        <v>51</v>
      </c>
      <c r="N214">
        <v>3</v>
      </c>
      <c r="O214">
        <v>1</v>
      </c>
      <c r="P214" s="19" t="s">
        <v>52</v>
      </c>
      <c r="Q214">
        <v>3</v>
      </c>
      <c r="R214" s="19" t="s">
        <v>53</v>
      </c>
      <c r="S214">
        <v>94264</v>
      </c>
      <c r="T214" s="19" t="s">
        <v>70</v>
      </c>
      <c r="U214">
        <v>589.15</v>
      </c>
      <c r="V214">
        <v>1</v>
      </c>
      <c r="W214" s="19" t="s">
        <v>47</v>
      </c>
      <c r="X214">
        <v>13</v>
      </c>
      <c r="Y214">
        <v>3</v>
      </c>
      <c r="Z214">
        <v>3</v>
      </c>
      <c r="AA214">
        <v>0</v>
      </c>
      <c r="AB214">
        <v>2</v>
      </c>
      <c r="AC214">
        <v>3</v>
      </c>
      <c r="AD214">
        <v>2</v>
      </c>
      <c r="AE214">
        <v>2</v>
      </c>
      <c r="AF214">
        <v>2</v>
      </c>
      <c r="AG214">
        <v>2</v>
      </c>
      <c r="AH214">
        <v>2</v>
      </c>
      <c r="AI214">
        <v>1</v>
      </c>
      <c r="AJ214" s="19" t="s">
        <v>1566</v>
      </c>
      <c r="AK214" s="19" t="s">
        <v>1562</v>
      </c>
      <c r="AL214">
        <v>2</v>
      </c>
      <c r="AM214" s="19" t="s">
        <v>1564</v>
      </c>
      <c r="AN214">
        <v>0.82256205099646273</v>
      </c>
      <c r="AO214">
        <v>1131168</v>
      </c>
    </row>
    <row r="215" spans="1:41" x14ac:dyDescent="0.3">
      <c r="A215" s="19" t="s">
        <v>285</v>
      </c>
      <c r="B215">
        <v>28</v>
      </c>
      <c r="C215" s="19" t="s">
        <v>196</v>
      </c>
      <c r="D215" s="19" t="s">
        <v>55</v>
      </c>
      <c r="E215" s="19" t="s">
        <v>66</v>
      </c>
      <c r="F215">
        <v>120</v>
      </c>
      <c r="G215" s="19" t="s">
        <v>57</v>
      </c>
      <c r="H215">
        <v>4</v>
      </c>
      <c r="I215">
        <v>3</v>
      </c>
      <c r="J215" s="19" t="s">
        <v>58</v>
      </c>
      <c r="K215">
        <v>129</v>
      </c>
      <c r="L215">
        <v>2</v>
      </c>
      <c r="M215" s="19" t="s">
        <v>51</v>
      </c>
      <c r="N215">
        <v>3</v>
      </c>
      <c r="O215">
        <v>2</v>
      </c>
      <c r="P215" s="19" t="s">
        <v>145</v>
      </c>
      <c r="Q215">
        <v>3</v>
      </c>
      <c r="R215" s="19" t="s">
        <v>113</v>
      </c>
      <c r="S215">
        <v>27736</v>
      </c>
      <c r="T215" s="19" t="s">
        <v>72</v>
      </c>
      <c r="U215">
        <v>173.35</v>
      </c>
      <c r="V215">
        <v>1</v>
      </c>
      <c r="W215" s="19" t="s">
        <v>55</v>
      </c>
      <c r="X215">
        <v>15</v>
      </c>
      <c r="Y215">
        <v>3</v>
      </c>
      <c r="Z215">
        <v>2</v>
      </c>
      <c r="AA215">
        <v>0</v>
      </c>
      <c r="AB215">
        <v>5</v>
      </c>
      <c r="AC215">
        <v>3</v>
      </c>
      <c r="AD215">
        <v>4</v>
      </c>
      <c r="AE215">
        <v>5</v>
      </c>
      <c r="AF215">
        <v>4</v>
      </c>
      <c r="AG215">
        <v>0</v>
      </c>
      <c r="AH215">
        <v>4</v>
      </c>
      <c r="AI215">
        <v>0</v>
      </c>
      <c r="AJ215" s="19" t="s">
        <v>1567</v>
      </c>
      <c r="AK215" s="19" t="s">
        <v>1562</v>
      </c>
      <c r="AL215">
        <v>0</v>
      </c>
      <c r="AM215" s="19" t="s">
        <v>1563</v>
      </c>
      <c r="AN215">
        <v>-0.43462804874724231</v>
      </c>
      <c r="AO215">
        <v>332832</v>
      </c>
    </row>
    <row r="216" spans="1:41" x14ac:dyDescent="0.3">
      <c r="A216" s="19" t="s">
        <v>286</v>
      </c>
      <c r="B216">
        <v>28</v>
      </c>
      <c r="C216" s="19" t="s">
        <v>196</v>
      </c>
      <c r="D216" s="19" t="s">
        <v>55</v>
      </c>
      <c r="E216" s="19" t="s">
        <v>48</v>
      </c>
      <c r="F216">
        <v>440</v>
      </c>
      <c r="G216" s="19" t="s">
        <v>49</v>
      </c>
      <c r="H216">
        <v>21</v>
      </c>
      <c r="I216">
        <v>3</v>
      </c>
      <c r="J216" s="19" t="s">
        <v>58</v>
      </c>
      <c r="K216">
        <v>221</v>
      </c>
      <c r="L216">
        <v>3</v>
      </c>
      <c r="M216" s="19" t="s">
        <v>51</v>
      </c>
      <c r="N216">
        <v>3</v>
      </c>
      <c r="O216">
        <v>1</v>
      </c>
      <c r="P216" s="19" t="s">
        <v>67</v>
      </c>
      <c r="Q216">
        <v>4</v>
      </c>
      <c r="R216" s="19" t="s">
        <v>113</v>
      </c>
      <c r="S216">
        <v>95209</v>
      </c>
      <c r="T216" s="19" t="s">
        <v>70</v>
      </c>
      <c r="U216">
        <v>595.05999999999995</v>
      </c>
      <c r="V216">
        <v>1</v>
      </c>
      <c r="W216" s="19" t="s">
        <v>55</v>
      </c>
      <c r="X216">
        <v>11</v>
      </c>
      <c r="Y216">
        <v>3</v>
      </c>
      <c r="Z216">
        <v>3</v>
      </c>
      <c r="AA216">
        <v>1</v>
      </c>
      <c r="AB216">
        <v>5</v>
      </c>
      <c r="AC216">
        <v>2</v>
      </c>
      <c r="AD216">
        <v>1</v>
      </c>
      <c r="AE216">
        <v>5</v>
      </c>
      <c r="AF216">
        <v>2</v>
      </c>
      <c r="AG216">
        <v>0</v>
      </c>
      <c r="AH216">
        <v>2</v>
      </c>
      <c r="AI216">
        <v>0</v>
      </c>
      <c r="AJ216" s="19" t="s">
        <v>1567</v>
      </c>
      <c r="AK216" s="19" t="s">
        <v>1562</v>
      </c>
      <c r="AL216">
        <v>1</v>
      </c>
      <c r="AM216" s="19" t="s">
        <v>1565</v>
      </c>
      <c r="AN216">
        <v>0.90929299541269826</v>
      </c>
      <c r="AO216">
        <v>1142508</v>
      </c>
    </row>
    <row r="217" spans="1:41" x14ac:dyDescent="0.3">
      <c r="A217" s="19" t="s">
        <v>287</v>
      </c>
      <c r="B217">
        <v>28</v>
      </c>
      <c r="C217" s="19" t="s">
        <v>196</v>
      </c>
      <c r="D217" s="19" t="s">
        <v>47</v>
      </c>
      <c r="E217" s="19" t="s">
        <v>48</v>
      </c>
      <c r="F217">
        <v>529</v>
      </c>
      <c r="G217" s="19" t="s">
        <v>49</v>
      </c>
      <c r="H217">
        <v>2</v>
      </c>
      <c r="I217">
        <v>4</v>
      </c>
      <c r="J217" s="19" t="s">
        <v>50</v>
      </c>
      <c r="K217">
        <v>364</v>
      </c>
      <c r="L217">
        <v>1</v>
      </c>
      <c r="M217" s="19" t="s">
        <v>51</v>
      </c>
      <c r="N217">
        <v>3</v>
      </c>
      <c r="O217">
        <v>1</v>
      </c>
      <c r="P217" s="19" t="s">
        <v>52</v>
      </c>
      <c r="Q217">
        <v>3</v>
      </c>
      <c r="R217" s="19" t="s">
        <v>53</v>
      </c>
      <c r="S217">
        <v>1854</v>
      </c>
      <c r="T217" s="19" t="s">
        <v>54</v>
      </c>
      <c r="U217">
        <v>11.59</v>
      </c>
      <c r="V217">
        <v>2</v>
      </c>
      <c r="W217" s="19" t="s">
        <v>55</v>
      </c>
      <c r="X217">
        <v>11</v>
      </c>
      <c r="Y217">
        <v>3</v>
      </c>
      <c r="Z217">
        <v>3</v>
      </c>
      <c r="AA217">
        <v>0</v>
      </c>
      <c r="AB217">
        <v>5</v>
      </c>
      <c r="AC217">
        <v>5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1</v>
      </c>
      <c r="AJ217" s="19" t="s">
        <v>1561</v>
      </c>
      <c r="AK217" s="19" t="s">
        <v>1562</v>
      </c>
      <c r="AL217">
        <v>1</v>
      </c>
      <c r="AM217" s="19" t="s">
        <v>1565</v>
      </c>
      <c r="AN217">
        <v>-0.96415354703229816</v>
      </c>
      <c r="AO217">
        <v>22248</v>
      </c>
    </row>
    <row r="218" spans="1:41" x14ac:dyDescent="0.3">
      <c r="A218" s="19" t="s">
        <v>288</v>
      </c>
      <c r="B218">
        <v>28</v>
      </c>
      <c r="C218" s="19" t="s">
        <v>196</v>
      </c>
      <c r="D218" s="19" t="s">
        <v>55</v>
      </c>
      <c r="E218" s="19" t="s">
        <v>48</v>
      </c>
      <c r="F218">
        <v>1158</v>
      </c>
      <c r="G218" s="19" t="s">
        <v>49</v>
      </c>
      <c r="H218">
        <v>9</v>
      </c>
      <c r="I218">
        <v>3</v>
      </c>
      <c r="J218" s="19" t="s">
        <v>58</v>
      </c>
      <c r="K218">
        <v>377</v>
      </c>
      <c r="L218">
        <v>4</v>
      </c>
      <c r="M218" s="19" t="s">
        <v>51</v>
      </c>
      <c r="N218">
        <v>3</v>
      </c>
      <c r="O218">
        <v>1</v>
      </c>
      <c r="P218" s="19" t="s">
        <v>67</v>
      </c>
      <c r="Q218">
        <v>4</v>
      </c>
      <c r="R218" s="19" t="s">
        <v>113</v>
      </c>
      <c r="S218">
        <v>91084</v>
      </c>
      <c r="T218" s="19" t="s">
        <v>70</v>
      </c>
      <c r="U218">
        <v>569.28</v>
      </c>
      <c r="V218">
        <v>1</v>
      </c>
      <c r="W218" s="19" t="s">
        <v>55</v>
      </c>
      <c r="X218">
        <v>23</v>
      </c>
      <c r="Y218">
        <v>4</v>
      </c>
      <c r="Z218">
        <v>4</v>
      </c>
      <c r="AA218">
        <v>1</v>
      </c>
      <c r="AB218">
        <v>5</v>
      </c>
      <c r="AC218">
        <v>3</v>
      </c>
      <c r="AD218">
        <v>2</v>
      </c>
      <c r="AE218">
        <v>5</v>
      </c>
      <c r="AF218">
        <v>2</v>
      </c>
      <c r="AG218">
        <v>0</v>
      </c>
      <c r="AH218">
        <v>4</v>
      </c>
      <c r="AI218">
        <v>0</v>
      </c>
      <c r="AJ218" s="19" t="s">
        <v>1567</v>
      </c>
      <c r="AK218" s="19" t="s">
        <v>1562</v>
      </c>
      <c r="AL218">
        <v>1</v>
      </c>
      <c r="AM218" s="19" t="s">
        <v>1565</v>
      </c>
      <c r="AN218">
        <v>0.82657147112321538</v>
      </c>
      <c r="AO218">
        <v>1093008</v>
      </c>
    </row>
    <row r="219" spans="1:41" x14ac:dyDescent="0.3">
      <c r="A219" s="19" t="s">
        <v>289</v>
      </c>
      <c r="B219">
        <v>28</v>
      </c>
      <c r="C219" s="19" t="s">
        <v>196</v>
      </c>
      <c r="D219" s="19" t="s">
        <v>55</v>
      </c>
      <c r="E219" s="19" t="s">
        <v>48</v>
      </c>
      <c r="F219">
        <v>1117</v>
      </c>
      <c r="G219" s="19" t="s">
        <v>49</v>
      </c>
      <c r="H219">
        <v>8</v>
      </c>
      <c r="I219">
        <v>2</v>
      </c>
      <c r="J219" s="19" t="s">
        <v>50</v>
      </c>
      <c r="K219">
        <v>395</v>
      </c>
      <c r="L219">
        <v>4</v>
      </c>
      <c r="M219" s="19" t="s">
        <v>59</v>
      </c>
      <c r="N219">
        <v>3</v>
      </c>
      <c r="O219">
        <v>1</v>
      </c>
      <c r="P219" s="19" t="s">
        <v>67</v>
      </c>
      <c r="Q219">
        <v>4</v>
      </c>
      <c r="R219" s="19" t="s">
        <v>53</v>
      </c>
      <c r="S219">
        <v>39623</v>
      </c>
      <c r="T219" s="19" t="s">
        <v>72</v>
      </c>
      <c r="U219">
        <v>247.64</v>
      </c>
      <c r="V219">
        <v>1</v>
      </c>
      <c r="W219" s="19" t="s">
        <v>55</v>
      </c>
      <c r="X219">
        <v>21</v>
      </c>
      <c r="Y219">
        <v>4</v>
      </c>
      <c r="Z219">
        <v>4</v>
      </c>
      <c r="AA219">
        <v>0</v>
      </c>
      <c r="AB219">
        <v>5</v>
      </c>
      <c r="AC219">
        <v>3</v>
      </c>
      <c r="AD219">
        <v>3</v>
      </c>
      <c r="AE219">
        <v>5</v>
      </c>
      <c r="AF219">
        <v>3</v>
      </c>
      <c r="AG219">
        <v>0</v>
      </c>
      <c r="AH219">
        <v>2</v>
      </c>
      <c r="AI219">
        <v>0</v>
      </c>
      <c r="AJ219" s="19" t="s">
        <v>1567</v>
      </c>
      <c r="AK219" s="19" t="s">
        <v>1562</v>
      </c>
      <c r="AL219">
        <v>0</v>
      </c>
      <c r="AM219" s="19" t="s">
        <v>1563</v>
      </c>
      <c r="AN219">
        <v>-0.20541213165522856</v>
      </c>
      <c r="AO219">
        <v>475476</v>
      </c>
    </row>
    <row r="220" spans="1:41" x14ac:dyDescent="0.3">
      <c r="A220" s="19" t="s">
        <v>290</v>
      </c>
      <c r="B220">
        <v>28</v>
      </c>
      <c r="C220" s="19" t="s">
        <v>196</v>
      </c>
      <c r="D220" s="19" t="s">
        <v>55</v>
      </c>
      <c r="E220" s="19" t="s">
        <v>48</v>
      </c>
      <c r="F220">
        <v>1476</v>
      </c>
      <c r="G220" s="19" t="s">
        <v>49</v>
      </c>
      <c r="H220">
        <v>16</v>
      </c>
      <c r="I220">
        <v>2</v>
      </c>
      <c r="J220" s="19" t="s">
        <v>58</v>
      </c>
      <c r="K220">
        <v>412</v>
      </c>
      <c r="L220">
        <v>2</v>
      </c>
      <c r="M220" s="19" t="s">
        <v>51</v>
      </c>
      <c r="N220">
        <v>4</v>
      </c>
      <c r="O220">
        <v>2</v>
      </c>
      <c r="P220" s="19" t="s">
        <v>168</v>
      </c>
      <c r="Q220">
        <v>1</v>
      </c>
      <c r="R220" s="19" t="s">
        <v>53</v>
      </c>
      <c r="S220">
        <v>8392</v>
      </c>
      <c r="T220" s="19" t="s">
        <v>54</v>
      </c>
      <c r="U220">
        <v>52.45</v>
      </c>
      <c r="V220">
        <v>0</v>
      </c>
      <c r="W220" s="19" t="s">
        <v>55</v>
      </c>
      <c r="X220">
        <v>19</v>
      </c>
      <c r="Y220">
        <v>3</v>
      </c>
      <c r="Z220">
        <v>3</v>
      </c>
      <c r="AA220">
        <v>0</v>
      </c>
      <c r="AB220">
        <v>9</v>
      </c>
      <c r="AC220">
        <v>2</v>
      </c>
      <c r="AD220">
        <v>3</v>
      </c>
      <c r="AE220">
        <v>8</v>
      </c>
      <c r="AF220">
        <v>3</v>
      </c>
      <c r="AG220">
        <v>0</v>
      </c>
      <c r="AH220">
        <v>7</v>
      </c>
      <c r="AI220">
        <v>0</v>
      </c>
      <c r="AJ220" s="19" t="s">
        <v>1569</v>
      </c>
      <c r="AK220" s="19" t="s">
        <v>1562</v>
      </c>
      <c r="AL220">
        <v>1</v>
      </c>
      <c r="AM220" s="19" t="s">
        <v>1565</v>
      </c>
      <c r="AN220">
        <v>-0.82585288921037336</v>
      </c>
      <c r="AO220">
        <v>100704</v>
      </c>
    </row>
    <row r="221" spans="1:41" x14ac:dyDescent="0.3">
      <c r="A221" s="19" t="s">
        <v>291</v>
      </c>
      <c r="B221">
        <v>28</v>
      </c>
      <c r="C221" s="19" t="s">
        <v>196</v>
      </c>
      <c r="D221" s="19" t="s">
        <v>47</v>
      </c>
      <c r="E221" s="19" t="s">
        <v>48</v>
      </c>
      <c r="F221">
        <v>1157</v>
      </c>
      <c r="G221" s="19" t="s">
        <v>49</v>
      </c>
      <c r="H221">
        <v>2</v>
      </c>
      <c r="I221">
        <v>4</v>
      </c>
      <c r="J221" s="19" t="s">
        <v>58</v>
      </c>
      <c r="K221">
        <v>440</v>
      </c>
      <c r="L221">
        <v>1</v>
      </c>
      <c r="M221" s="19" t="s">
        <v>51</v>
      </c>
      <c r="N221">
        <v>1</v>
      </c>
      <c r="O221">
        <v>1</v>
      </c>
      <c r="P221" s="19" t="s">
        <v>67</v>
      </c>
      <c r="Q221">
        <v>4</v>
      </c>
      <c r="R221" s="19" t="s">
        <v>113</v>
      </c>
      <c r="S221">
        <v>56680</v>
      </c>
      <c r="T221" s="19" t="s">
        <v>64</v>
      </c>
      <c r="U221">
        <v>354.25</v>
      </c>
      <c r="V221">
        <v>5</v>
      </c>
      <c r="W221" s="19" t="s">
        <v>47</v>
      </c>
      <c r="X221">
        <v>13</v>
      </c>
      <c r="Y221">
        <v>3</v>
      </c>
      <c r="Z221">
        <v>4</v>
      </c>
      <c r="AA221">
        <v>0</v>
      </c>
      <c r="AB221">
        <v>5</v>
      </c>
      <c r="AC221">
        <v>4</v>
      </c>
      <c r="AD221">
        <v>2</v>
      </c>
      <c r="AE221">
        <v>3</v>
      </c>
      <c r="AF221">
        <v>2</v>
      </c>
      <c r="AG221">
        <v>2</v>
      </c>
      <c r="AH221">
        <v>2</v>
      </c>
      <c r="AI221">
        <v>1</v>
      </c>
      <c r="AJ221" s="19" t="s">
        <v>1566</v>
      </c>
      <c r="AK221" s="19" t="s">
        <v>1562</v>
      </c>
      <c r="AL221">
        <v>2</v>
      </c>
      <c r="AM221" s="19" t="s">
        <v>1564</v>
      </c>
      <c r="AN221">
        <v>0.13664387799464062</v>
      </c>
      <c r="AO221">
        <v>680160</v>
      </c>
    </row>
    <row r="222" spans="1:41" x14ac:dyDescent="0.3">
      <c r="A222" s="19" t="s">
        <v>292</v>
      </c>
      <c r="B222">
        <v>28</v>
      </c>
      <c r="C222" s="19" t="s">
        <v>196</v>
      </c>
      <c r="D222" s="19" t="s">
        <v>55</v>
      </c>
      <c r="E222" s="19" t="s">
        <v>48</v>
      </c>
      <c r="F222">
        <v>304</v>
      </c>
      <c r="G222" s="19" t="s">
        <v>57</v>
      </c>
      <c r="H222">
        <v>9</v>
      </c>
      <c r="I222">
        <v>4</v>
      </c>
      <c r="J222" s="19" t="s">
        <v>50</v>
      </c>
      <c r="K222">
        <v>498</v>
      </c>
      <c r="L222">
        <v>2</v>
      </c>
      <c r="M222" s="19" t="s">
        <v>51</v>
      </c>
      <c r="N222">
        <v>3</v>
      </c>
      <c r="O222">
        <v>2</v>
      </c>
      <c r="P222" s="19" t="s">
        <v>145</v>
      </c>
      <c r="Q222">
        <v>4</v>
      </c>
      <c r="R222" s="19" t="s">
        <v>53</v>
      </c>
      <c r="S222">
        <v>47717</v>
      </c>
      <c r="T222" s="19" t="s">
        <v>72</v>
      </c>
      <c r="U222">
        <v>298.23</v>
      </c>
      <c r="V222">
        <v>1</v>
      </c>
      <c r="W222" s="19" t="s">
        <v>55</v>
      </c>
      <c r="X222">
        <v>16</v>
      </c>
      <c r="Y222">
        <v>3</v>
      </c>
      <c r="Z222">
        <v>4</v>
      </c>
      <c r="AA222">
        <v>0</v>
      </c>
      <c r="AB222">
        <v>7</v>
      </c>
      <c r="AC222">
        <v>1</v>
      </c>
      <c r="AD222">
        <v>3</v>
      </c>
      <c r="AE222">
        <v>7</v>
      </c>
      <c r="AF222">
        <v>5</v>
      </c>
      <c r="AG222">
        <v>0</v>
      </c>
      <c r="AH222">
        <v>7</v>
      </c>
      <c r="AI222">
        <v>0</v>
      </c>
      <c r="AJ222" s="19" t="s">
        <v>1569</v>
      </c>
      <c r="AK222" s="19" t="s">
        <v>1562</v>
      </c>
      <c r="AL222">
        <v>0</v>
      </c>
      <c r="AM222" s="19" t="s">
        <v>1563</v>
      </c>
      <c r="AN222">
        <v>-2.7334388595044744E-2</v>
      </c>
      <c r="AO222">
        <v>572604</v>
      </c>
    </row>
    <row r="223" spans="1:41" x14ac:dyDescent="0.3">
      <c r="A223" s="19" t="s">
        <v>293</v>
      </c>
      <c r="B223">
        <v>28</v>
      </c>
      <c r="C223" s="19" t="s">
        <v>196</v>
      </c>
      <c r="D223" s="19" t="s">
        <v>55</v>
      </c>
      <c r="E223" s="19" t="s">
        <v>48</v>
      </c>
      <c r="F223">
        <v>1300</v>
      </c>
      <c r="G223" s="19" t="s">
        <v>49</v>
      </c>
      <c r="H223">
        <v>17</v>
      </c>
      <c r="I223">
        <v>2</v>
      </c>
      <c r="J223" s="19" t="s">
        <v>58</v>
      </c>
      <c r="K223">
        <v>536</v>
      </c>
      <c r="L223">
        <v>3</v>
      </c>
      <c r="M223" s="19" t="s">
        <v>51</v>
      </c>
      <c r="N223">
        <v>3</v>
      </c>
      <c r="O223">
        <v>2</v>
      </c>
      <c r="P223" s="19" t="s">
        <v>52</v>
      </c>
      <c r="Q223">
        <v>1</v>
      </c>
      <c r="R223" s="19" t="s">
        <v>53</v>
      </c>
      <c r="S223">
        <v>88092</v>
      </c>
      <c r="T223" s="19" t="s">
        <v>70</v>
      </c>
      <c r="U223">
        <v>550.58000000000004</v>
      </c>
      <c r="V223">
        <v>1</v>
      </c>
      <c r="W223" s="19" t="s">
        <v>55</v>
      </c>
      <c r="X223">
        <v>12</v>
      </c>
      <c r="Y223">
        <v>3</v>
      </c>
      <c r="Z223">
        <v>4</v>
      </c>
      <c r="AA223">
        <v>1</v>
      </c>
      <c r="AB223">
        <v>10</v>
      </c>
      <c r="AC223">
        <v>2</v>
      </c>
      <c r="AD223">
        <v>3</v>
      </c>
      <c r="AE223">
        <v>10</v>
      </c>
      <c r="AF223">
        <v>0</v>
      </c>
      <c r="AG223">
        <v>1</v>
      </c>
      <c r="AH223">
        <v>0</v>
      </c>
      <c r="AI223">
        <v>0</v>
      </c>
      <c r="AJ223" s="19" t="s">
        <v>1569</v>
      </c>
      <c r="AK223" s="19" t="s">
        <v>1562</v>
      </c>
      <c r="AL223">
        <v>1</v>
      </c>
      <c r="AM223" s="19" t="s">
        <v>1565</v>
      </c>
      <c r="AN223">
        <v>0.70322855168866583</v>
      </c>
      <c r="AO223">
        <v>1057104</v>
      </c>
    </row>
    <row r="224" spans="1:41" x14ac:dyDescent="0.3">
      <c r="A224" s="19" t="s">
        <v>294</v>
      </c>
      <c r="B224">
        <v>28</v>
      </c>
      <c r="C224" s="19" t="s">
        <v>196</v>
      </c>
      <c r="D224" s="19" t="s">
        <v>47</v>
      </c>
      <c r="E224" s="19" t="s">
        <v>48</v>
      </c>
      <c r="F224">
        <v>654</v>
      </c>
      <c r="G224" s="19" t="s">
        <v>49</v>
      </c>
      <c r="H224">
        <v>1</v>
      </c>
      <c r="I224">
        <v>2</v>
      </c>
      <c r="J224" s="19" t="s">
        <v>50</v>
      </c>
      <c r="K224">
        <v>741</v>
      </c>
      <c r="L224">
        <v>1</v>
      </c>
      <c r="M224" s="19" t="s">
        <v>59</v>
      </c>
      <c r="N224">
        <v>1</v>
      </c>
      <c r="O224">
        <v>1</v>
      </c>
      <c r="P224" s="19" t="s">
        <v>67</v>
      </c>
      <c r="Q224">
        <v>2</v>
      </c>
      <c r="R224" s="19" t="s">
        <v>53</v>
      </c>
      <c r="S224">
        <v>51859</v>
      </c>
      <c r="T224" s="19" t="s">
        <v>64</v>
      </c>
      <c r="U224">
        <v>324.12</v>
      </c>
      <c r="V224">
        <v>7</v>
      </c>
      <c r="W224" s="19" t="s">
        <v>47</v>
      </c>
      <c r="X224">
        <v>13</v>
      </c>
      <c r="Y224">
        <v>3</v>
      </c>
      <c r="Z224">
        <v>4</v>
      </c>
      <c r="AA224">
        <v>0</v>
      </c>
      <c r="AB224">
        <v>10</v>
      </c>
      <c r="AC224">
        <v>4</v>
      </c>
      <c r="AD224">
        <v>3</v>
      </c>
      <c r="AE224">
        <v>7</v>
      </c>
      <c r="AF224">
        <v>7</v>
      </c>
      <c r="AG224">
        <v>3</v>
      </c>
      <c r="AH224">
        <v>7</v>
      </c>
      <c r="AI224">
        <v>1</v>
      </c>
      <c r="AJ224" s="19" t="s">
        <v>1569</v>
      </c>
      <c r="AK224" s="19" t="s">
        <v>1570</v>
      </c>
      <c r="AL224">
        <v>3</v>
      </c>
      <c r="AM224" s="19" t="s">
        <v>1568</v>
      </c>
      <c r="AN224">
        <v>3.9964976515950393E-2</v>
      </c>
      <c r="AO224">
        <v>622308</v>
      </c>
    </row>
    <row r="225" spans="1:41" x14ac:dyDescent="0.3">
      <c r="A225" s="19" t="s">
        <v>295</v>
      </c>
      <c r="B225">
        <v>28</v>
      </c>
      <c r="C225" s="19" t="s">
        <v>196</v>
      </c>
      <c r="D225" s="19" t="s">
        <v>47</v>
      </c>
      <c r="E225" s="19" t="s">
        <v>48</v>
      </c>
      <c r="F225">
        <v>890</v>
      </c>
      <c r="G225" s="19" t="s">
        <v>49</v>
      </c>
      <c r="H225">
        <v>2</v>
      </c>
      <c r="I225">
        <v>4</v>
      </c>
      <c r="J225" s="19" t="s">
        <v>58</v>
      </c>
      <c r="K225">
        <v>828</v>
      </c>
      <c r="L225">
        <v>3</v>
      </c>
      <c r="M225" s="19" t="s">
        <v>51</v>
      </c>
      <c r="N225">
        <v>3</v>
      </c>
      <c r="O225">
        <v>1</v>
      </c>
      <c r="P225" s="19" t="s">
        <v>67</v>
      </c>
      <c r="Q225">
        <v>3</v>
      </c>
      <c r="R225" s="19" t="s">
        <v>53</v>
      </c>
      <c r="S225">
        <v>27309</v>
      </c>
      <c r="T225" s="19" t="s">
        <v>72</v>
      </c>
      <c r="U225">
        <v>170.68</v>
      </c>
      <c r="V225">
        <v>6</v>
      </c>
      <c r="W225" s="19" t="s">
        <v>55</v>
      </c>
      <c r="X225">
        <v>17</v>
      </c>
      <c r="Y225">
        <v>3</v>
      </c>
      <c r="Z225">
        <v>4</v>
      </c>
      <c r="AA225">
        <v>0</v>
      </c>
      <c r="AB225">
        <v>5</v>
      </c>
      <c r="AC225">
        <v>3</v>
      </c>
      <c r="AD225">
        <v>2</v>
      </c>
      <c r="AE225">
        <v>2</v>
      </c>
      <c r="AF225">
        <v>2</v>
      </c>
      <c r="AG225">
        <v>2</v>
      </c>
      <c r="AH225">
        <v>1</v>
      </c>
      <c r="AI225">
        <v>1</v>
      </c>
      <c r="AJ225" s="19" t="s">
        <v>1566</v>
      </c>
      <c r="AK225" s="19" t="s">
        <v>1562</v>
      </c>
      <c r="AL225">
        <v>1</v>
      </c>
      <c r="AM225" s="19" t="s">
        <v>1565</v>
      </c>
      <c r="AN225">
        <v>-0.45235342864933592</v>
      </c>
      <c r="AO225">
        <v>327708</v>
      </c>
    </row>
    <row r="226" spans="1:41" x14ac:dyDescent="0.3">
      <c r="A226" s="19" t="s">
        <v>296</v>
      </c>
      <c r="B226">
        <v>28</v>
      </c>
      <c r="C226" s="19" t="s">
        <v>196</v>
      </c>
      <c r="D226" s="19" t="s">
        <v>55</v>
      </c>
      <c r="E226" s="19" t="s">
        <v>48</v>
      </c>
      <c r="F226">
        <v>760</v>
      </c>
      <c r="G226" s="19" t="s">
        <v>57</v>
      </c>
      <c r="H226">
        <v>2</v>
      </c>
      <c r="I226">
        <v>4</v>
      </c>
      <c r="J226" s="19" t="s">
        <v>63</v>
      </c>
      <c r="K226">
        <v>846</v>
      </c>
      <c r="L226">
        <v>2</v>
      </c>
      <c r="M226" s="19" t="s">
        <v>59</v>
      </c>
      <c r="N226">
        <v>3</v>
      </c>
      <c r="O226">
        <v>2</v>
      </c>
      <c r="P226" s="19" t="s">
        <v>145</v>
      </c>
      <c r="Q226">
        <v>2</v>
      </c>
      <c r="R226" s="19" t="s">
        <v>113</v>
      </c>
      <c r="S226">
        <v>88455</v>
      </c>
      <c r="T226" s="19" t="s">
        <v>70</v>
      </c>
      <c r="U226">
        <v>552.84</v>
      </c>
      <c r="V226">
        <v>1</v>
      </c>
      <c r="W226" s="19" t="s">
        <v>47</v>
      </c>
      <c r="X226">
        <v>20</v>
      </c>
      <c r="Y226">
        <v>4</v>
      </c>
      <c r="Z226">
        <v>1</v>
      </c>
      <c r="AA226">
        <v>0</v>
      </c>
      <c r="AB226">
        <v>8</v>
      </c>
      <c r="AC226">
        <v>2</v>
      </c>
      <c r="AD226">
        <v>3</v>
      </c>
      <c r="AE226">
        <v>8</v>
      </c>
      <c r="AF226">
        <v>7</v>
      </c>
      <c r="AG226">
        <v>7</v>
      </c>
      <c r="AH226">
        <v>5</v>
      </c>
      <c r="AI226">
        <v>0</v>
      </c>
      <c r="AJ226" s="19" t="s">
        <v>1569</v>
      </c>
      <c r="AK226" s="19" t="s">
        <v>1570</v>
      </c>
      <c r="AL226">
        <v>3</v>
      </c>
      <c r="AM226" s="19" t="s">
        <v>1568</v>
      </c>
      <c r="AN226">
        <v>0.80307095284333296</v>
      </c>
      <c r="AO226">
        <v>1061460</v>
      </c>
    </row>
    <row r="227" spans="1:41" x14ac:dyDescent="0.3">
      <c r="A227" s="19" t="s">
        <v>297</v>
      </c>
      <c r="B227">
        <v>28</v>
      </c>
      <c r="C227" s="19" t="s">
        <v>196</v>
      </c>
      <c r="D227" s="19" t="s">
        <v>55</v>
      </c>
      <c r="E227" s="19" t="s">
        <v>48</v>
      </c>
      <c r="F227">
        <v>1169</v>
      </c>
      <c r="G227" s="19" t="s">
        <v>80</v>
      </c>
      <c r="H227">
        <v>8</v>
      </c>
      <c r="I227">
        <v>2</v>
      </c>
      <c r="J227" s="19" t="s">
        <v>58</v>
      </c>
      <c r="K227">
        <v>869</v>
      </c>
      <c r="L227">
        <v>2</v>
      </c>
      <c r="M227" s="19" t="s">
        <v>51</v>
      </c>
      <c r="N227">
        <v>2</v>
      </c>
      <c r="O227">
        <v>1</v>
      </c>
      <c r="P227" s="19" t="s">
        <v>80</v>
      </c>
      <c r="Q227">
        <v>4</v>
      </c>
      <c r="R227" s="19" t="s">
        <v>53</v>
      </c>
      <c r="S227">
        <v>64734</v>
      </c>
      <c r="T227" s="19" t="s">
        <v>64</v>
      </c>
      <c r="U227">
        <v>404.59</v>
      </c>
      <c r="V227">
        <v>1</v>
      </c>
      <c r="W227" s="19" t="s">
        <v>55</v>
      </c>
      <c r="X227">
        <v>13</v>
      </c>
      <c r="Y227">
        <v>3</v>
      </c>
      <c r="Z227">
        <v>4</v>
      </c>
      <c r="AA227">
        <v>1</v>
      </c>
      <c r="AB227">
        <v>6</v>
      </c>
      <c r="AC227">
        <v>6</v>
      </c>
      <c r="AD227">
        <v>3</v>
      </c>
      <c r="AE227">
        <v>5</v>
      </c>
      <c r="AF227">
        <v>1</v>
      </c>
      <c r="AG227">
        <v>0</v>
      </c>
      <c r="AH227">
        <v>4</v>
      </c>
      <c r="AI227">
        <v>0</v>
      </c>
      <c r="AJ227" s="19" t="s">
        <v>1567</v>
      </c>
      <c r="AK227" s="19" t="s">
        <v>1562</v>
      </c>
      <c r="AL227">
        <v>0</v>
      </c>
      <c r="AM227" s="19" t="s">
        <v>1563</v>
      </c>
      <c r="AN227">
        <v>0.27569665250559938</v>
      </c>
      <c r="AO227">
        <v>776808</v>
      </c>
    </row>
    <row r="228" spans="1:41" x14ac:dyDescent="0.3">
      <c r="A228" s="19" t="s">
        <v>298</v>
      </c>
      <c r="B228">
        <v>28</v>
      </c>
      <c r="C228" s="19" t="s">
        <v>196</v>
      </c>
      <c r="D228" s="19" t="s">
        <v>55</v>
      </c>
      <c r="E228" s="19" t="s">
        <v>48</v>
      </c>
      <c r="F228">
        <v>821</v>
      </c>
      <c r="G228" s="19" t="s">
        <v>57</v>
      </c>
      <c r="H228">
        <v>5</v>
      </c>
      <c r="I228">
        <v>4</v>
      </c>
      <c r="J228" s="19" t="s">
        <v>58</v>
      </c>
      <c r="K228">
        <v>916</v>
      </c>
      <c r="L228">
        <v>1</v>
      </c>
      <c r="M228" s="19" t="s">
        <v>51</v>
      </c>
      <c r="N228">
        <v>3</v>
      </c>
      <c r="O228">
        <v>2</v>
      </c>
      <c r="P228" s="19" t="s">
        <v>145</v>
      </c>
      <c r="Q228">
        <v>4</v>
      </c>
      <c r="R228" s="19" t="s">
        <v>53</v>
      </c>
      <c r="S228">
        <v>71467</v>
      </c>
      <c r="T228" s="19" t="s">
        <v>64</v>
      </c>
      <c r="U228">
        <v>446.67</v>
      </c>
      <c r="V228">
        <v>1</v>
      </c>
      <c r="W228" s="19" t="s">
        <v>55</v>
      </c>
      <c r="X228">
        <v>14</v>
      </c>
      <c r="Y228">
        <v>3</v>
      </c>
      <c r="Z228">
        <v>2</v>
      </c>
      <c r="AA228">
        <v>0</v>
      </c>
      <c r="AB228">
        <v>4</v>
      </c>
      <c r="AC228">
        <v>3</v>
      </c>
      <c r="AD228">
        <v>3</v>
      </c>
      <c r="AE228">
        <v>4</v>
      </c>
      <c r="AF228">
        <v>2</v>
      </c>
      <c r="AG228">
        <v>0</v>
      </c>
      <c r="AH228">
        <v>2</v>
      </c>
      <c r="AI228">
        <v>0</v>
      </c>
      <c r="AJ228" s="19" t="s">
        <v>1567</v>
      </c>
      <c r="AK228" s="19" t="s">
        <v>1562</v>
      </c>
      <c r="AL228">
        <v>0</v>
      </c>
      <c r="AM228" s="19" t="s">
        <v>1563</v>
      </c>
      <c r="AN228">
        <v>0.45678674791537477</v>
      </c>
      <c r="AO228">
        <v>857604</v>
      </c>
    </row>
    <row r="229" spans="1:41" x14ac:dyDescent="0.3">
      <c r="A229" s="19" t="s">
        <v>299</v>
      </c>
      <c r="B229">
        <v>28</v>
      </c>
      <c r="C229" s="19" t="s">
        <v>196</v>
      </c>
      <c r="D229" s="19" t="s">
        <v>55</v>
      </c>
      <c r="E229" s="19" t="s">
        <v>48</v>
      </c>
      <c r="F229">
        <v>995</v>
      </c>
      <c r="G229" s="19" t="s">
        <v>49</v>
      </c>
      <c r="H229">
        <v>9</v>
      </c>
      <c r="I229">
        <v>3</v>
      </c>
      <c r="J229" s="19" t="s">
        <v>58</v>
      </c>
      <c r="K229">
        <v>930</v>
      </c>
      <c r="L229">
        <v>3</v>
      </c>
      <c r="M229" s="19" t="s">
        <v>59</v>
      </c>
      <c r="N229">
        <v>3</v>
      </c>
      <c r="O229">
        <v>1</v>
      </c>
      <c r="P229" s="19" t="s">
        <v>67</v>
      </c>
      <c r="Q229">
        <v>3</v>
      </c>
      <c r="R229" s="19" t="s">
        <v>53</v>
      </c>
      <c r="S229">
        <v>53662</v>
      </c>
      <c r="T229" s="19" t="s">
        <v>64</v>
      </c>
      <c r="U229">
        <v>335.39</v>
      </c>
      <c r="V229">
        <v>5</v>
      </c>
      <c r="W229" s="19" t="s">
        <v>55</v>
      </c>
      <c r="X229">
        <v>18</v>
      </c>
      <c r="Y229">
        <v>3</v>
      </c>
      <c r="Z229">
        <v>2</v>
      </c>
      <c r="AA229">
        <v>1</v>
      </c>
      <c r="AB229">
        <v>6</v>
      </c>
      <c r="AC229">
        <v>2</v>
      </c>
      <c r="AD229">
        <v>3</v>
      </c>
      <c r="AE229">
        <v>2</v>
      </c>
      <c r="AF229">
        <v>2</v>
      </c>
      <c r="AG229">
        <v>2</v>
      </c>
      <c r="AH229">
        <v>2</v>
      </c>
      <c r="AI229">
        <v>0</v>
      </c>
      <c r="AJ229" s="19" t="s">
        <v>1566</v>
      </c>
      <c r="AK229" s="19" t="s">
        <v>1562</v>
      </c>
      <c r="AL229">
        <v>0</v>
      </c>
      <c r="AM229" s="19" t="s">
        <v>1563</v>
      </c>
      <c r="AN229">
        <v>7.6121802769026206E-2</v>
      </c>
      <c r="AO229">
        <v>643944</v>
      </c>
    </row>
    <row r="230" spans="1:41" x14ac:dyDescent="0.3">
      <c r="A230" s="19" t="s">
        <v>300</v>
      </c>
      <c r="B230">
        <v>28</v>
      </c>
      <c r="C230" s="19" t="s">
        <v>196</v>
      </c>
      <c r="D230" s="19" t="s">
        <v>55</v>
      </c>
      <c r="E230" s="19" t="s">
        <v>48</v>
      </c>
      <c r="F230">
        <v>1144</v>
      </c>
      <c r="G230" s="19" t="s">
        <v>57</v>
      </c>
      <c r="H230">
        <v>10</v>
      </c>
      <c r="I230">
        <v>1</v>
      </c>
      <c r="J230" s="19" t="s">
        <v>58</v>
      </c>
      <c r="K230">
        <v>1056</v>
      </c>
      <c r="L230">
        <v>4</v>
      </c>
      <c r="M230" s="19" t="s">
        <v>51</v>
      </c>
      <c r="N230">
        <v>3</v>
      </c>
      <c r="O230">
        <v>1</v>
      </c>
      <c r="P230" s="19" t="s">
        <v>60</v>
      </c>
      <c r="Q230">
        <v>2</v>
      </c>
      <c r="R230" s="19" t="s">
        <v>113</v>
      </c>
      <c r="S230">
        <v>99506</v>
      </c>
      <c r="T230" s="19" t="s">
        <v>70</v>
      </c>
      <c r="U230">
        <v>621.91</v>
      </c>
      <c r="V230">
        <v>1</v>
      </c>
      <c r="W230" s="19" t="s">
        <v>55</v>
      </c>
      <c r="X230">
        <v>22</v>
      </c>
      <c r="Y230">
        <v>4</v>
      </c>
      <c r="Z230">
        <v>2</v>
      </c>
      <c r="AA230">
        <v>0</v>
      </c>
      <c r="AB230">
        <v>1</v>
      </c>
      <c r="AC230">
        <v>5</v>
      </c>
      <c r="AD230">
        <v>3</v>
      </c>
      <c r="AE230">
        <v>1</v>
      </c>
      <c r="AF230">
        <v>0</v>
      </c>
      <c r="AG230">
        <v>0</v>
      </c>
      <c r="AH230">
        <v>0</v>
      </c>
      <c r="AI230">
        <v>0</v>
      </c>
      <c r="AJ230" s="19" t="s">
        <v>1561</v>
      </c>
      <c r="AK230" s="19" t="s">
        <v>1562</v>
      </c>
      <c r="AL230">
        <v>1</v>
      </c>
      <c r="AM230" s="19" t="s">
        <v>1565</v>
      </c>
      <c r="AN230">
        <v>1.0172807642711355</v>
      </c>
      <c r="AO230">
        <v>1194072</v>
      </c>
    </row>
    <row r="231" spans="1:41" x14ac:dyDescent="0.3">
      <c r="A231" s="19" t="s">
        <v>301</v>
      </c>
      <c r="B231">
        <v>28</v>
      </c>
      <c r="C231" s="19" t="s">
        <v>196</v>
      </c>
      <c r="D231" s="19" t="s">
        <v>47</v>
      </c>
      <c r="E231" s="19" t="s">
        <v>66</v>
      </c>
      <c r="F231">
        <v>1366</v>
      </c>
      <c r="G231" s="19" t="s">
        <v>49</v>
      </c>
      <c r="H231">
        <v>24</v>
      </c>
      <c r="I231">
        <v>2</v>
      </c>
      <c r="J231" s="19" t="s">
        <v>77</v>
      </c>
      <c r="K231">
        <v>1082</v>
      </c>
      <c r="L231">
        <v>2</v>
      </c>
      <c r="M231" s="19" t="s">
        <v>51</v>
      </c>
      <c r="N231">
        <v>2</v>
      </c>
      <c r="O231">
        <v>3</v>
      </c>
      <c r="P231" s="19" t="s">
        <v>168</v>
      </c>
      <c r="Q231">
        <v>1</v>
      </c>
      <c r="R231" s="19" t="s">
        <v>53</v>
      </c>
      <c r="S231">
        <v>13688</v>
      </c>
      <c r="T231" s="19" t="s">
        <v>54</v>
      </c>
      <c r="U231">
        <v>85.55</v>
      </c>
      <c r="V231">
        <v>1</v>
      </c>
      <c r="W231" s="19" t="s">
        <v>55</v>
      </c>
      <c r="X231">
        <v>12</v>
      </c>
      <c r="Y231">
        <v>3</v>
      </c>
      <c r="Z231">
        <v>1</v>
      </c>
      <c r="AA231">
        <v>0</v>
      </c>
      <c r="AB231">
        <v>10</v>
      </c>
      <c r="AC231">
        <v>2</v>
      </c>
      <c r="AD231">
        <v>2</v>
      </c>
      <c r="AE231">
        <v>10</v>
      </c>
      <c r="AF231">
        <v>7</v>
      </c>
      <c r="AG231">
        <v>1</v>
      </c>
      <c r="AH231">
        <v>9</v>
      </c>
      <c r="AI231">
        <v>1</v>
      </c>
      <c r="AJ231" s="19" t="s">
        <v>1569</v>
      </c>
      <c r="AK231" s="19" t="s">
        <v>1562</v>
      </c>
      <c r="AL231">
        <v>2</v>
      </c>
      <c r="AM231" s="19" t="s">
        <v>1564</v>
      </c>
      <c r="AN231">
        <v>-0.71595261528975107</v>
      </c>
      <c r="AO231">
        <v>164256</v>
      </c>
    </row>
    <row r="232" spans="1:41" x14ac:dyDescent="0.3">
      <c r="A232" s="19" t="s">
        <v>302</v>
      </c>
      <c r="B232">
        <v>28</v>
      </c>
      <c r="C232" s="19" t="s">
        <v>196</v>
      </c>
      <c r="D232" s="19" t="s">
        <v>55</v>
      </c>
      <c r="E232" s="19" t="s">
        <v>48</v>
      </c>
      <c r="F232">
        <v>857</v>
      </c>
      <c r="G232" s="19" t="s">
        <v>49</v>
      </c>
      <c r="H232">
        <v>10</v>
      </c>
      <c r="I232">
        <v>3</v>
      </c>
      <c r="J232" s="19" t="s">
        <v>82</v>
      </c>
      <c r="K232">
        <v>1097</v>
      </c>
      <c r="L232">
        <v>3</v>
      </c>
      <c r="M232" s="19" t="s">
        <v>59</v>
      </c>
      <c r="N232">
        <v>3</v>
      </c>
      <c r="O232">
        <v>2</v>
      </c>
      <c r="P232" s="19" t="s">
        <v>67</v>
      </c>
      <c r="Q232">
        <v>3</v>
      </c>
      <c r="R232" s="19" t="s">
        <v>53</v>
      </c>
      <c r="S232">
        <v>26342</v>
      </c>
      <c r="T232" s="19" t="s">
        <v>72</v>
      </c>
      <c r="U232">
        <v>164.64</v>
      </c>
      <c r="V232">
        <v>3</v>
      </c>
      <c r="W232" s="19" t="s">
        <v>55</v>
      </c>
      <c r="X232">
        <v>13</v>
      </c>
      <c r="Y232">
        <v>3</v>
      </c>
      <c r="Z232">
        <v>4</v>
      </c>
      <c r="AA232">
        <v>0</v>
      </c>
      <c r="AB232">
        <v>10</v>
      </c>
      <c r="AC232">
        <v>4</v>
      </c>
      <c r="AD232">
        <v>4</v>
      </c>
      <c r="AE232">
        <v>8</v>
      </c>
      <c r="AF232">
        <v>7</v>
      </c>
      <c r="AG232">
        <v>1</v>
      </c>
      <c r="AH232">
        <v>7</v>
      </c>
      <c r="AI232">
        <v>0</v>
      </c>
      <c r="AJ232" s="19" t="s">
        <v>1569</v>
      </c>
      <c r="AK232" s="19" t="s">
        <v>1562</v>
      </c>
      <c r="AL232">
        <v>0</v>
      </c>
      <c r="AM232" s="19" t="s">
        <v>1563</v>
      </c>
      <c r="AN232">
        <v>-0.47174535931307648</v>
      </c>
      <c r="AO232">
        <v>316104</v>
      </c>
    </row>
    <row r="233" spans="1:41" x14ac:dyDescent="0.3">
      <c r="A233" s="19" t="s">
        <v>303</v>
      </c>
      <c r="B233">
        <v>28</v>
      </c>
      <c r="C233" s="19" t="s">
        <v>196</v>
      </c>
      <c r="D233" s="19" t="s">
        <v>55</v>
      </c>
      <c r="E233" s="19" t="s">
        <v>48</v>
      </c>
      <c r="F233">
        <v>895</v>
      </c>
      <c r="G233" s="19" t="s">
        <v>49</v>
      </c>
      <c r="H233">
        <v>15</v>
      </c>
      <c r="I233">
        <v>2</v>
      </c>
      <c r="J233" s="19" t="s">
        <v>50</v>
      </c>
      <c r="K233">
        <v>1102</v>
      </c>
      <c r="L233">
        <v>1</v>
      </c>
      <c r="M233" s="19" t="s">
        <v>51</v>
      </c>
      <c r="N233">
        <v>3</v>
      </c>
      <c r="O233">
        <v>1</v>
      </c>
      <c r="P233" s="19" t="s">
        <v>52</v>
      </c>
      <c r="Q233">
        <v>3</v>
      </c>
      <c r="R233" s="19" t="s">
        <v>53</v>
      </c>
      <c r="S233">
        <v>38157</v>
      </c>
      <c r="T233" s="19" t="s">
        <v>72</v>
      </c>
      <c r="U233">
        <v>238.48</v>
      </c>
      <c r="V233">
        <v>1</v>
      </c>
      <c r="W233" s="19" t="s">
        <v>55</v>
      </c>
      <c r="X233">
        <v>16</v>
      </c>
      <c r="Y233">
        <v>3</v>
      </c>
      <c r="Z233">
        <v>4</v>
      </c>
      <c r="AA233">
        <v>1</v>
      </c>
      <c r="AB233">
        <v>4</v>
      </c>
      <c r="AC233">
        <v>5</v>
      </c>
      <c r="AD233">
        <v>2</v>
      </c>
      <c r="AE233">
        <v>4</v>
      </c>
      <c r="AF233">
        <v>2</v>
      </c>
      <c r="AG233">
        <v>2</v>
      </c>
      <c r="AH233">
        <v>2</v>
      </c>
      <c r="AI233">
        <v>0</v>
      </c>
      <c r="AJ233" s="19" t="s">
        <v>1567</v>
      </c>
      <c r="AK233" s="19" t="s">
        <v>1562</v>
      </c>
      <c r="AL233">
        <v>1</v>
      </c>
      <c r="AM233" s="19" t="s">
        <v>1565</v>
      </c>
      <c r="AN233">
        <v>-0.26224751570194321</v>
      </c>
      <c r="AO233">
        <v>457884</v>
      </c>
    </row>
    <row r="234" spans="1:41" x14ac:dyDescent="0.3">
      <c r="A234" s="19" t="s">
        <v>304</v>
      </c>
      <c r="B234">
        <v>28</v>
      </c>
      <c r="C234" s="19" t="s">
        <v>196</v>
      </c>
      <c r="D234" s="19" t="s">
        <v>55</v>
      </c>
      <c r="E234" s="19" t="s">
        <v>48</v>
      </c>
      <c r="F234">
        <v>950</v>
      </c>
      <c r="G234" s="19" t="s">
        <v>49</v>
      </c>
      <c r="H234">
        <v>3</v>
      </c>
      <c r="I234">
        <v>3</v>
      </c>
      <c r="J234" s="19" t="s">
        <v>58</v>
      </c>
      <c r="K234">
        <v>1121</v>
      </c>
      <c r="L234">
        <v>4</v>
      </c>
      <c r="M234" s="19" t="s">
        <v>59</v>
      </c>
      <c r="N234">
        <v>3</v>
      </c>
      <c r="O234">
        <v>3</v>
      </c>
      <c r="P234" s="19" t="s">
        <v>120</v>
      </c>
      <c r="Q234">
        <v>2</v>
      </c>
      <c r="R234" s="19" t="s">
        <v>53</v>
      </c>
      <c r="S234">
        <v>53083</v>
      </c>
      <c r="T234" s="19" t="s">
        <v>64</v>
      </c>
      <c r="U234">
        <v>331.77</v>
      </c>
      <c r="V234">
        <v>0</v>
      </c>
      <c r="W234" s="19" t="s">
        <v>55</v>
      </c>
      <c r="X234">
        <v>17</v>
      </c>
      <c r="Y234">
        <v>3</v>
      </c>
      <c r="Z234">
        <v>2</v>
      </c>
      <c r="AA234">
        <v>3</v>
      </c>
      <c r="AB234">
        <v>10</v>
      </c>
      <c r="AC234">
        <v>3</v>
      </c>
      <c r="AD234">
        <v>2</v>
      </c>
      <c r="AE234">
        <v>9</v>
      </c>
      <c r="AF234">
        <v>7</v>
      </c>
      <c r="AG234">
        <v>1</v>
      </c>
      <c r="AH234">
        <v>7</v>
      </c>
      <c r="AI234">
        <v>0</v>
      </c>
      <c r="AJ234" s="19" t="s">
        <v>1569</v>
      </c>
      <c r="AK234" s="19" t="s">
        <v>1562</v>
      </c>
      <c r="AL234">
        <v>2</v>
      </c>
      <c r="AM234" s="19" t="s">
        <v>1564</v>
      </c>
      <c r="AN234">
        <v>0.19838803028056226</v>
      </c>
      <c r="AO234">
        <v>636996</v>
      </c>
    </row>
    <row r="235" spans="1:41" x14ac:dyDescent="0.3">
      <c r="A235" s="19" t="s">
        <v>305</v>
      </c>
      <c r="B235">
        <v>28</v>
      </c>
      <c r="C235" s="19" t="s">
        <v>196</v>
      </c>
      <c r="D235" s="19" t="s">
        <v>55</v>
      </c>
      <c r="E235" s="19" t="s">
        <v>48</v>
      </c>
      <c r="F235">
        <v>1451</v>
      </c>
      <c r="G235" s="19" t="s">
        <v>49</v>
      </c>
      <c r="H235">
        <v>2</v>
      </c>
      <c r="I235">
        <v>1</v>
      </c>
      <c r="J235" s="19" t="s">
        <v>50</v>
      </c>
      <c r="K235">
        <v>1136</v>
      </c>
      <c r="L235">
        <v>1</v>
      </c>
      <c r="M235" s="19" t="s">
        <v>51</v>
      </c>
      <c r="N235">
        <v>2</v>
      </c>
      <c r="O235">
        <v>1</v>
      </c>
      <c r="P235" s="19" t="s">
        <v>67</v>
      </c>
      <c r="Q235">
        <v>2</v>
      </c>
      <c r="R235" s="19" t="s">
        <v>113</v>
      </c>
      <c r="S235">
        <v>66733</v>
      </c>
      <c r="T235" s="19" t="s">
        <v>64</v>
      </c>
      <c r="U235">
        <v>417.08</v>
      </c>
      <c r="V235">
        <v>0</v>
      </c>
      <c r="W235" s="19" t="s">
        <v>55</v>
      </c>
      <c r="X235">
        <v>17</v>
      </c>
      <c r="Y235">
        <v>3</v>
      </c>
      <c r="Z235">
        <v>1</v>
      </c>
      <c r="AA235">
        <v>0</v>
      </c>
      <c r="AB235">
        <v>6</v>
      </c>
      <c r="AC235">
        <v>2</v>
      </c>
      <c r="AD235">
        <v>1</v>
      </c>
      <c r="AE235">
        <v>5</v>
      </c>
      <c r="AF235">
        <v>3</v>
      </c>
      <c r="AG235">
        <v>0</v>
      </c>
      <c r="AH235">
        <v>4</v>
      </c>
      <c r="AI235">
        <v>0</v>
      </c>
      <c r="AJ235" s="19" t="s">
        <v>1567</v>
      </c>
      <c r="AK235" s="19" t="s">
        <v>1562</v>
      </c>
      <c r="AL235">
        <v>2</v>
      </c>
      <c r="AM235" s="19" t="s">
        <v>1564</v>
      </c>
      <c r="AN235">
        <v>0.33824375282668229</v>
      </c>
      <c r="AO235">
        <v>800796</v>
      </c>
    </row>
    <row r="236" spans="1:41" x14ac:dyDescent="0.3">
      <c r="A236" s="19" t="s">
        <v>306</v>
      </c>
      <c r="B236">
        <v>28</v>
      </c>
      <c r="C236" s="19" t="s">
        <v>196</v>
      </c>
      <c r="D236" s="19" t="s">
        <v>55</v>
      </c>
      <c r="E236" s="19" t="s">
        <v>62</v>
      </c>
      <c r="F236">
        <v>773</v>
      </c>
      <c r="G236" s="19" t="s">
        <v>49</v>
      </c>
      <c r="H236">
        <v>6</v>
      </c>
      <c r="I236">
        <v>3</v>
      </c>
      <c r="J236" s="19" t="s">
        <v>50</v>
      </c>
      <c r="K236">
        <v>1154</v>
      </c>
      <c r="L236">
        <v>3</v>
      </c>
      <c r="M236" s="19" t="s">
        <v>51</v>
      </c>
      <c r="N236">
        <v>2</v>
      </c>
      <c r="O236">
        <v>1</v>
      </c>
      <c r="P236" s="19" t="s">
        <v>67</v>
      </c>
      <c r="Q236">
        <v>3</v>
      </c>
      <c r="R236" s="19" t="s">
        <v>53</v>
      </c>
      <c r="S236">
        <v>90045</v>
      </c>
      <c r="T236" s="19" t="s">
        <v>70</v>
      </c>
      <c r="U236">
        <v>562.78</v>
      </c>
      <c r="V236">
        <v>1</v>
      </c>
      <c r="W236" s="19" t="s">
        <v>47</v>
      </c>
      <c r="X236">
        <v>14</v>
      </c>
      <c r="Y236">
        <v>3</v>
      </c>
      <c r="Z236">
        <v>4</v>
      </c>
      <c r="AA236">
        <v>1</v>
      </c>
      <c r="AB236">
        <v>3</v>
      </c>
      <c r="AC236">
        <v>2</v>
      </c>
      <c r="AD236">
        <v>3</v>
      </c>
      <c r="AE236">
        <v>3</v>
      </c>
      <c r="AF236">
        <v>1</v>
      </c>
      <c r="AG236">
        <v>0</v>
      </c>
      <c r="AH236">
        <v>2</v>
      </c>
      <c r="AI236">
        <v>0</v>
      </c>
      <c r="AJ236" s="19" t="s">
        <v>1566</v>
      </c>
      <c r="AK236" s="19" t="s">
        <v>1562</v>
      </c>
      <c r="AL236">
        <v>1</v>
      </c>
      <c r="AM236" s="19" t="s">
        <v>1565</v>
      </c>
      <c r="AN236">
        <v>0.80573567385369471</v>
      </c>
      <c r="AO236">
        <v>1080540</v>
      </c>
    </row>
    <row r="237" spans="1:41" x14ac:dyDescent="0.3">
      <c r="A237" s="19" t="s">
        <v>307</v>
      </c>
      <c r="B237">
        <v>28</v>
      </c>
      <c r="C237" s="19" t="s">
        <v>196</v>
      </c>
      <c r="D237" s="19" t="s">
        <v>47</v>
      </c>
      <c r="E237" s="19" t="s">
        <v>48</v>
      </c>
      <c r="F237">
        <v>1485</v>
      </c>
      <c r="G237" s="19" t="s">
        <v>49</v>
      </c>
      <c r="H237">
        <v>12</v>
      </c>
      <c r="I237">
        <v>1</v>
      </c>
      <c r="J237" s="19" t="s">
        <v>50</v>
      </c>
      <c r="K237">
        <v>1175</v>
      </c>
      <c r="L237">
        <v>3</v>
      </c>
      <c r="M237" s="19" t="s">
        <v>59</v>
      </c>
      <c r="N237">
        <v>3</v>
      </c>
      <c r="O237">
        <v>1</v>
      </c>
      <c r="P237" s="19" t="s">
        <v>52</v>
      </c>
      <c r="Q237">
        <v>4</v>
      </c>
      <c r="R237" s="19" t="s">
        <v>113</v>
      </c>
      <c r="S237">
        <v>35698</v>
      </c>
      <c r="T237" s="19" t="s">
        <v>72</v>
      </c>
      <c r="U237">
        <v>223.11</v>
      </c>
      <c r="V237">
        <v>1</v>
      </c>
      <c r="W237" s="19" t="s">
        <v>47</v>
      </c>
      <c r="X237">
        <v>11</v>
      </c>
      <c r="Y237">
        <v>3</v>
      </c>
      <c r="Z237">
        <v>4</v>
      </c>
      <c r="AA237">
        <v>0</v>
      </c>
      <c r="AB237">
        <v>1</v>
      </c>
      <c r="AC237">
        <v>4</v>
      </c>
      <c r="AD237">
        <v>2</v>
      </c>
      <c r="AE237">
        <v>1</v>
      </c>
      <c r="AF237">
        <v>1</v>
      </c>
      <c r="AG237">
        <v>0</v>
      </c>
      <c r="AH237">
        <v>0</v>
      </c>
      <c r="AI237">
        <v>1</v>
      </c>
      <c r="AJ237" s="19" t="s">
        <v>1561</v>
      </c>
      <c r="AK237" s="19" t="s">
        <v>1562</v>
      </c>
      <c r="AL237">
        <v>2</v>
      </c>
      <c r="AM237" s="19" t="s">
        <v>1564</v>
      </c>
      <c r="AN237">
        <v>-0.30979143579233082</v>
      </c>
      <c r="AO237">
        <v>428376</v>
      </c>
    </row>
    <row r="238" spans="1:41" x14ac:dyDescent="0.3">
      <c r="A238" s="19" t="s">
        <v>308</v>
      </c>
      <c r="B238">
        <v>28</v>
      </c>
      <c r="C238" s="19" t="s">
        <v>196</v>
      </c>
      <c r="D238" s="19" t="s">
        <v>55</v>
      </c>
      <c r="E238" s="19" t="s">
        <v>48</v>
      </c>
      <c r="F238">
        <v>1179</v>
      </c>
      <c r="G238" s="19" t="s">
        <v>49</v>
      </c>
      <c r="H238">
        <v>19</v>
      </c>
      <c r="I238">
        <v>4</v>
      </c>
      <c r="J238" s="19" t="s">
        <v>58</v>
      </c>
      <c r="K238">
        <v>1216</v>
      </c>
      <c r="L238">
        <v>4</v>
      </c>
      <c r="M238" s="19" t="s">
        <v>51</v>
      </c>
      <c r="N238">
        <v>2</v>
      </c>
      <c r="O238">
        <v>1</v>
      </c>
      <c r="P238" s="19" t="s">
        <v>52</v>
      </c>
      <c r="Q238">
        <v>1</v>
      </c>
      <c r="R238" s="19" t="s">
        <v>113</v>
      </c>
      <c r="S238">
        <v>81623</v>
      </c>
      <c r="T238" s="19" t="s">
        <v>64</v>
      </c>
      <c r="U238">
        <v>510.14</v>
      </c>
      <c r="V238">
        <v>1</v>
      </c>
      <c r="W238" s="19" t="s">
        <v>55</v>
      </c>
      <c r="X238">
        <v>12</v>
      </c>
      <c r="Y238">
        <v>3</v>
      </c>
      <c r="Z238">
        <v>3</v>
      </c>
      <c r="AA238">
        <v>3</v>
      </c>
      <c r="AB238">
        <v>6</v>
      </c>
      <c r="AC238">
        <v>2</v>
      </c>
      <c r="AD238">
        <v>3</v>
      </c>
      <c r="AE238">
        <v>6</v>
      </c>
      <c r="AF238">
        <v>5</v>
      </c>
      <c r="AG238">
        <v>3</v>
      </c>
      <c r="AH238">
        <v>3</v>
      </c>
      <c r="AI238">
        <v>0</v>
      </c>
      <c r="AJ238" s="19" t="s">
        <v>1569</v>
      </c>
      <c r="AK238" s="19" t="s">
        <v>1570</v>
      </c>
      <c r="AL238">
        <v>2</v>
      </c>
      <c r="AM238" s="19" t="s">
        <v>1564</v>
      </c>
      <c r="AN238">
        <v>0.57815265942973215</v>
      </c>
      <c r="AO238">
        <v>979476</v>
      </c>
    </row>
    <row r="239" spans="1:41" x14ac:dyDescent="0.3">
      <c r="A239" s="19" t="s">
        <v>309</v>
      </c>
      <c r="B239">
        <v>28</v>
      </c>
      <c r="C239" s="19" t="s">
        <v>196</v>
      </c>
      <c r="D239" s="19" t="s">
        <v>55</v>
      </c>
      <c r="E239" s="19" t="s">
        <v>62</v>
      </c>
      <c r="F239">
        <v>791</v>
      </c>
      <c r="G239" s="19" t="s">
        <v>49</v>
      </c>
      <c r="H239">
        <v>1</v>
      </c>
      <c r="I239">
        <v>4</v>
      </c>
      <c r="J239" s="19" t="s">
        <v>58</v>
      </c>
      <c r="K239">
        <v>1286</v>
      </c>
      <c r="L239">
        <v>4</v>
      </c>
      <c r="M239" s="19" t="s">
        <v>51</v>
      </c>
      <c r="N239">
        <v>3</v>
      </c>
      <c r="O239">
        <v>1</v>
      </c>
      <c r="P239" s="19" t="s">
        <v>52</v>
      </c>
      <c r="Q239">
        <v>3</v>
      </c>
      <c r="R239" s="19" t="s">
        <v>53</v>
      </c>
      <c r="S239">
        <v>23671</v>
      </c>
      <c r="T239" s="19" t="s">
        <v>54</v>
      </c>
      <c r="U239">
        <v>147.94</v>
      </c>
      <c r="V239">
        <v>0</v>
      </c>
      <c r="W239" s="19" t="s">
        <v>47</v>
      </c>
      <c r="X239">
        <v>11</v>
      </c>
      <c r="Y239">
        <v>3</v>
      </c>
      <c r="Z239">
        <v>3</v>
      </c>
      <c r="AA239">
        <v>0</v>
      </c>
      <c r="AB239">
        <v>5</v>
      </c>
      <c r="AC239">
        <v>2</v>
      </c>
      <c r="AD239">
        <v>2</v>
      </c>
      <c r="AE239">
        <v>4</v>
      </c>
      <c r="AF239">
        <v>2</v>
      </c>
      <c r="AG239">
        <v>0</v>
      </c>
      <c r="AH239">
        <v>2</v>
      </c>
      <c r="AI239">
        <v>0</v>
      </c>
      <c r="AJ239" s="19" t="s">
        <v>1567</v>
      </c>
      <c r="AK239" s="19" t="s">
        <v>1562</v>
      </c>
      <c r="AL239">
        <v>2</v>
      </c>
      <c r="AM239" s="19" t="s">
        <v>1564</v>
      </c>
      <c r="AN239">
        <v>-0.54232934832876534</v>
      </c>
      <c r="AO239">
        <v>284052</v>
      </c>
    </row>
    <row r="240" spans="1:41" x14ac:dyDescent="0.3">
      <c r="A240" s="19" t="s">
        <v>310</v>
      </c>
      <c r="B240">
        <v>28</v>
      </c>
      <c r="C240" s="19" t="s">
        <v>196</v>
      </c>
      <c r="D240" s="19" t="s">
        <v>55</v>
      </c>
      <c r="E240" s="19" t="s">
        <v>62</v>
      </c>
      <c r="F240">
        <v>193</v>
      </c>
      <c r="G240" s="19" t="s">
        <v>49</v>
      </c>
      <c r="H240">
        <v>2</v>
      </c>
      <c r="I240">
        <v>3</v>
      </c>
      <c r="J240" s="19" t="s">
        <v>50</v>
      </c>
      <c r="K240">
        <v>1296</v>
      </c>
      <c r="L240">
        <v>4</v>
      </c>
      <c r="M240" s="19" t="s">
        <v>51</v>
      </c>
      <c r="N240">
        <v>2</v>
      </c>
      <c r="O240">
        <v>1</v>
      </c>
      <c r="P240" s="19" t="s">
        <v>52</v>
      </c>
      <c r="Q240">
        <v>4</v>
      </c>
      <c r="R240" s="19" t="s">
        <v>113</v>
      </c>
      <c r="S240">
        <v>26184</v>
      </c>
      <c r="T240" s="19" t="s">
        <v>72</v>
      </c>
      <c r="U240">
        <v>163.65</v>
      </c>
      <c r="V240">
        <v>1</v>
      </c>
      <c r="W240" s="19" t="s">
        <v>47</v>
      </c>
      <c r="X240">
        <v>12</v>
      </c>
      <c r="Y240">
        <v>3</v>
      </c>
      <c r="Z240">
        <v>2</v>
      </c>
      <c r="AA240">
        <v>1</v>
      </c>
      <c r="AB240">
        <v>2</v>
      </c>
      <c r="AC240">
        <v>2</v>
      </c>
      <c r="AD240">
        <v>3</v>
      </c>
      <c r="AE240">
        <v>2</v>
      </c>
      <c r="AF240">
        <v>2</v>
      </c>
      <c r="AG240">
        <v>2</v>
      </c>
      <c r="AH240">
        <v>2</v>
      </c>
      <c r="AI240">
        <v>0</v>
      </c>
      <c r="AJ240" s="19" t="s">
        <v>1566</v>
      </c>
      <c r="AK240" s="19" t="s">
        <v>1562</v>
      </c>
      <c r="AL240">
        <v>1</v>
      </c>
      <c r="AM240" s="19" t="s">
        <v>1565</v>
      </c>
      <c r="AN240">
        <v>-0.49374135679271641</v>
      </c>
      <c r="AO240">
        <v>314208</v>
      </c>
    </row>
    <row r="241" spans="1:41" x14ac:dyDescent="0.3">
      <c r="A241" s="19" t="s">
        <v>311</v>
      </c>
      <c r="B241">
        <v>28</v>
      </c>
      <c r="C241" s="19" t="s">
        <v>196</v>
      </c>
      <c r="D241" s="19" t="s">
        <v>55</v>
      </c>
      <c r="E241" s="19" t="s">
        <v>48</v>
      </c>
      <c r="F241">
        <v>640</v>
      </c>
      <c r="G241" s="19" t="s">
        <v>49</v>
      </c>
      <c r="H241">
        <v>1</v>
      </c>
      <c r="I241">
        <v>3</v>
      </c>
      <c r="J241" s="19" t="s">
        <v>77</v>
      </c>
      <c r="K241">
        <v>1301</v>
      </c>
      <c r="L241">
        <v>4</v>
      </c>
      <c r="M241" s="19" t="s">
        <v>51</v>
      </c>
      <c r="N241">
        <v>3</v>
      </c>
      <c r="O241">
        <v>1</v>
      </c>
      <c r="P241" s="19" t="s">
        <v>67</v>
      </c>
      <c r="Q241">
        <v>1</v>
      </c>
      <c r="R241" s="19" t="s">
        <v>53</v>
      </c>
      <c r="S241">
        <v>94384</v>
      </c>
      <c r="T241" s="19" t="s">
        <v>70</v>
      </c>
      <c r="U241">
        <v>589.9</v>
      </c>
      <c r="V241">
        <v>2</v>
      </c>
      <c r="W241" s="19" t="s">
        <v>55</v>
      </c>
      <c r="X241">
        <v>11</v>
      </c>
      <c r="Y241">
        <v>3</v>
      </c>
      <c r="Z241">
        <v>2</v>
      </c>
      <c r="AA241">
        <v>0</v>
      </c>
      <c r="AB241">
        <v>5</v>
      </c>
      <c r="AC241">
        <v>2</v>
      </c>
      <c r="AD241">
        <v>2</v>
      </c>
      <c r="AE241">
        <v>3</v>
      </c>
      <c r="AF241">
        <v>2</v>
      </c>
      <c r="AG241">
        <v>1</v>
      </c>
      <c r="AH241">
        <v>2</v>
      </c>
      <c r="AI241">
        <v>0</v>
      </c>
      <c r="AJ241" s="19" t="s">
        <v>1566</v>
      </c>
      <c r="AK241" s="19" t="s">
        <v>1562</v>
      </c>
      <c r="AL241">
        <v>2</v>
      </c>
      <c r="AM241" s="19" t="s">
        <v>1564</v>
      </c>
      <c r="AN241">
        <v>0.89274869055480166</v>
      </c>
      <c r="AO241">
        <v>1132608</v>
      </c>
    </row>
    <row r="242" spans="1:41" x14ac:dyDescent="0.3">
      <c r="A242" s="19" t="s">
        <v>312</v>
      </c>
      <c r="B242">
        <v>28</v>
      </c>
      <c r="C242" s="19" t="s">
        <v>196</v>
      </c>
      <c r="D242" s="19" t="s">
        <v>55</v>
      </c>
      <c r="E242" s="19" t="s">
        <v>66</v>
      </c>
      <c r="F242">
        <v>1476</v>
      </c>
      <c r="G242" s="19" t="s">
        <v>49</v>
      </c>
      <c r="H242">
        <v>1</v>
      </c>
      <c r="I242">
        <v>3</v>
      </c>
      <c r="J242" s="19" t="s">
        <v>50</v>
      </c>
      <c r="K242">
        <v>1315</v>
      </c>
      <c r="L242">
        <v>3</v>
      </c>
      <c r="M242" s="19" t="s">
        <v>59</v>
      </c>
      <c r="N242">
        <v>1</v>
      </c>
      <c r="O242">
        <v>2</v>
      </c>
      <c r="P242" s="19" t="s">
        <v>52</v>
      </c>
      <c r="Q242">
        <v>4</v>
      </c>
      <c r="R242" s="19" t="s">
        <v>113</v>
      </c>
      <c r="S242">
        <v>43107</v>
      </c>
      <c r="T242" s="19" t="s">
        <v>72</v>
      </c>
      <c r="U242">
        <v>269.42</v>
      </c>
      <c r="V242">
        <v>0</v>
      </c>
      <c r="W242" s="19" t="s">
        <v>55</v>
      </c>
      <c r="X242">
        <v>11</v>
      </c>
      <c r="Y242">
        <v>3</v>
      </c>
      <c r="Z242">
        <v>1</v>
      </c>
      <c r="AA242">
        <v>3</v>
      </c>
      <c r="AB242">
        <v>10</v>
      </c>
      <c r="AC242">
        <v>6</v>
      </c>
      <c r="AD242">
        <v>3</v>
      </c>
      <c r="AE242">
        <v>9</v>
      </c>
      <c r="AF242">
        <v>8</v>
      </c>
      <c r="AG242">
        <v>7</v>
      </c>
      <c r="AH242">
        <v>5</v>
      </c>
      <c r="AI242">
        <v>0</v>
      </c>
      <c r="AJ242" s="19" t="s">
        <v>1569</v>
      </c>
      <c r="AK242" s="19" t="s">
        <v>1570</v>
      </c>
      <c r="AL242">
        <v>1</v>
      </c>
      <c r="AM242" s="19" t="s">
        <v>1565</v>
      </c>
      <c r="AN242">
        <v>-0.1665409665163316</v>
      </c>
      <c r="AO242">
        <v>517284</v>
      </c>
    </row>
    <row r="243" spans="1:41" x14ac:dyDescent="0.3">
      <c r="A243" s="19" t="s">
        <v>313</v>
      </c>
      <c r="B243">
        <v>28</v>
      </c>
      <c r="C243" s="19" t="s">
        <v>196</v>
      </c>
      <c r="D243" s="19" t="s">
        <v>55</v>
      </c>
      <c r="E243" s="19" t="s">
        <v>48</v>
      </c>
      <c r="F243">
        <v>736</v>
      </c>
      <c r="G243" s="19" t="s">
        <v>57</v>
      </c>
      <c r="H243">
        <v>26</v>
      </c>
      <c r="I243">
        <v>3</v>
      </c>
      <c r="J243" s="19" t="s">
        <v>50</v>
      </c>
      <c r="K243">
        <v>1387</v>
      </c>
      <c r="L243">
        <v>3</v>
      </c>
      <c r="M243" s="19" t="s">
        <v>51</v>
      </c>
      <c r="N243">
        <v>2</v>
      </c>
      <c r="O243">
        <v>2</v>
      </c>
      <c r="P243" s="19" t="s">
        <v>145</v>
      </c>
      <c r="Q243">
        <v>1</v>
      </c>
      <c r="R243" s="19" t="s">
        <v>113</v>
      </c>
      <c r="S243">
        <v>87202</v>
      </c>
      <c r="T243" s="19" t="s">
        <v>70</v>
      </c>
      <c r="U243">
        <v>545.01</v>
      </c>
      <c r="V243">
        <v>1</v>
      </c>
      <c r="W243" s="19" t="s">
        <v>55</v>
      </c>
      <c r="X243">
        <v>11</v>
      </c>
      <c r="Y243">
        <v>3</v>
      </c>
      <c r="Z243">
        <v>3</v>
      </c>
      <c r="AA243">
        <v>1</v>
      </c>
      <c r="AB243">
        <v>5</v>
      </c>
      <c r="AC243">
        <v>0</v>
      </c>
      <c r="AD243">
        <v>3</v>
      </c>
      <c r="AE243">
        <v>5</v>
      </c>
      <c r="AF243">
        <v>3</v>
      </c>
      <c r="AG243">
        <v>0</v>
      </c>
      <c r="AH243">
        <v>4</v>
      </c>
      <c r="AI243">
        <v>0</v>
      </c>
      <c r="AJ243" s="19" t="s">
        <v>1567</v>
      </c>
      <c r="AK243" s="19" t="s">
        <v>1562</v>
      </c>
      <c r="AL243">
        <v>1</v>
      </c>
      <c r="AM243" s="19" t="s">
        <v>1565</v>
      </c>
      <c r="AN243">
        <v>0.77752974088343585</v>
      </c>
      <c r="AO243">
        <v>1046424</v>
      </c>
    </row>
    <row r="244" spans="1:41" x14ac:dyDescent="0.3">
      <c r="A244" s="19" t="s">
        <v>314</v>
      </c>
      <c r="B244">
        <v>28</v>
      </c>
      <c r="C244" s="19" t="s">
        <v>196</v>
      </c>
      <c r="D244" s="19" t="s">
        <v>55</v>
      </c>
      <c r="E244" s="19" t="s">
        <v>48</v>
      </c>
      <c r="F244">
        <v>866</v>
      </c>
      <c r="G244" s="19" t="s">
        <v>57</v>
      </c>
      <c r="H244">
        <v>5</v>
      </c>
      <c r="I244">
        <v>3</v>
      </c>
      <c r="J244" s="19" t="s">
        <v>58</v>
      </c>
      <c r="K244">
        <v>1469</v>
      </c>
      <c r="L244">
        <v>4</v>
      </c>
      <c r="M244" s="19" t="s">
        <v>51</v>
      </c>
      <c r="N244">
        <v>3</v>
      </c>
      <c r="O244">
        <v>2</v>
      </c>
      <c r="P244" s="19" t="s">
        <v>145</v>
      </c>
      <c r="Q244">
        <v>1</v>
      </c>
      <c r="R244" s="19" t="s">
        <v>53</v>
      </c>
      <c r="S244">
        <v>52663</v>
      </c>
      <c r="T244" s="19" t="s">
        <v>64</v>
      </c>
      <c r="U244">
        <v>329.14</v>
      </c>
      <c r="V244">
        <v>0</v>
      </c>
      <c r="W244" s="19" t="s">
        <v>55</v>
      </c>
      <c r="X244">
        <v>18</v>
      </c>
      <c r="Y244">
        <v>3</v>
      </c>
      <c r="Z244">
        <v>4</v>
      </c>
      <c r="AA244">
        <v>0</v>
      </c>
      <c r="AB244">
        <v>6</v>
      </c>
      <c r="AC244">
        <v>4</v>
      </c>
      <c r="AD244">
        <v>3</v>
      </c>
      <c r="AE244">
        <v>5</v>
      </c>
      <c r="AF244">
        <v>4</v>
      </c>
      <c r="AG244">
        <v>1</v>
      </c>
      <c r="AH244">
        <v>3</v>
      </c>
      <c r="AI244">
        <v>0</v>
      </c>
      <c r="AJ244" s="19" t="s">
        <v>1567</v>
      </c>
      <c r="AK244" s="19" t="s">
        <v>1562</v>
      </c>
      <c r="AL244">
        <v>1</v>
      </c>
      <c r="AM244" s="19" t="s">
        <v>1565</v>
      </c>
      <c r="AN244">
        <v>7.3485112086240936E-2</v>
      </c>
      <c r="AO244">
        <v>631956</v>
      </c>
    </row>
    <row r="245" spans="1:41" x14ac:dyDescent="0.3">
      <c r="A245" s="19" t="s">
        <v>315</v>
      </c>
      <c r="B245">
        <v>28</v>
      </c>
      <c r="C245" s="19" t="s">
        <v>196</v>
      </c>
      <c r="D245" s="19" t="s">
        <v>47</v>
      </c>
      <c r="E245" s="19" t="s">
        <v>62</v>
      </c>
      <c r="F245">
        <v>1496</v>
      </c>
      <c r="G245" s="19" t="s">
        <v>57</v>
      </c>
      <c r="H245">
        <v>1</v>
      </c>
      <c r="I245">
        <v>3</v>
      </c>
      <c r="J245" s="19" t="s">
        <v>77</v>
      </c>
      <c r="K245">
        <v>1486</v>
      </c>
      <c r="L245">
        <v>1</v>
      </c>
      <c r="M245" s="19" t="s">
        <v>51</v>
      </c>
      <c r="N245">
        <v>3</v>
      </c>
      <c r="O245">
        <v>1</v>
      </c>
      <c r="P245" s="19" t="s">
        <v>60</v>
      </c>
      <c r="Q245">
        <v>3</v>
      </c>
      <c r="R245" s="19" t="s">
        <v>113</v>
      </c>
      <c r="S245">
        <v>16708</v>
      </c>
      <c r="T245" s="19" t="s">
        <v>54</v>
      </c>
      <c r="U245">
        <v>104.42</v>
      </c>
      <c r="V245">
        <v>3</v>
      </c>
      <c r="W245" s="19" t="s">
        <v>55</v>
      </c>
      <c r="X245">
        <v>15</v>
      </c>
      <c r="Y245">
        <v>3</v>
      </c>
      <c r="Z245">
        <v>4</v>
      </c>
      <c r="AA245">
        <v>1</v>
      </c>
      <c r="AB245">
        <v>5</v>
      </c>
      <c r="AC245">
        <v>3</v>
      </c>
      <c r="AD245">
        <v>4</v>
      </c>
      <c r="AE245">
        <v>3</v>
      </c>
      <c r="AF245">
        <v>2</v>
      </c>
      <c r="AG245">
        <v>1</v>
      </c>
      <c r="AH245">
        <v>2</v>
      </c>
      <c r="AI245">
        <v>1</v>
      </c>
      <c r="AJ245" s="19" t="s">
        <v>1566</v>
      </c>
      <c r="AK245" s="19" t="s">
        <v>1562</v>
      </c>
      <c r="AL245">
        <v>0</v>
      </c>
      <c r="AM245" s="19" t="s">
        <v>1563</v>
      </c>
      <c r="AN245">
        <v>-0.66127945039050784</v>
      </c>
      <c r="AO245">
        <v>200496</v>
      </c>
    </row>
    <row r="246" spans="1:41" x14ac:dyDescent="0.3">
      <c r="A246" s="19" t="s">
        <v>316</v>
      </c>
      <c r="B246">
        <v>28</v>
      </c>
      <c r="C246" s="19" t="s">
        <v>196</v>
      </c>
      <c r="D246" s="19" t="s">
        <v>47</v>
      </c>
      <c r="E246" s="19" t="s">
        <v>62</v>
      </c>
      <c r="F246">
        <v>289</v>
      </c>
      <c r="G246" s="19" t="s">
        <v>49</v>
      </c>
      <c r="H246">
        <v>2</v>
      </c>
      <c r="I246">
        <v>2</v>
      </c>
      <c r="J246" s="19" t="s">
        <v>58</v>
      </c>
      <c r="K246">
        <v>1504</v>
      </c>
      <c r="L246">
        <v>3</v>
      </c>
      <c r="M246" s="19" t="s">
        <v>51</v>
      </c>
      <c r="N246">
        <v>2</v>
      </c>
      <c r="O246">
        <v>1</v>
      </c>
      <c r="P246" s="19" t="s">
        <v>52</v>
      </c>
      <c r="Q246">
        <v>1</v>
      </c>
      <c r="R246" s="19" t="s">
        <v>53</v>
      </c>
      <c r="S246">
        <v>92906</v>
      </c>
      <c r="T246" s="19" t="s">
        <v>70</v>
      </c>
      <c r="U246">
        <v>580.66</v>
      </c>
      <c r="V246">
        <v>7</v>
      </c>
      <c r="W246" s="19" t="s">
        <v>55</v>
      </c>
      <c r="X246">
        <v>11</v>
      </c>
      <c r="Y246">
        <v>3</v>
      </c>
      <c r="Z246">
        <v>3</v>
      </c>
      <c r="AA246">
        <v>0</v>
      </c>
      <c r="AB246">
        <v>8</v>
      </c>
      <c r="AC246">
        <v>2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1</v>
      </c>
      <c r="AJ246" s="19" t="s">
        <v>1561</v>
      </c>
      <c r="AK246" s="19" t="s">
        <v>1562</v>
      </c>
      <c r="AL246">
        <v>2</v>
      </c>
      <c r="AM246" s="19" t="s">
        <v>1564</v>
      </c>
      <c r="AN246">
        <v>0.79630558760372316</v>
      </c>
      <c r="AO246">
        <v>1114872</v>
      </c>
    </row>
    <row r="247" spans="1:41" x14ac:dyDescent="0.3">
      <c r="A247" s="19" t="s">
        <v>317</v>
      </c>
      <c r="B247">
        <v>28</v>
      </c>
      <c r="C247" s="19" t="s">
        <v>196</v>
      </c>
      <c r="D247" s="19" t="s">
        <v>55</v>
      </c>
      <c r="E247" s="19" t="s">
        <v>48</v>
      </c>
      <c r="F247">
        <v>1423</v>
      </c>
      <c r="G247" s="19" t="s">
        <v>49</v>
      </c>
      <c r="H247">
        <v>1</v>
      </c>
      <c r="I247">
        <v>3</v>
      </c>
      <c r="J247" s="19" t="s">
        <v>50</v>
      </c>
      <c r="K247">
        <v>1506</v>
      </c>
      <c r="L247">
        <v>1</v>
      </c>
      <c r="M247" s="19" t="s">
        <v>51</v>
      </c>
      <c r="N247">
        <v>2</v>
      </c>
      <c r="O247">
        <v>1</v>
      </c>
      <c r="P247" s="19" t="s">
        <v>67</v>
      </c>
      <c r="Q247">
        <v>3</v>
      </c>
      <c r="R247" s="19" t="s">
        <v>53</v>
      </c>
      <c r="S247">
        <v>50811</v>
      </c>
      <c r="T247" s="19" t="s">
        <v>64</v>
      </c>
      <c r="U247">
        <v>317.57</v>
      </c>
      <c r="V247">
        <v>1</v>
      </c>
      <c r="W247" s="19" t="s">
        <v>55</v>
      </c>
      <c r="X247">
        <v>14</v>
      </c>
      <c r="Y247">
        <v>3</v>
      </c>
      <c r="Z247">
        <v>4</v>
      </c>
      <c r="AA247">
        <v>1</v>
      </c>
      <c r="AB247">
        <v>1</v>
      </c>
      <c r="AC247">
        <v>2</v>
      </c>
      <c r="AD247">
        <v>1</v>
      </c>
      <c r="AE247">
        <v>1</v>
      </c>
      <c r="AF247">
        <v>0</v>
      </c>
      <c r="AG247">
        <v>0</v>
      </c>
      <c r="AH247">
        <v>0</v>
      </c>
      <c r="AI247">
        <v>0</v>
      </c>
      <c r="AJ247" s="19" t="s">
        <v>1561</v>
      </c>
      <c r="AK247" s="19" t="s">
        <v>1562</v>
      </c>
      <c r="AL247">
        <v>1</v>
      </c>
      <c r="AM247" s="19" t="s">
        <v>1565</v>
      </c>
      <c r="AN247">
        <v>1.8948695920707213E-2</v>
      </c>
      <c r="AO247">
        <v>609732</v>
      </c>
    </row>
    <row r="248" spans="1:41" x14ac:dyDescent="0.3">
      <c r="A248" s="19" t="s">
        <v>318</v>
      </c>
      <c r="B248">
        <v>28</v>
      </c>
      <c r="C248" s="19" t="s">
        <v>196</v>
      </c>
      <c r="D248" s="19" t="s">
        <v>55</v>
      </c>
      <c r="E248" s="19" t="s">
        <v>62</v>
      </c>
      <c r="F248">
        <v>467</v>
      </c>
      <c r="G248" s="19" t="s">
        <v>57</v>
      </c>
      <c r="H248">
        <v>7</v>
      </c>
      <c r="I248">
        <v>3</v>
      </c>
      <c r="J248" s="19" t="s">
        <v>50</v>
      </c>
      <c r="K248">
        <v>1507</v>
      </c>
      <c r="L248">
        <v>3</v>
      </c>
      <c r="M248" s="19" t="s">
        <v>51</v>
      </c>
      <c r="N248">
        <v>3</v>
      </c>
      <c r="O248">
        <v>2</v>
      </c>
      <c r="P248" s="19" t="s">
        <v>145</v>
      </c>
      <c r="Q248">
        <v>1</v>
      </c>
      <c r="R248" s="19" t="s">
        <v>53</v>
      </c>
      <c r="S248">
        <v>3811</v>
      </c>
      <c r="T248" s="19" t="s">
        <v>54</v>
      </c>
      <c r="U248">
        <v>23.82</v>
      </c>
      <c r="V248">
        <v>0</v>
      </c>
      <c r="W248" s="19" t="s">
        <v>55</v>
      </c>
      <c r="X248">
        <v>14</v>
      </c>
      <c r="Y248">
        <v>3</v>
      </c>
      <c r="Z248">
        <v>4</v>
      </c>
      <c r="AA248">
        <v>0</v>
      </c>
      <c r="AB248">
        <v>5</v>
      </c>
      <c r="AC248">
        <v>5</v>
      </c>
      <c r="AD248">
        <v>3</v>
      </c>
      <c r="AE248">
        <v>4</v>
      </c>
      <c r="AF248">
        <v>2</v>
      </c>
      <c r="AG248">
        <v>1</v>
      </c>
      <c r="AH248">
        <v>3</v>
      </c>
      <c r="AI248">
        <v>0</v>
      </c>
      <c r="AJ248" s="19" t="s">
        <v>1567</v>
      </c>
      <c r="AK248" s="19" t="s">
        <v>1562</v>
      </c>
      <c r="AL248">
        <v>1</v>
      </c>
      <c r="AM248" s="19" t="s">
        <v>1565</v>
      </c>
      <c r="AN248">
        <v>-0.92231639363194906</v>
      </c>
      <c r="AO248">
        <v>45732</v>
      </c>
    </row>
    <row r="249" spans="1:41" x14ac:dyDescent="0.3">
      <c r="A249" s="19" t="s">
        <v>319</v>
      </c>
      <c r="B249">
        <v>28</v>
      </c>
      <c r="C249" s="19" t="s">
        <v>196</v>
      </c>
      <c r="D249" s="19" t="s">
        <v>55</v>
      </c>
      <c r="E249" s="19" t="s">
        <v>48</v>
      </c>
      <c r="F249">
        <v>1083</v>
      </c>
      <c r="G249" s="19" t="s">
        <v>49</v>
      </c>
      <c r="H249">
        <v>29</v>
      </c>
      <c r="I249">
        <v>1</v>
      </c>
      <c r="J249" s="19" t="s">
        <v>50</v>
      </c>
      <c r="K249">
        <v>1514</v>
      </c>
      <c r="L249">
        <v>3</v>
      </c>
      <c r="M249" s="19" t="s">
        <v>51</v>
      </c>
      <c r="N249">
        <v>1</v>
      </c>
      <c r="O249">
        <v>2</v>
      </c>
      <c r="P249" s="19" t="s">
        <v>120</v>
      </c>
      <c r="Q249">
        <v>2</v>
      </c>
      <c r="R249" s="19" t="s">
        <v>113</v>
      </c>
      <c r="S249">
        <v>57250</v>
      </c>
      <c r="T249" s="19" t="s">
        <v>64</v>
      </c>
      <c r="U249">
        <v>357.81</v>
      </c>
      <c r="V249">
        <v>1</v>
      </c>
      <c r="W249" s="19" t="s">
        <v>55</v>
      </c>
      <c r="X249">
        <v>14</v>
      </c>
      <c r="Y249">
        <v>3</v>
      </c>
      <c r="Z249">
        <v>2</v>
      </c>
      <c r="AA249">
        <v>2</v>
      </c>
      <c r="AB249">
        <v>8</v>
      </c>
      <c r="AC249">
        <v>2</v>
      </c>
      <c r="AD249">
        <v>2</v>
      </c>
      <c r="AE249">
        <v>8</v>
      </c>
      <c r="AF249">
        <v>6</v>
      </c>
      <c r="AG249">
        <v>1</v>
      </c>
      <c r="AH249">
        <v>7</v>
      </c>
      <c r="AI249">
        <v>0</v>
      </c>
      <c r="AJ249" s="19" t="s">
        <v>1569</v>
      </c>
      <c r="AK249" s="19" t="s">
        <v>1562</v>
      </c>
      <c r="AL249">
        <v>2</v>
      </c>
      <c r="AM249" s="19" t="s">
        <v>1564</v>
      </c>
      <c r="AN249">
        <v>0.29246114073360946</v>
      </c>
      <c r="AO249">
        <v>687000</v>
      </c>
    </row>
    <row r="250" spans="1:41" x14ac:dyDescent="0.3">
      <c r="A250" s="19" t="s">
        <v>320</v>
      </c>
      <c r="B250">
        <v>28</v>
      </c>
      <c r="C250" s="19" t="s">
        <v>196</v>
      </c>
      <c r="D250" s="19" t="s">
        <v>47</v>
      </c>
      <c r="E250" s="19" t="s">
        <v>48</v>
      </c>
      <c r="F250">
        <v>329</v>
      </c>
      <c r="G250" s="19" t="s">
        <v>49</v>
      </c>
      <c r="H250">
        <v>24</v>
      </c>
      <c r="I250">
        <v>3</v>
      </c>
      <c r="J250" s="19" t="s">
        <v>58</v>
      </c>
      <c r="K250">
        <v>1604</v>
      </c>
      <c r="L250">
        <v>3</v>
      </c>
      <c r="M250" s="19" t="s">
        <v>51</v>
      </c>
      <c r="N250">
        <v>3</v>
      </c>
      <c r="O250">
        <v>1</v>
      </c>
      <c r="P250" s="19" t="s">
        <v>52</v>
      </c>
      <c r="Q250">
        <v>2</v>
      </c>
      <c r="R250" s="19" t="s">
        <v>113</v>
      </c>
      <c r="S250">
        <v>73082</v>
      </c>
      <c r="T250" s="19" t="s">
        <v>64</v>
      </c>
      <c r="U250">
        <v>456.76</v>
      </c>
      <c r="V250">
        <v>1</v>
      </c>
      <c r="W250" s="19" t="s">
        <v>47</v>
      </c>
      <c r="X250">
        <v>17</v>
      </c>
      <c r="Y250">
        <v>3</v>
      </c>
      <c r="Z250">
        <v>3</v>
      </c>
      <c r="AA250">
        <v>3</v>
      </c>
      <c r="AB250">
        <v>1</v>
      </c>
      <c r="AC250">
        <v>3</v>
      </c>
      <c r="AD250">
        <v>3</v>
      </c>
      <c r="AE250">
        <v>1</v>
      </c>
      <c r="AF250">
        <v>1</v>
      </c>
      <c r="AG250">
        <v>0</v>
      </c>
      <c r="AH250">
        <v>0</v>
      </c>
      <c r="AI250">
        <v>1</v>
      </c>
      <c r="AJ250" s="19" t="s">
        <v>1561</v>
      </c>
      <c r="AK250" s="19" t="s">
        <v>1562</v>
      </c>
      <c r="AL250">
        <v>2</v>
      </c>
      <c r="AM250" s="19" t="s">
        <v>1564</v>
      </c>
      <c r="AN250">
        <v>0.41301535910764964</v>
      </c>
      <c r="AO250">
        <v>876984</v>
      </c>
    </row>
    <row r="251" spans="1:41" x14ac:dyDescent="0.3">
      <c r="A251" s="19" t="s">
        <v>321</v>
      </c>
      <c r="B251">
        <v>28</v>
      </c>
      <c r="C251" s="19" t="s">
        <v>196</v>
      </c>
      <c r="D251" s="19" t="s">
        <v>55</v>
      </c>
      <c r="E251" s="19" t="s">
        <v>48</v>
      </c>
      <c r="F251">
        <v>580</v>
      </c>
      <c r="G251" s="19" t="s">
        <v>49</v>
      </c>
      <c r="H251">
        <v>27</v>
      </c>
      <c r="I251">
        <v>3</v>
      </c>
      <c r="J251" s="19" t="s">
        <v>58</v>
      </c>
      <c r="K251">
        <v>1622</v>
      </c>
      <c r="L251">
        <v>2</v>
      </c>
      <c r="M251" s="19" t="s">
        <v>59</v>
      </c>
      <c r="N251">
        <v>1</v>
      </c>
      <c r="O251">
        <v>2</v>
      </c>
      <c r="P251" s="19" t="s">
        <v>120</v>
      </c>
      <c r="Q251">
        <v>1</v>
      </c>
      <c r="R251" s="19" t="s">
        <v>53</v>
      </c>
      <c r="S251">
        <v>35754</v>
      </c>
      <c r="T251" s="19" t="s">
        <v>72</v>
      </c>
      <c r="U251">
        <v>223.46</v>
      </c>
      <c r="V251">
        <v>0</v>
      </c>
      <c r="W251" s="19" t="s">
        <v>55</v>
      </c>
      <c r="X251">
        <v>21</v>
      </c>
      <c r="Y251">
        <v>4</v>
      </c>
      <c r="Z251">
        <v>2</v>
      </c>
      <c r="AA251">
        <v>1</v>
      </c>
      <c r="AB251">
        <v>6</v>
      </c>
      <c r="AC251">
        <v>5</v>
      </c>
      <c r="AD251">
        <v>2</v>
      </c>
      <c r="AE251">
        <v>5</v>
      </c>
      <c r="AF251">
        <v>3</v>
      </c>
      <c r="AG251">
        <v>0</v>
      </c>
      <c r="AH251">
        <v>0</v>
      </c>
      <c r="AI251">
        <v>0</v>
      </c>
      <c r="AJ251" s="19" t="s">
        <v>1567</v>
      </c>
      <c r="AK251" s="19" t="s">
        <v>1562</v>
      </c>
      <c r="AL251">
        <v>2</v>
      </c>
      <c r="AM251" s="19" t="s">
        <v>1564</v>
      </c>
      <c r="AN251">
        <v>-0.19282697596874285</v>
      </c>
      <c r="AO251">
        <v>429048</v>
      </c>
    </row>
    <row r="252" spans="1:41" x14ac:dyDescent="0.3">
      <c r="A252" s="19" t="s">
        <v>322</v>
      </c>
      <c r="B252">
        <v>28</v>
      </c>
      <c r="C252" s="19" t="s">
        <v>196</v>
      </c>
      <c r="D252" s="19" t="s">
        <v>55</v>
      </c>
      <c r="E252" s="19" t="s">
        <v>48</v>
      </c>
      <c r="F252">
        <v>1181</v>
      </c>
      <c r="G252" s="19" t="s">
        <v>49</v>
      </c>
      <c r="H252">
        <v>1</v>
      </c>
      <c r="I252">
        <v>3</v>
      </c>
      <c r="J252" s="19" t="s">
        <v>50</v>
      </c>
      <c r="K252">
        <v>1799</v>
      </c>
      <c r="L252">
        <v>3</v>
      </c>
      <c r="M252" s="19" t="s">
        <v>51</v>
      </c>
      <c r="N252">
        <v>3</v>
      </c>
      <c r="O252">
        <v>1</v>
      </c>
      <c r="P252" s="19" t="s">
        <v>67</v>
      </c>
      <c r="Q252">
        <v>4</v>
      </c>
      <c r="R252" s="19" t="s">
        <v>113</v>
      </c>
      <c r="S252">
        <v>96742</v>
      </c>
      <c r="T252" s="19" t="s">
        <v>70</v>
      </c>
      <c r="U252">
        <v>604.64</v>
      </c>
      <c r="V252">
        <v>1</v>
      </c>
      <c r="W252" s="19" t="s">
        <v>55</v>
      </c>
      <c r="X252">
        <v>11</v>
      </c>
      <c r="Y252">
        <v>3</v>
      </c>
      <c r="Z252">
        <v>3</v>
      </c>
      <c r="AA252">
        <v>1</v>
      </c>
      <c r="AB252">
        <v>5</v>
      </c>
      <c r="AC252">
        <v>6</v>
      </c>
      <c r="AD252">
        <v>4</v>
      </c>
      <c r="AE252">
        <v>5</v>
      </c>
      <c r="AF252">
        <v>3</v>
      </c>
      <c r="AG252">
        <v>0</v>
      </c>
      <c r="AH252">
        <v>3</v>
      </c>
      <c r="AI252">
        <v>0</v>
      </c>
      <c r="AJ252" s="19" t="s">
        <v>1567</v>
      </c>
      <c r="AK252" s="19" t="s">
        <v>1562</v>
      </c>
      <c r="AL252">
        <v>0</v>
      </c>
      <c r="AM252" s="19" t="s">
        <v>1563</v>
      </c>
      <c r="AN252">
        <v>0.94003532189409889</v>
      </c>
      <c r="AO252">
        <v>1160904</v>
      </c>
    </row>
    <row r="253" spans="1:41" x14ac:dyDescent="0.3">
      <c r="A253" s="19" t="s">
        <v>323</v>
      </c>
      <c r="B253">
        <v>28</v>
      </c>
      <c r="C253" s="19" t="s">
        <v>196</v>
      </c>
      <c r="D253" s="19" t="s">
        <v>55</v>
      </c>
      <c r="E253" s="19" t="s">
        <v>48</v>
      </c>
      <c r="F253">
        <v>1217</v>
      </c>
      <c r="G253" s="19" t="s">
        <v>49</v>
      </c>
      <c r="H253">
        <v>1</v>
      </c>
      <c r="I253">
        <v>3</v>
      </c>
      <c r="J253" s="19" t="s">
        <v>58</v>
      </c>
      <c r="K253">
        <v>1834</v>
      </c>
      <c r="L253">
        <v>3</v>
      </c>
      <c r="M253" s="19" t="s">
        <v>59</v>
      </c>
      <c r="N253">
        <v>3</v>
      </c>
      <c r="O253">
        <v>1</v>
      </c>
      <c r="P253" s="19" t="s">
        <v>67</v>
      </c>
      <c r="Q253">
        <v>1</v>
      </c>
      <c r="R253" s="19" t="s">
        <v>113</v>
      </c>
      <c r="S253">
        <v>12411</v>
      </c>
      <c r="T253" s="19" t="s">
        <v>54</v>
      </c>
      <c r="U253">
        <v>77.569999999999993</v>
      </c>
      <c r="V253">
        <v>1</v>
      </c>
      <c r="W253" s="19" t="s">
        <v>55</v>
      </c>
      <c r="X253">
        <v>25</v>
      </c>
      <c r="Y253">
        <v>4</v>
      </c>
      <c r="Z253">
        <v>3</v>
      </c>
      <c r="AA253">
        <v>1</v>
      </c>
      <c r="AB253">
        <v>3</v>
      </c>
      <c r="AC253">
        <v>3</v>
      </c>
      <c r="AD253">
        <v>3</v>
      </c>
      <c r="AE253">
        <v>3</v>
      </c>
      <c r="AF253">
        <v>2</v>
      </c>
      <c r="AG253">
        <v>1</v>
      </c>
      <c r="AH253">
        <v>2</v>
      </c>
      <c r="AI253">
        <v>0</v>
      </c>
      <c r="AJ253" s="19" t="s">
        <v>1566</v>
      </c>
      <c r="AK253" s="19" t="s">
        <v>1562</v>
      </c>
      <c r="AL253">
        <v>1</v>
      </c>
      <c r="AM253" s="19" t="s">
        <v>1565</v>
      </c>
      <c r="AN253">
        <v>-0.75111349382866122</v>
      </c>
      <c r="AO253">
        <v>148932</v>
      </c>
    </row>
    <row r="254" spans="1:41" x14ac:dyDescent="0.3">
      <c r="A254" s="19" t="s">
        <v>324</v>
      </c>
      <c r="B254">
        <v>28</v>
      </c>
      <c r="C254" s="19" t="s">
        <v>196</v>
      </c>
      <c r="D254" s="19" t="s">
        <v>55</v>
      </c>
      <c r="E254" s="19" t="s">
        <v>66</v>
      </c>
      <c r="F254">
        <v>280</v>
      </c>
      <c r="G254" s="19" t="s">
        <v>80</v>
      </c>
      <c r="H254">
        <v>1</v>
      </c>
      <c r="I254">
        <v>2</v>
      </c>
      <c r="J254" s="19" t="s">
        <v>50</v>
      </c>
      <c r="K254">
        <v>1858</v>
      </c>
      <c r="L254">
        <v>3</v>
      </c>
      <c r="M254" s="19" t="s">
        <v>51</v>
      </c>
      <c r="N254">
        <v>3</v>
      </c>
      <c r="O254">
        <v>1</v>
      </c>
      <c r="P254" s="19" t="s">
        <v>80</v>
      </c>
      <c r="Q254">
        <v>4</v>
      </c>
      <c r="R254" s="19" t="s">
        <v>53</v>
      </c>
      <c r="S254">
        <v>3911</v>
      </c>
      <c r="T254" s="19" t="s">
        <v>54</v>
      </c>
      <c r="U254">
        <v>24.44</v>
      </c>
      <c r="V254">
        <v>1</v>
      </c>
      <c r="W254" s="19" t="s">
        <v>55</v>
      </c>
      <c r="X254">
        <v>15</v>
      </c>
      <c r="Y254">
        <v>3</v>
      </c>
      <c r="Z254">
        <v>2</v>
      </c>
      <c r="AA254">
        <v>1</v>
      </c>
      <c r="AB254">
        <v>3</v>
      </c>
      <c r="AC254">
        <v>2</v>
      </c>
      <c r="AD254">
        <v>3</v>
      </c>
      <c r="AE254">
        <v>3</v>
      </c>
      <c r="AF254">
        <v>2</v>
      </c>
      <c r="AG254">
        <v>2</v>
      </c>
      <c r="AH254">
        <v>2</v>
      </c>
      <c r="AI254">
        <v>0</v>
      </c>
      <c r="AJ254" s="19" t="s">
        <v>1566</v>
      </c>
      <c r="AK254" s="19" t="s">
        <v>1562</v>
      </c>
      <c r="AL254">
        <v>0</v>
      </c>
      <c r="AM254" s="19" t="s">
        <v>1563</v>
      </c>
      <c r="AN254">
        <v>-0.92292690691214196</v>
      </c>
      <c r="AO254">
        <v>46932</v>
      </c>
    </row>
    <row r="255" spans="1:41" x14ac:dyDescent="0.3">
      <c r="A255" s="19" t="s">
        <v>325</v>
      </c>
      <c r="B255">
        <v>28</v>
      </c>
      <c r="C255" s="19" t="s">
        <v>196</v>
      </c>
      <c r="D255" s="19" t="s">
        <v>55</v>
      </c>
      <c r="E255" s="19" t="s">
        <v>48</v>
      </c>
      <c r="F255">
        <v>1172</v>
      </c>
      <c r="G255" s="19" t="s">
        <v>57</v>
      </c>
      <c r="H255">
        <v>3</v>
      </c>
      <c r="I255">
        <v>3</v>
      </c>
      <c r="J255" s="19" t="s">
        <v>58</v>
      </c>
      <c r="K255">
        <v>1875</v>
      </c>
      <c r="L255">
        <v>2</v>
      </c>
      <c r="M255" s="19" t="s">
        <v>59</v>
      </c>
      <c r="N255">
        <v>3</v>
      </c>
      <c r="O255">
        <v>1</v>
      </c>
      <c r="P255" s="19" t="s">
        <v>60</v>
      </c>
      <c r="Q255">
        <v>2</v>
      </c>
      <c r="R255" s="19" t="s">
        <v>113</v>
      </c>
      <c r="S255">
        <v>68270</v>
      </c>
      <c r="T255" s="19" t="s">
        <v>64</v>
      </c>
      <c r="U255">
        <v>426.69</v>
      </c>
      <c r="V255">
        <v>1</v>
      </c>
      <c r="W255" s="19" t="s">
        <v>55</v>
      </c>
      <c r="X255">
        <v>19</v>
      </c>
      <c r="Y255">
        <v>3</v>
      </c>
      <c r="Z255">
        <v>4</v>
      </c>
      <c r="AA255">
        <v>1</v>
      </c>
      <c r="AB255">
        <v>1</v>
      </c>
      <c r="AC255">
        <v>3</v>
      </c>
      <c r="AD255">
        <v>3</v>
      </c>
      <c r="AE255">
        <v>1</v>
      </c>
      <c r="AF255">
        <v>0</v>
      </c>
      <c r="AG255">
        <v>0</v>
      </c>
      <c r="AH255">
        <v>0</v>
      </c>
      <c r="AI255">
        <v>0</v>
      </c>
      <c r="AJ255" s="19" t="s">
        <v>1561</v>
      </c>
      <c r="AK255" s="19" t="s">
        <v>1562</v>
      </c>
      <c r="AL255">
        <v>1</v>
      </c>
      <c r="AM255" s="19" t="s">
        <v>1565</v>
      </c>
      <c r="AN255">
        <v>0.38403470923150779</v>
      </c>
      <c r="AO255">
        <v>819240</v>
      </c>
    </row>
    <row r="256" spans="1:41" x14ac:dyDescent="0.3">
      <c r="A256" s="19" t="s">
        <v>326</v>
      </c>
      <c r="B256">
        <v>28</v>
      </c>
      <c r="C256" s="19" t="s">
        <v>196</v>
      </c>
      <c r="D256" s="19" t="s">
        <v>55</v>
      </c>
      <c r="E256" s="19" t="s">
        <v>62</v>
      </c>
      <c r="F256">
        <v>783</v>
      </c>
      <c r="G256" s="19" t="s">
        <v>57</v>
      </c>
      <c r="H256">
        <v>1</v>
      </c>
      <c r="I256">
        <v>2</v>
      </c>
      <c r="J256" s="19" t="s">
        <v>50</v>
      </c>
      <c r="K256">
        <v>1927</v>
      </c>
      <c r="L256">
        <v>3</v>
      </c>
      <c r="M256" s="19" t="s">
        <v>51</v>
      </c>
      <c r="N256">
        <v>2</v>
      </c>
      <c r="O256">
        <v>2</v>
      </c>
      <c r="P256" s="19" t="s">
        <v>145</v>
      </c>
      <c r="Q256">
        <v>4</v>
      </c>
      <c r="R256" s="19" t="s">
        <v>113</v>
      </c>
      <c r="S256">
        <v>84763</v>
      </c>
      <c r="T256" s="19" t="s">
        <v>70</v>
      </c>
      <c r="U256">
        <v>529.77</v>
      </c>
      <c r="V256">
        <v>1</v>
      </c>
      <c r="W256" s="19" t="s">
        <v>47</v>
      </c>
      <c r="X256">
        <v>12</v>
      </c>
      <c r="Y256">
        <v>3</v>
      </c>
      <c r="Z256">
        <v>3</v>
      </c>
      <c r="AA256">
        <v>1</v>
      </c>
      <c r="AB256">
        <v>7</v>
      </c>
      <c r="AC256">
        <v>2</v>
      </c>
      <c r="AD256">
        <v>3</v>
      </c>
      <c r="AE256">
        <v>7</v>
      </c>
      <c r="AF256">
        <v>7</v>
      </c>
      <c r="AG256">
        <v>0</v>
      </c>
      <c r="AH256">
        <v>7</v>
      </c>
      <c r="AI256">
        <v>0</v>
      </c>
      <c r="AJ256" s="19" t="s">
        <v>1569</v>
      </c>
      <c r="AK256" s="19" t="s">
        <v>1562</v>
      </c>
      <c r="AL256">
        <v>1</v>
      </c>
      <c r="AM256" s="19" t="s">
        <v>1565</v>
      </c>
      <c r="AN256">
        <v>0.72781304816979742</v>
      </c>
      <c r="AO256">
        <v>1017156</v>
      </c>
    </row>
    <row r="257" spans="1:41" x14ac:dyDescent="0.3">
      <c r="A257" s="19" t="s">
        <v>327</v>
      </c>
      <c r="B257">
        <v>28</v>
      </c>
      <c r="C257" s="19" t="s">
        <v>196</v>
      </c>
      <c r="D257" s="19" t="s">
        <v>47</v>
      </c>
      <c r="E257" s="19" t="s">
        <v>48</v>
      </c>
      <c r="F257">
        <v>1475</v>
      </c>
      <c r="G257" s="19" t="s">
        <v>57</v>
      </c>
      <c r="H257">
        <v>13</v>
      </c>
      <c r="I257">
        <v>2</v>
      </c>
      <c r="J257" s="19" t="s">
        <v>63</v>
      </c>
      <c r="K257">
        <v>1933</v>
      </c>
      <c r="L257">
        <v>4</v>
      </c>
      <c r="M257" s="19" t="s">
        <v>59</v>
      </c>
      <c r="N257">
        <v>3</v>
      </c>
      <c r="O257">
        <v>2</v>
      </c>
      <c r="P257" s="19" t="s">
        <v>145</v>
      </c>
      <c r="Q257">
        <v>3</v>
      </c>
      <c r="R257" s="19" t="s">
        <v>53</v>
      </c>
      <c r="S257">
        <v>9680</v>
      </c>
      <c r="T257" s="19" t="s">
        <v>54</v>
      </c>
      <c r="U257">
        <v>60.5</v>
      </c>
      <c r="V257">
        <v>3</v>
      </c>
      <c r="W257" s="19" t="s">
        <v>47</v>
      </c>
      <c r="X257">
        <v>11</v>
      </c>
      <c r="Y257">
        <v>3</v>
      </c>
      <c r="Z257">
        <v>4</v>
      </c>
      <c r="AA257">
        <v>0</v>
      </c>
      <c r="AB257">
        <v>6</v>
      </c>
      <c r="AC257">
        <v>0</v>
      </c>
      <c r="AD257">
        <v>3</v>
      </c>
      <c r="AE257">
        <v>2</v>
      </c>
      <c r="AF257">
        <v>0</v>
      </c>
      <c r="AG257">
        <v>2</v>
      </c>
      <c r="AH257">
        <v>2</v>
      </c>
      <c r="AI257">
        <v>1</v>
      </c>
      <c r="AJ257" s="19" t="s">
        <v>1566</v>
      </c>
      <c r="AK257" s="19" t="s">
        <v>1562</v>
      </c>
      <c r="AL257">
        <v>1</v>
      </c>
      <c r="AM257" s="19" t="s">
        <v>1565</v>
      </c>
      <c r="AN257">
        <v>-0.80268241678227958</v>
      </c>
      <c r="AO257">
        <v>116160</v>
      </c>
    </row>
    <row r="258" spans="1:41" x14ac:dyDescent="0.3">
      <c r="A258" s="19" t="s">
        <v>328</v>
      </c>
      <c r="B258">
        <v>28</v>
      </c>
      <c r="C258" s="19" t="s">
        <v>196</v>
      </c>
      <c r="D258" s="19" t="s">
        <v>55</v>
      </c>
      <c r="E258" s="19" t="s">
        <v>66</v>
      </c>
      <c r="F258">
        <v>1103</v>
      </c>
      <c r="G258" s="19" t="s">
        <v>49</v>
      </c>
      <c r="H258">
        <v>16</v>
      </c>
      <c r="I258">
        <v>3</v>
      </c>
      <c r="J258" s="19" t="s">
        <v>58</v>
      </c>
      <c r="K258">
        <v>1947</v>
      </c>
      <c r="L258">
        <v>3</v>
      </c>
      <c r="M258" s="19" t="s">
        <v>51</v>
      </c>
      <c r="N258">
        <v>3</v>
      </c>
      <c r="O258">
        <v>1</v>
      </c>
      <c r="P258" s="19" t="s">
        <v>67</v>
      </c>
      <c r="Q258">
        <v>3</v>
      </c>
      <c r="R258" s="19" t="s">
        <v>53</v>
      </c>
      <c r="S258">
        <v>85896</v>
      </c>
      <c r="T258" s="19" t="s">
        <v>70</v>
      </c>
      <c r="U258">
        <v>536.85</v>
      </c>
      <c r="V258">
        <v>1</v>
      </c>
      <c r="W258" s="19" t="s">
        <v>55</v>
      </c>
      <c r="X258">
        <v>14</v>
      </c>
      <c r="Y258">
        <v>3</v>
      </c>
      <c r="Z258">
        <v>3</v>
      </c>
      <c r="AA258">
        <v>0</v>
      </c>
      <c r="AB258">
        <v>5</v>
      </c>
      <c r="AC258">
        <v>3</v>
      </c>
      <c r="AD258">
        <v>2</v>
      </c>
      <c r="AE258">
        <v>5</v>
      </c>
      <c r="AF258">
        <v>3</v>
      </c>
      <c r="AG258">
        <v>1</v>
      </c>
      <c r="AH258">
        <v>4</v>
      </c>
      <c r="AI258">
        <v>0</v>
      </c>
      <c r="AJ258" s="19" t="s">
        <v>1567</v>
      </c>
      <c r="AK258" s="19" t="s">
        <v>1562</v>
      </c>
      <c r="AL258">
        <v>1</v>
      </c>
      <c r="AM258" s="19" t="s">
        <v>1565</v>
      </c>
      <c r="AN258">
        <v>0.7225328606956184</v>
      </c>
      <c r="AO258">
        <v>1030752</v>
      </c>
    </row>
    <row r="259" spans="1:41" x14ac:dyDescent="0.3">
      <c r="A259" s="19" t="s">
        <v>329</v>
      </c>
      <c r="B259">
        <v>28</v>
      </c>
      <c r="C259" s="19" t="s">
        <v>196</v>
      </c>
      <c r="D259" s="19" t="s">
        <v>47</v>
      </c>
      <c r="E259" s="19" t="s">
        <v>48</v>
      </c>
      <c r="F259">
        <v>1404</v>
      </c>
      <c r="G259" s="19" t="s">
        <v>49</v>
      </c>
      <c r="H259">
        <v>17</v>
      </c>
      <c r="I259">
        <v>3</v>
      </c>
      <c r="J259" s="19" t="s">
        <v>77</v>
      </c>
      <c r="K259">
        <v>1960</v>
      </c>
      <c r="L259">
        <v>3</v>
      </c>
      <c r="M259" s="19" t="s">
        <v>51</v>
      </c>
      <c r="N259">
        <v>2</v>
      </c>
      <c r="O259">
        <v>1</v>
      </c>
      <c r="P259" s="19" t="s">
        <v>52</v>
      </c>
      <c r="Q259">
        <v>4</v>
      </c>
      <c r="R259" s="19" t="s">
        <v>53</v>
      </c>
      <c r="S259">
        <v>84879</v>
      </c>
      <c r="T259" s="19" t="s">
        <v>70</v>
      </c>
      <c r="U259">
        <v>530.49</v>
      </c>
      <c r="V259">
        <v>5</v>
      </c>
      <c r="W259" s="19" t="s">
        <v>55</v>
      </c>
      <c r="X259">
        <v>12</v>
      </c>
      <c r="Y259">
        <v>3</v>
      </c>
      <c r="Z259">
        <v>1</v>
      </c>
      <c r="AA259">
        <v>1</v>
      </c>
      <c r="AB259">
        <v>6</v>
      </c>
      <c r="AC259">
        <v>2</v>
      </c>
      <c r="AD259">
        <v>2</v>
      </c>
      <c r="AE259">
        <v>4</v>
      </c>
      <c r="AF259">
        <v>1</v>
      </c>
      <c r="AG259">
        <v>0</v>
      </c>
      <c r="AH259">
        <v>3</v>
      </c>
      <c r="AI259">
        <v>1</v>
      </c>
      <c r="AJ259" s="19" t="s">
        <v>1567</v>
      </c>
      <c r="AK259" s="19" t="s">
        <v>1562</v>
      </c>
      <c r="AL259">
        <v>1</v>
      </c>
      <c r="AM259" s="19" t="s">
        <v>1565</v>
      </c>
      <c r="AN259">
        <v>0.64110630067182339</v>
      </c>
      <c r="AO259">
        <v>1018548</v>
      </c>
    </row>
    <row r="260" spans="1:41" x14ac:dyDescent="0.3">
      <c r="A260" s="19" t="s">
        <v>330</v>
      </c>
      <c r="B260">
        <v>29</v>
      </c>
      <c r="C260" s="19" t="s">
        <v>196</v>
      </c>
      <c r="D260" s="19" t="s">
        <v>55</v>
      </c>
      <c r="E260" s="19" t="s">
        <v>48</v>
      </c>
      <c r="F260">
        <v>153</v>
      </c>
      <c r="G260" s="19" t="s">
        <v>49</v>
      </c>
      <c r="H260">
        <v>15</v>
      </c>
      <c r="I260">
        <v>2</v>
      </c>
      <c r="J260" s="19" t="s">
        <v>50</v>
      </c>
      <c r="K260">
        <v>15</v>
      </c>
      <c r="L260">
        <v>4</v>
      </c>
      <c r="M260" s="19" t="s">
        <v>59</v>
      </c>
      <c r="N260">
        <v>2</v>
      </c>
      <c r="O260">
        <v>2</v>
      </c>
      <c r="P260" s="19" t="s">
        <v>52</v>
      </c>
      <c r="Q260">
        <v>3</v>
      </c>
      <c r="R260" s="19" t="s">
        <v>53</v>
      </c>
      <c r="S260">
        <v>72295</v>
      </c>
      <c r="T260" s="19" t="s">
        <v>64</v>
      </c>
      <c r="U260">
        <v>451.84</v>
      </c>
      <c r="V260">
        <v>0</v>
      </c>
      <c r="W260" s="19" t="s">
        <v>47</v>
      </c>
      <c r="X260">
        <v>12</v>
      </c>
      <c r="Y260">
        <v>3</v>
      </c>
      <c r="Z260">
        <v>4</v>
      </c>
      <c r="AA260">
        <v>0</v>
      </c>
      <c r="AB260">
        <v>10</v>
      </c>
      <c r="AC260">
        <v>3</v>
      </c>
      <c r="AD260">
        <v>3</v>
      </c>
      <c r="AE260">
        <v>9</v>
      </c>
      <c r="AF260">
        <v>5</v>
      </c>
      <c r="AG260">
        <v>0</v>
      </c>
      <c r="AH260">
        <v>8</v>
      </c>
      <c r="AI260">
        <v>0</v>
      </c>
      <c r="AJ260" s="19" t="s">
        <v>1569</v>
      </c>
      <c r="AK260" s="19" t="s">
        <v>1562</v>
      </c>
      <c r="AL260">
        <v>1</v>
      </c>
      <c r="AM260" s="19" t="s">
        <v>1565</v>
      </c>
      <c r="AN260">
        <v>0.39779898451995749</v>
      </c>
      <c r="AO260">
        <v>867540</v>
      </c>
    </row>
    <row r="261" spans="1:41" x14ac:dyDescent="0.3">
      <c r="A261" s="19" t="s">
        <v>331</v>
      </c>
      <c r="B261">
        <v>29</v>
      </c>
      <c r="C261" s="19" t="s">
        <v>196</v>
      </c>
      <c r="D261" s="19" t="s">
        <v>55</v>
      </c>
      <c r="E261" s="19" t="s">
        <v>48</v>
      </c>
      <c r="F261">
        <v>1389</v>
      </c>
      <c r="G261" s="19" t="s">
        <v>49</v>
      </c>
      <c r="H261">
        <v>21</v>
      </c>
      <c r="I261">
        <v>4</v>
      </c>
      <c r="J261" s="19" t="s">
        <v>50</v>
      </c>
      <c r="K261">
        <v>20</v>
      </c>
      <c r="L261">
        <v>2</v>
      </c>
      <c r="M261" s="19" t="s">
        <v>59</v>
      </c>
      <c r="N261">
        <v>4</v>
      </c>
      <c r="O261">
        <v>3</v>
      </c>
      <c r="P261" s="19" t="s">
        <v>120</v>
      </c>
      <c r="Q261">
        <v>1</v>
      </c>
      <c r="R261" s="19" t="s">
        <v>53</v>
      </c>
      <c r="S261">
        <v>89614</v>
      </c>
      <c r="T261" s="19" t="s">
        <v>70</v>
      </c>
      <c r="U261">
        <v>560.09</v>
      </c>
      <c r="V261">
        <v>1</v>
      </c>
      <c r="W261" s="19" t="s">
        <v>55</v>
      </c>
      <c r="X261">
        <v>11</v>
      </c>
      <c r="Y261">
        <v>3</v>
      </c>
      <c r="Z261">
        <v>3</v>
      </c>
      <c r="AA261">
        <v>1</v>
      </c>
      <c r="AB261">
        <v>10</v>
      </c>
      <c r="AC261">
        <v>1</v>
      </c>
      <c r="AD261">
        <v>3</v>
      </c>
      <c r="AE261">
        <v>10</v>
      </c>
      <c r="AF261">
        <v>9</v>
      </c>
      <c r="AG261">
        <v>8</v>
      </c>
      <c r="AH261">
        <v>8</v>
      </c>
      <c r="AI261">
        <v>0</v>
      </c>
      <c r="AJ261" s="19" t="s">
        <v>1569</v>
      </c>
      <c r="AK261" s="19" t="s">
        <v>1570</v>
      </c>
      <c r="AL261">
        <v>2</v>
      </c>
      <c r="AM261" s="19" t="s">
        <v>1564</v>
      </c>
      <c r="AN261">
        <v>1.0231024046410773</v>
      </c>
      <c r="AO261">
        <v>1075368</v>
      </c>
    </row>
    <row r="262" spans="1:41" x14ac:dyDescent="0.3">
      <c r="A262" s="19" t="s">
        <v>332</v>
      </c>
      <c r="B262">
        <v>29</v>
      </c>
      <c r="C262" s="19" t="s">
        <v>196</v>
      </c>
      <c r="D262" s="19" t="s">
        <v>55</v>
      </c>
      <c r="E262" s="19" t="s">
        <v>48</v>
      </c>
      <c r="F262">
        <v>1328</v>
      </c>
      <c r="G262" s="19" t="s">
        <v>49</v>
      </c>
      <c r="H262">
        <v>2</v>
      </c>
      <c r="I262">
        <v>3</v>
      </c>
      <c r="J262" s="19" t="s">
        <v>50</v>
      </c>
      <c r="K262">
        <v>94</v>
      </c>
      <c r="L262">
        <v>3</v>
      </c>
      <c r="M262" s="19" t="s">
        <v>51</v>
      </c>
      <c r="N262">
        <v>3</v>
      </c>
      <c r="O262">
        <v>1</v>
      </c>
      <c r="P262" s="19" t="s">
        <v>67</v>
      </c>
      <c r="Q262">
        <v>2</v>
      </c>
      <c r="R262" s="19" t="s">
        <v>113</v>
      </c>
      <c r="S262">
        <v>12111</v>
      </c>
      <c r="T262" s="19" t="s">
        <v>54</v>
      </c>
      <c r="U262">
        <v>75.69</v>
      </c>
      <c r="V262">
        <v>0</v>
      </c>
      <c r="W262" s="19" t="s">
        <v>55</v>
      </c>
      <c r="X262">
        <v>23</v>
      </c>
      <c r="Y262">
        <v>4</v>
      </c>
      <c r="Z262">
        <v>4</v>
      </c>
      <c r="AA262">
        <v>1</v>
      </c>
      <c r="AB262">
        <v>6</v>
      </c>
      <c r="AC262">
        <v>3</v>
      </c>
      <c r="AD262">
        <v>3</v>
      </c>
      <c r="AE262">
        <v>5</v>
      </c>
      <c r="AF262">
        <v>4</v>
      </c>
      <c r="AG262">
        <v>0</v>
      </c>
      <c r="AH262">
        <v>4</v>
      </c>
      <c r="AI262">
        <v>0</v>
      </c>
      <c r="AJ262" s="19" t="s">
        <v>1567</v>
      </c>
      <c r="AK262" s="19" t="s">
        <v>1562</v>
      </c>
      <c r="AL262">
        <v>1</v>
      </c>
      <c r="AM262" s="19" t="s">
        <v>1565</v>
      </c>
      <c r="AN262">
        <v>-0.75712960468607815</v>
      </c>
      <c r="AO262">
        <v>145332</v>
      </c>
    </row>
    <row r="263" spans="1:41" x14ac:dyDescent="0.3">
      <c r="A263" s="19" t="s">
        <v>333</v>
      </c>
      <c r="B263">
        <v>29</v>
      </c>
      <c r="C263" s="19" t="s">
        <v>196</v>
      </c>
      <c r="D263" s="19" t="s">
        <v>55</v>
      </c>
      <c r="E263" s="19" t="s">
        <v>66</v>
      </c>
      <c r="F263">
        <v>1496</v>
      </c>
      <c r="G263" s="19" t="s">
        <v>49</v>
      </c>
      <c r="H263">
        <v>1</v>
      </c>
      <c r="I263">
        <v>1</v>
      </c>
      <c r="J263" s="19" t="s">
        <v>77</v>
      </c>
      <c r="K263">
        <v>208</v>
      </c>
      <c r="L263">
        <v>4</v>
      </c>
      <c r="M263" s="19" t="s">
        <v>51</v>
      </c>
      <c r="N263">
        <v>3</v>
      </c>
      <c r="O263">
        <v>2</v>
      </c>
      <c r="P263" s="19" t="s">
        <v>120</v>
      </c>
      <c r="Q263">
        <v>3</v>
      </c>
      <c r="R263" s="19" t="s">
        <v>113</v>
      </c>
      <c r="S263">
        <v>38504</v>
      </c>
      <c r="T263" s="19" t="s">
        <v>72</v>
      </c>
      <c r="U263">
        <v>240.65</v>
      </c>
      <c r="V263">
        <v>1</v>
      </c>
      <c r="W263" s="19" t="s">
        <v>55</v>
      </c>
      <c r="X263">
        <v>13</v>
      </c>
      <c r="Y263">
        <v>3</v>
      </c>
      <c r="Z263">
        <v>1</v>
      </c>
      <c r="AA263">
        <v>1</v>
      </c>
      <c r="AB263">
        <v>10</v>
      </c>
      <c r="AC263">
        <v>1</v>
      </c>
      <c r="AD263">
        <v>3</v>
      </c>
      <c r="AE263">
        <v>10</v>
      </c>
      <c r="AF263">
        <v>7</v>
      </c>
      <c r="AG263">
        <v>0</v>
      </c>
      <c r="AH263">
        <v>9</v>
      </c>
      <c r="AI263">
        <v>0</v>
      </c>
      <c r="AJ263" s="19" t="s">
        <v>1569</v>
      </c>
      <c r="AK263" s="19" t="s">
        <v>1562</v>
      </c>
      <c r="AL263">
        <v>0</v>
      </c>
      <c r="AM263" s="19" t="s">
        <v>1563</v>
      </c>
      <c r="AN263">
        <v>-0.13074368973263059</v>
      </c>
      <c r="AO263">
        <v>462048</v>
      </c>
    </row>
    <row r="264" spans="1:41" x14ac:dyDescent="0.3">
      <c r="A264" s="19" t="s">
        <v>334</v>
      </c>
      <c r="B264">
        <v>29</v>
      </c>
      <c r="C264" s="19" t="s">
        <v>196</v>
      </c>
      <c r="D264" s="19" t="s">
        <v>47</v>
      </c>
      <c r="E264" s="19" t="s">
        <v>48</v>
      </c>
      <c r="F264">
        <v>121</v>
      </c>
      <c r="G264" s="19" t="s">
        <v>57</v>
      </c>
      <c r="H264">
        <v>27</v>
      </c>
      <c r="I264">
        <v>3</v>
      </c>
      <c r="J264" s="19" t="s">
        <v>63</v>
      </c>
      <c r="K264">
        <v>283</v>
      </c>
      <c r="L264">
        <v>2</v>
      </c>
      <c r="M264" s="19" t="s">
        <v>59</v>
      </c>
      <c r="N264">
        <v>3</v>
      </c>
      <c r="O264">
        <v>3</v>
      </c>
      <c r="P264" s="19" t="s">
        <v>145</v>
      </c>
      <c r="Q264">
        <v>4</v>
      </c>
      <c r="R264" s="19" t="s">
        <v>113</v>
      </c>
      <c r="S264">
        <v>2802</v>
      </c>
      <c r="T264" s="19" t="s">
        <v>54</v>
      </c>
      <c r="U264">
        <v>17.510000000000002</v>
      </c>
      <c r="V264">
        <v>1</v>
      </c>
      <c r="W264" s="19" t="s">
        <v>55</v>
      </c>
      <c r="X264">
        <v>22</v>
      </c>
      <c r="Y264">
        <v>4</v>
      </c>
      <c r="Z264">
        <v>4</v>
      </c>
      <c r="AA264">
        <v>3</v>
      </c>
      <c r="AB264">
        <v>10</v>
      </c>
      <c r="AC264">
        <v>3</v>
      </c>
      <c r="AD264">
        <v>2</v>
      </c>
      <c r="AE264">
        <v>10</v>
      </c>
      <c r="AF264">
        <v>4</v>
      </c>
      <c r="AG264">
        <v>1</v>
      </c>
      <c r="AH264">
        <v>4</v>
      </c>
      <c r="AI264">
        <v>1</v>
      </c>
      <c r="AJ264" s="19" t="s">
        <v>1569</v>
      </c>
      <c r="AK264" s="19" t="s">
        <v>1562</v>
      </c>
      <c r="AL264">
        <v>1</v>
      </c>
      <c r="AM264" s="19" t="s">
        <v>1565</v>
      </c>
      <c r="AN264">
        <v>-0.94288389791569704</v>
      </c>
      <c r="AO264">
        <v>33624</v>
      </c>
    </row>
    <row r="265" spans="1:41" x14ac:dyDescent="0.3">
      <c r="A265" s="19" t="s">
        <v>335</v>
      </c>
      <c r="B265">
        <v>29</v>
      </c>
      <c r="C265" s="19" t="s">
        <v>196</v>
      </c>
      <c r="D265" s="19" t="s">
        <v>47</v>
      </c>
      <c r="E265" s="19" t="s">
        <v>48</v>
      </c>
      <c r="F265">
        <v>992</v>
      </c>
      <c r="G265" s="19" t="s">
        <v>49</v>
      </c>
      <c r="H265">
        <v>1</v>
      </c>
      <c r="I265">
        <v>3</v>
      </c>
      <c r="J265" s="19" t="s">
        <v>77</v>
      </c>
      <c r="K265">
        <v>300</v>
      </c>
      <c r="L265">
        <v>3</v>
      </c>
      <c r="M265" s="19" t="s">
        <v>51</v>
      </c>
      <c r="N265">
        <v>3</v>
      </c>
      <c r="O265">
        <v>1</v>
      </c>
      <c r="P265" s="19" t="s">
        <v>67</v>
      </c>
      <c r="Q265">
        <v>3</v>
      </c>
      <c r="R265" s="19" t="s">
        <v>53</v>
      </c>
      <c r="S265">
        <v>9155</v>
      </c>
      <c r="T265" s="19" t="s">
        <v>54</v>
      </c>
      <c r="U265">
        <v>57.22</v>
      </c>
      <c r="V265">
        <v>0</v>
      </c>
      <c r="W265" s="19" t="s">
        <v>55</v>
      </c>
      <c r="X265">
        <v>14</v>
      </c>
      <c r="Y265">
        <v>3</v>
      </c>
      <c r="Z265">
        <v>4</v>
      </c>
      <c r="AA265">
        <v>0</v>
      </c>
      <c r="AB265">
        <v>7</v>
      </c>
      <c r="AC265">
        <v>1</v>
      </c>
      <c r="AD265">
        <v>2</v>
      </c>
      <c r="AE265">
        <v>6</v>
      </c>
      <c r="AF265">
        <v>2</v>
      </c>
      <c r="AG265">
        <v>1</v>
      </c>
      <c r="AH265">
        <v>5</v>
      </c>
      <c r="AI265">
        <v>1</v>
      </c>
      <c r="AJ265" s="19" t="s">
        <v>1569</v>
      </c>
      <c r="AK265" s="19" t="s">
        <v>1562</v>
      </c>
      <c r="AL265">
        <v>1</v>
      </c>
      <c r="AM265" s="19" t="s">
        <v>1565</v>
      </c>
      <c r="AN265">
        <v>-0.81640835033449299</v>
      </c>
      <c r="AO265">
        <v>109860</v>
      </c>
    </row>
    <row r="266" spans="1:41" x14ac:dyDescent="0.3">
      <c r="A266" s="19" t="s">
        <v>336</v>
      </c>
      <c r="B266">
        <v>29</v>
      </c>
      <c r="C266" s="19" t="s">
        <v>196</v>
      </c>
      <c r="D266" s="19" t="s">
        <v>55</v>
      </c>
      <c r="E266" s="19" t="s">
        <v>62</v>
      </c>
      <c r="F266">
        <v>1413</v>
      </c>
      <c r="G266" s="19" t="s">
        <v>57</v>
      </c>
      <c r="H266">
        <v>1</v>
      </c>
      <c r="I266">
        <v>1</v>
      </c>
      <c r="J266" s="19" t="s">
        <v>58</v>
      </c>
      <c r="K266">
        <v>312</v>
      </c>
      <c r="L266">
        <v>2</v>
      </c>
      <c r="M266" s="19" t="s">
        <v>59</v>
      </c>
      <c r="N266">
        <v>3</v>
      </c>
      <c r="O266">
        <v>3</v>
      </c>
      <c r="P266" s="19" t="s">
        <v>145</v>
      </c>
      <c r="Q266">
        <v>4</v>
      </c>
      <c r="R266" s="19" t="s">
        <v>113</v>
      </c>
      <c r="S266">
        <v>74656</v>
      </c>
      <c r="T266" s="19" t="s">
        <v>64</v>
      </c>
      <c r="U266">
        <v>466.6</v>
      </c>
      <c r="V266">
        <v>1</v>
      </c>
      <c r="W266" s="19" t="s">
        <v>55</v>
      </c>
      <c r="X266">
        <v>14</v>
      </c>
      <c r="Y266">
        <v>3</v>
      </c>
      <c r="Z266">
        <v>4</v>
      </c>
      <c r="AA266">
        <v>1</v>
      </c>
      <c r="AB266">
        <v>11</v>
      </c>
      <c r="AC266">
        <v>5</v>
      </c>
      <c r="AD266">
        <v>3</v>
      </c>
      <c r="AE266">
        <v>11</v>
      </c>
      <c r="AF266">
        <v>10</v>
      </c>
      <c r="AG266">
        <v>4</v>
      </c>
      <c r="AH266">
        <v>1</v>
      </c>
      <c r="AI266">
        <v>0</v>
      </c>
      <c r="AJ266" s="19" t="s">
        <v>1571</v>
      </c>
      <c r="AK266" s="19" t="s">
        <v>1570</v>
      </c>
      <c r="AL266">
        <v>1</v>
      </c>
      <c r="AM266" s="19" t="s">
        <v>1565</v>
      </c>
      <c r="AN266">
        <v>0.52179147651881597</v>
      </c>
      <c r="AO266">
        <v>895872</v>
      </c>
    </row>
    <row r="267" spans="1:41" x14ac:dyDescent="0.3">
      <c r="A267" s="19" t="s">
        <v>337</v>
      </c>
      <c r="B267">
        <v>29</v>
      </c>
      <c r="C267" s="19" t="s">
        <v>196</v>
      </c>
      <c r="D267" s="19" t="s">
        <v>47</v>
      </c>
      <c r="E267" s="19" t="s">
        <v>48</v>
      </c>
      <c r="F267">
        <v>896</v>
      </c>
      <c r="G267" s="19" t="s">
        <v>49</v>
      </c>
      <c r="H267">
        <v>18</v>
      </c>
      <c r="I267">
        <v>1</v>
      </c>
      <c r="J267" s="19" t="s">
        <v>58</v>
      </c>
      <c r="K267">
        <v>315</v>
      </c>
      <c r="L267">
        <v>3</v>
      </c>
      <c r="M267" s="19" t="s">
        <v>51</v>
      </c>
      <c r="N267">
        <v>2</v>
      </c>
      <c r="O267">
        <v>1</v>
      </c>
      <c r="P267" s="19" t="s">
        <v>67</v>
      </c>
      <c r="Q267">
        <v>4</v>
      </c>
      <c r="R267" s="19" t="s">
        <v>53</v>
      </c>
      <c r="S267">
        <v>40384</v>
      </c>
      <c r="T267" s="19" t="s">
        <v>72</v>
      </c>
      <c r="U267">
        <v>252.4</v>
      </c>
      <c r="V267">
        <v>1</v>
      </c>
      <c r="W267" s="19" t="s">
        <v>47</v>
      </c>
      <c r="X267">
        <v>13</v>
      </c>
      <c r="Y267">
        <v>3</v>
      </c>
      <c r="Z267">
        <v>3</v>
      </c>
      <c r="AA267">
        <v>0</v>
      </c>
      <c r="AB267">
        <v>4</v>
      </c>
      <c r="AC267">
        <v>3</v>
      </c>
      <c r="AD267">
        <v>2</v>
      </c>
      <c r="AE267">
        <v>4</v>
      </c>
      <c r="AF267">
        <v>3</v>
      </c>
      <c r="AG267">
        <v>0</v>
      </c>
      <c r="AH267">
        <v>1</v>
      </c>
      <c r="AI267">
        <v>1</v>
      </c>
      <c r="AJ267" s="19" t="s">
        <v>1567</v>
      </c>
      <c r="AK267" s="19" t="s">
        <v>1562</v>
      </c>
      <c r="AL267">
        <v>2</v>
      </c>
      <c r="AM267" s="19" t="s">
        <v>1564</v>
      </c>
      <c r="AN267">
        <v>-0.19015126378024758</v>
      </c>
      <c r="AO267">
        <v>484608</v>
      </c>
    </row>
    <row r="268" spans="1:41" x14ac:dyDescent="0.3">
      <c r="A268" s="19" t="s">
        <v>338</v>
      </c>
      <c r="B268">
        <v>29</v>
      </c>
      <c r="C268" s="19" t="s">
        <v>196</v>
      </c>
      <c r="D268" s="19" t="s">
        <v>55</v>
      </c>
      <c r="E268" s="19" t="s">
        <v>48</v>
      </c>
      <c r="F268">
        <v>665</v>
      </c>
      <c r="G268" s="19" t="s">
        <v>49</v>
      </c>
      <c r="H268">
        <v>15</v>
      </c>
      <c r="I268">
        <v>3</v>
      </c>
      <c r="J268" s="19" t="s">
        <v>50</v>
      </c>
      <c r="K268">
        <v>346</v>
      </c>
      <c r="L268">
        <v>3</v>
      </c>
      <c r="M268" s="19" t="s">
        <v>51</v>
      </c>
      <c r="N268">
        <v>3</v>
      </c>
      <c r="O268">
        <v>1</v>
      </c>
      <c r="P268" s="19" t="s">
        <v>67</v>
      </c>
      <c r="Q268">
        <v>4</v>
      </c>
      <c r="R268" s="19" t="s">
        <v>53</v>
      </c>
      <c r="S268">
        <v>48254</v>
      </c>
      <c r="T268" s="19" t="s">
        <v>72</v>
      </c>
      <c r="U268">
        <v>301.58999999999997</v>
      </c>
      <c r="V268">
        <v>1</v>
      </c>
      <c r="W268" s="19" t="s">
        <v>55</v>
      </c>
      <c r="X268">
        <v>19</v>
      </c>
      <c r="Y268">
        <v>3</v>
      </c>
      <c r="Z268">
        <v>1</v>
      </c>
      <c r="AA268">
        <v>0</v>
      </c>
      <c r="AB268">
        <v>6</v>
      </c>
      <c r="AC268">
        <v>1</v>
      </c>
      <c r="AD268">
        <v>3</v>
      </c>
      <c r="AE268">
        <v>6</v>
      </c>
      <c r="AF268">
        <v>5</v>
      </c>
      <c r="AG268">
        <v>1</v>
      </c>
      <c r="AH268">
        <v>5</v>
      </c>
      <c r="AI268">
        <v>0</v>
      </c>
      <c r="AJ268" s="19" t="s">
        <v>1569</v>
      </c>
      <c r="AK268" s="19" t="s">
        <v>1562</v>
      </c>
      <c r="AL268">
        <v>0</v>
      </c>
      <c r="AM268" s="19" t="s">
        <v>1563</v>
      </c>
      <c r="AN268">
        <v>-3.2328622287343178E-2</v>
      </c>
      <c r="AO268">
        <v>579048</v>
      </c>
    </row>
    <row r="269" spans="1:41" x14ac:dyDescent="0.3">
      <c r="A269" s="19" t="s">
        <v>339</v>
      </c>
      <c r="B269">
        <v>29</v>
      </c>
      <c r="C269" s="19" t="s">
        <v>196</v>
      </c>
      <c r="D269" s="19" t="s">
        <v>55</v>
      </c>
      <c r="E269" s="19" t="s">
        <v>48</v>
      </c>
      <c r="F269">
        <v>1247</v>
      </c>
      <c r="G269" s="19" t="s">
        <v>57</v>
      </c>
      <c r="H269">
        <v>20</v>
      </c>
      <c r="I269">
        <v>2</v>
      </c>
      <c r="J269" s="19" t="s">
        <v>63</v>
      </c>
      <c r="K269">
        <v>349</v>
      </c>
      <c r="L269">
        <v>4</v>
      </c>
      <c r="M269" s="19" t="s">
        <v>51</v>
      </c>
      <c r="N269">
        <v>3</v>
      </c>
      <c r="O269">
        <v>2</v>
      </c>
      <c r="P269" s="19" t="s">
        <v>145</v>
      </c>
      <c r="Q269">
        <v>4</v>
      </c>
      <c r="R269" s="19" t="s">
        <v>53</v>
      </c>
      <c r="S269">
        <v>22918</v>
      </c>
      <c r="T269" s="19" t="s">
        <v>54</v>
      </c>
      <c r="U269">
        <v>143.24</v>
      </c>
      <c r="V269">
        <v>2</v>
      </c>
      <c r="W269" s="19" t="s">
        <v>55</v>
      </c>
      <c r="X269">
        <v>14</v>
      </c>
      <c r="Y269">
        <v>3</v>
      </c>
      <c r="Z269">
        <v>4</v>
      </c>
      <c r="AA269">
        <v>1</v>
      </c>
      <c r="AB269">
        <v>10</v>
      </c>
      <c r="AC269">
        <v>2</v>
      </c>
      <c r="AD269">
        <v>3</v>
      </c>
      <c r="AE269">
        <v>3</v>
      </c>
      <c r="AF269">
        <v>2</v>
      </c>
      <c r="AG269">
        <v>0</v>
      </c>
      <c r="AH269">
        <v>2</v>
      </c>
      <c r="AI269">
        <v>0</v>
      </c>
      <c r="AJ269" s="19" t="s">
        <v>1566</v>
      </c>
      <c r="AK269" s="19" t="s">
        <v>1562</v>
      </c>
      <c r="AL269">
        <v>0</v>
      </c>
      <c r="AM269" s="19" t="s">
        <v>1563</v>
      </c>
      <c r="AN269">
        <v>-0.53283839130333499</v>
      </c>
      <c r="AO269">
        <v>275016</v>
      </c>
    </row>
    <row r="270" spans="1:41" x14ac:dyDescent="0.3">
      <c r="A270" s="19" t="s">
        <v>340</v>
      </c>
      <c r="B270">
        <v>29</v>
      </c>
      <c r="C270" s="19" t="s">
        <v>196</v>
      </c>
      <c r="D270" s="19" t="s">
        <v>55</v>
      </c>
      <c r="E270" s="19" t="s">
        <v>48</v>
      </c>
      <c r="F270">
        <v>1210</v>
      </c>
      <c r="G270" s="19" t="s">
        <v>57</v>
      </c>
      <c r="H270">
        <v>2</v>
      </c>
      <c r="I270">
        <v>3</v>
      </c>
      <c r="J270" s="19" t="s">
        <v>58</v>
      </c>
      <c r="K270">
        <v>366</v>
      </c>
      <c r="L270">
        <v>1</v>
      </c>
      <c r="M270" s="19" t="s">
        <v>51</v>
      </c>
      <c r="N270">
        <v>2</v>
      </c>
      <c r="O270">
        <v>2</v>
      </c>
      <c r="P270" s="19" t="s">
        <v>145</v>
      </c>
      <c r="Q270">
        <v>2</v>
      </c>
      <c r="R270" s="19" t="s">
        <v>113</v>
      </c>
      <c r="S270">
        <v>86981</v>
      </c>
      <c r="T270" s="19" t="s">
        <v>70</v>
      </c>
      <c r="U270">
        <v>543.63</v>
      </c>
      <c r="V270">
        <v>2</v>
      </c>
      <c r="W270" s="19" t="s">
        <v>55</v>
      </c>
      <c r="X270">
        <v>19</v>
      </c>
      <c r="Y270">
        <v>3</v>
      </c>
      <c r="Z270">
        <v>2</v>
      </c>
      <c r="AA270">
        <v>2</v>
      </c>
      <c r="AB270">
        <v>10</v>
      </c>
      <c r="AC270">
        <v>2</v>
      </c>
      <c r="AD270">
        <v>3</v>
      </c>
      <c r="AE270">
        <v>0</v>
      </c>
      <c r="AF270">
        <v>0</v>
      </c>
      <c r="AG270">
        <v>0</v>
      </c>
      <c r="AH270">
        <v>0</v>
      </c>
      <c r="AI270">
        <v>0</v>
      </c>
      <c r="AJ270" s="19" t="s">
        <v>1561</v>
      </c>
      <c r="AK270" s="19" t="s">
        <v>1562</v>
      </c>
      <c r="AL270">
        <v>1</v>
      </c>
      <c r="AM270" s="19" t="s">
        <v>1565</v>
      </c>
      <c r="AN270">
        <v>0.77302486630790734</v>
      </c>
      <c r="AO270">
        <v>1043772</v>
      </c>
    </row>
    <row r="271" spans="1:41" x14ac:dyDescent="0.3">
      <c r="A271" s="19" t="s">
        <v>341</v>
      </c>
      <c r="B271">
        <v>29</v>
      </c>
      <c r="C271" s="19" t="s">
        <v>196</v>
      </c>
      <c r="D271" s="19" t="s">
        <v>55</v>
      </c>
      <c r="E271" s="19" t="s">
        <v>62</v>
      </c>
      <c r="F271">
        <v>442</v>
      </c>
      <c r="G271" s="19" t="s">
        <v>57</v>
      </c>
      <c r="H271">
        <v>2</v>
      </c>
      <c r="I271">
        <v>2</v>
      </c>
      <c r="J271" s="19" t="s">
        <v>50</v>
      </c>
      <c r="K271">
        <v>388</v>
      </c>
      <c r="L271">
        <v>2</v>
      </c>
      <c r="M271" s="19" t="s">
        <v>51</v>
      </c>
      <c r="N271">
        <v>3</v>
      </c>
      <c r="O271">
        <v>2</v>
      </c>
      <c r="P271" s="19" t="s">
        <v>145</v>
      </c>
      <c r="Q271">
        <v>4</v>
      </c>
      <c r="R271" s="19" t="s">
        <v>53</v>
      </c>
      <c r="S271">
        <v>61713</v>
      </c>
      <c r="T271" s="19" t="s">
        <v>64</v>
      </c>
      <c r="U271">
        <v>385.71</v>
      </c>
      <c r="V271">
        <v>1</v>
      </c>
      <c r="W271" s="19" t="s">
        <v>55</v>
      </c>
      <c r="X271">
        <v>18</v>
      </c>
      <c r="Y271">
        <v>3</v>
      </c>
      <c r="Z271">
        <v>1</v>
      </c>
      <c r="AA271">
        <v>0</v>
      </c>
      <c r="AB271">
        <v>10</v>
      </c>
      <c r="AC271">
        <v>3</v>
      </c>
      <c r="AD271">
        <v>2</v>
      </c>
      <c r="AE271">
        <v>10</v>
      </c>
      <c r="AF271">
        <v>7</v>
      </c>
      <c r="AG271">
        <v>0</v>
      </c>
      <c r="AH271">
        <v>9</v>
      </c>
      <c r="AI271">
        <v>0</v>
      </c>
      <c r="AJ271" s="19" t="s">
        <v>1569</v>
      </c>
      <c r="AK271" s="19" t="s">
        <v>1562</v>
      </c>
      <c r="AL271">
        <v>1</v>
      </c>
      <c r="AM271" s="19" t="s">
        <v>1565</v>
      </c>
      <c r="AN271">
        <v>0.25796074515652712</v>
      </c>
      <c r="AO271">
        <v>740556</v>
      </c>
    </row>
    <row r="272" spans="1:41" x14ac:dyDescent="0.3">
      <c r="A272" s="19" t="s">
        <v>342</v>
      </c>
      <c r="B272">
        <v>29</v>
      </c>
      <c r="C272" s="19" t="s">
        <v>196</v>
      </c>
      <c r="D272" s="19" t="s">
        <v>47</v>
      </c>
      <c r="E272" s="19" t="s">
        <v>48</v>
      </c>
      <c r="F272">
        <v>318</v>
      </c>
      <c r="G272" s="19" t="s">
        <v>49</v>
      </c>
      <c r="H272">
        <v>8</v>
      </c>
      <c r="I272">
        <v>4</v>
      </c>
      <c r="J272" s="19" t="s">
        <v>82</v>
      </c>
      <c r="K272">
        <v>454</v>
      </c>
      <c r="L272">
        <v>2</v>
      </c>
      <c r="M272" s="19" t="s">
        <v>51</v>
      </c>
      <c r="N272">
        <v>1</v>
      </c>
      <c r="O272">
        <v>1</v>
      </c>
      <c r="P272" s="19" t="s">
        <v>52</v>
      </c>
      <c r="Q272">
        <v>1</v>
      </c>
      <c r="R272" s="19" t="s">
        <v>113</v>
      </c>
      <c r="S272">
        <v>31306</v>
      </c>
      <c r="T272" s="19" t="s">
        <v>72</v>
      </c>
      <c r="U272">
        <v>195.66</v>
      </c>
      <c r="V272">
        <v>1</v>
      </c>
      <c r="W272" s="19" t="s">
        <v>47</v>
      </c>
      <c r="X272">
        <v>11</v>
      </c>
      <c r="Y272">
        <v>3</v>
      </c>
      <c r="Z272">
        <v>4</v>
      </c>
      <c r="AA272">
        <v>0</v>
      </c>
      <c r="AB272">
        <v>7</v>
      </c>
      <c r="AC272">
        <v>4</v>
      </c>
      <c r="AD272">
        <v>2</v>
      </c>
      <c r="AE272">
        <v>7</v>
      </c>
      <c r="AF272">
        <v>7</v>
      </c>
      <c r="AG272">
        <v>0</v>
      </c>
      <c r="AH272">
        <v>7</v>
      </c>
      <c r="AI272">
        <v>1</v>
      </c>
      <c r="AJ272" s="19" t="s">
        <v>1569</v>
      </c>
      <c r="AK272" s="19" t="s">
        <v>1562</v>
      </c>
      <c r="AL272">
        <v>3</v>
      </c>
      <c r="AM272" s="19" t="s">
        <v>1568</v>
      </c>
      <c r="AN272">
        <v>-0.39470924670610985</v>
      </c>
      <c r="AO272">
        <v>375672</v>
      </c>
    </row>
    <row r="273" spans="1:41" x14ac:dyDescent="0.3">
      <c r="A273" s="19" t="s">
        <v>343</v>
      </c>
      <c r="B273">
        <v>29</v>
      </c>
      <c r="C273" s="19" t="s">
        <v>196</v>
      </c>
      <c r="D273" s="19" t="s">
        <v>55</v>
      </c>
      <c r="E273" s="19" t="s">
        <v>48</v>
      </c>
      <c r="F273">
        <v>738</v>
      </c>
      <c r="G273" s="19" t="s">
        <v>49</v>
      </c>
      <c r="H273">
        <v>9</v>
      </c>
      <c r="I273">
        <v>5</v>
      </c>
      <c r="J273" s="19" t="s">
        <v>82</v>
      </c>
      <c r="K273">
        <v>455</v>
      </c>
      <c r="L273">
        <v>2</v>
      </c>
      <c r="M273" s="19" t="s">
        <v>51</v>
      </c>
      <c r="N273">
        <v>2</v>
      </c>
      <c r="O273">
        <v>1</v>
      </c>
      <c r="P273" s="19" t="s">
        <v>52</v>
      </c>
      <c r="Q273">
        <v>4</v>
      </c>
      <c r="R273" s="19" t="s">
        <v>53</v>
      </c>
      <c r="S273">
        <v>17646</v>
      </c>
      <c r="T273" s="19" t="s">
        <v>54</v>
      </c>
      <c r="U273">
        <v>110.29</v>
      </c>
      <c r="V273">
        <v>0</v>
      </c>
      <c r="W273" s="19" t="s">
        <v>55</v>
      </c>
      <c r="X273">
        <v>17</v>
      </c>
      <c r="Y273">
        <v>3</v>
      </c>
      <c r="Z273">
        <v>3</v>
      </c>
      <c r="AA273">
        <v>0</v>
      </c>
      <c r="AB273">
        <v>4</v>
      </c>
      <c r="AC273">
        <v>2</v>
      </c>
      <c r="AD273">
        <v>3</v>
      </c>
      <c r="AE273">
        <v>3</v>
      </c>
      <c r="AF273">
        <v>2</v>
      </c>
      <c r="AG273">
        <v>2</v>
      </c>
      <c r="AH273">
        <v>2</v>
      </c>
      <c r="AI273">
        <v>0</v>
      </c>
      <c r="AJ273" s="19" t="s">
        <v>1566</v>
      </c>
      <c r="AK273" s="19" t="s">
        <v>1562</v>
      </c>
      <c r="AL273">
        <v>0</v>
      </c>
      <c r="AM273" s="19" t="s">
        <v>1563</v>
      </c>
      <c r="AN273">
        <v>-0.65882065314559557</v>
      </c>
      <c r="AO273">
        <v>211752</v>
      </c>
    </row>
    <row r="274" spans="1:41" x14ac:dyDescent="0.3">
      <c r="A274" s="19" t="s">
        <v>344</v>
      </c>
      <c r="B274">
        <v>29</v>
      </c>
      <c r="C274" s="19" t="s">
        <v>196</v>
      </c>
      <c r="D274" s="19" t="s">
        <v>55</v>
      </c>
      <c r="E274" s="19" t="s">
        <v>48</v>
      </c>
      <c r="F274">
        <v>144</v>
      </c>
      <c r="G274" s="19" t="s">
        <v>57</v>
      </c>
      <c r="H274">
        <v>10</v>
      </c>
      <c r="I274">
        <v>1</v>
      </c>
      <c r="J274" s="19" t="s">
        <v>63</v>
      </c>
      <c r="K274">
        <v>463</v>
      </c>
      <c r="L274">
        <v>4</v>
      </c>
      <c r="M274" s="19" t="s">
        <v>59</v>
      </c>
      <c r="N274">
        <v>2</v>
      </c>
      <c r="O274">
        <v>2</v>
      </c>
      <c r="P274" s="19" t="s">
        <v>145</v>
      </c>
      <c r="Q274">
        <v>2</v>
      </c>
      <c r="R274" s="19" t="s">
        <v>53</v>
      </c>
      <c r="S274">
        <v>47843</v>
      </c>
      <c r="T274" s="19" t="s">
        <v>72</v>
      </c>
      <c r="U274">
        <v>299.02</v>
      </c>
      <c r="V274">
        <v>1</v>
      </c>
      <c r="W274" s="19" t="s">
        <v>47</v>
      </c>
      <c r="X274">
        <v>14</v>
      </c>
      <c r="Y274">
        <v>3</v>
      </c>
      <c r="Z274">
        <v>1</v>
      </c>
      <c r="AA274">
        <v>2</v>
      </c>
      <c r="AB274">
        <v>7</v>
      </c>
      <c r="AC274">
        <v>2</v>
      </c>
      <c r="AD274">
        <v>3</v>
      </c>
      <c r="AE274">
        <v>7</v>
      </c>
      <c r="AF274">
        <v>7</v>
      </c>
      <c r="AG274">
        <v>1</v>
      </c>
      <c r="AH274">
        <v>7</v>
      </c>
      <c r="AI274">
        <v>0</v>
      </c>
      <c r="AJ274" s="19" t="s">
        <v>1569</v>
      </c>
      <c r="AK274" s="19" t="s">
        <v>1562</v>
      </c>
      <c r="AL274">
        <v>2</v>
      </c>
      <c r="AM274" s="19" t="s">
        <v>1564</v>
      </c>
      <c r="AN274">
        <v>-2.4765998565557886E-2</v>
      </c>
      <c r="AO274">
        <v>574116</v>
      </c>
    </row>
    <row r="275" spans="1:41" x14ac:dyDescent="0.3">
      <c r="A275" s="19" t="s">
        <v>345</v>
      </c>
      <c r="B275">
        <v>29</v>
      </c>
      <c r="C275" s="19" t="s">
        <v>196</v>
      </c>
      <c r="D275" s="19" t="s">
        <v>55</v>
      </c>
      <c r="E275" s="19" t="s">
        <v>66</v>
      </c>
      <c r="F275">
        <v>746</v>
      </c>
      <c r="G275" s="19" t="s">
        <v>57</v>
      </c>
      <c r="H275">
        <v>2</v>
      </c>
      <c r="I275">
        <v>3</v>
      </c>
      <c r="J275" s="19" t="s">
        <v>50</v>
      </c>
      <c r="K275">
        <v>469</v>
      </c>
      <c r="L275">
        <v>4</v>
      </c>
      <c r="M275" s="19" t="s">
        <v>51</v>
      </c>
      <c r="N275">
        <v>3</v>
      </c>
      <c r="O275">
        <v>2</v>
      </c>
      <c r="P275" s="19" t="s">
        <v>145</v>
      </c>
      <c r="Q275">
        <v>3</v>
      </c>
      <c r="R275" s="19" t="s">
        <v>113</v>
      </c>
      <c r="S275">
        <v>97601</v>
      </c>
      <c r="T275" s="19" t="s">
        <v>70</v>
      </c>
      <c r="U275">
        <v>610.01</v>
      </c>
      <c r="V275">
        <v>1</v>
      </c>
      <c r="W275" s="19" t="s">
        <v>55</v>
      </c>
      <c r="X275">
        <v>14</v>
      </c>
      <c r="Y275">
        <v>3</v>
      </c>
      <c r="Z275">
        <v>1</v>
      </c>
      <c r="AA275">
        <v>1</v>
      </c>
      <c r="AB275">
        <v>4</v>
      </c>
      <c r="AC275">
        <v>3</v>
      </c>
      <c r="AD275">
        <v>2</v>
      </c>
      <c r="AE275">
        <v>4</v>
      </c>
      <c r="AF275">
        <v>3</v>
      </c>
      <c r="AG275">
        <v>0</v>
      </c>
      <c r="AH275">
        <v>2</v>
      </c>
      <c r="AI275">
        <v>0</v>
      </c>
      <c r="AJ275" s="19" t="s">
        <v>1567</v>
      </c>
      <c r="AK275" s="19" t="s">
        <v>1562</v>
      </c>
      <c r="AL275">
        <v>1</v>
      </c>
      <c r="AM275" s="19" t="s">
        <v>1565</v>
      </c>
      <c r="AN275">
        <v>0.98950345450751387</v>
      </c>
      <c r="AO275">
        <v>1171212</v>
      </c>
    </row>
    <row r="276" spans="1:41" x14ac:dyDescent="0.3">
      <c r="A276" s="19" t="s">
        <v>346</v>
      </c>
      <c r="B276">
        <v>29</v>
      </c>
      <c r="C276" s="19" t="s">
        <v>196</v>
      </c>
      <c r="D276" s="19" t="s">
        <v>55</v>
      </c>
      <c r="E276" s="19" t="s">
        <v>48</v>
      </c>
      <c r="F276">
        <v>1283</v>
      </c>
      <c r="G276" s="19" t="s">
        <v>49</v>
      </c>
      <c r="H276">
        <v>23</v>
      </c>
      <c r="I276">
        <v>3</v>
      </c>
      <c r="J276" s="19" t="s">
        <v>50</v>
      </c>
      <c r="K276">
        <v>495</v>
      </c>
      <c r="L276">
        <v>4</v>
      </c>
      <c r="M276" s="19" t="s">
        <v>51</v>
      </c>
      <c r="N276">
        <v>3</v>
      </c>
      <c r="O276">
        <v>1</v>
      </c>
      <c r="P276" s="19" t="s">
        <v>67</v>
      </c>
      <c r="Q276">
        <v>4</v>
      </c>
      <c r="R276" s="19" t="s">
        <v>53</v>
      </c>
      <c r="S276">
        <v>91735</v>
      </c>
      <c r="T276" s="19" t="s">
        <v>70</v>
      </c>
      <c r="U276">
        <v>573.34</v>
      </c>
      <c r="V276">
        <v>9</v>
      </c>
      <c r="W276" s="19" t="s">
        <v>55</v>
      </c>
      <c r="X276">
        <v>16</v>
      </c>
      <c r="Y276">
        <v>3</v>
      </c>
      <c r="Z276">
        <v>4</v>
      </c>
      <c r="AA276">
        <v>0</v>
      </c>
      <c r="AB276">
        <v>6</v>
      </c>
      <c r="AC276">
        <v>4</v>
      </c>
      <c r="AD276">
        <v>3</v>
      </c>
      <c r="AE276">
        <v>3</v>
      </c>
      <c r="AF276">
        <v>2</v>
      </c>
      <c r="AG276">
        <v>1</v>
      </c>
      <c r="AH276">
        <v>2</v>
      </c>
      <c r="AI276">
        <v>0</v>
      </c>
      <c r="AJ276" s="19" t="s">
        <v>1566</v>
      </c>
      <c r="AK276" s="19" t="s">
        <v>1562</v>
      </c>
      <c r="AL276">
        <v>0</v>
      </c>
      <c r="AM276" s="19" t="s">
        <v>1563</v>
      </c>
      <c r="AN276">
        <v>0.83962643168381013</v>
      </c>
      <c r="AO276">
        <v>1100820</v>
      </c>
    </row>
    <row r="277" spans="1:41" x14ac:dyDescent="0.3">
      <c r="A277" s="19" t="s">
        <v>347</v>
      </c>
      <c r="B277">
        <v>29</v>
      </c>
      <c r="C277" s="19" t="s">
        <v>196</v>
      </c>
      <c r="D277" s="19" t="s">
        <v>55</v>
      </c>
      <c r="E277" s="19" t="s">
        <v>48</v>
      </c>
      <c r="F277">
        <v>986</v>
      </c>
      <c r="G277" s="19" t="s">
        <v>49</v>
      </c>
      <c r="H277">
        <v>3</v>
      </c>
      <c r="I277">
        <v>4</v>
      </c>
      <c r="J277" s="19" t="s">
        <v>58</v>
      </c>
      <c r="K277">
        <v>564</v>
      </c>
      <c r="L277">
        <v>2</v>
      </c>
      <c r="M277" s="19" t="s">
        <v>51</v>
      </c>
      <c r="N277">
        <v>2</v>
      </c>
      <c r="O277">
        <v>3</v>
      </c>
      <c r="P277" s="19" t="s">
        <v>257</v>
      </c>
      <c r="Q277">
        <v>3</v>
      </c>
      <c r="R277" s="19" t="s">
        <v>113</v>
      </c>
      <c r="S277">
        <v>17371</v>
      </c>
      <c r="T277" s="19" t="s">
        <v>54</v>
      </c>
      <c r="U277">
        <v>108.57</v>
      </c>
      <c r="V277">
        <v>1</v>
      </c>
      <c r="W277" s="19" t="s">
        <v>55</v>
      </c>
      <c r="X277">
        <v>18</v>
      </c>
      <c r="Y277">
        <v>3</v>
      </c>
      <c r="Z277">
        <v>3</v>
      </c>
      <c r="AA277">
        <v>0</v>
      </c>
      <c r="AB277">
        <v>10</v>
      </c>
      <c r="AC277">
        <v>2</v>
      </c>
      <c r="AD277">
        <v>3</v>
      </c>
      <c r="AE277">
        <v>10</v>
      </c>
      <c r="AF277">
        <v>2</v>
      </c>
      <c r="AG277">
        <v>0</v>
      </c>
      <c r="AH277">
        <v>7</v>
      </c>
      <c r="AI277">
        <v>0</v>
      </c>
      <c r="AJ277" s="19" t="s">
        <v>1569</v>
      </c>
      <c r="AK277" s="19" t="s">
        <v>1562</v>
      </c>
      <c r="AL277">
        <v>0</v>
      </c>
      <c r="AM277" s="19" t="s">
        <v>1563</v>
      </c>
      <c r="AN277">
        <v>-0.65712701015483166</v>
      </c>
      <c r="AO277">
        <v>208452</v>
      </c>
    </row>
    <row r="278" spans="1:41" x14ac:dyDescent="0.3">
      <c r="A278" s="19" t="s">
        <v>348</v>
      </c>
      <c r="B278">
        <v>29</v>
      </c>
      <c r="C278" s="19" t="s">
        <v>196</v>
      </c>
      <c r="D278" s="19" t="s">
        <v>47</v>
      </c>
      <c r="E278" s="19" t="s">
        <v>48</v>
      </c>
      <c r="F278">
        <v>408</v>
      </c>
      <c r="G278" s="19" t="s">
        <v>49</v>
      </c>
      <c r="H278">
        <v>25</v>
      </c>
      <c r="I278">
        <v>5</v>
      </c>
      <c r="J278" s="19" t="s">
        <v>77</v>
      </c>
      <c r="K278">
        <v>565</v>
      </c>
      <c r="L278">
        <v>3</v>
      </c>
      <c r="M278" s="19" t="s">
        <v>59</v>
      </c>
      <c r="N278">
        <v>2</v>
      </c>
      <c r="O278">
        <v>1</v>
      </c>
      <c r="P278" s="19" t="s">
        <v>67</v>
      </c>
      <c r="Q278">
        <v>2</v>
      </c>
      <c r="R278" s="19" t="s">
        <v>113</v>
      </c>
      <c r="S278">
        <v>78371</v>
      </c>
      <c r="T278" s="19" t="s">
        <v>64</v>
      </c>
      <c r="U278">
        <v>489.82</v>
      </c>
      <c r="V278">
        <v>5</v>
      </c>
      <c r="W278" s="19" t="s">
        <v>55</v>
      </c>
      <c r="X278">
        <v>16</v>
      </c>
      <c r="Y278">
        <v>3</v>
      </c>
      <c r="Z278">
        <v>2</v>
      </c>
      <c r="AA278">
        <v>0</v>
      </c>
      <c r="AB278">
        <v>6</v>
      </c>
      <c r="AC278">
        <v>2</v>
      </c>
      <c r="AD278">
        <v>4</v>
      </c>
      <c r="AE278">
        <v>2</v>
      </c>
      <c r="AF278">
        <v>2</v>
      </c>
      <c r="AG278">
        <v>1</v>
      </c>
      <c r="AH278">
        <v>1</v>
      </c>
      <c r="AI278">
        <v>1</v>
      </c>
      <c r="AJ278" s="19" t="s">
        <v>1566</v>
      </c>
      <c r="AK278" s="19" t="s">
        <v>1562</v>
      </c>
      <c r="AL278">
        <v>1</v>
      </c>
      <c r="AM278" s="19" t="s">
        <v>1565</v>
      </c>
      <c r="AN278">
        <v>0.57162874668874353</v>
      </c>
      <c r="AO278">
        <v>940452</v>
      </c>
    </row>
    <row r="279" spans="1:41" x14ac:dyDescent="0.3">
      <c r="A279" s="19" t="s">
        <v>349</v>
      </c>
      <c r="B279">
        <v>29</v>
      </c>
      <c r="C279" s="19" t="s">
        <v>196</v>
      </c>
      <c r="D279" s="19" t="s">
        <v>55</v>
      </c>
      <c r="E279" s="19" t="s">
        <v>48</v>
      </c>
      <c r="F279">
        <v>232</v>
      </c>
      <c r="G279" s="19" t="s">
        <v>49</v>
      </c>
      <c r="H279">
        <v>19</v>
      </c>
      <c r="I279">
        <v>3</v>
      </c>
      <c r="J279" s="19" t="s">
        <v>77</v>
      </c>
      <c r="K279">
        <v>611</v>
      </c>
      <c r="L279">
        <v>4</v>
      </c>
      <c r="M279" s="19" t="s">
        <v>51</v>
      </c>
      <c r="N279">
        <v>3</v>
      </c>
      <c r="O279">
        <v>2</v>
      </c>
      <c r="P279" s="19" t="s">
        <v>120</v>
      </c>
      <c r="Q279">
        <v>4</v>
      </c>
      <c r="R279" s="19" t="s">
        <v>53</v>
      </c>
      <c r="S279">
        <v>3049</v>
      </c>
      <c r="T279" s="19" t="s">
        <v>54</v>
      </c>
      <c r="U279">
        <v>19.059999999999999</v>
      </c>
      <c r="V279">
        <v>4</v>
      </c>
      <c r="W279" s="19" t="s">
        <v>55</v>
      </c>
      <c r="X279">
        <v>12</v>
      </c>
      <c r="Y279">
        <v>3</v>
      </c>
      <c r="Z279">
        <v>2</v>
      </c>
      <c r="AA279">
        <v>2</v>
      </c>
      <c r="AB279">
        <v>8</v>
      </c>
      <c r="AC279">
        <v>2</v>
      </c>
      <c r="AD279">
        <v>4</v>
      </c>
      <c r="AE279">
        <v>3</v>
      </c>
      <c r="AF279">
        <v>2</v>
      </c>
      <c r="AG279">
        <v>1</v>
      </c>
      <c r="AH279">
        <v>2</v>
      </c>
      <c r="AI279">
        <v>0</v>
      </c>
      <c r="AJ279" s="19" t="s">
        <v>1566</v>
      </c>
      <c r="AK279" s="19" t="s">
        <v>1562</v>
      </c>
      <c r="AL279">
        <v>0</v>
      </c>
      <c r="AM279" s="19" t="s">
        <v>1563</v>
      </c>
      <c r="AN279">
        <v>-0.93116656736948866</v>
      </c>
      <c r="AO279">
        <v>36588</v>
      </c>
    </row>
    <row r="280" spans="1:41" x14ac:dyDescent="0.3">
      <c r="A280" s="19" t="s">
        <v>350</v>
      </c>
      <c r="B280">
        <v>29</v>
      </c>
      <c r="C280" s="19" t="s">
        <v>196</v>
      </c>
      <c r="D280" s="19" t="s">
        <v>55</v>
      </c>
      <c r="E280" s="19" t="s">
        <v>48</v>
      </c>
      <c r="F280">
        <v>1176</v>
      </c>
      <c r="G280" s="19" t="s">
        <v>57</v>
      </c>
      <c r="H280">
        <v>3</v>
      </c>
      <c r="I280">
        <v>2</v>
      </c>
      <c r="J280" s="19" t="s">
        <v>58</v>
      </c>
      <c r="K280">
        <v>690</v>
      </c>
      <c r="L280">
        <v>2</v>
      </c>
      <c r="M280" s="19" t="s">
        <v>59</v>
      </c>
      <c r="N280">
        <v>3</v>
      </c>
      <c r="O280">
        <v>2</v>
      </c>
      <c r="P280" s="19" t="s">
        <v>145</v>
      </c>
      <c r="Q280">
        <v>3</v>
      </c>
      <c r="R280" s="19" t="s">
        <v>113</v>
      </c>
      <c r="S280">
        <v>32616</v>
      </c>
      <c r="T280" s="19" t="s">
        <v>72</v>
      </c>
      <c r="U280">
        <v>203.85</v>
      </c>
      <c r="V280">
        <v>1</v>
      </c>
      <c r="W280" s="19" t="s">
        <v>55</v>
      </c>
      <c r="X280">
        <v>14</v>
      </c>
      <c r="Y280">
        <v>3</v>
      </c>
      <c r="Z280">
        <v>1</v>
      </c>
      <c r="AA280">
        <v>1</v>
      </c>
      <c r="AB280">
        <v>6</v>
      </c>
      <c r="AC280">
        <v>5</v>
      </c>
      <c r="AD280">
        <v>2</v>
      </c>
      <c r="AE280">
        <v>6</v>
      </c>
      <c r="AF280">
        <v>0</v>
      </c>
      <c r="AG280">
        <v>1</v>
      </c>
      <c r="AH280">
        <v>2</v>
      </c>
      <c r="AI280">
        <v>0</v>
      </c>
      <c r="AJ280" s="19" t="s">
        <v>1569</v>
      </c>
      <c r="AK280" s="19" t="s">
        <v>1562</v>
      </c>
      <c r="AL280">
        <v>1</v>
      </c>
      <c r="AM280" s="19" t="s">
        <v>1565</v>
      </c>
      <c r="AN280">
        <v>-0.33515389522425926</v>
      </c>
      <c r="AO280">
        <v>391392</v>
      </c>
    </row>
    <row r="281" spans="1:41" x14ac:dyDescent="0.3">
      <c r="A281" s="19" t="s">
        <v>351</v>
      </c>
      <c r="B281">
        <v>29</v>
      </c>
      <c r="C281" s="19" t="s">
        <v>196</v>
      </c>
      <c r="D281" s="19" t="s">
        <v>55</v>
      </c>
      <c r="E281" s="19" t="s">
        <v>62</v>
      </c>
      <c r="F281">
        <v>806</v>
      </c>
      <c r="G281" s="19" t="s">
        <v>49</v>
      </c>
      <c r="H281">
        <v>1</v>
      </c>
      <c r="I281">
        <v>4</v>
      </c>
      <c r="J281" s="19" t="s">
        <v>50</v>
      </c>
      <c r="K281">
        <v>710</v>
      </c>
      <c r="L281">
        <v>2</v>
      </c>
      <c r="M281" s="19" t="s">
        <v>51</v>
      </c>
      <c r="N281">
        <v>1</v>
      </c>
      <c r="O281">
        <v>1</v>
      </c>
      <c r="P281" s="19" t="s">
        <v>67</v>
      </c>
      <c r="Q281">
        <v>4</v>
      </c>
      <c r="R281" s="19" t="s">
        <v>53</v>
      </c>
      <c r="S281">
        <v>21932</v>
      </c>
      <c r="T281" s="19" t="s">
        <v>54</v>
      </c>
      <c r="U281">
        <v>137.07</v>
      </c>
      <c r="V281">
        <v>1</v>
      </c>
      <c r="W281" s="19" t="s">
        <v>55</v>
      </c>
      <c r="X281">
        <v>18</v>
      </c>
      <c r="Y281">
        <v>3</v>
      </c>
      <c r="Z281">
        <v>4</v>
      </c>
      <c r="AA281">
        <v>1</v>
      </c>
      <c r="AB281">
        <v>10</v>
      </c>
      <c r="AC281">
        <v>5</v>
      </c>
      <c r="AD281">
        <v>3</v>
      </c>
      <c r="AE281">
        <v>10</v>
      </c>
      <c r="AF281">
        <v>7</v>
      </c>
      <c r="AG281">
        <v>2</v>
      </c>
      <c r="AH281">
        <v>8</v>
      </c>
      <c r="AI281">
        <v>0</v>
      </c>
      <c r="AJ281" s="19" t="s">
        <v>1569</v>
      </c>
      <c r="AK281" s="19" t="s">
        <v>1562</v>
      </c>
      <c r="AL281">
        <v>0</v>
      </c>
      <c r="AM281" s="19" t="s">
        <v>1563</v>
      </c>
      <c r="AN281">
        <v>-0.56018218891710558</v>
      </c>
      <c r="AO281">
        <v>263184</v>
      </c>
    </row>
    <row r="282" spans="1:41" x14ac:dyDescent="0.3">
      <c r="A282" s="19" t="s">
        <v>352</v>
      </c>
      <c r="B282">
        <v>29</v>
      </c>
      <c r="C282" s="19" t="s">
        <v>196</v>
      </c>
      <c r="D282" s="19" t="s">
        <v>55</v>
      </c>
      <c r="E282" s="19" t="s">
        <v>48</v>
      </c>
      <c r="F282">
        <v>1396</v>
      </c>
      <c r="G282" s="19" t="s">
        <v>57</v>
      </c>
      <c r="H282">
        <v>10</v>
      </c>
      <c r="I282">
        <v>3</v>
      </c>
      <c r="J282" s="19" t="s">
        <v>50</v>
      </c>
      <c r="K282">
        <v>749</v>
      </c>
      <c r="L282">
        <v>3</v>
      </c>
      <c r="M282" s="19" t="s">
        <v>51</v>
      </c>
      <c r="N282">
        <v>3</v>
      </c>
      <c r="O282">
        <v>1</v>
      </c>
      <c r="P282" s="19" t="s">
        <v>60</v>
      </c>
      <c r="Q282">
        <v>3</v>
      </c>
      <c r="R282" s="19" t="s">
        <v>53</v>
      </c>
      <c r="S282">
        <v>30855</v>
      </c>
      <c r="T282" s="19" t="s">
        <v>72</v>
      </c>
      <c r="U282">
        <v>192.84</v>
      </c>
      <c r="V282">
        <v>1</v>
      </c>
      <c r="W282" s="19" t="s">
        <v>55</v>
      </c>
      <c r="X282">
        <v>11</v>
      </c>
      <c r="Y282">
        <v>3</v>
      </c>
      <c r="Z282">
        <v>3</v>
      </c>
      <c r="AA282">
        <v>0</v>
      </c>
      <c r="AB282">
        <v>1</v>
      </c>
      <c r="AC282">
        <v>6</v>
      </c>
      <c r="AD282">
        <v>3</v>
      </c>
      <c r="AE282">
        <v>1</v>
      </c>
      <c r="AF282">
        <v>0</v>
      </c>
      <c r="AG282">
        <v>0</v>
      </c>
      <c r="AH282">
        <v>0</v>
      </c>
      <c r="AI282">
        <v>0</v>
      </c>
      <c r="AJ282" s="19" t="s">
        <v>1561</v>
      </c>
      <c r="AK282" s="19" t="s">
        <v>1562</v>
      </c>
      <c r="AL282">
        <v>0</v>
      </c>
      <c r="AM282" s="19" t="s">
        <v>1563</v>
      </c>
      <c r="AN282">
        <v>-0.37447794121373706</v>
      </c>
      <c r="AO282">
        <v>370260</v>
      </c>
    </row>
    <row r="283" spans="1:41" x14ac:dyDescent="0.3">
      <c r="A283" s="19" t="s">
        <v>353</v>
      </c>
      <c r="B283">
        <v>29</v>
      </c>
      <c r="C283" s="19" t="s">
        <v>196</v>
      </c>
      <c r="D283" s="19" t="s">
        <v>55</v>
      </c>
      <c r="E283" s="19" t="s">
        <v>48</v>
      </c>
      <c r="F283">
        <v>1090</v>
      </c>
      <c r="G283" s="19" t="s">
        <v>57</v>
      </c>
      <c r="H283">
        <v>10</v>
      </c>
      <c r="I283">
        <v>3</v>
      </c>
      <c r="J283" s="19" t="s">
        <v>63</v>
      </c>
      <c r="K283">
        <v>766</v>
      </c>
      <c r="L283">
        <v>4</v>
      </c>
      <c r="M283" s="19" t="s">
        <v>51</v>
      </c>
      <c r="N283">
        <v>3</v>
      </c>
      <c r="O283">
        <v>1</v>
      </c>
      <c r="P283" s="19" t="s">
        <v>60</v>
      </c>
      <c r="Q283">
        <v>2</v>
      </c>
      <c r="R283" s="19" t="s">
        <v>53</v>
      </c>
      <c r="S283">
        <v>62434</v>
      </c>
      <c r="T283" s="19" t="s">
        <v>64</v>
      </c>
      <c r="U283">
        <v>390.21</v>
      </c>
      <c r="V283">
        <v>1</v>
      </c>
      <c r="W283" s="19" t="s">
        <v>55</v>
      </c>
      <c r="X283">
        <v>14</v>
      </c>
      <c r="Y283">
        <v>3</v>
      </c>
      <c r="Z283">
        <v>4</v>
      </c>
      <c r="AA283">
        <v>2</v>
      </c>
      <c r="AB283">
        <v>2</v>
      </c>
      <c r="AC283">
        <v>2</v>
      </c>
      <c r="AD283">
        <v>3</v>
      </c>
      <c r="AE283">
        <v>2</v>
      </c>
      <c r="AF283">
        <v>2</v>
      </c>
      <c r="AG283">
        <v>2</v>
      </c>
      <c r="AH283">
        <v>2</v>
      </c>
      <c r="AI283">
        <v>0</v>
      </c>
      <c r="AJ283" s="19" t="s">
        <v>1566</v>
      </c>
      <c r="AK283" s="19" t="s">
        <v>1562</v>
      </c>
      <c r="AL283">
        <v>1</v>
      </c>
      <c r="AM283" s="19" t="s">
        <v>1565</v>
      </c>
      <c r="AN283">
        <v>0.26572173774952329</v>
      </c>
      <c r="AO283">
        <v>749208</v>
      </c>
    </row>
    <row r="284" spans="1:41" x14ac:dyDescent="0.3">
      <c r="A284" s="19" t="s">
        <v>354</v>
      </c>
      <c r="B284">
        <v>29</v>
      </c>
      <c r="C284" s="19" t="s">
        <v>196</v>
      </c>
      <c r="D284" s="19" t="s">
        <v>55</v>
      </c>
      <c r="E284" s="19" t="s">
        <v>48</v>
      </c>
      <c r="F284">
        <v>657</v>
      </c>
      <c r="G284" s="19" t="s">
        <v>49</v>
      </c>
      <c r="H284">
        <v>27</v>
      </c>
      <c r="I284">
        <v>3</v>
      </c>
      <c r="J284" s="19" t="s">
        <v>58</v>
      </c>
      <c r="K284">
        <v>793</v>
      </c>
      <c r="L284">
        <v>2</v>
      </c>
      <c r="M284" s="19" t="s">
        <v>59</v>
      </c>
      <c r="N284">
        <v>3</v>
      </c>
      <c r="O284">
        <v>2</v>
      </c>
      <c r="P284" s="19" t="s">
        <v>168</v>
      </c>
      <c r="Q284">
        <v>3</v>
      </c>
      <c r="R284" s="19" t="s">
        <v>113</v>
      </c>
      <c r="S284">
        <v>73694</v>
      </c>
      <c r="T284" s="19" t="s">
        <v>64</v>
      </c>
      <c r="U284">
        <v>460.59</v>
      </c>
      <c r="V284">
        <v>4</v>
      </c>
      <c r="W284" s="19" t="s">
        <v>55</v>
      </c>
      <c r="X284">
        <v>12</v>
      </c>
      <c r="Y284">
        <v>3</v>
      </c>
      <c r="Z284">
        <v>1</v>
      </c>
      <c r="AA284">
        <v>1</v>
      </c>
      <c r="AB284">
        <v>11</v>
      </c>
      <c r="AC284">
        <v>3</v>
      </c>
      <c r="AD284">
        <v>2</v>
      </c>
      <c r="AE284">
        <v>8</v>
      </c>
      <c r="AF284">
        <v>7</v>
      </c>
      <c r="AG284">
        <v>1</v>
      </c>
      <c r="AH284">
        <v>1</v>
      </c>
      <c r="AI284">
        <v>0</v>
      </c>
      <c r="AJ284" s="19" t="s">
        <v>1569</v>
      </c>
      <c r="AK284" s="19" t="s">
        <v>1562</v>
      </c>
      <c r="AL284">
        <v>1</v>
      </c>
      <c r="AM284" s="19" t="s">
        <v>1565</v>
      </c>
      <c r="AN284">
        <v>0.52926563185542685</v>
      </c>
      <c r="AO284">
        <v>884328</v>
      </c>
    </row>
    <row r="285" spans="1:41" x14ac:dyDescent="0.3">
      <c r="A285" s="19" t="s">
        <v>355</v>
      </c>
      <c r="B285">
        <v>29</v>
      </c>
      <c r="C285" s="19" t="s">
        <v>196</v>
      </c>
      <c r="D285" s="19" t="s">
        <v>47</v>
      </c>
      <c r="E285" s="19" t="s">
        <v>48</v>
      </c>
      <c r="F285">
        <v>805</v>
      </c>
      <c r="G285" s="19" t="s">
        <v>49</v>
      </c>
      <c r="H285">
        <v>1</v>
      </c>
      <c r="I285">
        <v>2</v>
      </c>
      <c r="J285" s="19" t="s">
        <v>50</v>
      </c>
      <c r="K285">
        <v>816</v>
      </c>
      <c r="L285">
        <v>2</v>
      </c>
      <c r="M285" s="19" t="s">
        <v>59</v>
      </c>
      <c r="N285">
        <v>2</v>
      </c>
      <c r="O285">
        <v>1</v>
      </c>
      <c r="P285" s="19" t="s">
        <v>52</v>
      </c>
      <c r="Q285">
        <v>1</v>
      </c>
      <c r="R285" s="19" t="s">
        <v>113</v>
      </c>
      <c r="S285">
        <v>44016</v>
      </c>
      <c r="T285" s="19" t="s">
        <v>72</v>
      </c>
      <c r="U285">
        <v>275.10000000000002</v>
      </c>
      <c r="V285">
        <v>1</v>
      </c>
      <c r="W285" s="19" t="s">
        <v>47</v>
      </c>
      <c r="X285">
        <v>11</v>
      </c>
      <c r="Y285">
        <v>3</v>
      </c>
      <c r="Z285">
        <v>4</v>
      </c>
      <c r="AA285">
        <v>1</v>
      </c>
      <c r="AB285">
        <v>1</v>
      </c>
      <c r="AC285">
        <v>1</v>
      </c>
      <c r="AD285">
        <v>3</v>
      </c>
      <c r="AE285">
        <v>1</v>
      </c>
      <c r="AF285">
        <v>0</v>
      </c>
      <c r="AG285">
        <v>0</v>
      </c>
      <c r="AH285">
        <v>0</v>
      </c>
      <c r="AI285">
        <v>1</v>
      </c>
      <c r="AJ285" s="19" t="s">
        <v>1561</v>
      </c>
      <c r="AK285" s="19" t="s">
        <v>1562</v>
      </c>
      <c r="AL285">
        <v>2</v>
      </c>
      <c r="AM285" s="19" t="s">
        <v>1564</v>
      </c>
      <c r="AN285">
        <v>-0.1489657638477011</v>
      </c>
      <c r="AO285">
        <v>528192</v>
      </c>
    </row>
    <row r="286" spans="1:41" x14ac:dyDescent="0.3">
      <c r="A286" s="19" t="s">
        <v>356</v>
      </c>
      <c r="B286">
        <v>29</v>
      </c>
      <c r="C286" s="19" t="s">
        <v>196</v>
      </c>
      <c r="D286" s="19" t="s">
        <v>55</v>
      </c>
      <c r="E286" s="19" t="s">
        <v>48</v>
      </c>
      <c r="F286">
        <v>1252</v>
      </c>
      <c r="G286" s="19" t="s">
        <v>49</v>
      </c>
      <c r="H286">
        <v>23</v>
      </c>
      <c r="I286">
        <v>2</v>
      </c>
      <c r="J286" s="19" t="s">
        <v>50</v>
      </c>
      <c r="K286">
        <v>824</v>
      </c>
      <c r="L286">
        <v>3</v>
      </c>
      <c r="M286" s="19" t="s">
        <v>51</v>
      </c>
      <c r="N286">
        <v>4</v>
      </c>
      <c r="O286">
        <v>1</v>
      </c>
      <c r="P286" s="19" t="s">
        <v>67</v>
      </c>
      <c r="Q286">
        <v>3</v>
      </c>
      <c r="R286" s="19" t="s">
        <v>113</v>
      </c>
      <c r="S286">
        <v>8400</v>
      </c>
      <c r="T286" s="19" t="s">
        <v>54</v>
      </c>
      <c r="U286">
        <v>52.5</v>
      </c>
      <c r="V286">
        <v>1</v>
      </c>
      <c r="W286" s="19" t="s">
        <v>55</v>
      </c>
      <c r="X286">
        <v>24</v>
      </c>
      <c r="Y286">
        <v>4</v>
      </c>
      <c r="Z286">
        <v>3</v>
      </c>
      <c r="AA286">
        <v>1</v>
      </c>
      <c r="AB286">
        <v>10</v>
      </c>
      <c r="AC286">
        <v>3</v>
      </c>
      <c r="AD286">
        <v>3</v>
      </c>
      <c r="AE286">
        <v>10</v>
      </c>
      <c r="AF286">
        <v>7</v>
      </c>
      <c r="AG286">
        <v>0</v>
      </c>
      <c r="AH286">
        <v>7</v>
      </c>
      <c r="AI286">
        <v>0</v>
      </c>
      <c r="AJ286" s="19" t="s">
        <v>1569</v>
      </c>
      <c r="AK286" s="19" t="s">
        <v>1562</v>
      </c>
      <c r="AL286">
        <v>0</v>
      </c>
      <c r="AM286" s="19" t="s">
        <v>1563</v>
      </c>
      <c r="AN286">
        <v>-0.83154889599232562</v>
      </c>
      <c r="AO286">
        <v>100800</v>
      </c>
    </row>
    <row r="287" spans="1:41" x14ac:dyDescent="0.3">
      <c r="A287" s="19" t="s">
        <v>357</v>
      </c>
      <c r="B287">
        <v>29</v>
      </c>
      <c r="C287" s="19" t="s">
        <v>196</v>
      </c>
      <c r="D287" s="19" t="s">
        <v>47</v>
      </c>
      <c r="E287" s="19" t="s">
        <v>48</v>
      </c>
      <c r="F287">
        <v>341</v>
      </c>
      <c r="G287" s="19" t="s">
        <v>57</v>
      </c>
      <c r="H287">
        <v>1</v>
      </c>
      <c r="I287">
        <v>3</v>
      </c>
      <c r="J287" s="19" t="s">
        <v>58</v>
      </c>
      <c r="K287">
        <v>896</v>
      </c>
      <c r="L287">
        <v>2</v>
      </c>
      <c r="M287" s="19" t="s">
        <v>59</v>
      </c>
      <c r="N287">
        <v>2</v>
      </c>
      <c r="O287">
        <v>1</v>
      </c>
      <c r="P287" s="19" t="s">
        <v>60</v>
      </c>
      <c r="Q287">
        <v>3</v>
      </c>
      <c r="R287" s="19" t="s">
        <v>53</v>
      </c>
      <c r="S287">
        <v>43642</v>
      </c>
      <c r="T287" s="19" t="s">
        <v>72</v>
      </c>
      <c r="U287">
        <v>272.76</v>
      </c>
      <c r="V287">
        <v>6</v>
      </c>
      <c r="W287" s="19" t="s">
        <v>47</v>
      </c>
      <c r="X287">
        <v>19</v>
      </c>
      <c r="Y287">
        <v>3</v>
      </c>
      <c r="Z287">
        <v>3</v>
      </c>
      <c r="AA287">
        <v>3</v>
      </c>
      <c r="AB287">
        <v>5</v>
      </c>
      <c r="AC287">
        <v>3</v>
      </c>
      <c r="AD287">
        <v>3</v>
      </c>
      <c r="AE287">
        <v>3</v>
      </c>
      <c r="AF287">
        <v>2</v>
      </c>
      <c r="AG287">
        <v>0</v>
      </c>
      <c r="AH287">
        <v>2</v>
      </c>
      <c r="AI287">
        <v>1</v>
      </c>
      <c r="AJ287" s="19" t="s">
        <v>1566</v>
      </c>
      <c r="AK287" s="19" t="s">
        <v>1562</v>
      </c>
      <c r="AL287">
        <v>1</v>
      </c>
      <c r="AM287" s="19" t="s">
        <v>1565</v>
      </c>
      <c r="AN287">
        <v>-0.11524765225895031</v>
      </c>
      <c r="AO287">
        <v>523704</v>
      </c>
    </row>
    <row r="288" spans="1:41" x14ac:dyDescent="0.3">
      <c r="A288" s="19" t="s">
        <v>358</v>
      </c>
      <c r="B288">
        <v>29</v>
      </c>
      <c r="C288" s="19" t="s">
        <v>196</v>
      </c>
      <c r="D288" s="19" t="s">
        <v>55</v>
      </c>
      <c r="E288" s="19" t="s">
        <v>48</v>
      </c>
      <c r="F288">
        <v>1086</v>
      </c>
      <c r="G288" s="19" t="s">
        <v>49</v>
      </c>
      <c r="H288">
        <v>7</v>
      </c>
      <c r="I288">
        <v>1</v>
      </c>
      <c r="J288" s="19" t="s">
        <v>58</v>
      </c>
      <c r="K288">
        <v>912</v>
      </c>
      <c r="L288">
        <v>1</v>
      </c>
      <c r="M288" s="19" t="s">
        <v>59</v>
      </c>
      <c r="N288">
        <v>2</v>
      </c>
      <c r="O288">
        <v>1</v>
      </c>
      <c r="P288" s="19" t="s">
        <v>52</v>
      </c>
      <c r="Q288">
        <v>4</v>
      </c>
      <c r="R288" s="19" t="s">
        <v>53</v>
      </c>
      <c r="S288">
        <v>16151</v>
      </c>
      <c r="T288" s="19" t="s">
        <v>54</v>
      </c>
      <c r="U288">
        <v>100.94</v>
      </c>
      <c r="V288">
        <v>6</v>
      </c>
      <c r="W288" s="19" t="s">
        <v>55</v>
      </c>
      <c r="X288">
        <v>14</v>
      </c>
      <c r="Y288">
        <v>3</v>
      </c>
      <c r="Z288">
        <v>3</v>
      </c>
      <c r="AA288">
        <v>3</v>
      </c>
      <c r="AB288">
        <v>8</v>
      </c>
      <c r="AC288">
        <v>5</v>
      </c>
      <c r="AD288">
        <v>3</v>
      </c>
      <c r="AE288">
        <v>4</v>
      </c>
      <c r="AF288">
        <v>3</v>
      </c>
      <c r="AG288">
        <v>0</v>
      </c>
      <c r="AH288">
        <v>3</v>
      </c>
      <c r="AI288">
        <v>0</v>
      </c>
      <c r="AJ288" s="19" t="s">
        <v>1567</v>
      </c>
      <c r="AK288" s="19" t="s">
        <v>1562</v>
      </c>
      <c r="AL288">
        <v>0</v>
      </c>
      <c r="AM288" s="19" t="s">
        <v>1563</v>
      </c>
      <c r="AN288">
        <v>-0.68772596446529033</v>
      </c>
      <c r="AO288">
        <v>193812</v>
      </c>
    </row>
    <row r="289" spans="1:41" x14ac:dyDescent="0.3">
      <c r="A289" s="19" t="s">
        <v>359</v>
      </c>
      <c r="B289">
        <v>29</v>
      </c>
      <c r="C289" s="19" t="s">
        <v>196</v>
      </c>
      <c r="D289" s="19" t="s">
        <v>55</v>
      </c>
      <c r="E289" s="19" t="s">
        <v>62</v>
      </c>
      <c r="F289">
        <v>1404</v>
      </c>
      <c r="G289" s="19" t="s">
        <v>57</v>
      </c>
      <c r="H289">
        <v>20</v>
      </c>
      <c r="I289">
        <v>3</v>
      </c>
      <c r="J289" s="19" t="s">
        <v>77</v>
      </c>
      <c r="K289">
        <v>974</v>
      </c>
      <c r="L289">
        <v>3</v>
      </c>
      <c r="M289" s="19" t="s">
        <v>59</v>
      </c>
      <c r="N289">
        <v>3</v>
      </c>
      <c r="O289">
        <v>1</v>
      </c>
      <c r="P289" s="19" t="s">
        <v>60</v>
      </c>
      <c r="Q289">
        <v>4</v>
      </c>
      <c r="R289" s="19" t="s">
        <v>113</v>
      </c>
      <c r="S289">
        <v>52407</v>
      </c>
      <c r="T289" s="19" t="s">
        <v>64</v>
      </c>
      <c r="U289">
        <v>327.54000000000002</v>
      </c>
      <c r="V289">
        <v>1</v>
      </c>
      <c r="W289" s="19" t="s">
        <v>55</v>
      </c>
      <c r="X289">
        <v>15</v>
      </c>
      <c r="Y289">
        <v>3</v>
      </c>
      <c r="Z289">
        <v>2</v>
      </c>
      <c r="AA289">
        <v>1</v>
      </c>
      <c r="AB289">
        <v>3</v>
      </c>
      <c r="AC289">
        <v>5</v>
      </c>
      <c r="AD289">
        <v>3</v>
      </c>
      <c r="AE289">
        <v>3</v>
      </c>
      <c r="AF289">
        <v>1</v>
      </c>
      <c r="AG289">
        <v>0</v>
      </c>
      <c r="AH289">
        <v>2</v>
      </c>
      <c r="AI289">
        <v>0</v>
      </c>
      <c r="AJ289" s="19" t="s">
        <v>1566</v>
      </c>
      <c r="AK289" s="19" t="s">
        <v>1562</v>
      </c>
      <c r="AL289">
        <v>0</v>
      </c>
      <c r="AM289" s="19" t="s">
        <v>1563</v>
      </c>
      <c r="AN289">
        <v>6.244480748052772E-2</v>
      </c>
      <c r="AO289">
        <v>628884</v>
      </c>
    </row>
    <row r="290" spans="1:41" x14ac:dyDescent="0.3">
      <c r="A290" s="19" t="s">
        <v>360</v>
      </c>
      <c r="B290">
        <v>29</v>
      </c>
      <c r="C290" s="19" t="s">
        <v>196</v>
      </c>
      <c r="D290" s="19" t="s">
        <v>47</v>
      </c>
      <c r="E290" s="19" t="s">
        <v>48</v>
      </c>
      <c r="F290">
        <v>906</v>
      </c>
      <c r="G290" s="19" t="s">
        <v>49</v>
      </c>
      <c r="H290">
        <v>10</v>
      </c>
      <c r="I290">
        <v>3</v>
      </c>
      <c r="J290" s="19" t="s">
        <v>50</v>
      </c>
      <c r="K290">
        <v>994</v>
      </c>
      <c r="L290">
        <v>4</v>
      </c>
      <c r="M290" s="19" t="s">
        <v>59</v>
      </c>
      <c r="N290">
        <v>2</v>
      </c>
      <c r="O290">
        <v>1</v>
      </c>
      <c r="P290" s="19" t="s">
        <v>67</v>
      </c>
      <c r="Q290">
        <v>1</v>
      </c>
      <c r="R290" s="19" t="s">
        <v>53</v>
      </c>
      <c r="S290">
        <v>67690</v>
      </c>
      <c r="T290" s="19" t="s">
        <v>64</v>
      </c>
      <c r="U290">
        <v>423.06</v>
      </c>
      <c r="V290">
        <v>6</v>
      </c>
      <c r="W290" s="19" t="s">
        <v>47</v>
      </c>
      <c r="X290">
        <v>20</v>
      </c>
      <c r="Y290">
        <v>4</v>
      </c>
      <c r="Z290">
        <v>3</v>
      </c>
      <c r="AA290">
        <v>0</v>
      </c>
      <c r="AB290">
        <v>3</v>
      </c>
      <c r="AC290">
        <v>5</v>
      </c>
      <c r="AD290">
        <v>3</v>
      </c>
      <c r="AE290">
        <v>0</v>
      </c>
      <c r="AF290">
        <v>0</v>
      </c>
      <c r="AG290">
        <v>0</v>
      </c>
      <c r="AH290">
        <v>0</v>
      </c>
      <c r="AI290">
        <v>1</v>
      </c>
      <c r="AJ290" s="19" t="s">
        <v>1561</v>
      </c>
      <c r="AK290" s="19" t="s">
        <v>1562</v>
      </c>
      <c r="AL290">
        <v>2</v>
      </c>
      <c r="AM290" s="19" t="s">
        <v>1564</v>
      </c>
      <c r="AN290">
        <v>0.35743514646184232</v>
      </c>
      <c r="AO290">
        <v>812280</v>
      </c>
    </row>
    <row r="291" spans="1:41" x14ac:dyDescent="0.3">
      <c r="A291" s="19" t="s">
        <v>361</v>
      </c>
      <c r="B291">
        <v>29</v>
      </c>
      <c r="C291" s="19" t="s">
        <v>196</v>
      </c>
      <c r="D291" s="19" t="s">
        <v>55</v>
      </c>
      <c r="E291" s="19" t="s">
        <v>48</v>
      </c>
      <c r="F291">
        <v>1107</v>
      </c>
      <c r="G291" s="19" t="s">
        <v>49</v>
      </c>
      <c r="H291">
        <v>28</v>
      </c>
      <c r="I291">
        <v>4</v>
      </c>
      <c r="J291" s="19" t="s">
        <v>50</v>
      </c>
      <c r="K291">
        <v>1120</v>
      </c>
      <c r="L291">
        <v>3</v>
      </c>
      <c r="M291" s="19" t="s">
        <v>59</v>
      </c>
      <c r="N291">
        <v>3</v>
      </c>
      <c r="O291">
        <v>1</v>
      </c>
      <c r="P291" s="19" t="s">
        <v>67</v>
      </c>
      <c r="Q291">
        <v>4</v>
      </c>
      <c r="R291" s="19" t="s">
        <v>53</v>
      </c>
      <c r="S291">
        <v>5499</v>
      </c>
      <c r="T291" s="19" t="s">
        <v>54</v>
      </c>
      <c r="U291">
        <v>34.369999999999997</v>
      </c>
      <c r="V291">
        <v>4</v>
      </c>
      <c r="W291" s="19" t="s">
        <v>55</v>
      </c>
      <c r="X291">
        <v>22</v>
      </c>
      <c r="Y291">
        <v>4</v>
      </c>
      <c r="Z291">
        <v>1</v>
      </c>
      <c r="AA291">
        <v>1</v>
      </c>
      <c r="AB291">
        <v>11</v>
      </c>
      <c r="AC291">
        <v>1</v>
      </c>
      <c r="AD291">
        <v>3</v>
      </c>
      <c r="AE291">
        <v>7</v>
      </c>
      <c r="AF291">
        <v>5</v>
      </c>
      <c r="AG291">
        <v>1</v>
      </c>
      <c r="AH291">
        <v>7</v>
      </c>
      <c r="AI291">
        <v>0</v>
      </c>
      <c r="AJ291" s="19" t="s">
        <v>1569</v>
      </c>
      <c r="AK291" s="19" t="s">
        <v>1562</v>
      </c>
      <c r="AL291">
        <v>0</v>
      </c>
      <c r="AM291" s="19" t="s">
        <v>1563</v>
      </c>
      <c r="AN291">
        <v>-0.88972468798354754</v>
      </c>
      <c r="AO291">
        <v>65988</v>
      </c>
    </row>
    <row r="292" spans="1:41" x14ac:dyDescent="0.3">
      <c r="A292" s="19" t="s">
        <v>362</v>
      </c>
      <c r="B292">
        <v>29</v>
      </c>
      <c r="C292" s="19" t="s">
        <v>196</v>
      </c>
      <c r="D292" s="19" t="s">
        <v>55</v>
      </c>
      <c r="E292" s="19" t="s">
        <v>62</v>
      </c>
      <c r="F292">
        <v>490</v>
      </c>
      <c r="G292" s="19" t="s">
        <v>49</v>
      </c>
      <c r="H292">
        <v>10</v>
      </c>
      <c r="I292">
        <v>3</v>
      </c>
      <c r="J292" s="19" t="s">
        <v>50</v>
      </c>
      <c r="K292">
        <v>1143</v>
      </c>
      <c r="L292">
        <v>4</v>
      </c>
      <c r="M292" s="19" t="s">
        <v>59</v>
      </c>
      <c r="N292">
        <v>3</v>
      </c>
      <c r="O292">
        <v>1</v>
      </c>
      <c r="P292" s="19" t="s">
        <v>67</v>
      </c>
      <c r="Q292">
        <v>2</v>
      </c>
      <c r="R292" s="19" t="s">
        <v>53</v>
      </c>
      <c r="S292">
        <v>7295</v>
      </c>
      <c r="T292" s="19" t="s">
        <v>54</v>
      </c>
      <c r="U292">
        <v>45.59</v>
      </c>
      <c r="V292">
        <v>0</v>
      </c>
      <c r="W292" s="19" t="s">
        <v>55</v>
      </c>
      <c r="X292">
        <v>14</v>
      </c>
      <c r="Y292">
        <v>3</v>
      </c>
      <c r="Z292">
        <v>4</v>
      </c>
      <c r="AA292">
        <v>2</v>
      </c>
      <c r="AB292">
        <v>8</v>
      </c>
      <c r="AC292">
        <v>2</v>
      </c>
      <c r="AD292">
        <v>2</v>
      </c>
      <c r="AE292">
        <v>7</v>
      </c>
      <c r="AF292">
        <v>5</v>
      </c>
      <c r="AG292">
        <v>1</v>
      </c>
      <c r="AH292">
        <v>1</v>
      </c>
      <c r="AI292">
        <v>0</v>
      </c>
      <c r="AJ292" s="19" t="s">
        <v>1569</v>
      </c>
      <c r="AK292" s="19" t="s">
        <v>1562</v>
      </c>
      <c r="AL292">
        <v>2</v>
      </c>
      <c r="AM292" s="19" t="s">
        <v>1564</v>
      </c>
      <c r="AN292">
        <v>-0.8537082376504781</v>
      </c>
      <c r="AO292">
        <v>87540</v>
      </c>
    </row>
    <row r="293" spans="1:41" x14ac:dyDescent="0.3">
      <c r="A293" s="19" t="s">
        <v>363</v>
      </c>
      <c r="B293">
        <v>29</v>
      </c>
      <c r="C293" s="19" t="s">
        <v>196</v>
      </c>
      <c r="D293" s="19" t="s">
        <v>55</v>
      </c>
      <c r="E293" s="19" t="s">
        <v>48</v>
      </c>
      <c r="F293">
        <v>718</v>
      </c>
      <c r="G293" s="19" t="s">
        <v>49</v>
      </c>
      <c r="H293">
        <v>8</v>
      </c>
      <c r="I293">
        <v>1</v>
      </c>
      <c r="J293" s="19" t="s">
        <v>58</v>
      </c>
      <c r="K293">
        <v>1150</v>
      </c>
      <c r="L293">
        <v>2</v>
      </c>
      <c r="M293" s="19" t="s">
        <v>51</v>
      </c>
      <c r="N293">
        <v>2</v>
      </c>
      <c r="O293">
        <v>2</v>
      </c>
      <c r="P293" s="19" t="s">
        <v>120</v>
      </c>
      <c r="Q293">
        <v>4</v>
      </c>
      <c r="R293" s="19" t="s">
        <v>113</v>
      </c>
      <c r="S293">
        <v>60040</v>
      </c>
      <c r="T293" s="19" t="s">
        <v>64</v>
      </c>
      <c r="U293">
        <v>375.25</v>
      </c>
      <c r="V293">
        <v>1</v>
      </c>
      <c r="W293" s="19" t="s">
        <v>47</v>
      </c>
      <c r="X293">
        <v>15</v>
      </c>
      <c r="Y293">
        <v>3</v>
      </c>
      <c r="Z293">
        <v>3</v>
      </c>
      <c r="AA293">
        <v>1</v>
      </c>
      <c r="AB293">
        <v>10</v>
      </c>
      <c r="AC293">
        <v>2</v>
      </c>
      <c r="AD293">
        <v>2</v>
      </c>
      <c r="AE293">
        <v>10</v>
      </c>
      <c r="AF293">
        <v>7</v>
      </c>
      <c r="AG293">
        <v>1</v>
      </c>
      <c r="AH293">
        <v>2</v>
      </c>
      <c r="AI293">
        <v>0</v>
      </c>
      <c r="AJ293" s="19" t="s">
        <v>1569</v>
      </c>
      <c r="AK293" s="19" t="s">
        <v>1562</v>
      </c>
      <c r="AL293">
        <v>2</v>
      </c>
      <c r="AM293" s="19" t="s">
        <v>1564</v>
      </c>
      <c r="AN293">
        <v>0.35544745658770149</v>
      </c>
      <c r="AO293">
        <v>720480</v>
      </c>
    </row>
    <row r="294" spans="1:41" x14ac:dyDescent="0.3">
      <c r="A294" s="19" t="s">
        <v>364</v>
      </c>
      <c r="B294">
        <v>29</v>
      </c>
      <c r="C294" s="19" t="s">
        <v>196</v>
      </c>
      <c r="D294" s="19" t="s">
        <v>47</v>
      </c>
      <c r="E294" s="19" t="s">
        <v>48</v>
      </c>
      <c r="F294">
        <v>408</v>
      </c>
      <c r="G294" s="19" t="s">
        <v>57</v>
      </c>
      <c r="H294">
        <v>23</v>
      </c>
      <c r="I294">
        <v>1</v>
      </c>
      <c r="J294" s="19" t="s">
        <v>50</v>
      </c>
      <c r="K294">
        <v>1165</v>
      </c>
      <c r="L294">
        <v>4</v>
      </c>
      <c r="M294" s="19" t="s">
        <v>59</v>
      </c>
      <c r="N294">
        <v>2</v>
      </c>
      <c r="O294">
        <v>3</v>
      </c>
      <c r="P294" s="19" t="s">
        <v>145</v>
      </c>
      <c r="Q294">
        <v>1</v>
      </c>
      <c r="R294" s="19" t="s">
        <v>113</v>
      </c>
      <c r="S294">
        <v>13183</v>
      </c>
      <c r="T294" s="19" t="s">
        <v>54</v>
      </c>
      <c r="U294">
        <v>82.39</v>
      </c>
      <c r="V294">
        <v>1</v>
      </c>
      <c r="W294" s="19" t="s">
        <v>55</v>
      </c>
      <c r="X294">
        <v>13</v>
      </c>
      <c r="Y294">
        <v>3</v>
      </c>
      <c r="Z294">
        <v>1</v>
      </c>
      <c r="AA294">
        <v>1</v>
      </c>
      <c r="AB294">
        <v>11</v>
      </c>
      <c r="AC294">
        <v>3</v>
      </c>
      <c r="AD294">
        <v>1</v>
      </c>
      <c r="AE294">
        <v>11</v>
      </c>
      <c r="AF294">
        <v>8</v>
      </c>
      <c r="AG294">
        <v>3</v>
      </c>
      <c r="AH294">
        <v>10</v>
      </c>
      <c r="AI294">
        <v>1</v>
      </c>
      <c r="AJ294" s="19" t="s">
        <v>1571</v>
      </c>
      <c r="AK294" s="19" t="s">
        <v>1570</v>
      </c>
      <c r="AL294">
        <v>3</v>
      </c>
      <c r="AM294" s="19" t="s">
        <v>1568</v>
      </c>
      <c r="AN294">
        <v>-0.73127709715297429</v>
      </c>
      <c r="AO294">
        <v>158196</v>
      </c>
    </row>
    <row r="295" spans="1:41" x14ac:dyDescent="0.3">
      <c r="A295" s="19" t="s">
        <v>365</v>
      </c>
      <c r="B295">
        <v>29</v>
      </c>
      <c r="C295" s="19" t="s">
        <v>196</v>
      </c>
      <c r="D295" s="19" t="s">
        <v>55</v>
      </c>
      <c r="E295" s="19" t="s">
        <v>48</v>
      </c>
      <c r="F295">
        <v>1401</v>
      </c>
      <c r="G295" s="19" t="s">
        <v>49</v>
      </c>
      <c r="H295">
        <v>6</v>
      </c>
      <c r="I295">
        <v>1</v>
      </c>
      <c r="J295" s="19" t="s">
        <v>58</v>
      </c>
      <c r="K295">
        <v>1192</v>
      </c>
      <c r="L295">
        <v>2</v>
      </c>
      <c r="M295" s="19" t="s">
        <v>59</v>
      </c>
      <c r="N295">
        <v>3</v>
      </c>
      <c r="O295">
        <v>1</v>
      </c>
      <c r="P295" s="19" t="s">
        <v>52</v>
      </c>
      <c r="Q295">
        <v>4</v>
      </c>
      <c r="R295" s="19" t="s">
        <v>113</v>
      </c>
      <c r="S295">
        <v>30299</v>
      </c>
      <c r="T295" s="19" t="s">
        <v>72</v>
      </c>
      <c r="U295">
        <v>189.37</v>
      </c>
      <c r="V295">
        <v>1</v>
      </c>
      <c r="W295" s="19" t="s">
        <v>55</v>
      </c>
      <c r="X295">
        <v>13</v>
      </c>
      <c r="Y295">
        <v>3</v>
      </c>
      <c r="Z295">
        <v>1</v>
      </c>
      <c r="AA295">
        <v>1</v>
      </c>
      <c r="AB295">
        <v>10</v>
      </c>
      <c r="AC295">
        <v>5</v>
      </c>
      <c r="AD295">
        <v>3</v>
      </c>
      <c r="AE295">
        <v>10</v>
      </c>
      <c r="AF295">
        <v>8</v>
      </c>
      <c r="AG295">
        <v>0</v>
      </c>
      <c r="AH295">
        <v>8</v>
      </c>
      <c r="AI295">
        <v>0</v>
      </c>
      <c r="AJ295" s="19" t="s">
        <v>1569</v>
      </c>
      <c r="AK295" s="19" t="s">
        <v>1562</v>
      </c>
      <c r="AL295">
        <v>0</v>
      </c>
      <c r="AM295" s="19" t="s">
        <v>1563</v>
      </c>
      <c r="AN295">
        <v>-0.41417924570205145</v>
      </c>
      <c r="AO295">
        <v>363588</v>
      </c>
    </row>
    <row r="296" spans="1:41" x14ac:dyDescent="0.3">
      <c r="A296" s="19" t="s">
        <v>366</v>
      </c>
      <c r="B296">
        <v>29</v>
      </c>
      <c r="C296" s="19" t="s">
        <v>196</v>
      </c>
      <c r="D296" s="19" t="s">
        <v>55</v>
      </c>
      <c r="E296" s="19" t="s">
        <v>48</v>
      </c>
      <c r="F296">
        <v>942</v>
      </c>
      <c r="G296" s="19" t="s">
        <v>49</v>
      </c>
      <c r="H296">
        <v>15</v>
      </c>
      <c r="I296">
        <v>1</v>
      </c>
      <c r="J296" s="19" t="s">
        <v>50</v>
      </c>
      <c r="K296">
        <v>1202</v>
      </c>
      <c r="L296">
        <v>2</v>
      </c>
      <c r="M296" s="19" t="s">
        <v>59</v>
      </c>
      <c r="N296">
        <v>1</v>
      </c>
      <c r="O296">
        <v>1</v>
      </c>
      <c r="P296" s="19" t="s">
        <v>67</v>
      </c>
      <c r="Q296">
        <v>4</v>
      </c>
      <c r="R296" s="19" t="s">
        <v>113</v>
      </c>
      <c r="S296">
        <v>13874</v>
      </c>
      <c r="T296" s="19" t="s">
        <v>54</v>
      </c>
      <c r="U296">
        <v>86.71</v>
      </c>
      <c r="V296">
        <v>0</v>
      </c>
      <c r="W296" s="19" t="s">
        <v>47</v>
      </c>
      <c r="X296">
        <v>18</v>
      </c>
      <c r="Y296">
        <v>3</v>
      </c>
      <c r="Z296">
        <v>1</v>
      </c>
      <c r="AA296">
        <v>1</v>
      </c>
      <c r="AB296">
        <v>6</v>
      </c>
      <c r="AC296">
        <v>2</v>
      </c>
      <c r="AD296">
        <v>2</v>
      </c>
      <c r="AE296">
        <v>5</v>
      </c>
      <c r="AF296">
        <v>4</v>
      </c>
      <c r="AG296">
        <v>1</v>
      </c>
      <c r="AH296">
        <v>3</v>
      </c>
      <c r="AI296">
        <v>0</v>
      </c>
      <c r="AJ296" s="19" t="s">
        <v>1567</v>
      </c>
      <c r="AK296" s="19" t="s">
        <v>1562</v>
      </c>
      <c r="AL296">
        <v>2</v>
      </c>
      <c r="AM296" s="19" t="s">
        <v>1564</v>
      </c>
      <c r="AN296">
        <v>-0.72177492654732456</v>
      </c>
      <c r="AO296">
        <v>166488</v>
      </c>
    </row>
    <row r="297" spans="1:41" x14ac:dyDescent="0.3">
      <c r="A297" s="19" t="s">
        <v>367</v>
      </c>
      <c r="B297">
        <v>29</v>
      </c>
      <c r="C297" s="19" t="s">
        <v>196</v>
      </c>
      <c r="D297" s="19" t="s">
        <v>55</v>
      </c>
      <c r="E297" s="19" t="s">
        <v>48</v>
      </c>
      <c r="F297">
        <v>1010</v>
      </c>
      <c r="G297" s="19" t="s">
        <v>49</v>
      </c>
      <c r="H297">
        <v>1</v>
      </c>
      <c r="I297">
        <v>3</v>
      </c>
      <c r="J297" s="19" t="s">
        <v>50</v>
      </c>
      <c r="K297">
        <v>1249</v>
      </c>
      <c r="L297">
        <v>1</v>
      </c>
      <c r="M297" s="19" t="s">
        <v>59</v>
      </c>
      <c r="N297">
        <v>3</v>
      </c>
      <c r="O297">
        <v>1</v>
      </c>
      <c r="P297" s="19" t="s">
        <v>67</v>
      </c>
      <c r="Q297">
        <v>4</v>
      </c>
      <c r="R297" s="19" t="s">
        <v>53</v>
      </c>
      <c r="S297">
        <v>33711</v>
      </c>
      <c r="T297" s="19" t="s">
        <v>72</v>
      </c>
      <c r="U297">
        <v>210.69</v>
      </c>
      <c r="V297">
        <v>1</v>
      </c>
      <c r="W297" s="19" t="s">
        <v>55</v>
      </c>
      <c r="X297">
        <v>15</v>
      </c>
      <c r="Y297">
        <v>3</v>
      </c>
      <c r="Z297">
        <v>1</v>
      </c>
      <c r="AA297">
        <v>3</v>
      </c>
      <c r="AB297">
        <v>3</v>
      </c>
      <c r="AC297">
        <v>5</v>
      </c>
      <c r="AD297">
        <v>3</v>
      </c>
      <c r="AE297">
        <v>3</v>
      </c>
      <c r="AF297">
        <v>2</v>
      </c>
      <c r="AG297">
        <v>1</v>
      </c>
      <c r="AH297">
        <v>2</v>
      </c>
      <c r="AI297">
        <v>0</v>
      </c>
      <c r="AJ297" s="19" t="s">
        <v>1566</v>
      </c>
      <c r="AK297" s="19" t="s">
        <v>1562</v>
      </c>
      <c r="AL297">
        <v>0</v>
      </c>
      <c r="AM297" s="19" t="s">
        <v>1563</v>
      </c>
      <c r="AN297">
        <v>-0.32396962295205839</v>
      </c>
      <c r="AO297">
        <v>404532</v>
      </c>
    </row>
    <row r="298" spans="1:41" x14ac:dyDescent="0.3">
      <c r="A298" s="19" t="s">
        <v>368</v>
      </c>
      <c r="B298">
        <v>29</v>
      </c>
      <c r="C298" s="19" t="s">
        <v>196</v>
      </c>
      <c r="D298" s="19" t="s">
        <v>55</v>
      </c>
      <c r="E298" s="19" t="s">
        <v>48</v>
      </c>
      <c r="F298">
        <v>1329</v>
      </c>
      <c r="G298" s="19" t="s">
        <v>49</v>
      </c>
      <c r="H298">
        <v>7</v>
      </c>
      <c r="I298">
        <v>3</v>
      </c>
      <c r="J298" s="19" t="s">
        <v>50</v>
      </c>
      <c r="K298">
        <v>1260</v>
      </c>
      <c r="L298">
        <v>3</v>
      </c>
      <c r="M298" s="19" t="s">
        <v>51</v>
      </c>
      <c r="N298">
        <v>3</v>
      </c>
      <c r="O298">
        <v>2</v>
      </c>
      <c r="P298" s="19" t="s">
        <v>168</v>
      </c>
      <c r="Q298">
        <v>4</v>
      </c>
      <c r="R298" s="19" t="s">
        <v>53</v>
      </c>
      <c r="S298">
        <v>6539</v>
      </c>
      <c r="T298" s="19" t="s">
        <v>54</v>
      </c>
      <c r="U298">
        <v>40.869999999999997</v>
      </c>
      <c r="V298">
        <v>1</v>
      </c>
      <c r="W298" s="19" t="s">
        <v>47</v>
      </c>
      <c r="X298">
        <v>11</v>
      </c>
      <c r="Y298">
        <v>3</v>
      </c>
      <c r="Z298">
        <v>2</v>
      </c>
      <c r="AA298">
        <v>2</v>
      </c>
      <c r="AB298">
        <v>6</v>
      </c>
      <c r="AC298">
        <v>2</v>
      </c>
      <c r="AD298">
        <v>3</v>
      </c>
      <c r="AE298">
        <v>6</v>
      </c>
      <c r="AF298">
        <v>0</v>
      </c>
      <c r="AG298">
        <v>1</v>
      </c>
      <c r="AH298">
        <v>0</v>
      </c>
      <c r="AI298">
        <v>0</v>
      </c>
      <c r="AJ298" s="19" t="s">
        <v>1569</v>
      </c>
      <c r="AK298" s="19" t="s">
        <v>1562</v>
      </c>
      <c r="AL298">
        <v>1</v>
      </c>
      <c r="AM298" s="19" t="s">
        <v>1565</v>
      </c>
      <c r="AN298">
        <v>-0.86430553414521349</v>
      </c>
      <c r="AO298">
        <v>78468</v>
      </c>
    </row>
    <row r="299" spans="1:41" x14ac:dyDescent="0.3">
      <c r="A299" s="19" t="s">
        <v>369</v>
      </c>
      <c r="B299">
        <v>29</v>
      </c>
      <c r="C299" s="19" t="s">
        <v>196</v>
      </c>
      <c r="D299" s="19" t="s">
        <v>55</v>
      </c>
      <c r="E299" s="19" t="s">
        <v>48</v>
      </c>
      <c r="F299">
        <v>694</v>
      </c>
      <c r="G299" s="19" t="s">
        <v>49</v>
      </c>
      <c r="H299">
        <v>1</v>
      </c>
      <c r="I299">
        <v>3</v>
      </c>
      <c r="J299" s="19" t="s">
        <v>50</v>
      </c>
      <c r="K299">
        <v>1264</v>
      </c>
      <c r="L299">
        <v>4</v>
      </c>
      <c r="M299" s="19" t="s">
        <v>59</v>
      </c>
      <c r="N299">
        <v>2</v>
      </c>
      <c r="O299">
        <v>4</v>
      </c>
      <c r="P299" s="19" t="s">
        <v>257</v>
      </c>
      <c r="Q299">
        <v>4</v>
      </c>
      <c r="R299" s="19" t="s">
        <v>53</v>
      </c>
      <c r="S299">
        <v>54351</v>
      </c>
      <c r="T299" s="19" t="s">
        <v>64</v>
      </c>
      <c r="U299">
        <v>339.69</v>
      </c>
      <c r="V299">
        <v>3</v>
      </c>
      <c r="W299" s="19" t="s">
        <v>55</v>
      </c>
      <c r="X299">
        <v>14</v>
      </c>
      <c r="Y299">
        <v>3</v>
      </c>
      <c r="Z299">
        <v>2</v>
      </c>
      <c r="AA299">
        <v>2</v>
      </c>
      <c r="AB299">
        <v>9</v>
      </c>
      <c r="AC299">
        <v>2</v>
      </c>
      <c r="AD299">
        <v>2</v>
      </c>
      <c r="AE299">
        <v>7</v>
      </c>
      <c r="AF299">
        <v>7</v>
      </c>
      <c r="AG299">
        <v>1</v>
      </c>
      <c r="AH299">
        <v>7</v>
      </c>
      <c r="AI299">
        <v>0</v>
      </c>
      <c r="AJ299" s="19" t="s">
        <v>1569</v>
      </c>
      <c r="AK299" s="19" t="s">
        <v>1562</v>
      </c>
      <c r="AL299">
        <v>1</v>
      </c>
      <c r="AM299" s="19" t="s">
        <v>1565</v>
      </c>
      <c r="AN299">
        <v>7.2793153593618293E-2</v>
      </c>
      <c r="AO299">
        <v>652212</v>
      </c>
    </row>
    <row r="300" spans="1:41" x14ac:dyDescent="0.3">
      <c r="A300" s="19" t="s">
        <v>370</v>
      </c>
      <c r="B300">
        <v>29</v>
      </c>
      <c r="C300" s="19" t="s">
        <v>196</v>
      </c>
      <c r="D300" s="19" t="s">
        <v>47</v>
      </c>
      <c r="E300" s="19" t="s">
        <v>48</v>
      </c>
      <c r="F300">
        <v>806</v>
      </c>
      <c r="G300" s="19" t="s">
        <v>49</v>
      </c>
      <c r="H300">
        <v>7</v>
      </c>
      <c r="I300">
        <v>3</v>
      </c>
      <c r="J300" s="19" t="s">
        <v>77</v>
      </c>
      <c r="K300">
        <v>1299</v>
      </c>
      <c r="L300">
        <v>2</v>
      </c>
      <c r="M300" s="19" t="s">
        <v>59</v>
      </c>
      <c r="N300">
        <v>3</v>
      </c>
      <c r="O300">
        <v>1</v>
      </c>
      <c r="P300" s="19" t="s">
        <v>52</v>
      </c>
      <c r="Q300">
        <v>3</v>
      </c>
      <c r="R300" s="19" t="s">
        <v>53</v>
      </c>
      <c r="S300">
        <v>62267</v>
      </c>
      <c r="T300" s="19" t="s">
        <v>64</v>
      </c>
      <c r="U300">
        <v>389.17</v>
      </c>
      <c r="V300">
        <v>3</v>
      </c>
      <c r="W300" s="19" t="s">
        <v>47</v>
      </c>
      <c r="X300">
        <v>13</v>
      </c>
      <c r="Y300">
        <v>3</v>
      </c>
      <c r="Z300">
        <v>1</v>
      </c>
      <c r="AA300">
        <v>2</v>
      </c>
      <c r="AB300">
        <v>10</v>
      </c>
      <c r="AC300">
        <v>2</v>
      </c>
      <c r="AD300">
        <v>3</v>
      </c>
      <c r="AE300">
        <v>7</v>
      </c>
      <c r="AF300">
        <v>7</v>
      </c>
      <c r="AG300">
        <v>7</v>
      </c>
      <c r="AH300">
        <v>7</v>
      </c>
      <c r="AI300">
        <v>1</v>
      </c>
      <c r="AJ300" s="19" t="s">
        <v>1569</v>
      </c>
      <c r="AK300" s="19" t="s">
        <v>1570</v>
      </c>
      <c r="AL300">
        <v>2</v>
      </c>
      <c r="AM300" s="19" t="s">
        <v>1564</v>
      </c>
      <c r="AN300">
        <v>0.2039110501293892</v>
      </c>
      <c r="AO300">
        <v>747204</v>
      </c>
    </row>
    <row r="301" spans="1:41" x14ac:dyDescent="0.3">
      <c r="A301" s="19" t="s">
        <v>371</v>
      </c>
      <c r="B301">
        <v>29</v>
      </c>
      <c r="C301" s="19" t="s">
        <v>196</v>
      </c>
      <c r="D301" s="19" t="s">
        <v>55</v>
      </c>
      <c r="E301" s="19" t="s">
        <v>48</v>
      </c>
      <c r="F301">
        <v>332</v>
      </c>
      <c r="G301" s="19" t="s">
        <v>80</v>
      </c>
      <c r="H301">
        <v>17</v>
      </c>
      <c r="I301">
        <v>3</v>
      </c>
      <c r="J301" s="19" t="s">
        <v>82</v>
      </c>
      <c r="K301">
        <v>1419</v>
      </c>
      <c r="L301">
        <v>2</v>
      </c>
      <c r="M301" s="19" t="s">
        <v>51</v>
      </c>
      <c r="N301">
        <v>2</v>
      </c>
      <c r="O301">
        <v>3</v>
      </c>
      <c r="P301" s="19" t="s">
        <v>80</v>
      </c>
      <c r="Q301">
        <v>1</v>
      </c>
      <c r="R301" s="19" t="s">
        <v>53</v>
      </c>
      <c r="S301">
        <v>49354</v>
      </c>
      <c r="T301" s="19" t="s">
        <v>72</v>
      </c>
      <c r="U301">
        <v>308.45999999999998</v>
      </c>
      <c r="V301">
        <v>1</v>
      </c>
      <c r="W301" s="19" t="s">
        <v>55</v>
      </c>
      <c r="X301">
        <v>13</v>
      </c>
      <c r="Y301">
        <v>3</v>
      </c>
      <c r="Z301">
        <v>1</v>
      </c>
      <c r="AA301">
        <v>0</v>
      </c>
      <c r="AB301">
        <v>10</v>
      </c>
      <c r="AC301">
        <v>3</v>
      </c>
      <c r="AD301">
        <v>2</v>
      </c>
      <c r="AE301">
        <v>10</v>
      </c>
      <c r="AF301">
        <v>9</v>
      </c>
      <c r="AG301">
        <v>0</v>
      </c>
      <c r="AH301">
        <v>9</v>
      </c>
      <c r="AI301">
        <v>0</v>
      </c>
      <c r="AJ301" s="19" t="s">
        <v>1569</v>
      </c>
      <c r="AK301" s="19" t="s">
        <v>1562</v>
      </c>
      <c r="AL301">
        <v>2</v>
      </c>
      <c r="AM301" s="19" t="s">
        <v>1564</v>
      </c>
      <c r="AN301">
        <v>-2.7393138261788984E-2</v>
      </c>
      <c r="AO301">
        <v>592248</v>
      </c>
    </row>
    <row r="302" spans="1:41" x14ac:dyDescent="0.3">
      <c r="A302" s="19" t="s">
        <v>372</v>
      </c>
      <c r="B302">
        <v>29</v>
      </c>
      <c r="C302" s="19" t="s">
        <v>196</v>
      </c>
      <c r="D302" s="19" t="s">
        <v>47</v>
      </c>
      <c r="E302" s="19" t="s">
        <v>62</v>
      </c>
      <c r="F302">
        <v>337</v>
      </c>
      <c r="G302" s="19" t="s">
        <v>49</v>
      </c>
      <c r="H302">
        <v>14</v>
      </c>
      <c r="I302">
        <v>1</v>
      </c>
      <c r="J302" s="19" t="s">
        <v>82</v>
      </c>
      <c r="K302">
        <v>1421</v>
      </c>
      <c r="L302">
        <v>3</v>
      </c>
      <c r="M302" s="19" t="s">
        <v>59</v>
      </c>
      <c r="N302">
        <v>3</v>
      </c>
      <c r="O302">
        <v>3</v>
      </c>
      <c r="P302" s="19" t="s">
        <v>168</v>
      </c>
      <c r="Q302">
        <v>4</v>
      </c>
      <c r="R302" s="19" t="s">
        <v>53</v>
      </c>
      <c r="S302">
        <v>3557</v>
      </c>
      <c r="T302" s="19" t="s">
        <v>54</v>
      </c>
      <c r="U302">
        <v>22.23</v>
      </c>
      <c r="V302">
        <v>0</v>
      </c>
      <c r="W302" s="19" t="s">
        <v>47</v>
      </c>
      <c r="X302">
        <v>12</v>
      </c>
      <c r="Y302">
        <v>3</v>
      </c>
      <c r="Z302">
        <v>1</v>
      </c>
      <c r="AA302">
        <v>0</v>
      </c>
      <c r="AB302">
        <v>9</v>
      </c>
      <c r="AC302">
        <v>1</v>
      </c>
      <c r="AD302">
        <v>3</v>
      </c>
      <c r="AE302">
        <v>8</v>
      </c>
      <c r="AF302">
        <v>7</v>
      </c>
      <c r="AG302">
        <v>7</v>
      </c>
      <c r="AH302">
        <v>7</v>
      </c>
      <c r="AI302">
        <v>1</v>
      </c>
      <c r="AJ302" s="19" t="s">
        <v>1569</v>
      </c>
      <c r="AK302" s="19" t="s">
        <v>1570</v>
      </c>
      <c r="AL302">
        <v>2</v>
      </c>
      <c r="AM302" s="19" t="s">
        <v>1564</v>
      </c>
      <c r="AN302">
        <v>-0.92618669291245215</v>
      </c>
      <c r="AO302">
        <v>42684</v>
      </c>
    </row>
    <row r="303" spans="1:41" x14ac:dyDescent="0.3">
      <c r="A303" s="19" t="s">
        <v>373</v>
      </c>
      <c r="B303">
        <v>29</v>
      </c>
      <c r="C303" s="19" t="s">
        <v>196</v>
      </c>
      <c r="D303" s="19" t="s">
        <v>47</v>
      </c>
      <c r="E303" s="19" t="s">
        <v>62</v>
      </c>
      <c r="F303">
        <v>115</v>
      </c>
      <c r="G303" s="19" t="s">
        <v>57</v>
      </c>
      <c r="H303">
        <v>13</v>
      </c>
      <c r="I303">
        <v>3</v>
      </c>
      <c r="J303" s="19" t="s">
        <v>77</v>
      </c>
      <c r="K303">
        <v>1487</v>
      </c>
      <c r="L303">
        <v>1</v>
      </c>
      <c r="M303" s="19" t="s">
        <v>59</v>
      </c>
      <c r="N303">
        <v>3</v>
      </c>
      <c r="O303">
        <v>2</v>
      </c>
      <c r="P303" s="19" t="s">
        <v>145</v>
      </c>
      <c r="Q303">
        <v>2</v>
      </c>
      <c r="R303" s="19" t="s">
        <v>53</v>
      </c>
      <c r="S303">
        <v>39360</v>
      </c>
      <c r="T303" s="19" t="s">
        <v>72</v>
      </c>
      <c r="U303">
        <v>246</v>
      </c>
      <c r="V303">
        <v>5</v>
      </c>
      <c r="W303" s="19" t="s">
        <v>55</v>
      </c>
      <c r="X303">
        <v>11</v>
      </c>
      <c r="Y303">
        <v>3</v>
      </c>
      <c r="Z303">
        <v>1</v>
      </c>
      <c r="AA303">
        <v>0</v>
      </c>
      <c r="AB303">
        <v>7</v>
      </c>
      <c r="AC303">
        <v>4</v>
      </c>
      <c r="AD303">
        <v>1</v>
      </c>
      <c r="AE303">
        <v>5</v>
      </c>
      <c r="AF303">
        <v>3</v>
      </c>
      <c r="AG303">
        <v>0</v>
      </c>
      <c r="AH303">
        <v>0</v>
      </c>
      <c r="AI303">
        <v>1</v>
      </c>
      <c r="AJ303" s="19" t="s">
        <v>1567</v>
      </c>
      <c r="AK303" s="19" t="s">
        <v>1562</v>
      </c>
      <c r="AL303">
        <v>2</v>
      </c>
      <c r="AM303" s="19" t="s">
        <v>1564</v>
      </c>
      <c r="AN303">
        <v>-0.19768387650315319</v>
      </c>
      <c r="AO303">
        <v>472320</v>
      </c>
    </row>
    <row r="304" spans="1:41" x14ac:dyDescent="0.3">
      <c r="A304" s="19" t="s">
        <v>374</v>
      </c>
      <c r="B304">
        <v>29</v>
      </c>
      <c r="C304" s="19" t="s">
        <v>196</v>
      </c>
      <c r="D304" s="19" t="s">
        <v>55</v>
      </c>
      <c r="E304" s="19" t="s">
        <v>48</v>
      </c>
      <c r="F304">
        <v>1246</v>
      </c>
      <c r="G304" s="19" t="s">
        <v>57</v>
      </c>
      <c r="H304">
        <v>19</v>
      </c>
      <c r="I304">
        <v>3</v>
      </c>
      <c r="J304" s="19" t="s">
        <v>50</v>
      </c>
      <c r="K304">
        <v>1497</v>
      </c>
      <c r="L304">
        <v>3</v>
      </c>
      <c r="M304" s="19" t="s">
        <v>51</v>
      </c>
      <c r="N304">
        <v>2</v>
      </c>
      <c r="O304">
        <v>2</v>
      </c>
      <c r="P304" s="19" t="s">
        <v>145</v>
      </c>
      <c r="Q304">
        <v>3</v>
      </c>
      <c r="R304" s="19" t="s">
        <v>53</v>
      </c>
      <c r="S304">
        <v>83018</v>
      </c>
      <c r="T304" s="19" t="s">
        <v>64</v>
      </c>
      <c r="U304">
        <v>518.86</v>
      </c>
      <c r="V304">
        <v>1</v>
      </c>
      <c r="W304" s="19" t="s">
        <v>55</v>
      </c>
      <c r="X304">
        <v>14</v>
      </c>
      <c r="Y304">
        <v>3</v>
      </c>
      <c r="Z304">
        <v>3</v>
      </c>
      <c r="AA304">
        <v>2</v>
      </c>
      <c r="AB304">
        <v>10</v>
      </c>
      <c r="AC304">
        <v>3</v>
      </c>
      <c r="AD304">
        <v>3</v>
      </c>
      <c r="AE304">
        <v>10</v>
      </c>
      <c r="AF304">
        <v>7</v>
      </c>
      <c r="AG304">
        <v>0</v>
      </c>
      <c r="AH304">
        <v>4</v>
      </c>
      <c r="AI304">
        <v>0</v>
      </c>
      <c r="AJ304" s="19" t="s">
        <v>1569</v>
      </c>
      <c r="AK304" s="19" t="s">
        <v>1562</v>
      </c>
      <c r="AL304">
        <v>0</v>
      </c>
      <c r="AM304" s="19" t="s">
        <v>1563</v>
      </c>
      <c r="AN304">
        <v>0.69224288466618977</v>
      </c>
      <c r="AO304">
        <v>996216</v>
      </c>
    </row>
    <row r="305" spans="1:41" x14ac:dyDescent="0.3">
      <c r="A305" s="19" t="s">
        <v>375</v>
      </c>
      <c r="B305">
        <v>29</v>
      </c>
      <c r="C305" s="19" t="s">
        <v>196</v>
      </c>
      <c r="D305" s="19" t="s">
        <v>55</v>
      </c>
      <c r="E305" s="19" t="s">
        <v>62</v>
      </c>
      <c r="F305">
        <v>410</v>
      </c>
      <c r="G305" s="19" t="s">
        <v>49</v>
      </c>
      <c r="H305">
        <v>2</v>
      </c>
      <c r="I305">
        <v>1</v>
      </c>
      <c r="J305" s="19" t="s">
        <v>50</v>
      </c>
      <c r="K305">
        <v>1513</v>
      </c>
      <c r="L305">
        <v>4</v>
      </c>
      <c r="M305" s="19" t="s">
        <v>59</v>
      </c>
      <c r="N305">
        <v>3</v>
      </c>
      <c r="O305">
        <v>1</v>
      </c>
      <c r="P305" s="19" t="s">
        <v>52</v>
      </c>
      <c r="Q305">
        <v>2</v>
      </c>
      <c r="R305" s="19" t="s">
        <v>113</v>
      </c>
      <c r="S305">
        <v>3200</v>
      </c>
      <c r="T305" s="19" t="s">
        <v>54</v>
      </c>
      <c r="U305">
        <v>20</v>
      </c>
      <c r="V305">
        <v>0</v>
      </c>
      <c r="W305" s="19" t="s">
        <v>55</v>
      </c>
      <c r="X305">
        <v>13</v>
      </c>
      <c r="Y305">
        <v>3</v>
      </c>
      <c r="Z305">
        <v>3</v>
      </c>
      <c r="AA305">
        <v>3</v>
      </c>
      <c r="AB305">
        <v>4</v>
      </c>
      <c r="AC305">
        <v>3</v>
      </c>
      <c r="AD305">
        <v>3</v>
      </c>
      <c r="AE305">
        <v>3</v>
      </c>
      <c r="AF305">
        <v>2</v>
      </c>
      <c r="AG305">
        <v>0</v>
      </c>
      <c r="AH305">
        <v>2</v>
      </c>
      <c r="AI305">
        <v>0</v>
      </c>
      <c r="AJ305" s="19" t="s">
        <v>1566</v>
      </c>
      <c r="AK305" s="19" t="s">
        <v>1562</v>
      </c>
      <c r="AL305">
        <v>1</v>
      </c>
      <c r="AM305" s="19" t="s">
        <v>1565</v>
      </c>
      <c r="AN305">
        <v>-0.93812909951637236</v>
      </c>
      <c r="AO305">
        <v>38400</v>
      </c>
    </row>
    <row r="306" spans="1:41" x14ac:dyDescent="0.3">
      <c r="A306" s="19" t="s">
        <v>376</v>
      </c>
      <c r="B306">
        <v>29</v>
      </c>
      <c r="C306" s="19" t="s">
        <v>196</v>
      </c>
      <c r="D306" s="19" t="s">
        <v>47</v>
      </c>
      <c r="E306" s="19" t="s">
        <v>48</v>
      </c>
      <c r="F306">
        <v>224</v>
      </c>
      <c r="G306" s="19" t="s">
        <v>49</v>
      </c>
      <c r="H306">
        <v>1</v>
      </c>
      <c r="I306">
        <v>4</v>
      </c>
      <c r="J306" s="19" t="s">
        <v>77</v>
      </c>
      <c r="K306">
        <v>1522</v>
      </c>
      <c r="L306">
        <v>1</v>
      </c>
      <c r="M306" s="19" t="s">
        <v>51</v>
      </c>
      <c r="N306">
        <v>2</v>
      </c>
      <c r="O306">
        <v>1</v>
      </c>
      <c r="P306" s="19" t="s">
        <v>67</v>
      </c>
      <c r="Q306">
        <v>1</v>
      </c>
      <c r="R306" s="19" t="s">
        <v>53</v>
      </c>
      <c r="S306">
        <v>69497</v>
      </c>
      <c r="T306" s="19" t="s">
        <v>64</v>
      </c>
      <c r="U306">
        <v>434.36</v>
      </c>
      <c r="V306">
        <v>6</v>
      </c>
      <c r="W306" s="19" t="s">
        <v>55</v>
      </c>
      <c r="X306">
        <v>13</v>
      </c>
      <c r="Y306">
        <v>3</v>
      </c>
      <c r="Z306">
        <v>3</v>
      </c>
      <c r="AA306">
        <v>0</v>
      </c>
      <c r="AB306">
        <v>11</v>
      </c>
      <c r="AC306">
        <v>2</v>
      </c>
      <c r="AD306">
        <v>1</v>
      </c>
      <c r="AE306">
        <v>9</v>
      </c>
      <c r="AF306">
        <v>7</v>
      </c>
      <c r="AG306">
        <v>0</v>
      </c>
      <c r="AH306">
        <v>7</v>
      </c>
      <c r="AI306">
        <v>1</v>
      </c>
      <c r="AJ306" s="19" t="s">
        <v>1569</v>
      </c>
      <c r="AK306" s="19" t="s">
        <v>1562</v>
      </c>
      <c r="AL306">
        <v>2</v>
      </c>
      <c r="AM306" s="19" t="s">
        <v>1564</v>
      </c>
      <c r="AN306">
        <v>0.39367218752635036</v>
      </c>
      <c r="AO306">
        <v>833964</v>
      </c>
    </row>
    <row r="307" spans="1:41" x14ac:dyDescent="0.3">
      <c r="A307" s="19" t="s">
        <v>377</v>
      </c>
      <c r="B307">
        <v>29</v>
      </c>
      <c r="C307" s="19" t="s">
        <v>196</v>
      </c>
      <c r="D307" s="19" t="s">
        <v>55</v>
      </c>
      <c r="E307" s="19" t="s">
        <v>48</v>
      </c>
      <c r="F307">
        <v>441</v>
      </c>
      <c r="G307" s="19" t="s">
        <v>49</v>
      </c>
      <c r="H307">
        <v>8</v>
      </c>
      <c r="I307">
        <v>1</v>
      </c>
      <c r="J307" s="19" t="s">
        <v>82</v>
      </c>
      <c r="K307">
        <v>1544</v>
      </c>
      <c r="L307">
        <v>3</v>
      </c>
      <c r="M307" s="19" t="s">
        <v>59</v>
      </c>
      <c r="N307">
        <v>1</v>
      </c>
      <c r="O307">
        <v>2</v>
      </c>
      <c r="P307" s="19" t="s">
        <v>168</v>
      </c>
      <c r="Q307">
        <v>1</v>
      </c>
      <c r="R307" s="19" t="s">
        <v>113</v>
      </c>
      <c r="S307">
        <v>47975</v>
      </c>
      <c r="T307" s="19" t="s">
        <v>72</v>
      </c>
      <c r="U307">
        <v>299.83999999999997</v>
      </c>
      <c r="V307">
        <v>3</v>
      </c>
      <c r="W307" s="19" t="s">
        <v>55</v>
      </c>
      <c r="X307">
        <v>13</v>
      </c>
      <c r="Y307">
        <v>3</v>
      </c>
      <c r="Z307">
        <v>3</v>
      </c>
      <c r="AA307">
        <v>1</v>
      </c>
      <c r="AB307">
        <v>9</v>
      </c>
      <c r="AC307">
        <v>3</v>
      </c>
      <c r="AD307">
        <v>3</v>
      </c>
      <c r="AE307">
        <v>7</v>
      </c>
      <c r="AF307">
        <v>7</v>
      </c>
      <c r="AG307">
        <v>0</v>
      </c>
      <c r="AH307">
        <v>7</v>
      </c>
      <c r="AI307">
        <v>0</v>
      </c>
      <c r="AJ307" s="19" t="s">
        <v>1569</v>
      </c>
      <c r="AK307" s="19" t="s">
        <v>1562</v>
      </c>
      <c r="AL307">
        <v>1</v>
      </c>
      <c r="AM307" s="19" t="s">
        <v>1565</v>
      </c>
      <c r="AN307">
        <v>-4.4437988402840755E-3</v>
      </c>
      <c r="AO307">
        <v>575700</v>
      </c>
    </row>
    <row r="308" spans="1:41" x14ac:dyDescent="0.3">
      <c r="A308" s="19" t="s">
        <v>378</v>
      </c>
      <c r="B308">
        <v>29</v>
      </c>
      <c r="C308" s="19" t="s">
        <v>196</v>
      </c>
      <c r="D308" s="19" t="s">
        <v>55</v>
      </c>
      <c r="E308" s="19" t="s">
        <v>48</v>
      </c>
      <c r="F308">
        <v>598</v>
      </c>
      <c r="G308" s="19" t="s">
        <v>49</v>
      </c>
      <c r="H308">
        <v>9</v>
      </c>
      <c r="I308">
        <v>3</v>
      </c>
      <c r="J308" s="19" t="s">
        <v>50</v>
      </c>
      <c r="K308">
        <v>1558</v>
      </c>
      <c r="L308">
        <v>3</v>
      </c>
      <c r="M308" s="19" t="s">
        <v>51</v>
      </c>
      <c r="N308">
        <v>4</v>
      </c>
      <c r="O308">
        <v>1</v>
      </c>
      <c r="P308" s="19" t="s">
        <v>67</v>
      </c>
      <c r="Q308">
        <v>3</v>
      </c>
      <c r="R308" s="19" t="s">
        <v>113</v>
      </c>
      <c r="S308">
        <v>22357</v>
      </c>
      <c r="T308" s="19" t="s">
        <v>54</v>
      </c>
      <c r="U308">
        <v>139.72999999999999</v>
      </c>
      <c r="V308">
        <v>6</v>
      </c>
      <c r="W308" s="19" t="s">
        <v>55</v>
      </c>
      <c r="X308">
        <v>18</v>
      </c>
      <c r="Y308">
        <v>3</v>
      </c>
      <c r="Z308">
        <v>1</v>
      </c>
      <c r="AA308">
        <v>2</v>
      </c>
      <c r="AB308">
        <v>5</v>
      </c>
      <c r="AC308">
        <v>2</v>
      </c>
      <c r="AD308">
        <v>2</v>
      </c>
      <c r="AE308">
        <v>1</v>
      </c>
      <c r="AF308">
        <v>0</v>
      </c>
      <c r="AG308">
        <v>0</v>
      </c>
      <c r="AH308">
        <v>0</v>
      </c>
      <c r="AI308">
        <v>0</v>
      </c>
      <c r="AJ308" s="19" t="s">
        <v>1561</v>
      </c>
      <c r="AK308" s="19" t="s">
        <v>1562</v>
      </c>
      <c r="AL308">
        <v>1</v>
      </c>
      <c r="AM308" s="19" t="s">
        <v>1565</v>
      </c>
      <c r="AN308">
        <v>-0.55165936520243153</v>
      </c>
      <c r="AO308">
        <v>268284</v>
      </c>
    </row>
    <row r="309" spans="1:41" x14ac:dyDescent="0.3">
      <c r="A309" s="19" t="s">
        <v>379</v>
      </c>
      <c r="B309">
        <v>29</v>
      </c>
      <c r="C309" s="19" t="s">
        <v>196</v>
      </c>
      <c r="D309" s="19" t="s">
        <v>55</v>
      </c>
      <c r="E309" s="19" t="s">
        <v>48</v>
      </c>
      <c r="F309">
        <v>1370</v>
      </c>
      <c r="G309" s="19" t="s">
        <v>49</v>
      </c>
      <c r="H309">
        <v>3</v>
      </c>
      <c r="I309">
        <v>1</v>
      </c>
      <c r="J309" s="19" t="s">
        <v>58</v>
      </c>
      <c r="K309">
        <v>1586</v>
      </c>
      <c r="L309">
        <v>2</v>
      </c>
      <c r="M309" s="19" t="s">
        <v>51</v>
      </c>
      <c r="N309">
        <v>3</v>
      </c>
      <c r="O309">
        <v>1</v>
      </c>
      <c r="P309" s="19" t="s">
        <v>52</v>
      </c>
      <c r="Q309">
        <v>1</v>
      </c>
      <c r="R309" s="19" t="s">
        <v>53</v>
      </c>
      <c r="S309">
        <v>78505</v>
      </c>
      <c r="T309" s="19" t="s">
        <v>64</v>
      </c>
      <c r="U309">
        <v>490.66</v>
      </c>
      <c r="V309">
        <v>1</v>
      </c>
      <c r="W309" s="19" t="s">
        <v>47</v>
      </c>
      <c r="X309">
        <v>18</v>
      </c>
      <c r="Y309">
        <v>3</v>
      </c>
      <c r="Z309">
        <v>4</v>
      </c>
      <c r="AA309">
        <v>0</v>
      </c>
      <c r="AB309">
        <v>10</v>
      </c>
      <c r="AC309">
        <v>3</v>
      </c>
      <c r="AD309">
        <v>3</v>
      </c>
      <c r="AE309">
        <v>10</v>
      </c>
      <c r="AF309">
        <v>9</v>
      </c>
      <c r="AG309">
        <v>1</v>
      </c>
      <c r="AH309">
        <v>5</v>
      </c>
      <c r="AI309">
        <v>0</v>
      </c>
      <c r="AJ309" s="19" t="s">
        <v>1569</v>
      </c>
      <c r="AK309" s="19" t="s">
        <v>1562</v>
      </c>
      <c r="AL309">
        <v>2</v>
      </c>
      <c r="AM309" s="19" t="s">
        <v>1564</v>
      </c>
      <c r="AN309">
        <v>0.51786720077099746</v>
      </c>
      <c r="AO309">
        <v>942060</v>
      </c>
    </row>
    <row r="310" spans="1:41" x14ac:dyDescent="0.3">
      <c r="A310" s="19" t="s">
        <v>380</v>
      </c>
      <c r="B310">
        <v>29</v>
      </c>
      <c r="C310" s="19" t="s">
        <v>196</v>
      </c>
      <c r="D310" s="19" t="s">
        <v>55</v>
      </c>
      <c r="E310" s="19" t="s">
        <v>62</v>
      </c>
      <c r="F310">
        <v>995</v>
      </c>
      <c r="G310" s="19" t="s">
        <v>49</v>
      </c>
      <c r="H310">
        <v>2</v>
      </c>
      <c r="I310">
        <v>1</v>
      </c>
      <c r="J310" s="19" t="s">
        <v>50</v>
      </c>
      <c r="K310">
        <v>1590</v>
      </c>
      <c r="L310">
        <v>1</v>
      </c>
      <c r="M310" s="19" t="s">
        <v>51</v>
      </c>
      <c r="N310">
        <v>3</v>
      </c>
      <c r="O310">
        <v>2</v>
      </c>
      <c r="P310" s="19" t="s">
        <v>168</v>
      </c>
      <c r="Q310">
        <v>4</v>
      </c>
      <c r="R310" s="19" t="s">
        <v>53</v>
      </c>
      <c r="S310">
        <v>3869</v>
      </c>
      <c r="T310" s="19" t="s">
        <v>54</v>
      </c>
      <c r="U310">
        <v>24.18</v>
      </c>
      <c r="V310">
        <v>1</v>
      </c>
      <c r="W310" s="19" t="s">
        <v>55</v>
      </c>
      <c r="X310">
        <v>19</v>
      </c>
      <c r="Y310">
        <v>3</v>
      </c>
      <c r="Z310">
        <v>4</v>
      </c>
      <c r="AA310">
        <v>1</v>
      </c>
      <c r="AB310">
        <v>6</v>
      </c>
      <c r="AC310">
        <v>0</v>
      </c>
      <c r="AD310">
        <v>4</v>
      </c>
      <c r="AE310">
        <v>6</v>
      </c>
      <c r="AF310">
        <v>4</v>
      </c>
      <c r="AG310">
        <v>1</v>
      </c>
      <c r="AH310">
        <v>3</v>
      </c>
      <c r="AI310">
        <v>0</v>
      </c>
      <c r="AJ310" s="19" t="s">
        <v>1569</v>
      </c>
      <c r="AK310" s="19" t="s">
        <v>1562</v>
      </c>
      <c r="AL310">
        <v>0</v>
      </c>
      <c r="AM310" s="19" t="s">
        <v>1563</v>
      </c>
      <c r="AN310">
        <v>-0.91971220547604082</v>
      </c>
      <c r="AO310">
        <v>46428</v>
      </c>
    </row>
    <row r="311" spans="1:41" x14ac:dyDescent="0.3">
      <c r="A311" s="19" t="s">
        <v>381</v>
      </c>
      <c r="B311">
        <v>29</v>
      </c>
      <c r="C311" s="19" t="s">
        <v>196</v>
      </c>
      <c r="D311" s="19" t="s">
        <v>55</v>
      </c>
      <c r="E311" s="19" t="s">
        <v>48</v>
      </c>
      <c r="F311">
        <v>469</v>
      </c>
      <c r="G311" s="19" t="s">
        <v>57</v>
      </c>
      <c r="H311">
        <v>10</v>
      </c>
      <c r="I311">
        <v>3</v>
      </c>
      <c r="J311" s="19" t="s">
        <v>58</v>
      </c>
      <c r="K311">
        <v>1650</v>
      </c>
      <c r="L311">
        <v>3</v>
      </c>
      <c r="M311" s="19" t="s">
        <v>51</v>
      </c>
      <c r="N311">
        <v>2</v>
      </c>
      <c r="O311">
        <v>2</v>
      </c>
      <c r="P311" s="19" t="s">
        <v>145</v>
      </c>
      <c r="Q311">
        <v>3</v>
      </c>
      <c r="R311" s="19" t="s">
        <v>53</v>
      </c>
      <c r="S311">
        <v>62135</v>
      </c>
      <c r="T311" s="19" t="s">
        <v>64</v>
      </c>
      <c r="U311">
        <v>388.34</v>
      </c>
      <c r="V311">
        <v>9</v>
      </c>
      <c r="W311" s="19" t="s">
        <v>55</v>
      </c>
      <c r="X311">
        <v>11</v>
      </c>
      <c r="Y311">
        <v>3</v>
      </c>
      <c r="Z311">
        <v>3</v>
      </c>
      <c r="AA311">
        <v>0</v>
      </c>
      <c r="AB311">
        <v>8</v>
      </c>
      <c r="AC311">
        <v>2</v>
      </c>
      <c r="AD311">
        <v>3</v>
      </c>
      <c r="AE311">
        <v>5</v>
      </c>
      <c r="AF311">
        <v>2</v>
      </c>
      <c r="AG311">
        <v>1</v>
      </c>
      <c r="AH311">
        <v>4</v>
      </c>
      <c r="AI311">
        <v>0</v>
      </c>
      <c r="AJ311" s="19" t="s">
        <v>1567</v>
      </c>
      <c r="AK311" s="19" t="s">
        <v>1562</v>
      </c>
      <c r="AL311">
        <v>0</v>
      </c>
      <c r="AM311" s="19" t="s">
        <v>1563</v>
      </c>
      <c r="AN311">
        <v>0.26656281335052279</v>
      </c>
      <c r="AO311">
        <v>745620</v>
      </c>
    </row>
    <row r="312" spans="1:41" x14ac:dyDescent="0.3">
      <c r="A312" s="19" t="s">
        <v>382</v>
      </c>
      <c r="B312">
        <v>29</v>
      </c>
      <c r="C312" s="19" t="s">
        <v>196</v>
      </c>
      <c r="D312" s="19" t="s">
        <v>55</v>
      </c>
      <c r="E312" s="19" t="s">
        <v>48</v>
      </c>
      <c r="F312">
        <v>991</v>
      </c>
      <c r="G312" s="19" t="s">
        <v>57</v>
      </c>
      <c r="H312">
        <v>5</v>
      </c>
      <c r="I312">
        <v>3</v>
      </c>
      <c r="J312" s="19" t="s">
        <v>58</v>
      </c>
      <c r="K312">
        <v>1669</v>
      </c>
      <c r="L312">
        <v>1</v>
      </c>
      <c r="M312" s="19" t="s">
        <v>51</v>
      </c>
      <c r="N312">
        <v>2</v>
      </c>
      <c r="O312">
        <v>2</v>
      </c>
      <c r="P312" s="19" t="s">
        <v>145</v>
      </c>
      <c r="Q312">
        <v>2</v>
      </c>
      <c r="R312" s="19" t="s">
        <v>53</v>
      </c>
      <c r="S312">
        <v>51108</v>
      </c>
      <c r="T312" s="19" t="s">
        <v>64</v>
      </c>
      <c r="U312">
        <v>319.42</v>
      </c>
      <c r="V312">
        <v>1</v>
      </c>
      <c r="W312" s="19" t="s">
        <v>47</v>
      </c>
      <c r="X312">
        <v>13</v>
      </c>
      <c r="Y312">
        <v>3</v>
      </c>
      <c r="Z312">
        <v>2</v>
      </c>
      <c r="AA312">
        <v>1</v>
      </c>
      <c r="AB312">
        <v>10</v>
      </c>
      <c r="AC312">
        <v>3</v>
      </c>
      <c r="AD312">
        <v>2</v>
      </c>
      <c r="AE312">
        <v>10</v>
      </c>
      <c r="AF312">
        <v>0</v>
      </c>
      <c r="AG312">
        <v>0</v>
      </c>
      <c r="AH312">
        <v>9</v>
      </c>
      <c r="AI312">
        <v>0</v>
      </c>
      <c r="AJ312" s="19" t="s">
        <v>1569</v>
      </c>
      <c r="AK312" s="19" t="s">
        <v>1562</v>
      </c>
      <c r="AL312">
        <v>3</v>
      </c>
      <c r="AM312" s="19" t="s">
        <v>1568</v>
      </c>
      <c r="AN312">
        <v>4.1787917674716631E-2</v>
      </c>
      <c r="AO312">
        <v>613296</v>
      </c>
    </row>
    <row r="313" spans="1:41" x14ac:dyDescent="0.3">
      <c r="A313" s="19" t="s">
        <v>383</v>
      </c>
      <c r="B313">
        <v>29</v>
      </c>
      <c r="C313" s="19" t="s">
        <v>196</v>
      </c>
      <c r="D313" s="19" t="s">
        <v>55</v>
      </c>
      <c r="E313" s="19" t="s">
        <v>48</v>
      </c>
      <c r="F313">
        <v>1082</v>
      </c>
      <c r="G313" s="19" t="s">
        <v>49</v>
      </c>
      <c r="H313">
        <v>9</v>
      </c>
      <c r="I313">
        <v>4</v>
      </c>
      <c r="J313" s="19" t="s">
        <v>58</v>
      </c>
      <c r="K313">
        <v>1709</v>
      </c>
      <c r="L313">
        <v>4</v>
      </c>
      <c r="M313" s="19" t="s">
        <v>59</v>
      </c>
      <c r="N313">
        <v>3</v>
      </c>
      <c r="O313">
        <v>1</v>
      </c>
      <c r="P313" s="19" t="s">
        <v>52</v>
      </c>
      <c r="Q313">
        <v>3</v>
      </c>
      <c r="R313" s="19" t="s">
        <v>113</v>
      </c>
      <c r="S313">
        <v>95179</v>
      </c>
      <c r="T313" s="19" t="s">
        <v>70</v>
      </c>
      <c r="U313">
        <v>594.87</v>
      </c>
      <c r="V313">
        <v>9</v>
      </c>
      <c r="W313" s="19" t="s">
        <v>55</v>
      </c>
      <c r="X313">
        <v>17</v>
      </c>
      <c r="Y313">
        <v>3</v>
      </c>
      <c r="Z313">
        <v>3</v>
      </c>
      <c r="AA313">
        <v>1</v>
      </c>
      <c r="AB313">
        <v>9</v>
      </c>
      <c r="AC313">
        <v>2</v>
      </c>
      <c r="AD313">
        <v>3</v>
      </c>
      <c r="AE313">
        <v>5</v>
      </c>
      <c r="AF313">
        <v>3</v>
      </c>
      <c r="AG313">
        <v>1</v>
      </c>
      <c r="AH313">
        <v>2</v>
      </c>
      <c r="AI313">
        <v>0</v>
      </c>
      <c r="AJ313" s="19" t="s">
        <v>1567</v>
      </c>
      <c r="AK313" s="19" t="s">
        <v>1562</v>
      </c>
      <c r="AL313">
        <v>0</v>
      </c>
      <c r="AM313" s="19" t="s">
        <v>1563</v>
      </c>
      <c r="AN313">
        <v>0.8402532616035</v>
      </c>
      <c r="AO313">
        <v>1142148</v>
      </c>
    </row>
    <row r="314" spans="1:41" x14ac:dyDescent="0.3">
      <c r="A314" s="19" t="s">
        <v>384</v>
      </c>
      <c r="B314">
        <v>29</v>
      </c>
      <c r="C314" s="19" t="s">
        <v>196</v>
      </c>
      <c r="D314" s="19" t="s">
        <v>47</v>
      </c>
      <c r="E314" s="19" t="s">
        <v>48</v>
      </c>
      <c r="F314">
        <v>428</v>
      </c>
      <c r="G314" s="19" t="s">
        <v>57</v>
      </c>
      <c r="H314">
        <v>9</v>
      </c>
      <c r="I314">
        <v>3</v>
      </c>
      <c r="J314" s="19" t="s">
        <v>63</v>
      </c>
      <c r="K314">
        <v>1752</v>
      </c>
      <c r="L314">
        <v>2</v>
      </c>
      <c r="M314" s="19" t="s">
        <v>59</v>
      </c>
      <c r="N314">
        <v>1</v>
      </c>
      <c r="O314">
        <v>1</v>
      </c>
      <c r="P314" s="19" t="s">
        <v>60</v>
      </c>
      <c r="Q314">
        <v>2</v>
      </c>
      <c r="R314" s="19" t="s">
        <v>53</v>
      </c>
      <c r="S314">
        <v>91272</v>
      </c>
      <c r="T314" s="19" t="s">
        <v>70</v>
      </c>
      <c r="U314">
        <v>570.45000000000005</v>
      </c>
      <c r="V314">
        <v>1</v>
      </c>
      <c r="W314" s="19" t="s">
        <v>55</v>
      </c>
      <c r="X314">
        <v>13</v>
      </c>
      <c r="Y314">
        <v>3</v>
      </c>
      <c r="Z314">
        <v>3</v>
      </c>
      <c r="AA314">
        <v>0</v>
      </c>
      <c r="AB314">
        <v>2</v>
      </c>
      <c r="AC314">
        <v>3</v>
      </c>
      <c r="AD314">
        <v>3</v>
      </c>
      <c r="AE314">
        <v>2</v>
      </c>
      <c r="AF314">
        <v>2</v>
      </c>
      <c r="AG314">
        <v>2</v>
      </c>
      <c r="AH314">
        <v>2</v>
      </c>
      <c r="AI314">
        <v>1</v>
      </c>
      <c r="AJ314" s="19" t="s">
        <v>1566</v>
      </c>
      <c r="AK314" s="19" t="s">
        <v>1562</v>
      </c>
      <c r="AL314">
        <v>1</v>
      </c>
      <c r="AM314" s="19" t="s">
        <v>1565</v>
      </c>
      <c r="AN314">
        <v>0.85035324419185843</v>
      </c>
      <c r="AO314">
        <v>1095264</v>
      </c>
    </row>
    <row r="315" spans="1:41" x14ac:dyDescent="0.3">
      <c r="A315" s="19" t="s">
        <v>385</v>
      </c>
      <c r="B315">
        <v>29</v>
      </c>
      <c r="C315" s="19" t="s">
        <v>196</v>
      </c>
      <c r="D315" s="19" t="s">
        <v>55</v>
      </c>
      <c r="E315" s="19" t="s">
        <v>62</v>
      </c>
      <c r="F315">
        <v>461</v>
      </c>
      <c r="G315" s="19" t="s">
        <v>49</v>
      </c>
      <c r="H315">
        <v>1</v>
      </c>
      <c r="I315">
        <v>3</v>
      </c>
      <c r="J315" s="19" t="s">
        <v>50</v>
      </c>
      <c r="K315">
        <v>1753</v>
      </c>
      <c r="L315">
        <v>4</v>
      </c>
      <c r="M315" s="19" t="s">
        <v>51</v>
      </c>
      <c r="N315">
        <v>4</v>
      </c>
      <c r="O315">
        <v>2</v>
      </c>
      <c r="P315" s="19" t="s">
        <v>168</v>
      </c>
      <c r="Q315">
        <v>3</v>
      </c>
      <c r="R315" s="19" t="s">
        <v>53</v>
      </c>
      <c r="S315">
        <v>39467</v>
      </c>
      <c r="T315" s="19" t="s">
        <v>72</v>
      </c>
      <c r="U315">
        <v>246.67</v>
      </c>
      <c r="V315">
        <v>8</v>
      </c>
      <c r="W315" s="19" t="s">
        <v>47</v>
      </c>
      <c r="X315">
        <v>12</v>
      </c>
      <c r="Y315">
        <v>3</v>
      </c>
      <c r="Z315">
        <v>4</v>
      </c>
      <c r="AA315">
        <v>0</v>
      </c>
      <c r="AB315">
        <v>10</v>
      </c>
      <c r="AC315">
        <v>5</v>
      </c>
      <c r="AD315">
        <v>4</v>
      </c>
      <c r="AE315">
        <v>3</v>
      </c>
      <c r="AF315">
        <v>2</v>
      </c>
      <c r="AG315">
        <v>0</v>
      </c>
      <c r="AH315">
        <v>2</v>
      </c>
      <c r="AI315">
        <v>0</v>
      </c>
      <c r="AJ315" s="19" t="s">
        <v>1566</v>
      </c>
      <c r="AK315" s="19" t="s">
        <v>1562</v>
      </c>
      <c r="AL315">
        <v>1</v>
      </c>
      <c r="AM315" s="19" t="s">
        <v>1565</v>
      </c>
      <c r="AN315">
        <v>-0.18099809085626872</v>
      </c>
      <c r="AO315">
        <v>473604</v>
      </c>
    </row>
    <row r="316" spans="1:41" x14ac:dyDescent="0.3">
      <c r="A316" s="19" t="s">
        <v>386</v>
      </c>
      <c r="B316">
        <v>29</v>
      </c>
      <c r="C316" s="19" t="s">
        <v>196</v>
      </c>
      <c r="D316" s="19" t="s">
        <v>55</v>
      </c>
      <c r="E316" s="19" t="s">
        <v>48</v>
      </c>
      <c r="F316">
        <v>590</v>
      </c>
      <c r="G316" s="19" t="s">
        <v>49</v>
      </c>
      <c r="H316">
        <v>4</v>
      </c>
      <c r="I316">
        <v>3</v>
      </c>
      <c r="J316" s="19" t="s">
        <v>77</v>
      </c>
      <c r="K316">
        <v>1762</v>
      </c>
      <c r="L316">
        <v>4</v>
      </c>
      <c r="M316" s="19" t="s">
        <v>59</v>
      </c>
      <c r="N316">
        <v>2</v>
      </c>
      <c r="O316">
        <v>1</v>
      </c>
      <c r="P316" s="19" t="s">
        <v>67</v>
      </c>
      <c r="Q316">
        <v>1</v>
      </c>
      <c r="R316" s="19" t="s">
        <v>53</v>
      </c>
      <c r="S316">
        <v>24328</v>
      </c>
      <c r="T316" s="19" t="s">
        <v>54</v>
      </c>
      <c r="U316">
        <v>152.05000000000001</v>
      </c>
      <c r="V316">
        <v>1</v>
      </c>
      <c r="W316" s="19" t="s">
        <v>55</v>
      </c>
      <c r="X316">
        <v>13</v>
      </c>
      <c r="Y316">
        <v>3</v>
      </c>
      <c r="Z316">
        <v>3</v>
      </c>
      <c r="AA316">
        <v>1</v>
      </c>
      <c r="AB316">
        <v>1</v>
      </c>
      <c r="AC316">
        <v>2</v>
      </c>
      <c r="AD316">
        <v>3</v>
      </c>
      <c r="AE316">
        <v>1</v>
      </c>
      <c r="AF316">
        <v>0</v>
      </c>
      <c r="AG316">
        <v>0</v>
      </c>
      <c r="AH316">
        <v>0</v>
      </c>
      <c r="AI316">
        <v>0</v>
      </c>
      <c r="AJ316" s="19" t="s">
        <v>1561</v>
      </c>
      <c r="AK316" s="19" t="s">
        <v>1562</v>
      </c>
      <c r="AL316">
        <v>1</v>
      </c>
      <c r="AM316" s="19" t="s">
        <v>1565</v>
      </c>
      <c r="AN316">
        <v>-0.51213351686920228</v>
      </c>
      <c r="AO316">
        <v>291936</v>
      </c>
    </row>
    <row r="317" spans="1:41" x14ac:dyDescent="0.3">
      <c r="A317" s="19" t="s">
        <v>387</v>
      </c>
      <c r="B317">
        <v>29</v>
      </c>
      <c r="C317" s="19" t="s">
        <v>196</v>
      </c>
      <c r="D317" s="19" t="s">
        <v>47</v>
      </c>
      <c r="E317" s="19" t="s">
        <v>48</v>
      </c>
      <c r="F317">
        <v>350</v>
      </c>
      <c r="G317" s="19" t="s">
        <v>80</v>
      </c>
      <c r="H317">
        <v>13</v>
      </c>
      <c r="I317">
        <v>3</v>
      </c>
      <c r="J317" s="19" t="s">
        <v>80</v>
      </c>
      <c r="K317">
        <v>1844</v>
      </c>
      <c r="L317">
        <v>1</v>
      </c>
      <c r="M317" s="19" t="s">
        <v>51</v>
      </c>
      <c r="N317">
        <v>2</v>
      </c>
      <c r="O317">
        <v>1</v>
      </c>
      <c r="P317" s="19" t="s">
        <v>80</v>
      </c>
      <c r="Q317">
        <v>1</v>
      </c>
      <c r="R317" s="19" t="s">
        <v>53</v>
      </c>
      <c r="S317">
        <v>92412</v>
      </c>
      <c r="T317" s="19" t="s">
        <v>70</v>
      </c>
      <c r="U317">
        <v>577.58000000000004</v>
      </c>
      <c r="V317">
        <v>4</v>
      </c>
      <c r="W317" s="19" t="s">
        <v>47</v>
      </c>
      <c r="X317">
        <v>15</v>
      </c>
      <c r="Y317">
        <v>3</v>
      </c>
      <c r="Z317">
        <v>4</v>
      </c>
      <c r="AA317">
        <v>3</v>
      </c>
      <c r="AB317">
        <v>4</v>
      </c>
      <c r="AC317">
        <v>3</v>
      </c>
      <c r="AD317">
        <v>3</v>
      </c>
      <c r="AE317">
        <v>2</v>
      </c>
      <c r="AF317">
        <v>2</v>
      </c>
      <c r="AG317">
        <v>2</v>
      </c>
      <c r="AH317">
        <v>0</v>
      </c>
      <c r="AI317">
        <v>1</v>
      </c>
      <c r="AJ317" s="19" t="s">
        <v>1566</v>
      </c>
      <c r="AK317" s="19" t="s">
        <v>1562</v>
      </c>
      <c r="AL317">
        <v>2</v>
      </c>
      <c r="AM317" s="19" t="s">
        <v>1564</v>
      </c>
      <c r="AN317">
        <v>0.82114003539635205</v>
      </c>
      <c r="AO317">
        <v>1108944</v>
      </c>
    </row>
    <row r="318" spans="1:41" x14ac:dyDescent="0.3">
      <c r="A318" s="19" t="s">
        <v>388</v>
      </c>
      <c r="B318">
        <v>29</v>
      </c>
      <c r="C318" s="19" t="s">
        <v>196</v>
      </c>
      <c r="D318" s="19" t="s">
        <v>55</v>
      </c>
      <c r="E318" s="19" t="s">
        <v>62</v>
      </c>
      <c r="F318">
        <v>574</v>
      </c>
      <c r="G318" s="19" t="s">
        <v>49</v>
      </c>
      <c r="H318">
        <v>20</v>
      </c>
      <c r="I318">
        <v>1</v>
      </c>
      <c r="J318" s="19" t="s">
        <v>58</v>
      </c>
      <c r="K318">
        <v>1852</v>
      </c>
      <c r="L318">
        <v>4</v>
      </c>
      <c r="M318" s="19" t="s">
        <v>51</v>
      </c>
      <c r="N318">
        <v>3</v>
      </c>
      <c r="O318">
        <v>1</v>
      </c>
      <c r="P318" s="19" t="s">
        <v>52</v>
      </c>
      <c r="Q318">
        <v>4</v>
      </c>
      <c r="R318" s="19" t="s">
        <v>113</v>
      </c>
      <c r="S318">
        <v>87831</v>
      </c>
      <c r="T318" s="19" t="s">
        <v>70</v>
      </c>
      <c r="U318">
        <v>548.94000000000005</v>
      </c>
      <c r="V318">
        <v>1</v>
      </c>
      <c r="W318" s="19" t="s">
        <v>55</v>
      </c>
      <c r="X318">
        <v>13</v>
      </c>
      <c r="Y318">
        <v>3</v>
      </c>
      <c r="Z318">
        <v>2</v>
      </c>
      <c r="AA318">
        <v>0</v>
      </c>
      <c r="AB318">
        <v>11</v>
      </c>
      <c r="AC318">
        <v>3</v>
      </c>
      <c r="AD318">
        <v>4</v>
      </c>
      <c r="AE318">
        <v>11</v>
      </c>
      <c r="AF318">
        <v>8</v>
      </c>
      <c r="AG318">
        <v>3</v>
      </c>
      <c r="AH318">
        <v>10</v>
      </c>
      <c r="AI318">
        <v>0</v>
      </c>
      <c r="AJ318" s="19" t="s">
        <v>1571</v>
      </c>
      <c r="AK318" s="19" t="s">
        <v>1570</v>
      </c>
      <c r="AL318">
        <v>1</v>
      </c>
      <c r="AM318" s="19" t="s">
        <v>1565</v>
      </c>
      <c r="AN318">
        <v>0.6981822063679699</v>
      </c>
      <c r="AO318">
        <v>1053972</v>
      </c>
    </row>
    <row r="319" spans="1:41" x14ac:dyDescent="0.3">
      <c r="A319" s="19" t="s">
        <v>389</v>
      </c>
      <c r="B319">
        <v>29</v>
      </c>
      <c r="C319" s="19" t="s">
        <v>196</v>
      </c>
      <c r="D319" s="19" t="s">
        <v>55</v>
      </c>
      <c r="E319" s="19" t="s">
        <v>48</v>
      </c>
      <c r="F319">
        <v>726</v>
      </c>
      <c r="G319" s="19" t="s">
        <v>49</v>
      </c>
      <c r="H319">
        <v>29</v>
      </c>
      <c r="I319">
        <v>1</v>
      </c>
      <c r="J319" s="19" t="s">
        <v>50</v>
      </c>
      <c r="K319">
        <v>1859</v>
      </c>
      <c r="L319">
        <v>4</v>
      </c>
      <c r="M319" s="19" t="s">
        <v>51</v>
      </c>
      <c r="N319">
        <v>1</v>
      </c>
      <c r="O319">
        <v>2</v>
      </c>
      <c r="P319" s="19" t="s">
        <v>168</v>
      </c>
      <c r="Q319">
        <v>3</v>
      </c>
      <c r="R319" s="19" t="s">
        <v>53</v>
      </c>
      <c r="S319">
        <v>4987</v>
      </c>
      <c r="T319" s="19" t="s">
        <v>54</v>
      </c>
      <c r="U319">
        <v>31.17</v>
      </c>
      <c r="V319">
        <v>8</v>
      </c>
      <c r="W319" s="19" t="s">
        <v>55</v>
      </c>
      <c r="X319">
        <v>17</v>
      </c>
      <c r="Y319">
        <v>3</v>
      </c>
      <c r="Z319">
        <v>4</v>
      </c>
      <c r="AA319">
        <v>2</v>
      </c>
      <c r="AB319">
        <v>11</v>
      </c>
      <c r="AC319">
        <v>3</v>
      </c>
      <c r="AD319">
        <v>3</v>
      </c>
      <c r="AE319">
        <v>7</v>
      </c>
      <c r="AF319">
        <v>0</v>
      </c>
      <c r="AG319">
        <v>1</v>
      </c>
      <c r="AH319">
        <v>6</v>
      </c>
      <c r="AI319">
        <v>0</v>
      </c>
      <c r="AJ319" s="19" t="s">
        <v>1569</v>
      </c>
      <c r="AK319" s="19" t="s">
        <v>1562</v>
      </c>
      <c r="AL319">
        <v>0</v>
      </c>
      <c r="AM319" s="19" t="s">
        <v>1563</v>
      </c>
      <c r="AN319">
        <v>-0.89651195882890045</v>
      </c>
      <c r="AO319">
        <v>59844</v>
      </c>
    </row>
    <row r="320" spans="1:41" x14ac:dyDescent="0.3">
      <c r="A320" s="19" t="s">
        <v>390</v>
      </c>
      <c r="B320">
        <v>29</v>
      </c>
      <c r="C320" s="19" t="s">
        <v>196</v>
      </c>
      <c r="D320" s="19" t="s">
        <v>55</v>
      </c>
      <c r="E320" s="19" t="s">
        <v>48</v>
      </c>
      <c r="F320">
        <v>352</v>
      </c>
      <c r="G320" s="19" t="s">
        <v>80</v>
      </c>
      <c r="H320">
        <v>6</v>
      </c>
      <c r="I320">
        <v>1</v>
      </c>
      <c r="J320" s="19" t="s">
        <v>58</v>
      </c>
      <c r="K320">
        <v>1865</v>
      </c>
      <c r="L320">
        <v>4</v>
      </c>
      <c r="M320" s="19" t="s">
        <v>51</v>
      </c>
      <c r="N320">
        <v>2</v>
      </c>
      <c r="O320">
        <v>1</v>
      </c>
      <c r="P320" s="19" t="s">
        <v>80</v>
      </c>
      <c r="Q320">
        <v>2</v>
      </c>
      <c r="R320" s="19" t="s">
        <v>113</v>
      </c>
      <c r="S320">
        <v>59871</v>
      </c>
      <c r="T320" s="19" t="s">
        <v>64</v>
      </c>
      <c r="U320">
        <v>374.19</v>
      </c>
      <c r="V320">
        <v>1</v>
      </c>
      <c r="W320" s="19" t="s">
        <v>55</v>
      </c>
      <c r="X320">
        <v>11</v>
      </c>
      <c r="Y320">
        <v>3</v>
      </c>
      <c r="Z320">
        <v>4</v>
      </c>
      <c r="AA320">
        <v>0</v>
      </c>
      <c r="AB320">
        <v>1</v>
      </c>
      <c r="AC320">
        <v>3</v>
      </c>
      <c r="AD320">
        <v>3</v>
      </c>
      <c r="AE320">
        <v>1</v>
      </c>
      <c r="AF320">
        <v>0</v>
      </c>
      <c r="AG320">
        <v>0</v>
      </c>
      <c r="AH320">
        <v>0</v>
      </c>
      <c r="AI320">
        <v>0</v>
      </c>
      <c r="AJ320" s="19" t="s">
        <v>1561</v>
      </c>
      <c r="AK320" s="19" t="s">
        <v>1562</v>
      </c>
      <c r="AL320">
        <v>1</v>
      </c>
      <c r="AM320" s="19" t="s">
        <v>1565</v>
      </c>
      <c r="AN320">
        <v>0.17986273491770538</v>
      </c>
      <c r="AO320">
        <v>718452</v>
      </c>
    </row>
    <row r="321" spans="1:41" x14ac:dyDescent="0.3">
      <c r="A321" s="19" t="s">
        <v>391</v>
      </c>
      <c r="B321">
        <v>29</v>
      </c>
      <c r="C321" s="19" t="s">
        <v>196</v>
      </c>
      <c r="D321" s="19" t="s">
        <v>47</v>
      </c>
      <c r="E321" s="19" t="s">
        <v>62</v>
      </c>
      <c r="F321">
        <v>459</v>
      </c>
      <c r="G321" s="19" t="s">
        <v>49</v>
      </c>
      <c r="H321">
        <v>24</v>
      </c>
      <c r="I321">
        <v>2</v>
      </c>
      <c r="J321" s="19" t="s">
        <v>50</v>
      </c>
      <c r="K321">
        <v>1868</v>
      </c>
      <c r="L321">
        <v>4</v>
      </c>
      <c r="M321" s="19" t="s">
        <v>51</v>
      </c>
      <c r="N321">
        <v>2</v>
      </c>
      <c r="O321">
        <v>1</v>
      </c>
      <c r="P321" s="19" t="s">
        <v>67</v>
      </c>
      <c r="Q321">
        <v>4</v>
      </c>
      <c r="R321" s="19" t="s">
        <v>53</v>
      </c>
      <c r="S321">
        <v>23399</v>
      </c>
      <c r="T321" s="19" t="s">
        <v>54</v>
      </c>
      <c r="U321">
        <v>146.24</v>
      </c>
      <c r="V321">
        <v>1</v>
      </c>
      <c r="W321" s="19" t="s">
        <v>47</v>
      </c>
      <c r="X321">
        <v>24</v>
      </c>
      <c r="Y321">
        <v>4</v>
      </c>
      <c r="Z321">
        <v>2</v>
      </c>
      <c r="AA321">
        <v>0</v>
      </c>
      <c r="AB321">
        <v>1</v>
      </c>
      <c r="AC321">
        <v>3</v>
      </c>
      <c r="AD321">
        <v>2</v>
      </c>
      <c r="AE321">
        <v>1</v>
      </c>
      <c r="AF321">
        <v>0</v>
      </c>
      <c r="AG321">
        <v>1</v>
      </c>
      <c r="AH321">
        <v>0</v>
      </c>
      <c r="AI321">
        <v>1</v>
      </c>
      <c r="AJ321" s="19" t="s">
        <v>1561</v>
      </c>
      <c r="AK321" s="19" t="s">
        <v>1562</v>
      </c>
      <c r="AL321">
        <v>2</v>
      </c>
      <c r="AM321" s="19" t="s">
        <v>1564</v>
      </c>
      <c r="AN321">
        <v>-0.53076340682433665</v>
      </c>
      <c r="AO321">
        <v>280788</v>
      </c>
    </row>
    <row r="322" spans="1:41" x14ac:dyDescent="0.3">
      <c r="A322" s="19" t="s">
        <v>392</v>
      </c>
      <c r="B322">
        <v>29</v>
      </c>
      <c r="C322" s="19" t="s">
        <v>196</v>
      </c>
      <c r="D322" s="19" t="s">
        <v>55</v>
      </c>
      <c r="E322" s="19" t="s">
        <v>48</v>
      </c>
      <c r="F322">
        <v>592</v>
      </c>
      <c r="G322" s="19" t="s">
        <v>49</v>
      </c>
      <c r="H322">
        <v>7</v>
      </c>
      <c r="I322">
        <v>3</v>
      </c>
      <c r="J322" s="19" t="s">
        <v>50</v>
      </c>
      <c r="K322">
        <v>1883</v>
      </c>
      <c r="L322">
        <v>4</v>
      </c>
      <c r="M322" s="19" t="s">
        <v>51</v>
      </c>
      <c r="N322">
        <v>3</v>
      </c>
      <c r="O322">
        <v>1</v>
      </c>
      <c r="P322" s="19" t="s">
        <v>52</v>
      </c>
      <c r="Q322">
        <v>1</v>
      </c>
      <c r="R322" s="19" t="s">
        <v>53</v>
      </c>
      <c r="S322">
        <v>47214</v>
      </c>
      <c r="T322" s="19" t="s">
        <v>72</v>
      </c>
      <c r="U322">
        <v>295.08999999999997</v>
      </c>
      <c r="V322">
        <v>3</v>
      </c>
      <c r="W322" s="19" t="s">
        <v>55</v>
      </c>
      <c r="X322">
        <v>14</v>
      </c>
      <c r="Y322">
        <v>3</v>
      </c>
      <c r="Z322">
        <v>2</v>
      </c>
      <c r="AA322">
        <v>0</v>
      </c>
      <c r="AB322">
        <v>11</v>
      </c>
      <c r="AC322">
        <v>2</v>
      </c>
      <c r="AD322">
        <v>3</v>
      </c>
      <c r="AE322">
        <v>3</v>
      </c>
      <c r="AF322">
        <v>2</v>
      </c>
      <c r="AG322">
        <v>1</v>
      </c>
      <c r="AH322">
        <v>2</v>
      </c>
      <c r="AI322">
        <v>0</v>
      </c>
      <c r="AJ322" s="19" t="s">
        <v>1566</v>
      </c>
      <c r="AK322" s="19" t="s">
        <v>1562</v>
      </c>
      <c r="AL322">
        <v>1</v>
      </c>
      <c r="AM322" s="19" t="s">
        <v>1565</v>
      </c>
      <c r="AN322">
        <v>-8.7133532676875694E-2</v>
      </c>
      <c r="AO322">
        <v>566568</v>
      </c>
    </row>
    <row r="323" spans="1:41" x14ac:dyDescent="0.3">
      <c r="A323" s="19" t="s">
        <v>393</v>
      </c>
      <c r="B323">
        <v>29</v>
      </c>
      <c r="C323" s="19" t="s">
        <v>196</v>
      </c>
      <c r="D323" s="19" t="s">
        <v>47</v>
      </c>
      <c r="E323" s="19" t="s">
        <v>62</v>
      </c>
      <c r="F323">
        <v>746</v>
      </c>
      <c r="G323" s="19" t="s">
        <v>57</v>
      </c>
      <c r="H323">
        <v>24</v>
      </c>
      <c r="I323">
        <v>3</v>
      </c>
      <c r="J323" s="19" t="s">
        <v>77</v>
      </c>
      <c r="K323">
        <v>1928</v>
      </c>
      <c r="L323">
        <v>3</v>
      </c>
      <c r="M323" s="19" t="s">
        <v>51</v>
      </c>
      <c r="N323">
        <v>4</v>
      </c>
      <c r="O323">
        <v>1</v>
      </c>
      <c r="P323" s="19" t="s">
        <v>60</v>
      </c>
      <c r="Q323">
        <v>1</v>
      </c>
      <c r="R323" s="19" t="s">
        <v>53</v>
      </c>
      <c r="S323">
        <v>87416</v>
      </c>
      <c r="T323" s="19" t="s">
        <v>70</v>
      </c>
      <c r="U323">
        <v>546.35</v>
      </c>
      <c r="V323">
        <v>1</v>
      </c>
      <c r="W323" s="19" t="s">
        <v>55</v>
      </c>
      <c r="X323">
        <v>17</v>
      </c>
      <c r="Y323">
        <v>3</v>
      </c>
      <c r="Z323">
        <v>4</v>
      </c>
      <c r="AA323">
        <v>0</v>
      </c>
      <c r="AB323">
        <v>1</v>
      </c>
      <c r="AC323">
        <v>3</v>
      </c>
      <c r="AD323">
        <v>3</v>
      </c>
      <c r="AE323">
        <v>1</v>
      </c>
      <c r="AF323">
        <v>0</v>
      </c>
      <c r="AG323">
        <v>0</v>
      </c>
      <c r="AH323">
        <v>0</v>
      </c>
      <c r="AI323">
        <v>1</v>
      </c>
      <c r="AJ323" s="19" t="s">
        <v>1561</v>
      </c>
      <c r="AK323" s="19" t="s">
        <v>1562</v>
      </c>
      <c r="AL323">
        <v>1</v>
      </c>
      <c r="AM323" s="19" t="s">
        <v>1565</v>
      </c>
      <c r="AN323">
        <v>0.77218072568011542</v>
      </c>
      <c r="AO323">
        <v>1048992</v>
      </c>
    </row>
    <row r="324" spans="1:41" x14ac:dyDescent="0.3">
      <c r="A324" s="19" t="s">
        <v>394</v>
      </c>
      <c r="B324">
        <v>29</v>
      </c>
      <c r="C324" s="19" t="s">
        <v>196</v>
      </c>
      <c r="D324" s="19" t="s">
        <v>55</v>
      </c>
      <c r="E324" s="19" t="s">
        <v>48</v>
      </c>
      <c r="F324">
        <v>136</v>
      </c>
      <c r="G324" s="19" t="s">
        <v>49</v>
      </c>
      <c r="H324">
        <v>1</v>
      </c>
      <c r="I324">
        <v>3</v>
      </c>
      <c r="J324" s="19" t="s">
        <v>50</v>
      </c>
      <c r="K324">
        <v>1954</v>
      </c>
      <c r="L324">
        <v>1</v>
      </c>
      <c r="M324" s="19" t="s">
        <v>51</v>
      </c>
      <c r="N324">
        <v>3</v>
      </c>
      <c r="O324">
        <v>2</v>
      </c>
      <c r="P324" s="19" t="s">
        <v>168</v>
      </c>
      <c r="Q324">
        <v>1</v>
      </c>
      <c r="R324" s="19" t="s">
        <v>113</v>
      </c>
      <c r="S324">
        <v>71271</v>
      </c>
      <c r="T324" s="19" t="s">
        <v>64</v>
      </c>
      <c r="U324">
        <v>445.44</v>
      </c>
      <c r="V324">
        <v>0</v>
      </c>
      <c r="W324" s="19" t="s">
        <v>55</v>
      </c>
      <c r="X324">
        <v>12</v>
      </c>
      <c r="Y324">
        <v>3</v>
      </c>
      <c r="Z324">
        <v>1</v>
      </c>
      <c r="AA324">
        <v>1</v>
      </c>
      <c r="AB324">
        <v>6</v>
      </c>
      <c r="AC324">
        <v>5</v>
      </c>
      <c r="AD324">
        <v>2</v>
      </c>
      <c r="AE324">
        <v>5</v>
      </c>
      <c r="AF324">
        <v>3</v>
      </c>
      <c r="AG324">
        <v>0</v>
      </c>
      <c r="AH324">
        <v>2</v>
      </c>
      <c r="AI324">
        <v>0</v>
      </c>
      <c r="AJ324" s="19" t="s">
        <v>1567</v>
      </c>
      <c r="AK324" s="19" t="s">
        <v>1562</v>
      </c>
      <c r="AL324">
        <v>2</v>
      </c>
      <c r="AM324" s="19" t="s">
        <v>1564</v>
      </c>
      <c r="AN324">
        <v>0.4789845964117585</v>
      </c>
      <c r="AO324">
        <v>855252</v>
      </c>
    </row>
    <row r="325" spans="1:41" x14ac:dyDescent="0.3">
      <c r="A325" s="19" t="s">
        <v>395</v>
      </c>
      <c r="B325">
        <v>29</v>
      </c>
      <c r="C325" s="19" t="s">
        <v>196</v>
      </c>
      <c r="D325" s="19" t="s">
        <v>47</v>
      </c>
      <c r="E325" s="19" t="s">
        <v>48</v>
      </c>
      <c r="F325">
        <v>1092</v>
      </c>
      <c r="G325" s="19" t="s">
        <v>49</v>
      </c>
      <c r="H325">
        <v>1</v>
      </c>
      <c r="I325">
        <v>4</v>
      </c>
      <c r="J325" s="19" t="s">
        <v>58</v>
      </c>
      <c r="K325">
        <v>2027</v>
      </c>
      <c r="L325">
        <v>1</v>
      </c>
      <c r="M325" s="19" t="s">
        <v>51</v>
      </c>
      <c r="N325">
        <v>3</v>
      </c>
      <c r="O325">
        <v>1</v>
      </c>
      <c r="P325" s="19" t="s">
        <v>67</v>
      </c>
      <c r="Q325">
        <v>4</v>
      </c>
      <c r="R325" s="19" t="s">
        <v>113</v>
      </c>
      <c r="S325">
        <v>45064</v>
      </c>
      <c r="T325" s="19" t="s">
        <v>72</v>
      </c>
      <c r="U325">
        <v>281.64999999999998</v>
      </c>
      <c r="V325">
        <v>9</v>
      </c>
      <c r="W325" s="19" t="s">
        <v>47</v>
      </c>
      <c r="X325">
        <v>14</v>
      </c>
      <c r="Y325">
        <v>3</v>
      </c>
      <c r="Z325">
        <v>2</v>
      </c>
      <c r="AA325">
        <v>3</v>
      </c>
      <c r="AB325">
        <v>4</v>
      </c>
      <c r="AC325">
        <v>3</v>
      </c>
      <c r="AD325">
        <v>4</v>
      </c>
      <c r="AE325">
        <v>2</v>
      </c>
      <c r="AF325">
        <v>2</v>
      </c>
      <c r="AG325">
        <v>2</v>
      </c>
      <c r="AH325">
        <v>2</v>
      </c>
      <c r="AI325">
        <v>1</v>
      </c>
      <c r="AJ325" s="19" t="s">
        <v>1566</v>
      </c>
      <c r="AK325" s="19" t="s">
        <v>1562</v>
      </c>
      <c r="AL325">
        <v>1</v>
      </c>
      <c r="AM325" s="19" t="s">
        <v>1565</v>
      </c>
      <c r="AN325">
        <v>-9.6299934404543305E-2</v>
      </c>
      <c r="AO325">
        <v>540768</v>
      </c>
    </row>
    <row r="326" spans="1:41" x14ac:dyDescent="0.3">
      <c r="A326" s="19" t="s">
        <v>396</v>
      </c>
      <c r="B326">
        <v>29</v>
      </c>
      <c r="C326" s="19" t="s">
        <v>196</v>
      </c>
      <c r="D326" s="19" t="s">
        <v>55</v>
      </c>
      <c r="E326" s="19" t="s">
        <v>48</v>
      </c>
      <c r="F326">
        <v>1378</v>
      </c>
      <c r="G326" s="19" t="s">
        <v>49</v>
      </c>
      <c r="H326">
        <v>13</v>
      </c>
      <c r="I326">
        <v>2</v>
      </c>
      <c r="J326" s="19" t="s">
        <v>82</v>
      </c>
      <c r="K326">
        <v>2053</v>
      </c>
      <c r="L326">
        <v>4</v>
      </c>
      <c r="M326" s="19" t="s">
        <v>51</v>
      </c>
      <c r="N326">
        <v>2</v>
      </c>
      <c r="O326">
        <v>2</v>
      </c>
      <c r="P326" s="19" t="s">
        <v>52</v>
      </c>
      <c r="Q326">
        <v>2</v>
      </c>
      <c r="R326" s="19" t="s">
        <v>113</v>
      </c>
      <c r="S326">
        <v>71091</v>
      </c>
      <c r="T326" s="19" t="s">
        <v>64</v>
      </c>
      <c r="U326">
        <v>444.32</v>
      </c>
      <c r="V326">
        <v>4</v>
      </c>
      <c r="W326" s="19" t="s">
        <v>47</v>
      </c>
      <c r="X326">
        <v>13</v>
      </c>
      <c r="Y326">
        <v>3</v>
      </c>
      <c r="Z326">
        <v>1</v>
      </c>
      <c r="AA326">
        <v>1</v>
      </c>
      <c r="AB326">
        <v>10</v>
      </c>
      <c r="AC326">
        <v>2</v>
      </c>
      <c r="AD326">
        <v>3</v>
      </c>
      <c r="AE326">
        <v>4</v>
      </c>
      <c r="AF326">
        <v>3</v>
      </c>
      <c r="AG326">
        <v>0</v>
      </c>
      <c r="AH326">
        <v>3</v>
      </c>
      <c r="AI326">
        <v>0</v>
      </c>
      <c r="AJ326" s="19" t="s">
        <v>1567</v>
      </c>
      <c r="AK326" s="19" t="s">
        <v>1562</v>
      </c>
      <c r="AL326">
        <v>2</v>
      </c>
      <c r="AM326" s="19" t="s">
        <v>1564</v>
      </c>
      <c r="AN326">
        <v>0.37452005821299256</v>
      </c>
      <c r="AO326">
        <v>853092</v>
      </c>
    </row>
    <row r="327" spans="1:41" x14ac:dyDescent="0.3">
      <c r="A327" s="19" t="s">
        <v>397</v>
      </c>
      <c r="B327">
        <v>29</v>
      </c>
      <c r="C327" s="19" t="s">
        <v>196</v>
      </c>
      <c r="D327" s="19" t="s">
        <v>55</v>
      </c>
      <c r="E327" s="19" t="s">
        <v>48</v>
      </c>
      <c r="F327">
        <v>468</v>
      </c>
      <c r="G327" s="19" t="s">
        <v>49</v>
      </c>
      <c r="H327">
        <v>28</v>
      </c>
      <c r="I327">
        <v>4</v>
      </c>
      <c r="J327" s="19" t="s">
        <v>58</v>
      </c>
      <c r="K327">
        <v>2054</v>
      </c>
      <c r="L327">
        <v>4</v>
      </c>
      <c r="M327" s="19" t="s">
        <v>59</v>
      </c>
      <c r="N327">
        <v>2</v>
      </c>
      <c r="O327">
        <v>1</v>
      </c>
      <c r="P327" s="19" t="s">
        <v>67</v>
      </c>
      <c r="Q327">
        <v>1</v>
      </c>
      <c r="R327" s="19" t="s">
        <v>53</v>
      </c>
      <c r="S327">
        <v>41818</v>
      </c>
      <c r="T327" s="19" t="s">
        <v>72</v>
      </c>
      <c r="U327">
        <v>261.36</v>
      </c>
      <c r="V327">
        <v>1</v>
      </c>
      <c r="W327" s="19" t="s">
        <v>55</v>
      </c>
      <c r="X327">
        <v>14</v>
      </c>
      <c r="Y327">
        <v>3</v>
      </c>
      <c r="Z327">
        <v>2</v>
      </c>
      <c r="AA327">
        <v>0</v>
      </c>
      <c r="AB327">
        <v>5</v>
      </c>
      <c r="AC327">
        <v>3</v>
      </c>
      <c r="AD327">
        <v>1</v>
      </c>
      <c r="AE327">
        <v>5</v>
      </c>
      <c r="AF327">
        <v>4</v>
      </c>
      <c r="AG327">
        <v>0</v>
      </c>
      <c r="AH327">
        <v>4</v>
      </c>
      <c r="AI327">
        <v>0</v>
      </c>
      <c r="AJ327" s="19" t="s">
        <v>1567</v>
      </c>
      <c r="AK327" s="19" t="s">
        <v>1562</v>
      </c>
      <c r="AL327">
        <v>2</v>
      </c>
      <c r="AM327" s="19" t="s">
        <v>1564</v>
      </c>
      <c r="AN327">
        <v>-0.1613942538817946</v>
      </c>
      <c r="AO327">
        <v>501816</v>
      </c>
    </row>
    <row r="328" spans="1:41" x14ac:dyDescent="0.3">
      <c r="A328" s="19" t="s">
        <v>397</v>
      </c>
      <c r="B328">
        <v>29</v>
      </c>
      <c r="C328" s="19" t="s">
        <v>196</v>
      </c>
      <c r="D328" s="19" t="s">
        <v>55</v>
      </c>
      <c r="E328" s="19" t="s">
        <v>48</v>
      </c>
      <c r="F328">
        <v>468</v>
      </c>
      <c r="G328" s="19" t="s">
        <v>49</v>
      </c>
      <c r="H328">
        <v>28</v>
      </c>
      <c r="I328">
        <v>4</v>
      </c>
      <c r="J328" s="19" t="s">
        <v>58</v>
      </c>
      <c r="K328">
        <v>2054</v>
      </c>
      <c r="L328">
        <v>4</v>
      </c>
      <c r="M328" s="19" t="s">
        <v>59</v>
      </c>
      <c r="N328">
        <v>2</v>
      </c>
      <c r="O328">
        <v>1</v>
      </c>
      <c r="P328" s="19" t="s">
        <v>67</v>
      </c>
      <c r="Q328">
        <v>1</v>
      </c>
      <c r="R328" s="19" t="s">
        <v>53</v>
      </c>
      <c r="S328">
        <v>46525</v>
      </c>
      <c r="T328" s="19" t="s">
        <v>72</v>
      </c>
      <c r="U328">
        <v>290.77999999999997</v>
      </c>
      <c r="V328">
        <v>1</v>
      </c>
      <c r="W328" s="19" t="s">
        <v>55</v>
      </c>
      <c r="X328">
        <v>14</v>
      </c>
      <c r="Y328">
        <v>3</v>
      </c>
      <c r="Z328">
        <v>2</v>
      </c>
      <c r="AA328">
        <v>0</v>
      </c>
      <c r="AB328">
        <v>5</v>
      </c>
      <c r="AC328">
        <v>3</v>
      </c>
      <c r="AD328">
        <v>1</v>
      </c>
      <c r="AE328">
        <v>5</v>
      </c>
      <c r="AF328">
        <v>4</v>
      </c>
      <c r="AG328">
        <v>0</v>
      </c>
      <c r="AH328">
        <v>4</v>
      </c>
      <c r="AI328">
        <v>0</v>
      </c>
      <c r="AJ328" s="19" t="s">
        <v>1567</v>
      </c>
      <c r="AK328" s="19" t="s">
        <v>1562</v>
      </c>
      <c r="AL328">
        <v>2</v>
      </c>
      <c r="AM328" s="19" t="s">
        <v>1564</v>
      </c>
      <c r="AN328">
        <v>-6.7001474528922814E-2</v>
      </c>
      <c r="AO328">
        <v>558300</v>
      </c>
    </row>
    <row r="329" spans="1:41" x14ac:dyDescent="0.3">
      <c r="A329" s="19" t="s">
        <v>398</v>
      </c>
      <c r="B329">
        <v>30</v>
      </c>
      <c r="C329" s="19" t="s">
        <v>196</v>
      </c>
      <c r="D329" s="19" t="s">
        <v>55</v>
      </c>
      <c r="E329" s="19" t="s">
        <v>48</v>
      </c>
      <c r="F329">
        <v>1358</v>
      </c>
      <c r="G329" s="19" t="s">
        <v>49</v>
      </c>
      <c r="H329">
        <v>24</v>
      </c>
      <c r="I329">
        <v>1</v>
      </c>
      <c r="J329" s="19" t="s">
        <v>50</v>
      </c>
      <c r="K329">
        <v>11</v>
      </c>
      <c r="L329">
        <v>4</v>
      </c>
      <c r="M329" s="19" t="s">
        <v>51</v>
      </c>
      <c r="N329">
        <v>3</v>
      </c>
      <c r="O329">
        <v>1</v>
      </c>
      <c r="P329" s="19" t="s">
        <v>52</v>
      </c>
      <c r="Q329">
        <v>3</v>
      </c>
      <c r="R329" s="19" t="s">
        <v>53</v>
      </c>
      <c r="S329">
        <v>20830</v>
      </c>
      <c r="T329" s="19" t="s">
        <v>54</v>
      </c>
      <c r="U329">
        <v>130.19</v>
      </c>
      <c r="V329">
        <v>1</v>
      </c>
      <c r="W329" s="19" t="s">
        <v>55</v>
      </c>
      <c r="X329">
        <v>22</v>
      </c>
      <c r="Y329">
        <v>4</v>
      </c>
      <c r="Z329">
        <v>2</v>
      </c>
      <c r="AA329">
        <v>1</v>
      </c>
      <c r="AB329">
        <v>1</v>
      </c>
      <c r="AC329">
        <v>2</v>
      </c>
      <c r="AD329">
        <v>3</v>
      </c>
      <c r="AE329">
        <v>1</v>
      </c>
      <c r="AF329">
        <v>0</v>
      </c>
      <c r="AG329">
        <v>0</v>
      </c>
      <c r="AH329">
        <v>0</v>
      </c>
      <c r="AI329">
        <v>0</v>
      </c>
      <c r="AJ329" s="19" t="s">
        <v>1561</v>
      </c>
      <c r="AK329" s="19" t="s">
        <v>1562</v>
      </c>
      <c r="AL329">
        <v>0</v>
      </c>
      <c r="AM329" s="19" t="s">
        <v>1563</v>
      </c>
      <c r="AN329">
        <v>-0.59725910716438602</v>
      </c>
      <c r="AO329">
        <v>249960</v>
      </c>
    </row>
    <row r="330" spans="1:41" x14ac:dyDescent="0.3">
      <c r="A330" s="19" t="s">
        <v>399</v>
      </c>
      <c r="B330">
        <v>30</v>
      </c>
      <c r="C330" s="19" t="s">
        <v>196</v>
      </c>
      <c r="D330" s="19" t="s">
        <v>55</v>
      </c>
      <c r="E330" s="19" t="s">
        <v>48</v>
      </c>
      <c r="F330">
        <v>125</v>
      </c>
      <c r="G330" s="19" t="s">
        <v>49</v>
      </c>
      <c r="H330">
        <v>9</v>
      </c>
      <c r="I330">
        <v>2</v>
      </c>
      <c r="J330" s="19" t="s">
        <v>58</v>
      </c>
      <c r="K330">
        <v>41</v>
      </c>
      <c r="L330">
        <v>4</v>
      </c>
      <c r="M330" s="19" t="s">
        <v>51</v>
      </c>
      <c r="N330">
        <v>2</v>
      </c>
      <c r="O330">
        <v>1</v>
      </c>
      <c r="P330" s="19" t="s">
        <v>52</v>
      </c>
      <c r="Q330">
        <v>3</v>
      </c>
      <c r="R330" s="19" t="s">
        <v>53</v>
      </c>
      <c r="S330">
        <v>18429</v>
      </c>
      <c r="T330" s="19" t="s">
        <v>54</v>
      </c>
      <c r="U330">
        <v>115.18</v>
      </c>
      <c r="V330">
        <v>1</v>
      </c>
      <c r="W330" s="19" t="s">
        <v>55</v>
      </c>
      <c r="X330">
        <v>13</v>
      </c>
      <c r="Y330">
        <v>3</v>
      </c>
      <c r="Z330">
        <v>1</v>
      </c>
      <c r="AA330">
        <v>0</v>
      </c>
      <c r="AB330">
        <v>10</v>
      </c>
      <c r="AC330">
        <v>5</v>
      </c>
      <c r="AD330">
        <v>3</v>
      </c>
      <c r="AE330">
        <v>10</v>
      </c>
      <c r="AF330">
        <v>0</v>
      </c>
      <c r="AG330">
        <v>1</v>
      </c>
      <c r="AH330">
        <v>8</v>
      </c>
      <c r="AI330">
        <v>0</v>
      </c>
      <c r="AJ330" s="19" t="s">
        <v>1569</v>
      </c>
      <c r="AK330" s="19" t="s">
        <v>1562</v>
      </c>
      <c r="AL330">
        <v>0</v>
      </c>
      <c r="AM330" s="19" t="s">
        <v>1563</v>
      </c>
      <c r="AN330">
        <v>-0.64368161718350791</v>
      </c>
      <c r="AO330">
        <v>221148</v>
      </c>
    </row>
    <row r="331" spans="1:41" x14ac:dyDescent="0.3">
      <c r="A331" s="19" t="s">
        <v>400</v>
      </c>
      <c r="B331">
        <v>30</v>
      </c>
      <c r="C331" s="19" t="s">
        <v>196</v>
      </c>
      <c r="D331" s="19" t="s">
        <v>55</v>
      </c>
      <c r="E331" s="19" t="s">
        <v>62</v>
      </c>
      <c r="F331">
        <v>721</v>
      </c>
      <c r="G331" s="19" t="s">
        <v>49</v>
      </c>
      <c r="H331">
        <v>1</v>
      </c>
      <c r="I331">
        <v>2</v>
      </c>
      <c r="J331" s="19" t="s">
        <v>58</v>
      </c>
      <c r="K331">
        <v>57</v>
      </c>
      <c r="L331">
        <v>3</v>
      </c>
      <c r="M331" s="19" t="s">
        <v>59</v>
      </c>
      <c r="N331">
        <v>3</v>
      </c>
      <c r="O331">
        <v>2</v>
      </c>
      <c r="P331" s="19" t="s">
        <v>52</v>
      </c>
      <c r="Q331">
        <v>4</v>
      </c>
      <c r="R331" s="19" t="s">
        <v>53</v>
      </c>
      <c r="S331">
        <v>7893</v>
      </c>
      <c r="T331" s="19" t="s">
        <v>54</v>
      </c>
      <c r="U331">
        <v>49.33</v>
      </c>
      <c r="V331">
        <v>1</v>
      </c>
      <c r="W331" s="19" t="s">
        <v>55</v>
      </c>
      <c r="X331">
        <v>23</v>
      </c>
      <c r="Y331">
        <v>4</v>
      </c>
      <c r="Z331">
        <v>4</v>
      </c>
      <c r="AA331">
        <v>0</v>
      </c>
      <c r="AB331">
        <v>12</v>
      </c>
      <c r="AC331">
        <v>2</v>
      </c>
      <c r="AD331">
        <v>3</v>
      </c>
      <c r="AE331">
        <v>12</v>
      </c>
      <c r="AF331">
        <v>8</v>
      </c>
      <c r="AG331">
        <v>3</v>
      </c>
      <c r="AH331">
        <v>7</v>
      </c>
      <c r="AI331">
        <v>0</v>
      </c>
      <c r="AJ331" s="19" t="s">
        <v>1571</v>
      </c>
      <c r="AK331" s="19" t="s">
        <v>1570</v>
      </c>
      <c r="AL331">
        <v>1</v>
      </c>
      <c r="AM331" s="19" t="s">
        <v>1565</v>
      </c>
      <c r="AN331">
        <v>-0.84739155702585212</v>
      </c>
      <c r="AO331">
        <v>94716</v>
      </c>
    </row>
    <row r="332" spans="1:41" x14ac:dyDescent="0.3">
      <c r="A332" s="19" t="s">
        <v>401</v>
      </c>
      <c r="B332">
        <v>30</v>
      </c>
      <c r="C332" s="19" t="s">
        <v>196</v>
      </c>
      <c r="D332" s="19" t="s">
        <v>55</v>
      </c>
      <c r="E332" s="19" t="s">
        <v>48</v>
      </c>
      <c r="F332">
        <v>852</v>
      </c>
      <c r="G332" s="19" t="s">
        <v>49</v>
      </c>
      <c r="H332">
        <v>1</v>
      </c>
      <c r="I332">
        <v>1</v>
      </c>
      <c r="J332" s="19" t="s">
        <v>50</v>
      </c>
      <c r="K332">
        <v>104</v>
      </c>
      <c r="L332">
        <v>4</v>
      </c>
      <c r="M332" s="19" t="s">
        <v>51</v>
      </c>
      <c r="N332">
        <v>2</v>
      </c>
      <c r="O332">
        <v>2</v>
      </c>
      <c r="P332" s="19" t="s">
        <v>52</v>
      </c>
      <c r="Q332">
        <v>4</v>
      </c>
      <c r="R332" s="19" t="s">
        <v>113</v>
      </c>
      <c r="S332">
        <v>80909</v>
      </c>
      <c r="T332" s="19" t="s">
        <v>64</v>
      </c>
      <c r="U332">
        <v>505.68</v>
      </c>
      <c r="V332">
        <v>1</v>
      </c>
      <c r="W332" s="19" t="s">
        <v>47</v>
      </c>
      <c r="X332">
        <v>12</v>
      </c>
      <c r="Y332">
        <v>3</v>
      </c>
      <c r="Z332">
        <v>3</v>
      </c>
      <c r="AA332">
        <v>2</v>
      </c>
      <c r="AB332">
        <v>10</v>
      </c>
      <c r="AC332">
        <v>1</v>
      </c>
      <c r="AD332">
        <v>2</v>
      </c>
      <c r="AE332">
        <v>10</v>
      </c>
      <c r="AF332">
        <v>8</v>
      </c>
      <c r="AG332">
        <v>3</v>
      </c>
      <c r="AH332">
        <v>0</v>
      </c>
      <c r="AI332">
        <v>0</v>
      </c>
      <c r="AJ332" s="19" t="s">
        <v>1569</v>
      </c>
      <c r="AK332" s="19" t="s">
        <v>1570</v>
      </c>
      <c r="AL332">
        <v>3</v>
      </c>
      <c r="AM332" s="19" t="s">
        <v>1568</v>
      </c>
      <c r="AN332">
        <v>0.56434771475932277</v>
      </c>
      <c r="AO332">
        <v>970908</v>
      </c>
    </row>
    <row r="333" spans="1:41" x14ac:dyDescent="0.3">
      <c r="A333" s="19" t="s">
        <v>402</v>
      </c>
      <c r="B333">
        <v>30</v>
      </c>
      <c r="C333" s="19" t="s">
        <v>196</v>
      </c>
      <c r="D333" s="19" t="s">
        <v>55</v>
      </c>
      <c r="E333" s="19" t="s">
        <v>48</v>
      </c>
      <c r="F333">
        <v>288</v>
      </c>
      <c r="G333" s="19" t="s">
        <v>49</v>
      </c>
      <c r="H333">
        <v>2</v>
      </c>
      <c r="I333">
        <v>3</v>
      </c>
      <c r="J333" s="19" t="s">
        <v>50</v>
      </c>
      <c r="K333">
        <v>117</v>
      </c>
      <c r="L333">
        <v>3</v>
      </c>
      <c r="M333" s="19" t="s">
        <v>51</v>
      </c>
      <c r="N333">
        <v>2</v>
      </c>
      <c r="O333">
        <v>2</v>
      </c>
      <c r="P333" s="19" t="s">
        <v>168</v>
      </c>
      <c r="Q333">
        <v>4</v>
      </c>
      <c r="R333" s="19" t="s">
        <v>113</v>
      </c>
      <c r="S333">
        <v>48333</v>
      </c>
      <c r="T333" s="19" t="s">
        <v>72</v>
      </c>
      <c r="U333">
        <v>302.08</v>
      </c>
      <c r="V333">
        <v>1</v>
      </c>
      <c r="W333" s="19" t="s">
        <v>55</v>
      </c>
      <c r="X333">
        <v>19</v>
      </c>
      <c r="Y333">
        <v>3</v>
      </c>
      <c r="Z333">
        <v>1</v>
      </c>
      <c r="AA333">
        <v>3</v>
      </c>
      <c r="AB333">
        <v>11</v>
      </c>
      <c r="AC333">
        <v>3</v>
      </c>
      <c r="AD333">
        <v>3</v>
      </c>
      <c r="AE333">
        <v>11</v>
      </c>
      <c r="AF333">
        <v>10</v>
      </c>
      <c r="AG333">
        <v>10</v>
      </c>
      <c r="AH333">
        <v>8</v>
      </c>
      <c r="AI333">
        <v>0</v>
      </c>
      <c r="AJ333" s="19" t="s">
        <v>1571</v>
      </c>
      <c r="AK333" s="19" t="s">
        <v>1570</v>
      </c>
      <c r="AL333">
        <v>1</v>
      </c>
      <c r="AM333" s="19" t="s">
        <v>1565</v>
      </c>
      <c r="AN333">
        <v>2.9852604617519496E-3</v>
      </c>
      <c r="AO333">
        <v>579996</v>
      </c>
    </row>
    <row r="334" spans="1:41" x14ac:dyDescent="0.3">
      <c r="A334" s="19" t="s">
        <v>403</v>
      </c>
      <c r="B334">
        <v>30</v>
      </c>
      <c r="C334" s="19" t="s">
        <v>196</v>
      </c>
      <c r="D334" s="19" t="s">
        <v>55</v>
      </c>
      <c r="E334" s="19" t="s">
        <v>48</v>
      </c>
      <c r="F334">
        <v>1334</v>
      </c>
      <c r="G334" s="19" t="s">
        <v>57</v>
      </c>
      <c r="H334">
        <v>4</v>
      </c>
      <c r="I334">
        <v>2</v>
      </c>
      <c r="J334" s="19" t="s">
        <v>58</v>
      </c>
      <c r="K334">
        <v>121</v>
      </c>
      <c r="L334">
        <v>3</v>
      </c>
      <c r="M334" s="19" t="s">
        <v>59</v>
      </c>
      <c r="N334">
        <v>2</v>
      </c>
      <c r="O334">
        <v>2</v>
      </c>
      <c r="P334" s="19" t="s">
        <v>145</v>
      </c>
      <c r="Q334">
        <v>2</v>
      </c>
      <c r="R334" s="19" t="s">
        <v>53</v>
      </c>
      <c r="S334">
        <v>4436</v>
      </c>
      <c r="T334" s="19" t="s">
        <v>54</v>
      </c>
      <c r="U334">
        <v>27.72</v>
      </c>
      <c r="V334">
        <v>1</v>
      </c>
      <c r="W334" s="19" t="s">
        <v>47</v>
      </c>
      <c r="X334">
        <v>12</v>
      </c>
      <c r="Y334">
        <v>3</v>
      </c>
      <c r="Z334">
        <v>2</v>
      </c>
      <c r="AA334">
        <v>3</v>
      </c>
      <c r="AB334">
        <v>11</v>
      </c>
      <c r="AC334">
        <v>4</v>
      </c>
      <c r="AD334">
        <v>2</v>
      </c>
      <c r="AE334">
        <v>11</v>
      </c>
      <c r="AF334">
        <v>8</v>
      </c>
      <c r="AG334">
        <v>2</v>
      </c>
      <c r="AH334">
        <v>7</v>
      </c>
      <c r="AI334">
        <v>0</v>
      </c>
      <c r="AJ334" s="19" t="s">
        <v>1571</v>
      </c>
      <c r="AK334" s="19" t="s">
        <v>1562</v>
      </c>
      <c r="AL334">
        <v>3</v>
      </c>
      <c r="AM334" s="19" t="s">
        <v>1568</v>
      </c>
      <c r="AN334">
        <v>-0.90957636372378015</v>
      </c>
      <c r="AO334">
        <v>53232</v>
      </c>
    </row>
    <row r="335" spans="1:41" x14ac:dyDescent="0.3">
      <c r="A335" s="19" t="s">
        <v>404</v>
      </c>
      <c r="B335">
        <v>30</v>
      </c>
      <c r="C335" s="19" t="s">
        <v>196</v>
      </c>
      <c r="D335" s="19" t="s">
        <v>55</v>
      </c>
      <c r="E335" s="19" t="s">
        <v>62</v>
      </c>
      <c r="F335">
        <v>1312</v>
      </c>
      <c r="G335" s="19" t="s">
        <v>49</v>
      </c>
      <c r="H335">
        <v>23</v>
      </c>
      <c r="I335">
        <v>3</v>
      </c>
      <c r="J335" s="19" t="s">
        <v>50</v>
      </c>
      <c r="K335">
        <v>159</v>
      </c>
      <c r="L335">
        <v>1</v>
      </c>
      <c r="M335" s="19" t="s">
        <v>51</v>
      </c>
      <c r="N335">
        <v>1</v>
      </c>
      <c r="O335">
        <v>1</v>
      </c>
      <c r="P335" s="19" t="s">
        <v>67</v>
      </c>
      <c r="Q335">
        <v>3</v>
      </c>
      <c r="R335" s="19" t="s">
        <v>53</v>
      </c>
      <c r="S335">
        <v>75290</v>
      </c>
      <c r="T335" s="19" t="s">
        <v>64</v>
      </c>
      <c r="U335">
        <v>470.56</v>
      </c>
      <c r="V335">
        <v>1</v>
      </c>
      <c r="W335" s="19" t="s">
        <v>55</v>
      </c>
      <c r="X335">
        <v>25</v>
      </c>
      <c r="Y335">
        <v>4</v>
      </c>
      <c r="Z335">
        <v>3</v>
      </c>
      <c r="AA335">
        <v>3</v>
      </c>
      <c r="AB335">
        <v>10</v>
      </c>
      <c r="AC335">
        <v>2</v>
      </c>
      <c r="AD335">
        <v>2</v>
      </c>
      <c r="AE335">
        <v>10</v>
      </c>
      <c r="AF335">
        <v>7</v>
      </c>
      <c r="AG335">
        <v>0</v>
      </c>
      <c r="AH335">
        <v>9</v>
      </c>
      <c r="AI335">
        <v>0</v>
      </c>
      <c r="AJ335" s="19" t="s">
        <v>1569</v>
      </c>
      <c r="AK335" s="19" t="s">
        <v>1562</v>
      </c>
      <c r="AL335">
        <v>1</v>
      </c>
      <c r="AM335" s="19" t="s">
        <v>1565</v>
      </c>
      <c r="AN335">
        <v>0.50984328818307145</v>
      </c>
      <c r="AO335">
        <v>903480</v>
      </c>
    </row>
    <row r="336" spans="1:41" x14ac:dyDescent="0.3">
      <c r="A336" s="19" t="s">
        <v>405</v>
      </c>
      <c r="B336">
        <v>30</v>
      </c>
      <c r="C336" s="19" t="s">
        <v>196</v>
      </c>
      <c r="D336" s="19" t="s">
        <v>55</v>
      </c>
      <c r="E336" s="19" t="s">
        <v>48</v>
      </c>
      <c r="F336">
        <v>1240</v>
      </c>
      <c r="G336" s="19" t="s">
        <v>406</v>
      </c>
      <c r="H336">
        <v>9</v>
      </c>
      <c r="I336">
        <v>3</v>
      </c>
      <c r="J336" s="19" t="s">
        <v>80</v>
      </c>
      <c r="K336">
        <v>184</v>
      </c>
      <c r="L336">
        <v>3</v>
      </c>
      <c r="M336" s="19" t="s">
        <v>51</v>
      </c>
      <c r="N336">
        <v>3</v>
      </c>
      <c r="O336">
        <v>2</v>
      </c>
      <c r="P336" s="19" t="s">
        <v>80</v>
      </c>
      <c r="Q336">
        <v>4</v>
      </c>
      <c r="R336" s="19" t="s">
        <v>113</v>
      </c>
      <c r="S336">
        <v>77213</v>
      </c>
      <c r="T336" s="19" t="s">
        <v>64</v>
      </c>
      <c r="U336">
        <v>482.58</v>
      </c>
      <c r="V336">
        <v>0</v>
      </c>
      <c r="W336" s="19" t="s">
        <v>47</v>
      </c>
      <c r="X336">
        <v>19</v>
      </c>
      <c r="Y336">
        <v>3</v>
      </c>
      <c r="Z336">
        <v>4</v>
      </c>
      <c r="AA336">
        <v>0</v>
      </c>
      <c r="AB336">
        <v>12</v>
      </c>
      <c r="AC336">
        <v>2</v>
      </c>
      <c r="AD336">
        <v>1</v>
      </c>
      <c r="AE336">
        <v>11</v>
      </c>
      <c r="AF336">
        <v>9</v>
      </c>
      <c r="AG336">
        <v>4</v>
      </c>
      <c r="AH336">
        <v>9</v>
      </c>
      <c r="AI336">
        <v>0</v>
      </c>
      <c r="AJ336" s="19" t="s">
        <v>1571</v>
      </c>
      <c r="AK336" s="19" t="s">
        <v>1570</v>
      </c>
      <c r="AL336">
        <v>3</v>
      </c>
      <c r="AM336" s="19" t="s">
        <v>1568</v>
      </c>
      <c r="AN336">
        <v>0.52161716609378139</v>
      </c>
      <c r="AO336">
        <v>926556</v>
      </c>
    </row>
    <row r="337" spans="1:41" x14ac:dyDescent="0.3">
      <c r="A337" s="19" t="s">
        <v>407</v>
      </c>
      <c r="B337">
        <v>30</v>
      </c>
      <c r="C337" s="19" t="s">
        <v>196</v>
      </c>
      <c r="D337" s="19" t="s">
        <v>55</v>
      </c>
      <c r="E337" s="19" t="s">
        <v>48</v>
      </c>
      <c r="F337">
        <v>438</v>
      </c>
      <c r="G337" s="19" t="s">
        <v>49</v>
      </c>
      <c r="H337">
        <v>18</v>
      </c>
      <c r="I337">
        <v>3</v>
      </c>
      <c r="J337" s="19" t="s">
        <v>50</v>
      </c>
      <c r="K337">
        <v>194</v>
      </c>
      <c r="L337">
        <v>1</v>
      </c>
      <c r="M337" s="19" t="s">
        <v>59</v>
      </c>
      <c r="N337">
        <v>3</v>
      </c>
      <c r="O337">
        <v>1</v>
      </c>
      <c r="P337" s="19" t="s">
        <v>67</v>
      </c>
      <c r="Q337">
        <v>3</v>
      </c>
      <c r="R337" s="19" t="s">
        <v>53</v>
      </c>
      <c r="S337">
        <v>6895</v>
      </c>
      <c r="T337" s="19" t="s">
        <v>54</v>
      </c>
      <c r="U337">
        <v>43.09</v>
      </c>
      <c r="V337">
        <v>1</v>
      </c>
      <c r="W337" s="19" t="s">
        <v>55</v>
      </c>
      <c r="X337">
        <v>14</v>
      </c>
      <c r="Y337">
        <v>3</v>
      </c>
      <c r="Z337">
        <v>3</v>
      </c>
      <c r="AA337">
        <v>0</v>
      </c>
      <c r="AB337">
        <v>5</v>
      </c>
      <c r="AC337">
        <v>4</v>
      </c>
      <c r="AD337">
        <v>2</v>
      </c>
      <c r="AE337">
        <v>5</v>
      </c>
      <c r="AF337">
        <v>4</v>
      </c>
      <c r="AG337">
        <v>0</v>
      </c>
      <c r="AH337">
        <v>4</v>
      </c>
      <c r="AI337">
        <v>0</v>
      </c>
      <c r="AJ337" s="19" t="s">
        <v>1567</v>
      </c>
      <c r="AK337" s="19" t="s">
        <v>1562</v>
      </c>
      <c r="AL337">
        <v>1</v>
      </c>
      <c r="AM337" s="19" t="s">
        <v>1565</v>
      </c>
      <c r="AN337">
        <v>-0.86172971879370064</v>
      </c>
      <c r="AO337">
        <v>82740</v>
      </c>
    </row>
    <row r="338" spans="1:41" x14ac:dyDescent="0.3">
      <c r="A338" s="19" t="s">
        <v>408</v>
      </c>
      <c r="B338">
        <v>30</v>
      </c>
      <c r="C338" s="19" t="s">
        <v>196</v>
      </c>
      <c r="D338" s="19" t="s">
        <v>55</v>
      </c>
      <c r="E338" s="19" t="s">
        <v>48</v>
      </c>
      <c r="F338">
        <v>201</v>
      </c>
      <c r="G338" s="19" t="s">
        <v>49</v>
      </c>
      <c r="H338">
        <v>5</v>
      </c>
      <c r="I338">
        <v>3</v>
      </c>
      <c r="J338" s="19" t="s">
        <v>77</v>
      </c>
      <c r="K338">
        <v>197</v>
      </c>
      <c r="L338">
        <v>4</v>
      </c>
      <c r="M338" s="19" t="s">
        <v>59</v>
      </c>
      <c r="N338">
        <v>3</v>
      </c>
      <c r="O338">
        <v>1</v>
      </c>
      <c r="P338" s="19" t="s">
        <v>67</v>
      </c>
      <c r="Q338">
        <v>1</v>
      </c>
      <c r="R338" s="19" t="s">
        <v>53</v>
      </c>
      <c r="S338">
        <v>20738</v>
      </c>
      <c r="T338" s="19" t="s">
        <v>54</v>
      </c>
      <c r="U338">
        <v>129.61000000000001</v>
      </c>
      <c r="V338">
        <v>5</v>
      </c>
      <c r="W338" s="19" t="s">
        <v>55</v>
      </c>
      <c r="X338">
        <v>14</v>
      </c>
      <c r="Y338">
        <v>3</v>
      </c>
      <c r="Z338">
        <v>4</v>
      </c>
      <c r="AA338">
        <v>1</v>
      </c>
      <c r="AB338">
        <v>8</v>
      </c>
      <c r="AC338">
        <v>3</v>
      </c>
      <c r="AD338">
        <v>3</v>
      </c>
      <c r="AE338">
        <v>3</v>
      </c>
      <c r="AF338">
        <v>2</v>
      </c>
      <c r="AG338">
        <v>2</v>
      </c>
      <c r="AH338">
        <v>2</v>
      </c>
      <c r="AI338">
        <v>0</v>
      </c>
      <c r="AJ338" s="19" t="s">
        <v>1566</v>
      </c>
      <c r="AK338" s="19" t="s">
        <v>1562</v>
      </c>
      <c r="AL338">
        <v>1</v>
      </c>
      <c r="AM338" s="19" t="s">
        <v>1565</v>
      </c>
      <c r="AN338">
        <v>-0.5841263101296249</v>
      </c>
      <c r="AO338">
        <v>248856</v>
      </c>
    </row>
    <row r="339" spans="1:41" x14ac:dyDescent="0.3">
      <c r="A339" s="19" t="s">
        <v>409</v>
      </c>
      <c r="B339">
        <v>30</v>
      </c>
      <c r="C339" s="19" t="s">
        <v>196</v>
      </c>
      <c r="D339" s="19" t="s">
        <v>55</v>
      </c>
      <c r="E339" s="19" t="s">
        <v>48</v>
      </c>
      <c r="F339">
        <v>1427</v>
      </c>
      <c r="G339" s="19" t="s">
        <v>49</v>
      </c>
      <c r="H339">
        <v>2</v>
      </c>
      <c r="I339">
        <v>1</v>
      </c>
      <c r="J339" s="19" t="s">
        <v>58</v>
      </c>
      <c r="K339">
        <v>198</v>
      </c>
      <c r="L339">
        <v>2</v>
      </c>
      <c r="M339" s="19" t="s">
        <v>51</v>
      </c>
      <c r="N339">
        <v>2</v>
      </c>
      <c r="O339">
        <v>1</v>
      </c>
      <c r="P339" s="19" t="s">
        <v>52</v>
      </c>
      <c r="Q339">
        <v>4</v>
      </c>
      <c r="R339" s="19" t="s">
        <v>53</v>
      </c>
      <c r="S339">
        <v>31746</v>
      </c>
      <c r="T339" s="19" t="s">
        <v>72</v>
      </c>
      <c r="U339">
        <v>198.41</v>
      </c>
      <c r="V339">
        <v>0</v>
      </c>
      <c r="W339" s="19" t="s">
        <v>55</v>
      </c>
      <c r="X339">
        <v>13</v>
      </c>
      <c r="Y339">
        <v>3</v>
      </c>
      <c r="Z339">
        <v>4</v>
      </c>
      <c r="AA339">
        <v>0</v>
      </c>
      <c r="AB339">
        <v>6</v>
      </c>
      <c r="AC339">
        <v>3</v>
      </c>
      <c r="AD339">
        <v>3</v>
      </c>
      <c r="AE339">
        <v>5</v>
      </c>
      <c r="AF339">
        <v>3</v>
      </c>
      <c r="AG339">
        <v>1</v>
      </c>
      <c r="AH339">
        <v>3</v>
      </c>
      <c r="AI339">
        <v>0</v>
      </c>
      <c r="AJ339" s="19" t="s">
        <v>1567</v>
      </c>
      <c r="AK339" s="19" t="s">
        <v>1562</v>
      </c>
      <c r="AL339">
        <v>0</v>
      </c>
      <c r="AM339" s="19" t="s">
        <v>1563</v>
      </c>
      <c r="AN339">
        <v>-0.38620199788961102</v>
      </c>
      <c r="AO339">
        <v>380952</v>
      </c>
    </row>
    <row r="340" spans="1:41" x14ac:dyDescent="0.3">
      <c r="A340" s="19" t="s">
        <v>410</v>
      </c>
      <c r="B340">
        <v>30</v>
      </c>
      <c r="C340" s="19" t="s">
        <v>196</v>
      </c>
      <c r="D340" s="19" t="s">
        <v>55</v>
      </c>
      <c r="E340" s="19" t="s">
        <v>48</v>
      </c>
      <c r="F340">
        <v>1339</v>
      </c>
      <c r="G340" s="19" t="s">
        <v>57</v>
      </c>
      <c r="H340">
        <v>5</v>
      </c>
      <c r="I340">
        <v>3</v>
      </c>
      <c r="J340" s="19" t="s">
        <v>50</v>
      </c>
      <c r="K340">
        <v>228</v>
      </c>
      <c r="L340">
        <v>2</v>
      </c>
      <c r="M340" s="19" t="s">
        <v>59</v>
      </c>
      <c r="N340">
        <v>3</v>
      </c>
      <c r="O340">
        <v>3</v>
      </c>
      <c r="P340" s="19" t="s">
        <v>145</v>
      </c>
      <c r="Q340">
        <v>4</v>
      </c>
      <c r="R340" s="19" t="s">
        <v>113</v>
      </c>
      <c r="S340">
        <v>50377</v>
      </c>
      <c r="T340" s="19" t="s">
        <v>64</v>
      </c>
      <c r="U340">
        <v>314.86</v>
      </c>
      <c r="V340">
        <v>2</v>
      </c>
      <c r="W340" s="19" t="s">
        <v>55</v>
      </c>
      <c r="X340">
        <v>12</v>
      </c>
      <c r="Y340">
        <v>3</v>
      </c>
      <c r="Z340">
        <v>3</v>
      </c>
      <c r="AA340">
        <v>1</v>
      </c>
      <c r="AB340">
        <v>12</v>
      </c>
      <c r="AC340">
        <v>2</v>
      </c>
      <c r="AD340">
        <v>3</v>
      </c>
      <c r="AE340">
        <v>10</v>
      </c>
      <c r="AF340">
        <v>9</v>
      </c>
      <c r="AG340">
        <v>7</v>
      </c>
      <c r="AH340">
        <v>4</v>
      </c>
      <c r="AI340">
        <v>0</v>
      </c>
      <c r="AJ340" s="19" t="s">
        <v>1569</v>
      </c>
      <c r="AK340" s="19" t="s">
        <v>1570</v>
      </c>
      <c r="AL340">
        <v>1</v>
      </c>
      <c r="AM340" s="19" t="s">
        <v>1565</v>
      </c>
      <c r="AN340">
        <v>2.6887178694122243E-2</v>
      </c>
      <c r="AO340">
        <v>604524</v>
      </c>
    </row>
    <row r="341" spans="1:41" x14ac:dyDescent="0.3">
      <c r="A341" s="19" t="s">
        <v>411</v>
      </c>
      <c r="B341">
        <v>30</v>
      </c>
      <c r="C341" s="19" t="s">
        <v>196</v>
      </c>
      <c r="D341" s="19" t="s">
        <v>55</v>
      </c>
      <c r="E341" s="19" t="s">
        <v>66</v>
      </c>
      <c r="F341">
        <v>111</v>
      </c>
      <c r="G341" s="19" t="s">
        <v>49</v>
      </c>
      <c r="H341">
        <v>9</v>
      </c>
      <c r="I341">
        <v>3</v>
      </c>
      <c r="J341" s="19" t="s">
        <v>58</v>
      </c>
      <c r="K341">
        <v>239</v>
      </c>
      <c r="L341">
        <v>3</v>
      </c>
      <c r="M341" s="19" t="s">
        <v>51</v>
      </c>
      <c r="N341">
        <v>3</v>
      </c>
      <c r="O341">
        <v>2</v>
      </c>
      <c r="P341" s="19" t="s">
        <v>52</v>
      </c>
      <c r="Q341">
        <v>1</v>
      </c>
      <c r="R341" s="19" t="s">
        <v>53</v>
      </c>
      <c r="S341">
        <v>49404</v>
      </c>
      <c r="T341" s="19" t="s">
        <v>72</v>
      </c>
      <c r="U341">
        <v>308.77</v>
      </c>
      <c r="V341">
        <v>1</v>
      </c>
      <c r="W341" s="19" t="s">
        <v>55</v>
      </c>
      <c r="X341">
        <v>11</v>
      </c>
      <c r="Y341">
        <v>3</v>
      </c>
      <c r="Z341">
        <v>3</v>
      </c>
      <c r="AA341">
        <v>2</v>
      </c>
      <c r="AB341">
        <v>12</v>
      </c>
      <c r="AC341">
        <v>4</v>
      </c>
      <c r="AD341">
        <v>3</v>
      </c>
      <c r="AE341">
        <v>12</v>
      </c>
      <c r="AF341">
        <v>9</v>
      </c>
      <c r="AG341">
        <v>6</v>
      </c>
      <c r="AH341">
        <v>10</v>
      </c>
      <c r="AI341">
        <v>0</v>
      </c>
      <c r="AJ341" s="19" t="s">
        <v>1571</v>
      </c>
      <c r="AK341" s="19" t="s">
        <v>1570</v>
      </c>
      <c r="AL341">
        <v>2</v>
      </c>
      <c r="AM341" s="19" t="s">
        <v>1564</v>
      </c>
      <c r="AN341">
        <v>-4.4790635158392988E-2</v>
      </c>
      <c r="AO341">
        <v>592848</v>
      </c>
    </row>
    <row r="342" spans="1:41" x14ac:dyDescent="0.3">
      <c r="A342" s="19" t="s">
        <v>412</v>
      </c>
      <c r="B342">
        <v>30</v>
      </c>
      <c r="C342" s="19" t="s">
        <v>196</v>
      </c>
      <c r="D342" s="19" t="s">
        <v>55</v>
      </c>
      <c r="E342" s="19" t="s">
        <v>66</v>
      </c>
      <c r="F342">
        <v>829</v>
      </c>
      <c r="G342" s="19" t="s">
        <v>49</v>
      </c>
      <c r="H342">
        <v>1</v>
      </c>
      <c r="I342">
        <v>1</v>
      </c>
      <c r="J342" s="19" t="s">
        <v>50</v>
      </c>
      <c r="K342">
        <v>292</v>
      </c>
      <c r="L342">
        <v>3</v>
      </c>
      <c r="M342" s="19" t="s">
        <v>51</v>
      </c>
      <c r="N342">
        <v>2</v>
      </c>
      <c r="O342">
        <v>3</v>
      </c>
      <c r="P342" s="19" t="s">
        <v>120</v>
      </c>
      <c r="Q342">
        <v>3</v>
      </c>
      <c r="R342" s="19" t="s">
        <v>53</v>
      </c>
      <c r="S342">
        <v>55045</v>
      </c>
      <c r="T342" s="19" t="s">
        <v>64</v>
      </c>
      <c r="U342">
        <v>344.03</v>
      </c>
      <c r="V342">
        <v>1</v>
      </c>
      <c r="W342" s="19" t="s">
        <v>55</v>
      </c>
      <c r="X342">
        <v>22</v>
      </c>
      <c r="Y342">
        <v>4</v>
      </c>
      <c r="Z342">
        <v>3</v>
      </c>
      <c r="AA342">
        <v>0</v>
      </c>
      <c r="AB342">
        <v>12</v>
      </c>
      <c r="AC342">
        <v>2</v>
      </c>
      <c r="AD342">
        <v>3</v>
      </c>
      <c r="AE342">
        <v>11</v>
      </c>
      <c r="AF342">
        <v>8</v>
      </c>
      <c r="AG342">
        <v>5</v>
      </c>
      <c r="AH342">
        <v>8</v>
      </c>
      <c r="AI342">
        <v>0</v>
      </c>
      <c r="AJ342" s="19" t="s">
        <v>1571</v>
      </c>
      <c r="AK342" s="19" t="s">
        <v>1570</v>
      </c>
      <c r="AL342">
        <v>1</v>
      </c>
      <c r="AM342" s="19" t="s">
        <v>1565</v>
      </c>
      <c r="AN342">
        <v>0.24268163304247217</v>
      </c>
      <c r="AO342">
        <v>660540</v>
      </c>
    </row>
    <row r="343" spans="1:41" x14ac:dyDescent="0.3">
      <c r="A343" s="19" t="s">
        <v>413</v>
      </c>
      <c r="B343">
        <v>30</v>
      </c>
      <c r="C343" s="19" t="s">
        <v>196</v>
      </c>
      <c r="D343" s="19" t="s">
        <v>47</v>
      </c>
      <c r="E343" s="19" t="s">
        <v>48</v>
      </c>
      <c r="F343">
        <v>1005</v>
      </c>
      <c r="G343" s="19" t="s">
        <v>49</v>
      </c>
      <c r="H343">
        <v>3</v>
      </c>
      <c r="I343">
        <v>3</v>
      </c>
      <c r="J343" s="19" t="s">
        <v>77</v>
      </c>
      <c r="K343">
        <v>297</v>
      </c>
      <c r="L343">
        <v>4</v>
      </c>
      <c r="M343" s="19" t="s">
        <v>59</v>
      </c>
      <c r="N343">
        <v>3</v>
      </c>
      <c r="O343">
        <v>1</v>
      </c>
      <c r="P343" s="19" t="s">
        <v>67</v>
      </c>
      <c r="Q343">
        <v>1</v>
      </c>
      <c r="R343" s="19" t="s">
        <v>53</v>
      </c>
      <c r="S343">
        <v>98888</v>
      </c>
      <c r="T343" s="19" t="s">
        <v>70</v>
      </c>
      <c r="U343">
        <v>618.04999999999995</v>
      </c>
      <c r="V343">
        <v>5</v>
      </c>
      <c r="W343" s="19" t="s">
        <v>47</v>
      </c>
      <c r="X343">
        <v>11</v>
      </c>
      <c r="Y343">
        <v>3</v>
      </c>
      <c r="Z343">
        <v>3</v>
      </c>
      <c r="AA343">
        <v>0</v>
      </c>
      <c r="AB343">
        <v>8</v>
      </c>
      <c r="AC343">
        <v>5</v>
      </c>
      <c r="AD343">
        <v>3</v>
      </c>
      <c r="AE343">
        <v>5</v>
      </c>
      <c r="AF343">
        <v>2</v>
      </c>
      <c r="AG343">
        <v>0</v>
      </c>
      <c r="AH343">
        <v>4</v>
      </c>
      <c r="AI343">
        <v>1</v>
      </c>
      <c r="AJ343" s="19" t="s">
        <v>1567</v>
      </c>
      <c r="AK343" s="19" t="s">
        <v>1562</v>
      </c>
      <c r="AL343">
        <v>2</v>
      </c>
      <c r="AM343" s="19" t="s">
        <v>1564</v>
      </c>
      <c r="AN343">
        <v>0.98307056822748806</v>
      </c>
      <c r="AO343">
        <v>1186656</v>
      </c>
    </row>
    <row r="344" spans="1:41" x14ac:dyDescent="0.3">
      <c r="A344" s="19" t="s">
        <v>414</v>
      </c>
      <c r="B344">
        <v>30</v>
      </c>
      <c r="C344" s="19" t="s">
        <v>196</v>
      </c>
      <c r="D344" s="19" t="s">
        <v>47</v>
      </c>
      <c r="E344" s="19" t="s">
        <v>62</v>
      </c>
      <c r="F344">
        <v>334</v>
      </c>
      <c r="G344" s="19" t="s">
        <v>57</v>
      </c>
      <c r="H344">
        <v>26</v>
      </c>
      <c r="I344">
        <v>4</v>
      </c>
      <c r="J344" s="19" t="s">
        <v>63</v>
      </c>
      <c r="K344">
        <v>299</v>
      </c>
      <c r="L344">
        <v>3</v>
      </c>
      <c r="M344" s="19" t="s">
        <v>59</v>
      </c>
      <c r="N344">
        <v>2</v>
      </c>
      <c r="O344">
        <v>2</v>
      </c>
      <c r="P344" s="19" t="s">
        <v>145</v>
      </c>
      <c r="Q344">
        <v>1</v>
      </c>
      <c r="R344" s="19" t="s">
        <v>53</v>
      </c>
      <c r="S344">
        <v>40790</v>
      </c>
      <c r="T344" s="19" t="s">
        <v>72</v>
      </c>
      <c r="U344">
        <v>254.94</v>
      </c>
      <c r="V344">
        <v>5</v>
      </c>
      <c r="W344" s="19" t="s">
        <v>55</v>
      </c>
      <c r="X344">
        <v>15</v>
      </c>
      <c r="Y344">
        <v>3</v>
      </c>
      <c r="Z344">
        <v>3</v>
      </c>
      <c r="AA344">
        <v>0</v>
      </c>
      <c r="AB344">
        <v>9</v>
      </c>
      <c r="AC344">
        <v>5</v>
      </c>
      <c r="AD344">
        <v>2</v>
      </c>
      <c r="AE344">
        <v>6</v>
      </c>
      <c r="AF344">
        <v>3</v>
      </c>
      <c r="AG344">
        <v>0</v>
      </c>
      <c r="AH344">
        <v>1</v>
      </c>
      <c r="AI344">
        <v>1</v>
      </c>
      <c r="AJ344" s="19" t="s">
        <v>1569</v>
      </c>
      <c r="AK344" s="19" t="s">
        <v>1562</v>
      </c>
      <c r="AL344">
        <v>2</v>
      </c>
      <c r="AM344" s="19" t="s">
        <v>1564</v>
      </c>
      <c r="AN344">
        <v>-0.16853468807326266</v>
      </c>
      <c r="AO344">
        <v>489480</v>
      </c>
    </row>
    <row r="345" spans="1:41" x14ac:dyDescent="0.3">
      <c r="A345" s="19" t="s">
        <v>415</v>
      </c>
      <c r="B345">
        <v>30</v>
      </c>
      <c r="C345" s="19" t="s">
        <v>196</v>
      </c>
      <c r="D345" s="19" t="s">
        <v>55</v>
      </c>
      <c r="E345" s="19" t="s">
        <v>48</v>
      </c>
      <c r="F345">
        <v>1275</v>
      </c>
      <c r="G345" s="19" t="s">
        <v>49</v>
      </c>
      <c r="H345">
        <v>28</v>
      </c>
      <c r="I345">
        <v>2</v>
      </c>
      <c r="J345" s="19" t="s">
        <v>58</v>
      </c>
      <c r="K345">
        <v>441</v>
      </c>
      <c r="L345">
        <v>4</v>
      </c>
      <c r="M345" s="19" t="s">
        <v>59</v>
      </c>
      <c r="N345">
        <v>3</v>
      </c>
      <c r="O345">
        <v>2</v>
      </c>
      <c r="P345" s="19" t="s">
        <v>67</v>
      </c>
      <c r="Q345">
        <v>4</v>
      </c>
      <c r="R345" s="19" t="s">
        <v>113</v>
      </c>
      <c r="S345">
        <v>6600</v>
      </c>
      <c r="T345" s="19" t="s">
        <v>54</v>
      </c>
      <c r="U345">
        <v>41.25</v>
      </c>
      <c r="V345">
        <v>1</v>
      </c>
      <c r="W345" s="19" t="s">
        <v>55</v>
      </c>
      <c r="X345">
        <v>13</v>
      </c>
      <c r="Y345">
        <v>3</v>
      </c>
      <c r="Z345">
        <v>4</v>
      </c>
      <c r="AA345">
        <v>2</v>
      </c>
      <c r="AB345">
        <v>11</v>
      </c>
      <c r="AC345">
        <v>2</v>
      </c>
      <c r="AD345">
        <v>3</v>
      </c>
      <c r="AE345">
        <v>10</v>
      </c>
      <c r="AF345">
        <v>8</v>
      </c>
      <c r="AG345">
        <v>1</v>
      </c>
      <c r="AH345">
        <v>9</v>
      </c>
      <c r="AI345">
        <v>0</v>
      </c>
      <c r="AJ345" s="19" t="s">
        <v>1569</v>
      </c>
      <c r="AK345" s="19" t="s">
        <v>1562</v>
      </c>
      <c r="AL345">
        <v>0</v>
      </c>
      <c r="AM345" s="19" t="s">
        <v>1563</v>
      </c>
      <c r="AN345">
        <v>-0.86764556113682734</v>
      </c>
      <c r="AO345">
        <v>79200</v>
      </c>
    </row>
    <row r="346" spans="1:41" x14ac:dyDescent="0.3">
      <c r="A346" s="19" t="s">
        <v>416</v>
      </c>
      <c r="B346">
        <v>30</v>
      </c>
      <c r="C346" s="19" t="s">
        <v>196</v>
      </c>
      <c r="D346" s="19" t="s">
        <v>55</v>
      </c>
      <c r="E346" s="19" t="s">
        <v>48</v>
      </c>
      <c r="F346">
        <v>570</v>
      </c>
      <c r="G346" s="19" t="s">
        <v>57</v>
      </c>
      <c r="H346">
        <v>5</v>
      </c>
      <c r="I346">
        <v>3</v>
      </c>
      <c r="J346" s="19" t="s">
        <v>63</v>
      </c>
      <c r="K346">
        <v>456</v>
      </c>
      <c r="L346">
        <v>4</v>
      </c>
      <c r="M346" s="19" t="s">
        <v>59</v>
      </c>
      <c r="N346">
        <v>2</v>
      </c>
      <c r="O346">
        <v>2</v>
      </c>
      <c r="P346" s="19" t="s">
        <v>145</v>
      </c>
      <c r="Q346">
        <v>3</v>
      </c>
      <c r="R346" s="19" t="s">
        <v>53</v>
      </c>
      <c r="S346">
        <v>95660</v>
      </c>
      <c r="T346" s="19" t="s">
        <v>70</v>
      </c>
      <c r="U346">
        <v>597.88</v>
      </c>
      <c r="V346">
        <v>1</v>
      </c>
      <c r="W346" s="19" t="s">
        <v>55</v>
      </c>
      <c r="X346">
        <v>13</v>
      </c>
      <c r="Y346">
        <v>3</v>
      </c>
      <c r="Z346">
        <v>3</v>
      </c>
      <c r="AA346">
        <v>3</v>
      </c>
      <c r="AB346">
        <v>10</v>
      </c>
      <c r="AC346">
        <v>2</v>
      </c>
      <c r="AD346">
        <v>3</v>
      </c>
      <c r="AE346">
        <v>10</v>
      </c>
      <c r="AF346">
        <v>9</v>
      </c>
      <c r="AG346">
        <v>1</v>
      </c>
      <c r="AH346">
        <v>2</v>
      </c>
      <c r="AI346">
        <v>0</v>
      </c>
      <c r="AJ346" s="19" t="s">
        <v>1569</v>
      </c>
      <c r="AK346" s="19" t="s">
        <v>1562</v>
      </c>
      <c r="AL346">
        <v>0</v>
      </c>
      <c r="AM346" s="19" t="s">
        <v>1563</v>
      </c>
      <c r="AN346">
        <v>0.94993801762470442</v>
      </c>
      <c r="AO346">
        <v>1147920</v>
      </c>
    </row>
    <row r="347" spans="1:41" x14ac:dyDescent="0.3">
      <c r="A347" s="19" t="s">
        <v>417</v>
      </c>
      <c r="B347">
        <v>30</v>
      </c>
      <c r="C347" s="19" t="s">
        <v>196</v>
      </c>
      <c r="D347" s="19" t="s">
        <v>55</v>
      </c>
      <c r="E347" s="19" t="s">
        <v>66</v>
      </c>
      <c r="F347">
        <v>641</v>
      </c>
      <c r="G347" s="19" t="s">
        <v>57</v>
      </c>
      <c r="H347">
        <v>25</v>
      </c>
      <c r="I347">
        <v>2</v>
      </c>
      <c r="J347" s="19" t="s">
        <v>77</v>
      </c>
      <c r="K347">
        <v>475</v>
      </c>
      <c r="L347">
        <v>4</v>
      </c>
      <c r="M347" s="19" t="s">
        <v>59</v>
      </c>
      <c r="N347">
        <v>3</v>
      </c>
      <c r="O347">
        <v>2</v>
      </c>
      <c r="P347" s="19" t="s">
        <v>145</v>
      </c>
      <c r="Q347">
        <v>3</v>
      </c>
      <c r="R347" s="19" t="s">
        <v>113</v>
      </c>
      <c r="S347">
        <v>94179</v>
      </c>
      <c r="T347" s="19" t="s">
        <v>70</v>
      </c>
      <c r="U347">
        <v>588.62</v>
      </c>
      <c r="V347">
        <v>7</v>
      </c>
      <c r="W347" s="19" t="s">
        <v>47</v>
      </c>
      <c r="X347">
        <v>12</v>
      </c>
      <c r="Y347">
        <v>3</v>
      </c>
      <c r="Z347">
        <v>2</v>
      </c>
      <c r="AA347">
        <v>1</v>
      </c>
      <c r="AB347">
        <v>4</v>
      </c>
      <c r="AC347">
        <v>2</v>
      </c>
      <c r="AD347">
        <v>4</v>
      </c>
      <c r="AE347">
        <v>2</v>
      </c>
      <c r="AF347">
        <v>2</v>
      </c>
      <c r="AG347">
        <v>2</v>
      </c>
      <c r="AH347">
        <v>2</v>
      </c>
      <c r="AI347">
        <v>0</v>
      </c>
      <c r="AJ347" s="19" t="s">
        <v>1566</v>
      </c>
      <c r="AK347" s="19" t="s">
        <v>1562</v>
      </c>
      <c r="AL347">
        <v>1</v>
      </c>
      <c r="AM347" s="19" t="s">
        <v>1565</v>
      </c>
      <c r="AN347">
        <v>0.91974924275430725</v>
      </c>
      <c r="AO347">
        <v>1130148</v>
      </c>
    </row>
    <row r="348" spans="1:41" x14ac:dyDescent="0.3">
      <c r="A348" s="19" t="s">
        <v>418</v>
      </c>
      <c r="B348">
        <v>30</v>
      </c>
      <c r="C348" s="19" t="s">
        <v>196</v>
      </c>
      <c r="D348" s="19" t="s">
        <v>55</v>
      </c>
      <c r="E348" s="19" t="s">
        <v>48</v>
      </c>
      <c r="F348">
        <v>202</v>
      </c>
      <c r="G348" s="19" t="s">
        <v>57</v>
      </c>
      <c r="H348">
        <v>2</v>
      </c>
      <c r="I348">
        <v>1</v>
      </c>
      <c r="J348" s="19" t="s">
        <v>77</v>
      </c>
      <c r="K348">
        <v>508</v>
      </c>
      <c r="L348">
        <v>3</v>
      </c>
      <c r="M348" s="19" t="s">
        <v>51</v>
      </c>
      <c r="N348">
        <v>3</v>
      </c>
      <c r="O348">
        <v>1</v>
      </c>
      <c r="P348" s="19" t="s">
        <v>60</v>
      </c>
      <c r="Q348">
        <v>2</v>
      </c>
      <c r="R348" s="19" t="s">
        <v>113</v>
      </c>
      <c r="S348">
        <v>41764</v>
      </c>
      <c r="T348" s="19" t="s">
        <v>72</v>
      </c>
      <c r="U348">
        <v>261.02</v>
      </c>
      <c r="V348">
        <v>1</v>
      </c>
      <c r="W348" s="19" t="s">
        <v>55</v>
      </c>
      <c r="X348">
        <v>18</v>
      </c>
      <c r="Y348">
        <v>3</v>
      </c>
      <c r="Z348">
        <v>1</v>
      </c>
      <c r="AA348">
        <v>1</v>
      </c>
      <c r="AB348">
        <v>1</v>
      </c>
      <c r="AC348">
        <v>3</v>
      </c>
      <c r="AD348">
        <v>3</v>
      </c>
      <c r="AE348">
        <v>1</v>
      </c>
      <c r="AF348">
        <v>0</v>
      </c>
      <c r="AG348">
        <v>0</v>
      </c>
      <c r="AH348">
        <v>0</v>
      </c>
      <c r="AI348">
        <v>0</v>
      </c>
      <c r="AJ348" s="19" t="s">
        <v>1561</v>
      </c>
      <c r="AK348" s="19" t="s">
        <v>1562</v>
      </c>
      <c r="AL348">
        <v>1</v>
      </c>
      <c r="AM348" s="19" t="s">
        <v>1565</v>
      </c>
      <c r="AN348">
        <v>-0.15332026371254298</v>
      </c>
      <c r="AO348">
        <v>501168</v>
      </c>
    </row>
    <row r="349" spans="1:41" x14ac:dyDescent="0.3">
      <c r="A349" s="19" t="s">
        <v>419</v>
      </c>
      <c r="B349">
        <v>30</v>
      </c>
      <c r="C349" s="19" t="s">
        <v>196</v>
      </c>
      <c r="D349" s="19" t="s">
        <v>47</v>
      </c>
      <c r="E349" s="19" t="s">
        <v>62</v>
      </c>
      <c r="F349">
        <v>464</v>
      </c>
      <c r="G349" s="19" t="s">
        <v>49</v>
      </c>
      <c r="H349">
        <v>4</v>
      </c>
      <c r="I349">
        <v>3</v>
      </c>
      <c r="J349" s="19" t="s">
        <v>77</v>
      </c>
      <c r="K349">
        <v>514</v>
      </c>
      <c r="L349">
        <v>3</v>
      </c>
      <c r="M349" s="19" t="s">
        <v>51</v>
      </c>
      <c r="N349">
        <v>3</v>
      </c>
      <c r="O349">
        <v>1</v>
      </c>
      <c r="P349" s="19" t="s">
        <v>67</v>
      </c>
      <c r="Q349">
        <v>4</v>
      </c>
      <c r="R349" s="19" t="s">
        <v>53</v>
      </c>
      <c r="S349">
        <v>75543</v>
      </c>
      <c r="T349" s="19" t="s">
        <v>64</v>
      </c>
      <c r="U349">
        <v>472.14</v>
      </c>
      <c r="V349">
        <v>9</v>
      </c>
      <c r="W349" s="19" t="s">
        <v>47</v>
      </c>
      <c r="X349">
        <v>23</v>
      </c>
      <c r="Y349">
        <v>4</v>
      </c>
      <c r="Z349">
        <v>3</v>
      </c>
      <c r="AA349">
        <v>0</v>
      </c>
      <c r="AB349">
        <v>3</v>
      </c>
      <c r="AC349">
        <v>4</v>
      </c>
      <c r="AD349">
        <v>3</v>
      </c>
      <c r="AE349">
        <v>1</v>
      </c>
      <c r="AF349">
        <v>0</v>
      </c>
      <c r="AG349">
        <v>0</v>
      </c>
      <c r="AH349">
        <v>0</v>
      </c>
      <c r="AI349">
        <v>1</v>
      </c>
      <c r="AJ349" s="19" t="s">
        <v>1561</v>
      </c>
      <c r="AK349" s="19" t="s">
        <v>1562</v>
      </c>
      <c r="AL349">
        <v>1</v>
      </c>
      <c r="AM349" s="19" t="s">
        <v>1565</v>
      </c>
      <c r="AN349">
        <v>0.51491687500615979</v>
      </c>
      <c r="AO349">
        <v>906516</v>
      </c>
    </row>
    <row r="350" spans="1:41" x14ac:dyDescent="0.3">
      <c r="A350" s="19" t="s">
        <v>420</v>
      </c>
      <c r="B350">
        <v>30</v>
      </c>
      <c r="C350" s="19" t="s">
        <v>196</v>
      </c>
      <c r="D350" s="19" t="s">
        <v>55</v>
      </c>
      <c r="E350" s="19" t="s">
        <v>48</v>
      </c>
      <c r="F350">
        <v>1082</v>
      </c>
      <c r="G350" s="19" t="s">
        <v>57</v>
      </c>
      <c r="H350">
        <v>12</v>
      </c>
      <c r="I350">
        <v>3</v>
      </c>
      <c r="J350" s="19" t="s">
        <v>77</v>
      </c>
      <c r="K350">
        <v>533</v>
      </c>
      <c r="L350">
        <v>2</v>
      </c>
      <c r="M350" s="19" t="s">
        <v>59</v>
      </c>
      <c r="N350">
        <v>3</v>
      </c>
      <c r="O350">
        <v>2</v>
      </c>
      <c r="P350" s="19" t="s">
        <v>145</v>
      </c>
      <c r="Q350">
        <v>3</v>
      </c>
      <c r="R350" s="19" t="s">
        <v>53</v>
      </c>
      <c r="S350">
        <v>46714</v>
      </c>
      <c r="T350" s="19" t="s">
        <v>72</v>
      </c>
      <c r="U350">
        <v>291.95999999999998</v>
      </c>
      <c r="V350">
        <v>0</v>
      </c>
      <c r="W350" s="19" t="s">
        <v>55</v>
      </c>
      <c r="X350">
        <v>11</v>
      </c>
      <c r="Y350">
        <v>3</v>
      </c>
      <c r="Z350">
        <v>2</v>
      </c>
      <c r="AA350">
        <v>0</v>
      </c>
      <c r="AB350">
        <v>6</v>
      </c>
      <c r="AC350">
        <v>6</v>
      </c>
      <c r="AD350">
        <v>3</v>
      </c>
      <c r="AE350">
        <v>5</v>
      </c>
      <c r="AF350">
        <v>4</v>
      </c>
      <c r="AG350">
        <v>4</v>
      </c>
      <c r="AH350">
        <v>4</v>
      </c>
      <c r="AI350">
        <v>0</v>
      </c>
      <c r="AJ350" s="19" t="s">
        <v>1567</v>
      </c>
      <c r="AK350" s="19" t="s">
        <v>1570</v>
      </c>
      <c r="AL350">
        <v>1</v>
      </c>
      <c r="AM350" s="19" t="s">
        <v>1565</v>
      </c>
      <c r="AN350">
        <v>-4.7779588591674249E-2</v>
      </c>
      <c r="AO350">
        <v>560568</v>
      </c>
    </row>
    <row r="351" spans="1:41" x14ac:dyDescent="0.3">
      <c r="A351" s="19" t="s">
        <v>421</v>
      </c>
      <c r="B351">
        <v>30</v>
      </c>
      <c r="C351" s="19" t="s">
        <v>196</v>
      </c>
      <c r="D351" s="19" t="s">
        <v>55</v>
      </c>
      <c r="E351" s="19" t="s">
        <v>48</v>
      </c>
      <c r="F351">
        <v>317</v>
      </c>
      <c r="G351" s="19" t="s">
        <v>49</v>
      </c>
      <c r="H351">
        <v>2</v>
      </c>
      <c r="I351">
        <v>3</v>
      </c>
      <c r="J351" s="19" t="s">
        <v>50</v>
      </c>
      <c r="K351">
        <v>548</v>
      </c>
      <c r="L351">
        <v>3</v>
      </c>
      <c r="M351" s="19" t="s">
        <v>59</v>
      </c>
      <c r="N351">
        <v>1</v>
      </c>
      <c r="O351">
        <v>2</v>
      </c>
      <c r="P351" s="19" t="s">
        <v>120</v>
      </c>
      <c r="Q351">
        <v>4</v>
      </c>
      <c r="R351" s="19" t="s">
        <v>53</v>
      </c>
      <c r="S351">
        <v>57835</v>
      </c>
      <c r="T351" s="19" t="s">
        <v>64</v>
      </c>
      <c r="U351">
        <v>361.47</v>
      </c>
      <c r="V351">
        <v>2</v>
      </c>
      <c r="W351" s="19" t="s">
        <v>55</v>
      </c>
      <c r="X351">
        <v>20</v>
      </c>
      <c r="Y351">
        <v>4</v>
      </c>
      <c r="Z351">
        <v>3</v>
      </c>
      <c r="AA351">
        <v>0</v>
      </c>
      <c r="AB351">
        <v>11</v>
      </c>
      <c r="AC351">
        <v>2</v>
      </c>
      <c r="AD351">
        <v>3</v>
      </c>
      <c r="AE351">
        <v>5</v>
      </c>
      <c r="AF351">
        <v>4</v>
      </c>
      <c r="AG351">
        <v>0</v>
      </c>
      <c r="AH351">
        <v>2</v>
      </c>
      <c r="AI351">
        <v>0</v>
      </c>
      <c r="AJ351" s="19" t="s">
        <v>1567</v>
      </c>
      <c r="AK351" s="19" t="s">
        <v>1562</v>
      </c>
      <c r="AL351">
        <v>0</v>
      </c>
      <c r="AM351" s="19" t="s">
        <v>1563</v>
      </c>
      <c r="AN351">
        <v>0.30566794889656423</v>
      </c>
      <c r="AO351">
        <v>694020</v>
      </c>
    </row>
    <row r="352" spans="1:41" x14ac:dyDescent="0.3">
      <c r="A352" s="19" t="s">
        <v>422</v>
      </c>
      <c r="B352">
        <v>30</v>
      </c>
      <c r="C352" s="19" t="s">
        <v>196</v>
      </c>
      <c r="D352" s="19" t="s">
        <v>55</v>
      </c>
      <c r="E352" s="19" t="s">
        <v>66</v>
      </c>
      <c r="F352">
        <v>1400</v>
      </c>
      <c r="G352" s="19" t="s">
        <v>49</v>
      </c>
      <c r="H352">
        <v>3</v>
      </c>
      <c r="I352">
        <v>3</v>
      </c>
      <c r="J352" s="19" t="s">
        <v>50</v>
      </c>
      <c r="K352">
        <v>562</v>
      </c>
      <c r="L352">
        <v>3</v>
      </c>
      <c r="M352" s="19" t="s">
        <v>51</v>
      </c>
      <c r="N352">
        <v>3</v>
      </c>
      <c r="O352">
        <v>1</v>
      </c>
      <c r="P352" s="19" t="s">
        <v>52</v>
      </c>
      <c r="Q352">
        <v>4</v>
      </c>
      <c r="R352" s="19" t="s">
        <v>113</v>
      </c>
      <c r="S352">
        <v>74744</v>
      </c>
      <c r="T352" s="19" t="s">
        <v>64</v>
      </c>
      <c r="U352">
        <v>467.15</v>
      </c>
      <c r="V352">
        <v>4</v>
      </c>
      <c r="W352" s="19" t="s">
        <v>55</v>
      </c>
      <c r="X352">
        <v>15</v>
      </c>
      <c r="Y352">
        <v>3</v>
      </c>
      <c r="Z352">
        <v>3</v>
      </c>
      <c r="AA352">
        <v>1</v>
      </c>
      <c r="AB352">
        <v>9</v>
      </c>
      <c r="AC352">
        <v>3</v>
      </c>
      <c r="AD352">
        <v>1</v>
      </c>
      <c r="AE352">
        <v>5</v>
      </c>
      <c r="AF352">
        <v>3</v>
      </c>
      <c r="AG352">
        <v>1</v>
      </c>
      <c r="AH352">
        <v>4</v>
      </c>
      <c r="AI352">
        <v>0</v>
      </c>
      <c r="AJ352" s="19" t="s">
        <v>1567</v>
      </c>
      <c r="AK352" s="19" t="s">
        <v>1562</v>
      </c>
      <c r="AL352">
        <v>1</v>
      </c>
      <c r="AM352" s="19" t="s">
        <v>1565</v>
      </c>
      <c r="AN352">
        <v>0.44514955804633377</v>
      </c>
      <c r="AO352">
        <v>896928</v>
      </c>
    </row>
    <row r="353" spans="1:41" x14ac:dyDescent="0.3">
      <c r="A353" s="19" t="s">
        <v>423</v>
      </c>
      <c r="B353">
        <v>30</v>
      </c>
      <c r="C353" s="19" t="s">
        <v>196</v>
      </c>
      <c r="D353" s="19" t="s">
        <v>55</v>
      </c>
      <c r="E353" s="19" t="s">
        <v>66</v>
      </c>
      <c r="F353">
        <v>1398</v>
      </c>
      <c r="G353" s="19" t="s">
        <v>57</v>
      </c>
      <c r="H353">
        <v>22</v>
      </c>
      <c r="I353">
        <v>4</v>
      </c>
      <c r="J353" s="19" t="s">
        <v>82</v>
      </c>
      <c r="K353">
        <v>567</v>
      </c>
      <c r="L353">
        <v>3</v>
      </c>
      <c r="M353" s="19" t="s">
        <v>59</v>
      </c>
      <c r="N353">
        <v>3</v>
      </c>
      <c r="O353">
        <v>3</v>
      </c>
      <c r="P353" s="19" t="s">
        <v>145</v>
      </c>
      <c r="Q353">
        <v>1</v>
      </c>
      <c r="R353" s="19" t="s">
        <v>113</v>
      </c>
      <c r="S353">
        <v>57491</v>
      </c>
      <c r="T353" s="19" t="s">
        <v>64</v>
      </c>
      <c r="U353">
        <v>359.32</v>
      </c>
      <c r="V353">
        <v>0</v>
      </c>
      <c r="W353" s="19" t="s">
        <v>55</v>
      </c>
      <c r="X353">
        <v>11</v>
      </c>
      <c r="Y353">
        <v>3</v>
      </c>
      <c r="Z353">
        <v>3</v>
      </c>
      <c r="AA353">
        <v>0</v>
      </c>
      <c r="AB353">
        <v>10</v>
      </c>
      <c r="AC353">
        <v>3</v>
      </c>
      <c r="AD353">
        <v>3</v>
      </c>
      <c r="AE353">
        <v>9</v>
      </c>
      <c r="AF353">
        <v>8</v>
      </c>
      <c r="AG353">
        <v>7</v>
      </c>
      <c r="AH353">
        <v>8</v>
      </c>
      <c r="AI353">
        <v>0</v>
      </c>
      <c r="AJ353" s="19" t="s">
        <v>1569</v>
      </c>
      <c r="AK353" s="19" t="s">
        <v>1570</v>
      </c>
      <c r="AL353">
        <v>2</v>
      </c>
      <c r="AM353" s="19" t="s">
        <v>1564</v>
      </c>
      <c r="AN353">
        <v>0.17189929512086433</v>
      </c>
      <c r="AO353">
        <v>689892</v>
      </c>
    </row>
    <row r="354" spans="1:41" x14ac:dyDescent="0.3">
      <c r="A354" s="19" t="s">
        <v>424</v>
      </c>
      <c r="B354">
        <v>30</v>
      </c>
      <c r="C354" s="19" t="s">
        <v>196</v>
      </c>
      <c r="D354" s="19" t="s">
        <v>55</v>
      </c>
      <c r="E354" s="19" t="s">
        <v>66</v>
      </c>
      <c r="F354">
        <v>1116</v>
      </c>
      <c r="G354" s="19" t="s">
        <v>49</v>
      </c>
      <c r="H354">
        <v>2</v>
      </c>
      <c r="I354">
        <v>3</v>
      </c>
      <c r="J354" s="19" t="s">
        <v>58</v>
      </c>
      <c r="K354">
        <v>571</v>
      </c>
      <c r="L354">
        <v>3</v>
      </c>
      <c r="M354" s="19" t="s">
        <v>59</v>
      </c>
      <c r="N354">
        <v>3</v>
      </c>
      <c r="O354">
        <v>1</v>
      </c>
      <c r="P354" s="19" t="s">
        <v>52</v>
      </c>
      <c r="Q354">
        <v>4</v>
      </c>
      <c r="R354" s="19" t="s">
        <v>53</v>
      </c>
      <c r="S354">
        <v>19589</v>
      </c>
      <c r="T354" s="19" t="s">
        <v>54</v>
      </c>
      <c r="U354">
        <v>122.43</v>
      </c>
      <c r="V354">
        <v>0</v>
      </c>
      <c r="W354" s="19" t="s">
        <v>55</v>
      </c>
      <c r="X354">
        <v>14</v>
      </c>
      <c r="Y354">
        <v>3</v>
      </c>
      <c r="Z354">
        <v>3</v>
      </c>
      <c r="AA354">
        <v>0</v>
      </c>
      <c r="AB354">
        <v>12</v>
      </c>
      <c r="AC354">
        <v>2</v>
      </c>
      <c r="AD354">
        <v>2</v>
      </c>
      <c r="AE354">
        <v>11</v>
      </c>
      <c r="AF354">
        <v>7</v>
      </c>
      <c r="AG354">
        <v>6</v>
      </c>
      <c r="AH354">
        <v>7</v>
      </c>
      <c r="AI354">
        <v>0</v>
      </c>
      <c r="AJ354" s="19" t="s">
        <v>1571</v>
      </c>
      <c r="AK354" s="19" t="s">
        <v>1570</v>
      </c>
      <c r="AL354">
        <v>2</v>
      </c>
      <c r="AM354" s="19" t="s">
        <v>1564</v>
      </c>
      <c r="AN354">
        <v>-0.62125341575819282</v>
      </c>
      <c r="AO354">
        <v>235068</v>
      </c>
    </row>
    <row r="355" spans="1:41" x14ac:dyDescent="0.3">
      <c r="A355" s="19" t="s">
        <v>425</v>
      </c>
      <c r="B355">
        <v>30</v>
      </c>
      <c r="C355" s="19" t="s">
        <v>196</v>
      </c>
      <c r="D355" s="19" t="s">
        <v>55</v>
      </c>
      <c r="E355" s="19" t="s">
        <v>48</v>
      </c>
      <c r="F355">
        <v>413</v>
      </c>
      <c r="G355" s="19" t="s">
        <v>57</v>
      </c>
      <c r="H355">
        <v>7</v>
      </c>
      <c r="I355">
        <v>1</v>
      </c>
      <c r="J355" s="19" t="s">
        <v>63</v>
      </c>
      <c r="K355">
        <v>585</v>
      </c>
      <c r="L355">
        <v>4</v>
      </c>
      <c r="M355" s="19" t="s">
        <v>51</v>
      </c>
      <c r="N355">
        <v>3</v>
      </c>
      <c r="O355">
        <v>1</v>
      </c>
      <c r="P355" s="19" t="s">
        <v>60</v>
      </c>
      <c r="Q355">
        <v>2</v>
      </c>
      <c r="R355" s="19" t="s">
        <v>53</v>
      </c>
      <c r="S355">
        <v>44484</v>
      </c>
      <c r="T355" s="19" t="s">
        <v>72</v>
      </c>
      <c r="U355">
        <v>278.02</v>
      </c>
      <c r="V355">
        <v>0</v>
      </c>
      <c r="W355" s="19" t="s">
        <v>55</v>
      </c>
      <c r="X355">
        <v>14</v>
      </c>
      <c r="Y355">
        <v>3</v>
      </c>
      <c r="Z355">
        <v>1</v>
      </c>
      <c r="AA355">
        <v>0</v>
      </c>
      <c r="AB355">
        <v>4</v>
      </c>
      <c r="AC355">
        <v>3</v>
      </c>
      <c r="AD355">
        <v>3</v>
      </c>
      <c r="AE355">
        <v>3</v>
      </c>
      <c r="AF355">
        <v>2</v>
      </c>
      <c r="AG355">
        <v>1</v>
      </c>
      <c r="AH355">
        <v>2</v>
      </c>
      <c r="AI355">
        <v>0</v>
      </c>
      <c r="AJ355" s="19" t="s">
        <v>1566</v>
      </c>
      <c r="AK355" s="19" t="s">
        <v>1562</v>
      </c>
      <c r="AL355">
        <v>1</v>
      </c>
      <c r="AM355" s="19" t="s">
        <v>1565</v>
      </c>
      <c r="AN355">
        <v>-9.8177823268574896E-2</v>
      </c>
      <c r="AO355">
        <v>533808</v>
      </c>
    </row>
    <row r="356" spans="1:41" x14ac:dyDescent="0.3">
      <c r="A356" s="19" t="s">
        <v>426</v>
      </c>
      <c r="B356">
        <v>30</v>
      </c>
      <c r="C356" s="19" t="s">
        <v>196</v>
      </c>
      <c r="D356" s="19" t="s">
        <v>47</v>
      </c>
      <c r="E356" s="19" t="s">
        <v>62</v>
      </c>
      <c r="F356">
        <v>448</v>
      </c>
      <c r="G356" s="19" t="s">
        <v>57</v>
      </c>
      <c r="H356">
        <v>12</v>
      </c>
      <c r="I356">
        <v>4</v>
      </c>
      <c r="J356" s="19" t="s">
        <v>50</v>
      </c>
      <c r="K356">
        <v>648</v>
      </c>
      <c r="L356">
        <v>2</v>
      </c>
      <c r="M356" s="19" t="s">
        <v>51</v>
      </c>
      <c r="N356">
        <v>2</v>
      </c>
      <c r="O356">
        <v>1</v>
      </c>
      <c r="P356" s="19" t="s">
        <v>60</v>
      </c>
      <c r="Q356">
        <v>1</v>
      </c>
      <c r="R356" s="19" t="s">
        <v>113</v>
      </c>
      <c r="S356">
        <v>83989</v>
      </c>
      <c r="T356" s="19" t="s">
        <v>70</v>
      </c>
      <c r="U356">
        <v>524.92999999999995</v>
      </c>
      <c r="V356">
        <v>1</v>
      </c>
      <c r="W356" s="19" t="s">
        <v>55</v>
      </c>
      <c r="X356">
        <v>18</v>
      </c>
      <c r="Y356">
        <v>3</v>
      </c>
      <c r="Z356">
        <v>3</v>
      </c>
      <c r="AA356">
        <v>1</v>
      </c>
      <c r="AB356">
        <v>1</v>
      </c>
      <c r="AC356">
        <v>2</v>
      </c>
      <c r="AD356">
        <v>4</v>
      </c>
      <c r="AE356">
        <v>1</v>
      </c>
      <c r="AF356">
        <v>0</v>
      </c>
      <c r="AG356">
        <v>0</v>
      </c>
      <c r="AH356">
        <v>0</v>
      </c>
      <c r="AI356">
        <v>1</v>
      </c>
      <c r="AJ356" s="19" t="s">
        <v>1561</v>
      </c>
      <c r="AK356" s="19" t="s">
        <v>1562</v>
      </c>
      <c r="AL356">
        <v>1</v>
      </c>
      <c r="AM356" s="19" t="s">
        <v>1565</v>
      </c>
      <c r="AN356">
        <v>0.70270530531192477</v>
      </c>
      <c r="AO356">
        <v>1007868</v>
      </c>
    </row>
    <row r="357" spans="1:41" x14ac:dyDescent="0.3">
      <c r="A357" s="19" t="s">
        <v>427</v>
      </c>
      <c r="B357">
        <v>30</v>
      </c>
      <c r="C357" s="19" t="s">
        <v>196</v>
      </c>
      <c r="D357" s="19" t="s">
        <v>55</v>
      </c>
      <c r="E357" s="19" t="s">
        <v>62</v>
      </c>
      <c r="F357">
        <v>160</v>
      </c>
      <c r="G357" s="19" t="s">
        <v>49</v>
      </c>
      <c r="H357">
        <v>3</v>
      </c>
      <c r="I357">
        <v>3</v>
      </c>
      <c r="J357" s="19" t="s">
        <v>58</v>
      </c>
      <c r="K357">
        <v>680</v>
      </c>
      <c r="L357">
        <v>3</v>
      </c>
      <c r="M357" s="19" t="s">
        <v>59</v>
      </c>
      <c r="N357">
        <v>3</v>
      </c>
      <c r="O357">
        <v>1</v>
      </c>
      <c r="P357" s="19" t="s">
        <v>67</v>
      </c>
      <c r="Q357">
        <v>3</v>
      </c>
      <c r="R357" s="19" t="s">
        <v>53</v>
      </c>
      <c r="S357">
        <v>37212</v>
      </c>
      <c r="T357" s="19" t="s">
        <v>72</v>
      </c>
      <c r="U357">
        <v>232.58</v>
      </c>
      <c r="V357">
        <v>1</v>
      </c>
      <c r="W357" s="19" t="s">
        <v>55</v>
      </c>
      <c r="X357">
        <v>20</v>
      </c>
      <c r="Y357">
        <v>4</v>
      </c>
      <c r="Z357">
        <v>3</v>
      </c>
      <c r="AA357">
        <v>1</v>
      </c>
      <c r="AB357">
        <v>1</v>
      </c>
      <c r="AC357">
        <v>2</v>
      </c>
      <c r="AD357">
        <v>3</v>
      </c>
      <c r="AE357">
        <v>1</v>
      </c>
      <c r="AF357">
        <v>0</v>
      </c>
      <c r="AG357">
        <v>0</v>
      </c>
      <c r="AH357">
        <v>0</v>
      </c>
      <c r="AI357">
        <v>0</v>
      </c>
      <c r="AJ357" s="19" t="s">
        <v>1561</v>
      </c>
      <c r="AK357" s="19" t="s">
        <v>1562</v>
      </c>
      <c r="AL357">
        <v>0</v>
      </c>
      <c r="AM357" s="19" t="s">
        <v>1563</v>
      </c>
      <c r="AN357">
        <v>-0.25376160924600272</v>
      </c>
      <c r="AO357">
        <v>446544</v>
      </c>
    </row>
    <row r="358" spans="1:41" x14ac:dyDescent="0.3">
      <c r="A358" s="19" t="s">
        <v>428</v>
      </c>
      <c r="B358">
        <v>30</v>
      </c>
      <c r="C358" s="19" t="s">
        <v>196</v>
      </c>
      <c r="D358" s="19" t="s">
        <v>55</v>
      </c>
      <c r="E358" s="19" t="s">
        <v>48</v>
      </c>
      <c r="F358">
        <v>501</v>
      </c>
      <c r="G358" s="19" t="s">
        <v>57</v>
      </c>
      <c r="H358">
        <v>27</v>
      </c>
      <c r="I358">
        <v>5</v>
      </c>
      <c r="J358" s="19" t="s">
        <v>63</v>
      </c>
      <c r="K358">
        <v>747</v>
      </c>
      <c r="L358">
        <v>3</v>
      </c>
      <c r="M358" s="19" t="s">
        <v>51</v>
      </c>
      <c r="N358">
        <v>3</v>
      </c>
      <c r="O358">
        <v>2</v>
      </c>
      <c r="P358" s="19" t="s">
        <v>145</v>
      </c>
      <c r="Q358">
        <v>4</v>
      </c>
      <c r="R358" s="19" t="s">
        <v>53</v>
      </c>
      <c r="S358">
        <v>44525</v>
      </c>
      <c r="T358" s="19" t="s">
        <v>72</v>
      </c>
      <c r="U358">
        <v>278.27999999999997</v>
      </c>
      <c r="V358">
        <v>7</v>
      </c>
      <c r="W358" s="19" t="s">
        <v>55</v>
      </c>
      <c r="X358">
        <v>23</v>
      </c>
      <c r="Y358">
        <v>4</v>
      </c>
      <c r="Z358">
        <v>4</v>
      </c>
      <c r="AA358">
        <v>1</v>
      </c>
      <c r="AB358">
        <v>10</v>
      </c>
      <c r="AC358">
        <v>2</v>
      </c>
      <c r="AD358">
        <v>2</v>
      </c>
      <c r="AE358">
        <v>8</v>
      </c>
      <c r="AF358">
        <v>7</v>
      </c>
      <c r="AG358">
        <v>7</v>
      </c>
      <c r="AH358">
        <v>7</v>
      </c>
      <c r="AI358">
        <v>0</v>
      </c>
      <c r="AJ358" s="19" t="s">
        <v>1569</v>
      </c>
      <c r="AK358" s="19" t="s">
        <v>1570</v>
      </c>
      <c r="AL358">
        <v>2</v>
      </c>
      <c r="AM358" s="19" t="s">
        <v>1564</v>
      </c>
      <c r="AN358">
        <v>-9.2400269342045122E-2</v>
      </c>
      <c r="AO358">
        <v>534300</v>
      </c>
    </row>
    <row r="359" spans="1:41" x14ac:dyDescent="0.3">
      <c r="A359" s="19" t="s">
        <v>429</v>
      </c>
      <c r="B359">
        <v>30</v>
      </c>
      <c r="C359" s="19" t="s">
        <v>196</v>
      </c>
      <c r="D359" s="19" t="s">
        <v>55</v>
      </c>
      <c r="E359" s="19" t="s">
        <v>48</v>
      </c>
      <c r="F359">
        <v>921</v>
      </c>
      <c r="G359" s="19" t="s">
        <v>49</v>
      </c>
      <c r="H359">
        <v>1</v>
      </c>
      <c r="I359">
        <v>3</v>
      </c>
      <c r="J359" s="19" t="s">
        <v>50</v>
      </c>
      <c r="K359">
        <v>806</v>
      </c>
      <c r="L359">
        <v>4</v>
      </c>
      <c r="M359" s="19" t="s">
        <v>51</v>
      </c>
      <c r="N359">
        <v>1</v>
      </c>
      <c r="O359">
        <v>1</v>
      </c>
      <c r="P359" s="19" t="s">
        <v>52</v>
      </c>
      <c r="Q359">
        <v>3</v>
      </c>
      <c r="R359" s="19" t="s">
        <v>113</v>
      </c>
      <c r="S359">
        <v>48202</v>
      </c>
      <c r="T359" s="19" t="s">
        <v>72</v>
      </c>
      <c r="U359">
        <v>301.26</v>
      </c>
      <c r="V359">
        <v>3</v>
      </c>
      <c r="W359" s="19" t="s">
        <v>55</v>
      </c>
      <c r="X359">
        <v>21</v>
      </c>
      <c r="Y359">
        <v>4</v>
      </c>
      <c r="Z359">
        <v>3</v>
      </c>
      <c r="AA359">
        <v>2</v>
      </c>
      <c r="AB359">
        <v>7</v>
      </c>
      <c r="AC359">
        <v>2</v>
      </c>
      <c r="AD359">
        <v>3</v>
      </c>
      <c r="AE359">
        <v>2</v>
      </c>
      <c r="AF359">
        <v>2</v>
      </c>
      <c r="AG359">
        <v>0</v>
      </c>
      <c r="AH359">
        <v>2</v>
      </c>
      <c r="AI359">
        <v>0</v>
      </c>
      <c r="AJ359" s="19" t="s">
        <v>1566</v>
      </c>
      <c r="AK359" s="19" t="s">
        <v>1562</v>
      </c>
      <c r="AL359">
        <v>0</v>
      </c>
      <c r="AM359" s="19" t="s">
        <v>1563</v>
      </c>
      <c r="AN359">
        <v>-6.8030892152555644E-2</v>
      </c>
      <c r="AO359">
        <v>578424</v>
      </c>
    </row>
    <row r="360" spans="1:41" x14ac:dyDescent="0.3">
      <c r="A360" s="19" t="s">
        <v>430</v>
      </c>
      <c r="B360">
        <v>30</v>
      </c>
      <c r="C360" s="19" t="s">
        <v>196</v>
      </c>
      <c r="D360" s="19" t="s">
        <v>55</v>
      </c>
      <c r="E360" s="19" t="s">
        <v>48</v>
      </c>
      <c r="F360">
        <v>946</v>
      </c>
      <c r="G360" s="19" t="s">
        <v>49</v>
      </c>
      <c r="H360">
        <v>2</v>
      </c>
      <c r="I360">
        <v>3</v>
      </c>
      <c r="J360" s="19" t="s">
        <v>58</v>
      </c>
      <c r="K360">
        <v>833</v>
      </c>
      <c r="L360">
        <v>3</v>
      </c>
      <c r="M360" s="19" t="s">
        <v>59</v>
      </c>
      <c r="N360">
        <v>2</v>
      </c>
      <c r="O360">
        <v>2</v>
      </c>
      <c r="P360" s="19" t="s">
        <v>120</v>
      </c>
      <c r="Q360">
        <v>4</v>
      </c>
      <c r="R360" s="19" t="s">
        <v>53</v>
      </c>
      <c r="S360">
        <v>33635</v>
      </c>
      <c r="T360" s="19" t="s">
        <v>72</v>
      </c>
      <c r="U360">
        <v>210.22</v>
      </c>
      <c r="V360">
        <v>5</v>
      </c>
      <c r="W360" s="19" t="s">
        <v>47</v>
      </c>
      <c r="X360">
        <v>24</v>
      </c>
      <c r="Y360">
        <v>4</v>
      </c>
      <c r="Z360">
        <v>2</v>
      </c>
      <c r="AA360">
        <v>0</v>
      </c>
      <c r="AB360">
        <v>12</v>
      </c>
      <c r="AC360">
        <v>4</v>
      </c>
      <c r="AD360">
        <v>2</v>
      </c>
      <c r="AE360">
        <v>0</v>
      </c>
      <c r="AF360">
        <v>0</v>
      </c>
      <c r="AG360">
        <v>0</v>
      </c>
      <c r="AH360">
        <v>0</v>
      </c>
      <c r="AI360">
        <v>0</v>
      </c>
      <c r="AJ360" s="19" t="s">
        <v>1561</v>
      </c>
      <c r="AK360" s="19" t="s">
        <v>1562</v>
      </c>
      <c r="AL360">
        <v>2</v>
      </c>
      <c r="AM360" s="19" t="s">
        <v>1564</v>
      </c>
      <c r="AN360">
        <v>-0.24066496998122353</v>
      </c>
      <c r="AO360">
        <v>403620</v>
      </c>
    </row>
    <row r="361" spans="1:41" x14ac:dyDescent="0.3">
      <c r="A361" s="19" t="s">
        <v>431</v>
      </c>
      <c r="B361">
        <v>30</v>
      </c>
      <c r="C361" s="19" t="s">
        <v>196</v>
      </c>
      <c r="D361" s="19" t="s">
        <v>55</v>
      </c>
      <c r="E361" s="19" t="s">
        <v>62</v>
      </c>
      <c r="F361">
        <v>1012</v>
      </c>
      <c r="G361" s="19" t="s">
        <v>49</v>
      </c>
      <c r="H361">
        <v>5</v>
      </c>
      <c r="I361">
        <v>4</v>
      </c>
      <c r="J361" s="19" t="s">
        <v>50</v>
      </c>
      <c r="K361">
        <v>861</v>
      </c>
      <c r="L361">
        <v>2</v>
      </c>
      <c r="M361" s="19" t="s">
        <v>51</v>
      </c>
      <c r="N361">
        <v>2</v>
      </c>
      <c r="O361">
        <v>1</v>
      </c>
      <c r="P361" s="19" t="s">
        <v>67</v>
      </c>
      <c r="Q361">
        <v>4</v>
      </c>
      <c r="R361" s="19" t="s">
        <v>53</v>
      </c>
      <c r="S361">
        <v>64208</v>
      </c>
      <c r="T361" s="19" t="s">
        <v>64</v>
      </c>
      <c r="U361">
        <v>401.3</v>
      </c>
      <c r="V361">
        <v>9</v>
      </c>
      <c r="W361" s="19" t="s">
        <v>55</v>
      </c>
      <c r="X361">
        <v>12</v>
      </c>
      <c r="Y361">
        <v>3</v>
      </c>
      <c r="Z361">
        <v>2</v>
      </c>
      <c r="AA361">
        <v>1</v>
      </c>
      <c r="AB361">
        <v>10</v>
      </c>
      <c r="AC361">
        <v>3</v>
      </c>
      <c r="AD361">
        <v>2</v>
      </c>
      <c r="AE361">
        <v>5</v>
      </c>
      <c r="AF361">
        <v>4</v>
      </c>
      <c r="AG361">
        <v>0</v>
      </c>
      <c r="AH361">
        <v>3</v>
      </c>
      <c r="AI361">
        <v>0</v>
      </c>
      <c r="AJ361" s="19" t="s">
        <v>1567</v>
      </c>
      <c r="AK361" s="19" t="s">
        <v>1562</v>
      </c>
      <c r="AL361">
        <v>1</v>
      </c>
      <c r="AM361" s="19" t="s">
        <v>1565</v>
      </c>
      <c r="AN361">
        <v>0.28760815311008969</v>
      </c>
      <c r="AO361">
        <v>770496</v>
      </c>
    </row>
    <row r="362" spans="1:41" x14ac:dyDescent="0.3">
      <c r="A362" s="19" t="s">
        <v>432</v>
      </c>
      <c r="B362">
        <v>30</v>
      </c>
      <c r="C362" s="19" t="s">
        <v>196</v>
      </c>
      <c r="D362" s="19" t="s">
        <v>55</v>
      </c>
      <c r="E362" s="19" t="s">
        <v>48</v>
      </c>
      <c r="F362">
        <v>231</v>
      </c>
      <c r="G362" s="19" t="s">
        <v>57</v>
      </c>
      <c r="H362">
        <v>8</v>
      </c>
      <c r="I362">
        <v>2</v>
      </c>
      <c r="J362" s="19" t="s">
        <v>82</v>
      </c>
      <c r="K362">
        <v>982</v>
      </c>
      <c r="L362">
        <v>3</v>
      </c>
      <c r="M362" s="19" t="s">
        <v>51</v>
      </c>
      <c r="N362">
        <v>3</v>
      </c>
      <c r="O362">
        <v>3</v>
      </c>
      <c r="P362" s="19" t="s">
        <v>145</v>
      </c>
      <c r="Q362">
        <v>3</v>
      </c>
      <c r="R362" s="19" t="s">
        <v>53</v>
      </c>
      <c r="S362">
        <v>34828</v>
      </c>
      <c r="T362" s="19" t="s">
        <v>72</v>
      </c>
      <c r="U362">
        <v>217.68</v>
      </c>
      <c r="V362">
        <v>5</v>
      </c>
      <c r="W362" s="19" t="s">
        <v>55</v>
      </c>
      <c r="X362">
        <v>11</v>
      </c>
      <c r="Y362">
        <v>3</v>
      </c>
      <c r="Z362">
        <v>1</v>
      </c>
      <c r="AA362">
        <v>1</v>
      </c>
      <c r="AB362">
        <v>10</v>
      </c>
      <c r="AC362">
        <v>2</v>
      </c>
      <c r="AD362">
        <v>4</v>
      </c>
      <c r="AE362">
        <v>8</v>
      </c>
      <c r="AF362">
        <v>4</v>
      </c>
      <c r="AG362">
        <v>7</v>
      </c>
      <c r="AH362">
        <v>7</v>
      </c>
      <c r="AI362">
        <v>0</v>
      </c>
      <c r="AJ362" s="19" t="s">
        <v>1569</v>
      </c>
      <c r="AK362" s="19" t="s">
        <v>1570</v>
      </c>
      <c r="AL362">
        <v>1</v>
      </c>
      <c r="AM362" s="19" t="s">
        <v>1565</v>
      </c>
      <c r="AN362">
        <v>-0.29006438137326779</v>
      </c>
      <c r="AO362">
        <v>417936</v>
      </c>
    </row>
    <row r="363" spans="1:41" x14ac:dyDescent="0.3">
      <c r="A363" s="19" t="s">
        <v>433</v>
      </c>
      <c r="B363">
        <v>30</v>
      </c>
      <c r="C363" s="19" t="s">
        <v>196</v>
      </c>
      <c r="D363" s="19" t="s">
        <v>47</v>
      </c>
      <c r="E363" s="19" t="s">
        <v>48</v>
      </c>
      <c r="F363">
        <v>138</v>
      </c>
      <c r="G363" s="19" t="s">
        <v>49</v>
      </c>
      <c r="H363">
        <v>22</v>
      </c>
      <c r="I363">
        <v>3</v>
      </c>
      <c r="J363" s="19" t="s">
        <v>50</v>
      </c>
      <c r="K363">
        <v>1004</v>
      </c>
      <c r="L363">
        <v>1</v>
      </c>
      <c r="M363" s="19" t="s">
        <v>59</v>
      </c>
      <c r="N363">
        <v>3</v>
      </c>
      <c r="O363">
        <v>1</v>
      </c>
      <c r="P363" s="19" t="s">
        <v>67</v>
      </c>
      <c r="Q363">
        <v>3</v>
      </c>
      <c r="R363" s="19" t="s">
        <v>113</v>
      </c>
      <c r="S363">
        <v>19711</v>
      </c>
      <c r="T363" s="19" t="s">
        <v>54</v>
      </c>
      <c r="U363">
        <v>123.19</v>
      </c>
      <c r="V363">
        <v>4</v>
      </c>
      <c r="W363" s="19" t="s">
        <v>47</v>
      </c>
      <c r="X363">
        <v>11</v>
      </c>
      <c r="Y363">
        <v>3</v>
      </c>
      <c r="Z363">
        <v>2</v>
      </c>
      <c r="AA363">
        <v>0</v>
      </c>
      <c r="AB363">
        <v>7</v>
      </c>
      <c r="AC363">
        <v>2</v>
      </c>
      <c r="AD363">
        <v>3</v>
      </c>
      <c r="AE363">
        <v>5</v>
      </c>
      <c r="AF363">
        <v>2</v>
      </c>
      <c r="AG363">
        <v>0</v>
      </c>
      <c r="AH363">
        <v>1</v>
      </c>
      <c r="AI363">
        <v>1</v>
      </c>
      <c r="AJ363" s="19" t="s">
        <v>1567</v>
      </c>
      <c r="AK363" s="19" t="s">
        <v>1562</v>
      </c>
      <c r="AL363">
        <v>1</v>
      </c>
      <c r="AM363" s="19" t="s">
        <v>1565</v>
      </c>
      <c r="AN363">
        <v>-0.60472146296484897</v>
      </c>
      <c r="AO363">
        <v>236532</v>
      </c>
    </row>
    <row r="364" spans="1:41" x14ac:dyDescent="0.3">
      <c r="A364" s="19" t="s">
        <v>434</v>
      </c>
      <c r="B364">
        <v>30</v>
      </c>
      <c r="C364" s="19" t="s">
        <v>196</v>
      </c>
      <c r="D364" s="19" t="s">
        <v>55</v>
      </c>
      <c r="E364" s="19" t="s">
        <v>48</v>
      </c>
      <c r="F364">
        <v>153</v>
      </c>
      <c r="G364" s="19" t="s">
        <v>49</v>
      </c>
      <c r="H364">
        <v>8</v>
      </c>
      <c r="I364">
        <v>2</v>
      </c>
      <c r="J364" s="19" t="s">
        <v>50</v>
      </c>
      <c r="K364">
        <v>1015</v>
      </c>
      <c r="L364">
        <v>2</v>
      </c>
      <c r="M364" s="19" t="s">
        <v>59</v>
      </c>
      <c r="N364">
        <v>4</v>
      </c>
      <c r="O364">
        <v>3</v>
      </c>
      <c r="P364" s="19" t="s">
        <v>257</v>
      </c>
      <c r="Q364">
        <v>1</v>
      </c>
      <c r="R364" s="19" t="s">
        <v>113</v>
      </c>
      <c r="S364">
        <v>4420</v>
      </c>
      <c r="T364" s="19" t="s">
        <v>54</v>
      </c>
      <c r="U364">
        <v>27.62</v>
      </c>
      <c r="V364">
        <v>0</v>
      </c>
      <c r="W364" s="19" t="s">
        <v>47</v>
      </c>
      <c r="X364">
        <v>12</v>
      </c>
      <c r="Y364">
        <v>3</v>
      </c>
      <c r="Z364">
        <v>3</v>
      </c>
      <c r="AA364">
        <v>3</v>
      </c>
      <c r="AB364">
        <v>9</v>
      </c>
      <c r="AC364">
        <v>4</v>
      </c>
      <c r="AD364">
        <v>2</v>
      </c>
      <c r="AE364">
        <v>8</v>
      </c>
      <c r="AF364">
        <v>7</v>
      </c>
      <c r="AG364">
        <v>1</v>
      </c>
      <c r="AH364">
        <v>7</v>
      </c>
      <c r="AI364">
        <v>0</v>
      </c>
      <c r="AJ364" s="19" t="s">
        <v>1569</v>
      </c>
      <c r="AK364" s="19" t="s">
        <v>1562</v>
      </c>
      <c r="AL364">
        <v>3</v>
      </c>
      <c r="AM364" s="19" t="s">
        <v>1568</v>
      </c>
      <c r="AN364">
        <v>-0.91275697339729178</v>
      </c>
      <c r="AO364">
        <v>53040</v>
      </c>
    </row>
    <row r="365" spans="1:41" x14ac:dyDescent="0.3">
      <c r="A365" s="19" t="s">
        <v>435</v>
      </c>
      <c r="B365">
        <v>30</v>
      </c>
      <c r="C365" s="19" t="s">
        <v>196</v>
      </c>
      <c r="D365" s="19" t="s">
        <v>47</v>
      </c>
      <c r="E365" s="19" t="s">
        <v>62</v>
      </c>
      <c r="F365">
        <v>109</v>
      </c>
      <c r="G365" s="19" t="s">
        <v>49</v>
      </c>
      <c r="H365">
        <v>5</v>
      </c>
      <c r="I365">
        <v>3</v>
      </c>
      <c r="J365" s="19" t="s">
        <v>58</v>
      </c>
      <c r="K365">
        <v>1017</v>
      </c>
      <c r="L365">
        <v>2</v>
      </c>
      <c r="M365" s="19" t="s">
        <v>59</v>
      </c>
      <c r="N365">
        <v>3</v>
      </c>
      <c r="O365">
        <v>1</v>
      </c>
      <c r="P365" s="19" t="s">
        <v>52</v>
      </c>
      <c r="Q365">
        <v>2</v>
      </c>
      <c r="R365" s="19" t="s">
        <v>53</v>
      </c>
      <c r="S365">
        <v>97752</v>
      </c>
      <c r="T365" s="19" t="s">
        <v>70</v>
      </c>
      <c r="U365">
        <v>610.95000000000005</v>
      </c>
      <c r="V365">
        <v>0</v>
      </c>
      <c r="W365" s="19" t="s">
        <v>55</v>
      </c>
      <c r="X365">
        <v>17</v>
      </c>
      <c r="Y365">
        <v>3</v>
      </c>
      <c r="Z365">
        <v>1</v>
      </c>
      <c r="AA365">
        <v>0</v>
      </c>
      <c r="AB365">
        <v>4</v>
      </c>
      <c r="AC365">
        <v>3</v>
      </c>
      <c r="AD365">
        <v>3</v>
      </c>
      <c r="AE365">
        <v>3</v>
      </c>
      <c r="AF365">
        <v>2</v>
      </c>
      <c r="AG365">
        <v>1</v>
      </c>
      <c r="AH365">
        <v>2</v>
      </c>
      <c r="AI365">
        <v>1</v>
      </c>
      <c r="AJ365" s="19" t="s">
        <v>1566</v>
      </c>
      <c r="AK365" s="19" t="s">
        <v>1562</v>
      </c>
      <c r="AL365">
        <v>1</v>
      </c>
      <c r="AM365" s="19" t="s">
        <v>1565</v>
      </c>
      <c r="AN365">
        <v>0.89000133252361691</v>
      </c>
      <c r="AO365">
        <v>1173024</v>
      </c>
    </row>
    <row r="366" spans="1:41" x14ac:dyDescent="0.3">
      <c r="A366" s="19" t="s">
        <v>436</v>
      </c>
      <c r="B366">
        <v>30</v>
      </c>
      <c r="C366" s="19" t="s">
        <v>196</v>
      </c>
      <c r="D366" s="19" t="s">
        <v>55</v>
      </c>
      <c r="E366" s="19" t="s">
        <v>48</v>
      </c>
      <c r="F366">
        <v>1176</v>
      </c>
      <c r="G366" s="19" t="s">
        <v>49</v>
      </c>
      <c r="H366">
        <v>20</v>
      </c>
      <c r="I366">
        <v>3</v>
      </c>
      <c r="J366" s="19" t="s">
        <v>82</v>
      </c>
      <c r="K366">
        <v>1084</v>
      </c>
      <c r="L366">
        <v>3</v>
      </c>
      <c r="M366" s="19" t="s">
        <v>51</v>
      </c>
      <c r="N366">
        <v>3</v>
      </c>
      <c r="O366">
        <v>2</v>
      </c>
      <c r="P366" s="19" t="s">
        <v>120</v>
      </c>
      <c r="Q366">
        <v>1</v>
      </c>
      <c r="R366" s="19" t="s">
        <v>113</v>
      </c>
      <c r="S366">
        <v>1301</v>
      </c>
      <c r="T366" s="19" t="s">
        <v>54</v>
      </c>
      <c r="U366">
        <v>8.1300000000000008</v>
      </c>
      <c r="V366">
        <v>0</v>
      </c>
      <c r="W366" s="19" t="s">
        <v>55</v>
      </c>
      <c r="X366">
        <v>15</v>
      </c>
      <c r="Y366">
        <v>3</v>
      </c>
      <c r="Z366">
        <v>3</v>
      </c>
      <c r="AA366">
        <v>1</v>
      </c>
      <c r="AB366">
        <v>7</v>
      </c>
      <c r="AC366">
        <v>1</v>
      </c>
      <c r="AD366">
        <v>2</v>
      </c>
      <c r="AE366">
        <v>6</v>
      </c>
      <c r="AF366">
        <v>2</v>
      </c>
      <c r="AG366">
        <v>0</v>
      </c>
      <c r="AH366">
        <v>2</v>
      </c>
      <c r="AI366">
        <v>0</v>
      </c>
      <c r="AJ366" s="19" t="s">
        <v>1569</v>
      </c>
      <c r="AK366" s="19" t="s">
        <v>1562</v>
      </c>
      <c r="AL366">
        <v>2</v>
      </c>
      <c r="AM366" s="19" t="s">
        <v>1564</v>
      </c>
      <c r="AN366">
        <v>-0.97062896167520651</v>
      </c>
      <c r="AO366">
        <v>15612</v>
      </c>
    </row>
    <row r="367" spans="1:41" x14ac:dyDescent="0.3">
      <c r="A367" s="19" t="s">
        <v>437</v>
      </c>
      <c r="B367">
        <v>30</v>
      </c>
      <c r="C367" s="19" t="s">
        <v>196</v>
      </c>
      <c r="D367" s="19" t="s">
        <v>55</v>
      </c>
      <c r="E367" s="19" t="s">
        <v>48</v>
      </c>
      <c r="F367">
        <v>852</v>
      </c>
      <c r="G367" s="19" t="s">
        <v>57</v>
      </c>
      <c r="H367">
        <v>10</v>
      </c>
      <c r="I367">
        <v>3</v>
      </c>
      <c r="J367" s="19" t="s">
        <v>63</v>
      </c>
      <c r="K367">
        <v>1179</v>
      </c>
      <c r="L367">
        <v>3</v>
      </c>
      <c r="M367" s="19" t="s">
        <v>51</v>
      </c>
      <c r="N367">
        <v>2</v>
      </c>
      <c r="O367">
        <v>2</v>
      </c>
      <c r="P367" s="19" t="s">
        <v>145</v>
      </c>
      <c r="Q367">
        <v>3</v>
      </c>
      <c r="R367" s="19" t="s">
        <v>113</v>
      </c>
      <c r="S367">
        <v>46236</v>
      </c>
      <c r="T367" s="19" t="s">
        <v>72</v>
      </c>
      <c r="U367">
        <v>288.98</v>
      </c>
      <c r="V367">
        <v>1</v>
      </c>
      <c r="W367" s="19" t="s">
        <v>55</v>
      </c>
      <c r="X367">
        <v>18</v>
      </c>
      <c r="Y367">
        <v>3</v>
      </c>
      <c r="Z367">
        <v>1</v>
      </c>
      <c r="AA367">
        <v>1</v>
      </c>
      <c r="AB367">
        <v>10</v>
      </c>
      <c r="AC367">
        <v>3</v>
      </c>
      <c r="AD367">
        <v>3</v>
      </c>
      <c r="AE367">
        <v>10</v>
      </c>
      <c r="AF367">
        <v>3</v>
      </c>
      <c r="AG367">
        <v>1</v>
      </c>
      <c r="AH367">
        <v>4</v>
      </c>
      <c r="AI367">
        <v>0</v>
      </c>
      <c r="AJ367" s="19" t="s">
        <v>1569</v>
      </c>
      <c r="AK367" s="19" t="s">
        <v>1562</v>
      </c>
      <c r="AL367">
        <v>0</v>
      </c>
      <c r="AM367" s="19" t="s">
        <v>1563</v>
      </c>
      <c r="AN367">
        <v>-5.7523163465441847E-2</v>
      </c>
      <c r="AO367">
        <v>554832</v>
      </c>
    </row>
    <row r="368" spans="1:41" x14ac:dyDescent="0.3">
      <c r="A368" s="19" t="s">
        <v>438</v>
      </c>
      <c r="B368">
        <v>30</v>
      </c>
      <c r="C368" s="19" t="s">
        <v>196</v>
      </c>
      <c r="D368" s="19" t="s">
        <v>55</v>
      </c>
      <c r="E368" s="19" t="s">
        <v>48</v>
      </c>
      <c r="F368">
        <v>1329</v>
      </c>
      <c r="G368" s="19" t="s">
        <v>57</v>
      </c>
      <c r="H368">
        <v>29</v>
      </c>
      <c r="I368">
        <v>4</v>
      </c>
      <c r="J368" s="19" t="s">
        <v>50</v>
      </c>
      <c r="K368">
        <v>1211</v>
      </c>
      <c r="L368">
        <v>3</v>
      </c>
      <c r="M368" s="19" t="s">
        <v>51</v>
      </c>
      <c r="N368">
        <v>3</v>
      </c>
      <c r="O368">
        <v>2</v>
      </c>
      <c r="P368" s="19" t="s">
        <v>145</v>
      </c>
      <c r="Q368">
        <v>1</v>
      </c>
      <c r="R368" s="19" t="s">
        <v>53</v>
      </c>
      <c r="S368">
        <v>67235</v>
      </c>
      <c r="T368" s="19" t="s">
        <v>64</v>
      </c>
      <c r="U368">
        <v>420.22</v>
      </c>
      <c r="V368">
        <v>8</v>
      </c>
      <c r="W368" s="19" t="s">
        <v>55</v>
      </c>
      <c r="X368">
        <v>19</v>
      </c>
      <c r="Y368">
        <v>3</v>
      </c>
      <c r="Z368">
        <v>3</v>
      </c>
      <c r="AA368">
        <v>3</v>
      </c>
      <c r="AB368">
        <v>8</v>
      </c>
      <c r="AC368">
        <v>3</v>
      </c>
      <c r="AD368">
        <v>3</v>
      </c>
      <c r="AE368">
        <v>4</v>
      </c>
      <c r="AF368">
        <v>3</v>
      </c>
      <c r="AG368">
        <v>0</v>
      </c>
      <c r="AH368">
        <v>3</v>
      </c>
      <c r="AI368">
        <v>0</v>
      </c>
      <c r="AJ368" s="19" t="s">
        <v>1567</v>
      </c>
      <c r="AK368" s="19" t="s">
        <v>1562</v>
      </c>
      <c r="AL368">
        <v>1</v>
      </c>
      <c r="AM368" s="19" t="s">
        <v>1565</v>
      </c>
      <c r="AN368">
        <v>0.37052145740118125</v>
      </c>
      <c r="AO368">
        <v>806820</v>
      </c>
    </row>
    <row r="369" spans="1:41" x14ac:dyDescent="0.3">
      <c r="A369" s="19" t="s">
        <v>439</v>
      </c>
      <c r="B369">
        <v>30</v>
      </c>
      <c r="C369" s="19" t="s">
        <v>196</v>
      </c>
      <c r="D369" s="19" t="s">
        <v>55</v>
      </c>
      <c r="E369" s="19" t="s">
        <v>48</v>
      </c>
      <c r="F369">
        <v>853</v>
      </c>
      <c r="G369" s="19" t="s">
        <v>49</v>
      </c>
      <c r="H369">
        <v>7</v>
      </c>
      <c r="I369">
        <v>4</v>
      </c>
      <c r="J369" s="19" t="s">
        <v>50</v>
      </c>
      <c r="K369">
        <v>1224</v>
      </c>
      <c r="L369">
        <v>3</v>
      </c>
      <c r="M369" s="19" t="s">
        <v>51</v>
      </c>
      <c r="N369">
        <v>3</v>
      </c>
      <c r="O369">
        <v>2</v>
      </c>
      <c r="P369" s="19" t="s">
        <v>52</v>
      </c>
      <c r="Q369">
        <v>3</v>
      </c>
      <c r="R369" s="19" t="s">
        <v>53</v>
      </c>
      <c r="S369">
        <v>55240</v>
      </c>
      <c r="T369" s="19" t="s">
        <v>64</v>
      </c>
      <c r="U369">
        <v>345.25</v>
      </c>
      <c r="V369">
        <v>1</v>
      </c>
      <c r="W369" s="19" t="s">
        <v>55</v>
      </c>
      <c r="X369">
        <v>13</v>
      </c>
      <c r="Y369">
        <v>3</v>
      </c>
      <c r="Z369">
        <v>1</v>
      </c>
      <c r="AA369">
        <v>3</v>
      </c>
      <c r="AB369">
        <v>10</v>
      </c>
      <c r="AC369">
        <v>4</v>
      </c>
      <c r="AD369">
        <v>2</v>
      </c>
      <c r="AE369">
        <v>10</v>
      </c>
      <c r="AF369">
        <v>7</v>
      </c>
      <c r="AG369">
        <v>8</v>
      </c>
      <c r="AH369">
        <v>9</v>
      </c>
      <c r="AI369">
        <v>0</v>
      </c>
      <c r="AJ369" s="19" t="s">
        <v>1569</v>
      </c>
      <c r="AK369" s="19" t="s">
        <v>1570</v>
      </c>
      <c r="AL369">
        <v>2</v>
      </c>
      <c r="AM369" s="19" t="s">
        <v>1564</v>
      </c>
      <c r="AN369">
        <v>6.8046419598623009E-2</v>
      </c>
      <c r="AO369">
        <v>662880</v>
      </c>
    </row>
    <row r="370" spans="1:41" x14ac:dyDescent="0.3">
      <c r="A370" s="19" t="s">
        <v>440</v>
      </c>
      <c r="B370">
        <v>30</v>
      </c>
      <c r="C370" s="19" t="s">
        <v>196</v>
      </c>
      <c r="D370" s="19" t="s">
        <v>55</v>
      </c>
      <c r="E370" s="19" t="s">
        <v>48</v>
      </c>
      <c r="F370">
        <v>1465</v>
      </c>
      <c r="G370" s="19" t="s">
        <v>49</v>
      </c>
      <c r="H370">
        <v>1</v>
      </c>
      <c r="I370">
        <v>3</v>
      </c>
      <c r="J370" s="19" t="s">
        <v>58</v>
      </c>
      <c r="K370">
        <v>1241</v>
      </c>
      <c r="L370">
        <v>4</v>
      </c>
      <c r="M370" s="19" t="s">
        <v>51</v>
      </c>
      <c r="N370">
        <v>3</v>
      </c>
      <c r="O370">
        <v>1</v>
      </c>
      <c r="P370" s="19" t="s">
        <v>67</v>
      </c>
      <c r="Q370">
        <v>2</v>
      </c>
      <c r="R370" s="19" t="s">
        <v>113</v>
      </c>
      <c r="S370">
        <v>66726</v>
      </c>
      <c r="T370" s="19" t="s">
        <v>64</v>
      </c>
      <c r="U370">
        <v>417.04</v>
      </c>
      <c r="V370">
        <v>0</v>
      </c>
      <c r="W370" s="19" t="s">
        <v>47</v>
      </c>
      <c r="X370">
        <v>21</v>
      </c>
      <c r="Y370">
        <v>4</v>
      </c>
      <c r="Z370">
        <v>1</v>
      </c>
      <c r="AA370">
        <v>1</v>
      </c>
      <c r="AB370">
        <v>12</v>
      </c>
      <c r="AC370">
        <v>2</v>
      </c>
      <c r="AD370">
        <v>3</v>
      </c>
      <c r="AE370">
        <v>11</v>
      </c>
      <c r="AF370">
        <v>9</v>
      </c>
      <c r="AG370">
        <v>5</v>
      </c>
      <c r="AH370">
        <v>7</v>
      </c>
      <c r="AI370">
        <v>0</v>
      </c>
      <c r="AJ370" s="19" t="s">
        <v>1571</v>
      </c>
      <c r="AK370" s="19" t="s">
        <v>1570</v>
      </c>
      <c r="AL370">
        <v>3</v>
      </c>
      <c r="AM370" s="19" t="s">
        <v>1568</v>
      </c>
      <c r="AN370">
        <v>0.33810337690667591</v>
      </c>
      <c r="AO370">
        <v>800712</v>
      </c>
    </row>
    <row r="371" spans="1:41" x14ac:dyDescent="0.3">
      <c r="A371" s="19" t="s">
        <v>441</v>
      </c>
      <c r="B371">
        <v>30</v>
      </c>
      <c r="C371" s="19" t="s">
        <v>196</v>
      </c>
      <c r="D371" s="19" t="s">
        <v>55</v>
      </c>
      <c r="E371" s="19" t="s">
        <v>66</v>
      </c>
      <c r="F371">
        <v>879</v>
      </c>
      <c r="G371" s="19" t="s">
        <v>49</v>
      </c>
      <c r="H371">
        <v>9</v>
      </c>
      <c r="I371">
        <v>2</v>
      </c>
      <c r="J371" s="19" t="s">
        <v>58</v>
      </c>
      <c r="K371">
        <v>1298</v>
      </c>
      <c r="L371">
        <v>3</v>
      </c>
      <c r="M371" s="19" t="s">
        <v>59</v>
      </c>
      <c r="N371">
        <v>3</v>
      </c>
      <c r="O371">
        <v>2</v>
      </c>
      <c r="P371" s="19" t="s">
        <v>120</v>
      </c>
      <c r="Q371">
        <v>3</v>
      </c>
      <c r="R371" s="19" t="s">
        <v>53</v>
      </c>
      <c r="S371">
        <v>11492</v>
      </c>
      <c r="T371" s="19" t="s">
        <v>54</v>
      </c>
      <c r="U371">
        <v>71.819999999999993</v>
      </c>
      <c r="V371">
        <v>7</v>
      </c>
      <c r="W371" s="19" t="s">
        <v>47</v>
      </c>
      <c r="X371">
        <v>18</v>
      </c>
      <c r="Y371">
        <v>3</v>
      </c>
      <c r="Z371">
        <v>3</v>
      </c>
      <c r="AA371">
        <v>0</v>
      </c>
      <c r="AB371">
        <v>10</v>
      </c>
      <c r="AC371">
        <v>3</v>
      </c>
      <c r="AD371">
        <v>3</v>
      </c>
      <c r="AE371">
        <v>8</v>
      </c>
      <c r="AF371">
        <v>4</v>
      </c>
      <c r="AG371">
        <v>1</v>
      </c>
      <c r="AH371">
        <v>7</v>
      </c>
      <c r="AI371">
        <v>0</v>
      </c>
      <c r="AJ371" s="19" t="s">
        <v>1569</v>
      </c>
      <c r="AK371" s="19" t="s">
        <v>1562</v>
      </c>
      <c r="AL371">
        <v>1</v>
      </c>
      <c r="AM371" s="19" t="s">
        <v>1565</v>
      </c>
      <c r="AN371">
        <v>-0.74055959075439926</v>
      </c>
      <c r="AO371">
        <v>137904</v>
      </c>
    </row>
    <row r="372" spans="1:41" x14ac:dyDescent="0.3">
      <c r="A372" s="19" t="s">
        <v>442</v>
      </c>
      <c r="B372">
        <v>30</v>
      </c>
      <c r="C372" s="19" t="s">
        <v>196</v>
      </c>
      <c r="D372" s="19" t="s">
        <v>55</v>
      </c>
      <c r="E372" s="19" t="s">
        <v>48</v>
      </c>
      <c r="F372">
        <v>1138</v>
      </c>
      <c r="G372" s="19" t="s">
        <v>49</v>
      </c>
      <c r="H372">
        <v>6</v>
      </c>
      <c r="I372">
        <v>3</v>
      </c>
      <c r="J372" s="19" t="s">
        <v>77</v>
      </c>
      <c r="K372">
        <v>1311</v>
      </c>
      <c r="L372">
        <v>1</v>
      </c>
      <c r="M372" s="19" t="s">
        <v>59</v>
      </c>
      <c r="N372">
        <v>2</v>
      </c>
      <c r="O372">
        <v>2</v>
      </c>
      <c r="P372" s="19" t="s">
        <v>52</v>
      </c>
      <c r="Q372">
        <v>4</v>
      </c>
      <c r="R372" s="19" t="s">
        <v>113</v>
      </c>
      <c r="S372">
        <v>7102</v>
      </c>
      <c r="T372" s="19" t="s">
        <v>54</v>
      </c>
      <c r="U372">
        <v>44.39</v>
      </c>
      <c r="V372">
        <v>0</v>
      </c>
      <c r="W372" s="19" t="s">
        <v>55</v>
      </c>
      <c r="X372">
        <v>12</v>
      </c>
      <c r="Y372">
        <v>3</v>
      </c>
      <c r="Z372">
        <v>1</v>
      </c>
      <c r="AA372">
        <v>1</v>
      </c>
      <c r="AB372">
        <v>10</v>
      </c>
      <c r="AC372">
        <v>6</v>
      </c>
      <c r="AD372">
        <v>3</v>
      </c>
      <c r="AE372">
        <v>9</v>
      </c>
      <c r="AF372">
        <v>2</v>
      </c>
      <c r="AG372">
        <v>6</v>
      </c>
      <c r="AH372">
        <v>7</v>
      </c>
      <c r="AI372">
        <v>0</v>
      </c>
      <c r="AJ372" s="19" t="s">
        <v>1569</v>
      </c>
      <c r="AK372" s="19" t="s">
        <v>1570</v>
      </c>
      <c r="AL372">
        <v>1</v>
      </c>
      <c r="AM372" s="19" t="s">
        <v>1565</v>
      </c>
      <c r="AN372">
        <v>-0.86268527023914876</v>
      </c>
      <c r="AO372">
        <v>85224</v>
      </c>
    </row>
    <row r="373" spans="1:41" x14ac:dyDescent="0.3">
      <c r="A373" s="19" t="s">
        <v>443</v>
      </c>
      <c r="B373">
        <v>30</v>
      </c>
      <c r="C373" s="19" t="s">
        <v>196</v>
      </c>
      <c r="D373" s="19" t="s">
        <v>55</v>
      </c>
      <c r="E373" s="19" t="s">
        <v>48</v>
      </c>
      <c r="F373">
        <v>634</v>
      </c>
      <c r="G373" s="19" t="s">
        <v>49</v>
      </c>
      <c r="H373">
        <v>17</v>
      </c>
      <c r="I373">
        <v>4</v>
      </c>
      <c r="J373" s="19" t="s">
        <v>58</v>
      </c>
      <c r="K373">
        <v>1321</v>
      </c>
      <c r="L373">
        <v>2</v>
      </c>
      <c r="M373" s="19" t="s">
        <v>59</v>
      </c>
      <c r="N373">
        <v>3</v>
      </c>
      <c r="O373">
        <v>3</v>
      </c>
      <c r="P373" s="19" t="s">
        <v>444</v>
      </c>
      <c r="Q373">
        <v>1</v>
      </c>
      <c r="R373" s="19" t="s">
        <v>113</v>
      </c>
      <c r="S373">
        <v>51336</v>
      </c>
      <c r="T373" s="19" t="s">
        <v>64</v>
      </c>
      <c r="U373">
        <v>320.85000000000002</v>
      </c>
      <c r="V373">
        <v>1</v>
      </c>
      <c r="W373" s="19" t="s">
        <v>47</v>
      </c>
      <c r="X373">
        <v>23</v>
      </c>
      <c r="Y373">
        <v>4</v>
      </c>
      <c r="Z373">
        <v>4</v>
      </c>
      <c r="AA373">
        <v>2</v>
      </c>
      <c r="AB373">
        <v>9</v>
      </c>
      <c r="AC373">
        <v>2</v>
      </c>
      <c r="AD373">
        <v>3</v>
      </c>
      <c r="AE373">
        <v>9</v>
      </c>
      <c r="AF373">
        <v>1</v>
      </c>
      <c r="AG373">
        <v>0</v>
      </c>
      <c r="AH373">
        <v>8</v>
      </c>
      <c r="AI373">
        <v>0</v>
      </c>
      <c r="AJ373" s="19" t="s">
        <v>1569</v>
      </c>
      <c r="AK373" s="19" t="s">
        <v>1562</v>
      </c>
      <c r="AL373">
        <v>2</v>
      </c>
      <c r="AM373" s="19" t="s">
        <v>1564</v>
      </c>
      <c r="AN373">
        <v>-1.6519953690938852E-2</v>
      </c>
      <c r="AO373">
        <v>616032</v>
      </c>
    </row>
    <row r="374" spans="1:41" x14ac:dyDescent="0.3">
      <c r="A374" s="19" t="s">
        <v>445</v>
      </c>
      <c r="B374">
        <v>30</v>
      </c>
      <c r="C374" s="19" t="s">
        <v>196</v>
      </c>
      <c r="D374" s="19" t="s">
        <v>55</v>
      </c>
      <c r="E374" s="19" t="s">
        <v>48</v>
      </c>
      <c r="F374">
        <v>855</v>
      </c>
      <c r="G374" s="19" t="s">
        <v>57</v>
      </c>
      <c r="H374">
        <v>7</v>
      </c>
      <c r="I374">
        <v>4</v>
      </c>
      <c r="J374" s="19" t="s">
        <v>63</v>
      </c>
      <c r="K374">
        <v>1428</v>
      </c>
      <c r="L374">
        <v>4</v>
      </c>
      <c r="M374" s="19" t="s">
        <v>59</v>
      </c>
      <c r="N374">
        <v>3</v>
      </c>
      <c r="O374">
        <v>2</v>
      </c>
      <c r="P374" s="19" t="s">
        <v>145</v>
      </c>
      <c r="Q374">
        <v>1</v>
      </c>
      <c r="R374" s="19" t="s">
        <v>53</v>
      </c>
      <c r="S374">
        <v>86314</v>
      </c>
      <c r="T374" s="19" t="s">
        <v>70</v>
      </c>
      <c r="U374">
        <v>539.46</v>
      </c>
      <c r="V374">
        <v>7</v>
      </c>
      <c r="W374" s="19" t="s">
        <v>55</v>
      </c>
      <c r="X374">
        <v>14</v>
      </c>
      <c r="Y374">
        <v>3</v>
      </c>
      <c r="Z374">
        <v>2</v>
      </c>
      <c r="AA374">
        <v>2</v>
      </c>
      <c r="AB374">
        <v>8</v>
      </c>
      <c r="AC374">
        <v>3</v>
      </c>
      <c r="AD374">
        <v>3</v>
      </c>
      <c r="AE374">
        <v>3</v>
      </c>
      <c r="AF374">
        <v>2</v>
      </c>
      <c r="AG374">
        <v>0</v>
      </c>
      <c r="AH374">
        <v>2</v>
      </c>
      <c r="AI374">
        <v>0</v>
      </c>
      <c r="AJ374" s="19" t="s">
        <v>1566</v>
      </c>
      <c r="AK374" s="19" t="s">
        <v>1562</v>
      </c>
      <c r="AL374">
        <v>1</v>
      </c>
      <c r="AM374" s="19" t="s">
        <v>1565</v>
      </c>
      <c r="AN374">
        <v>0.75942870638990945</v>
      </c>
      <c r="AO374">
        <v>1035768</v>
      </c>
    </row>
    <row r="375" spans="1:41" x14ac:dyDescent="0.3">
      <c r="A375" s="19" t="s">
        <v>446</v>
      </c>
      <c r="B375">
        <v>30</v>
      </c>
      <c r="C375" s="19" t="s">
        <v>196</v>
      </c>
      <c r="D375" s="19" t="s">
        <v>55</v>
      </c>
      <c r="E375" s="19" t="s">
        <v>48</v>
      </c>
      <c r="F375">
        <v>1358</v>
      </c>
      <c r="G375" s="19" t="s">
        <v>57</v>
      </c>
      <c r="H375">
        <v>16</v>
      </c>
      <c r="I375">
        <v>1</v>
      </c>
      <c r="J375" s="19" t="s">
        <v>50</v>
      </c>
      <c r="K375">
        <v>1479</v>
      </c>
      <c r="L375">
        <v>4</v>
      </c>
      <c r="M375" s="19" t="s">
        <v>51</v>
      </c>
      <c r="N375">
        <v>3</v>
      </c>
      <c r="O375">
        <v>2</v>
      </c>
      <c r="P375" s="19" t="s">
        <v>145</v>
      </c>
      <c r="Q375">
        <v>3</v>
      </c>
      <c r="R375" s="19" t="s">
        <v>113</v>
      </c>
      <c r="S375">
        <v>27641</v>
      </c>
      <c r="T375" s="19" t="s">
        <v>72</v>
      </c>
      <c r="U375">
        <v>172.76</v>
      </c>
      <c r="V375">
        <v>8</v>
      </c>
      <c r="W375" s="19" t="s">
        <v>55</v>
      </c>
      <c r="X375">
        <v>15</v>
      </c>
      <c r="Y375">
        <v>3</v>
      </c>
      <c r="Z375">
        <v>3</v>
      </c>
      <c r="AA375">
        <v>2</v>
      </c>
      <c r="AB375">
        <v>4</v>
      </c>
      <c r="AC375">
        <v>2</v>
      </c>
      <c r="AD375">
        <v>2</v>
      </c>
      <c r="AE375">
        <v>2</v>
      </c>
      <c r="AF375">
        <v>1</v>
      </c>
      <c r="AG375">
        <v>2</v>
      </c>
      <c r="AH375">
        <v>2</v>
      </c>
      <c r="AI375">
        <v>0</v>
      </c>
      <c r="AJ375" s="19" t="s">
        <v>1566</v>
      </c>
      <c r="AK375" s="19" t="s">
        <v>1562</v>
      </c>
      <c r="AL375">
        <v>1</v>
      </c>
      <c r="AM375" s="19" t="s">
        <v>1565</v>
      </c>
      <c r="AN375">
        <v>-0.43656453329328399</v>
      </c>
      <c r="AO375">
        <v>331692</v>
      </c>
    </row>
    <row r="376" spans="1:41" x14ac:dyDescent="0.3">
      <c r="A376" s="19" t="s">
        <v>447</v>
      </c>
      <c r="B376">
        <v>30</v>
      </c>
      <c r="C376" s="19" t="s">
        <v>196</v>
      </c>
      <c r="D376" s="19" t="s">
        <v>55</v>
      </c>
      <c r="E376" s="19" t="s">
        <v>66</v>
      </c>
      <c r="F376">
        <v>990</v>
      </c>
      <c r="G376" s="19" t="s">
        <v>49</v>
      </c>
      <c r="H376">
        <v>7</v>
      </c>
      <c r="I376">
        <v>3</v>
      </c>
      <c r="J376" s="19" t="s">
        <v>77</v>
      </c>
      <c r="K376">
        <v>1482</v>
      </c>
      <c r="L376">
        <v>3</v>
      </c>
      <c r="M376" s="19" t="s">
        <v>51</v>
      </c>
      <c r="N376">
        <v>3</v>
      </c>
      <c r="O376">
        <v>1</v>
      </c>
      <c r="P376" s="19" t="s">
        <v>67</v>
      </c>
      <c r="Q376">
        <v>3</v>
      </c>
      <c r="R376" s="19" t="s">
        <v>53</v>
      </c>
      <c r="S376">
        <v>35584</v>
      </c>
      <c r="T376" s="19" t="s">
        <v>72</v>
      </c>
      <c r="U376">
        <v>222.4</v>
      </c>
      <c r="V376">
        <v>1</v>
      </c>
      <c r="W376" s="19" t="s">
        <v>55</v>
      </c>
      <c r="X376">
        <v>13</v>
      </c>
      <c r="Y376">
        <v>3</v>
      </c>
      <c r="Z376">
        <v>2</v>
      </c>
      <c r="AA376">
        <v>2</v>
      </c>
      <c r="AB376">
        <v>1</v>
      </c>
      <c r="AC376">
        <v>2</v>
      </c>
      <c r="AD376">
        <v>2</v>
      </c>
      <c r="AE376">
        <v>1</v>
      </c>
      <c r="AF376">
        <v>0</v>
      </c>
      <c r="AG376">
        <v>0</v>
      </c>
      <c r="AH376">
        <v>0</v>
      </c>
      <c r="AI376">
        <v>0</v>
      </c>
      <c r="AJ376" s="19" t="s">
        <v>1561</v>
      </c>
      <c r="AK376" s="19" t="s">
        <v>1562</v>
      </c>
      <c r="AL376">
        <v>1</v>
      </c>
      <c r="AM376" s="19" t="s">
        <v>1565</v>
      </c>
      <c r="AN376">
        <v>-0.28640903749891861</v>
      </c>
      <c r="AO376">
        <v>427008</v>
      </c>
    </row>
    <row r="377" spans="1:41" x14ac:dyDescent="0.3">
      <c r="A377" s="19" t="s">
        <v>448</v>
      </c>
      <c r="B377">
        <v>30</v>
      </c>
      <c r="C377" s="19" t="s">
        <v>196</v>
      </c>
      <c r="D377" s="19" t="s">
        <v>55</v>
      </c>
      <c r="E377" s="19" t="s">
        <v>48</v>
      </c>
      <c r="F377">
        <v>330</v>
      </c>
      <c r="G377" s="19" t="s">
        <v>406</v>
      </c>
      <c r="H377">
        <v>1</v>
      </c>
      <c r="I377">
        <v>3</v>
      </c>
      <c r="J377" s="19" t="s">
        <v>50</v>
      </c>
      <c r="K377">
        <v>1499</v>
      </c>
      <c r="L377">
        <v>3</v>
      </c>
      <c r="M377" s="19" t="s">
        <v>51</v>
      </c>
      <c r="N377">
        <v>3</v>
      </c>
      <c r="O377">
        <v>1</v>
      </c>
      <c r="P377" s="19" t="s">
        <v>80</v>
      </c>
      <c r="Q377">
        <v>3</v>
      </c>
      <c r="R377" s="19" t="s">
        <v>53</v>
      </c>
      <c r="S377">
        <v>33745</v>
      </c>
      <c r="T377" s="19" t="s">
        <v>72</v>
      </c>
      <c r="U377">
        <v>210.91</v>
      </c>
      <c r="V377">
        <v>0</v>
      </c>
      <c r="W377" s="19" t="s">
        <v>55</v>
      </c>
      <c r="X377">
        <v>21</v>
      </c>
      <c r="Y377">
        <v>4</v>
      </c>
      <c r="Z377">
        <v>1</v>
      </c>
      <c r="AA377">
        <v>1</v>
      </c>
      <c r="AB377">
        <v>6</v>
      </c>
      <c r="AC377">
        <v>3</v>
      </c>
      <c r="AD377">
        <v>4</v>
      </c>
      <c r="AE377">
        <v>5</v>
      </c>
      <c r="AF377">
        <v>3</v>
      </c>
      <c r="AG377">
        <v>1</v>
      </c>
      <c r="AH377">
        <v>3</v>
      </c>
      <c r="AI377">
        <v>0</v>
      </c>
      <c r="AJ377" s="19" t="s">
        <v>1567</v>
      </c>
      <c r="AK377" s="19" t="s">
        <v>1562</v>
      </c>
      <c r="AL377">
        <v>0</v>
      </c>
      <c r="AM377" s="19" t="s">
        <v>1563</v>
      </c>
      <c r="AN377">
        <v>-0.3349957744183667</v>
      </c>
      <c r="AO377">
        <v>404940</v>
      </c>
    </row>
    <row r="378" spans="1:41" x14ac:dyDescent="0.3">
      <c r="A378" s="19" t="s">
        <v>449</v>
      </c>
      <c r="B378">
        <v>30</v>
      </c>
      <c r="C378" s="19" t="s">
        <v>196</v>
      </c>
      <c r="D378" s="19" t="s">
        <v>47</v>
      </c>
      <c r="E378" s="19" t="s">
        <v>48</v>
      </c>
      <c r="F378">
        <v>740</v>
      </c>
      <c r="G378" s="19" t="s">
        <v>57</v>
      </c>
      <c r="H378">
        <v>1</v>
      </c>
      <c r="I378">
        <v>3</v>
      </c>
      <c r="J378" s="19" t="s">
        <v>50</v>
      </c>
      <c r="K378">
        <v>1562</v>
      </c>
      <c r="L378">
        <v>2</v>
      </c>
      <c r="M378" s="19" t="s">
        <v>51</v>
      </c>
      <c r="N378">
        <v>2</v>
      </c>
      <c r="O378">
        <v>2</v>
      </c>
      <c r="P378" s="19" t="s">
        <v>145</v>
      </c>
      <c r="Q378">
        <v>1</v>
      </c>
      <c r="R378" s="19" t="s">
        <v>113</v>
      </c>
      <c r="S378">
        <v>24093</v>
      </c>
      <c r="T378" s="19" t="s">
        <v>54</v>
      </c>
      <c r="U378">
        <v>150.58000000000001</v>
      </c>
      <c r="V378">
        <v>1</v>
      </c>
      <c r="W378" s="19" t="s">
        <v>55</v>
      </c>
      <c r="X378">
        <v>11</v>
      </c>
      <c r="Y378">
        <v>3</v>
      </c>
      <c r="Z378">
        <v>4</v>
      </c>
      <c r="AA378">
        <v>1</v>
      </c>
      <c r="AB378">
        <v>10</v>
      </c>
      <c r="AC378">
        <v>4</v>
      </c>
      <c r="AD378">
        <v>3</v>
      </c>
      <c r="AE378">
        <v>10</v>
      </c>
      <c r="AF378">
        <v>8</v>
      </c>
      <c r="AG378">
        <v>6</v>
      </c>
      <c r="AH378">
        <v>7</v>
      </c>
      <c r="AI378">
        <v>1</v>
      </c>
      <c r="AJ378" s="19" t="s">
        <v>1569</v>
      </c>
      <c r="AK378" s="19" t="s">
        <v>1570</v>
      </c>
      <c r="AL378">
        <v>2</v>
      </c>
      <c r="AM378" s="19" t="s">
        <v>1564</v>
      </c>
      <c r="AN378">
        <v>-0.50888713507597738</v>
      </c>
      <c r="AO378">
        <v>289116</v>
      </c>
    </row>
    <row r="379" spans="1:41" x14ac:dyDescent="0.3">
      <c r="A379" s="19" t="s">
        <v>450</v>
      </c>
      <c r="B379">
        <v>30</v>
      </c>
      <c r="C379" s="19" t="s">
        <v>196</v>
      </c>
      <c r="D379" s="19" t="s">
        <v>55</v>
      </c>
      <c r="E379" s="19" t="s">
        <v>48</v>
      </c>
      <c r="F379">
        <v>1288</v>
      </c>
      <c r="G379" s="19" t="s">
        <v>57</v>
      </c>
      <c r="H379">
        <v>29</v>
      </c>
      <c r="I379">
        <v>4</v>
      </c>
      <c r="J379" s="19" t="s">
        <v>77</v>
      </c>
      <c r="K379">
        <v>1568</v>
      </c>
      <c r="L379">
        <v>3</v>
      </c>
      <c r="M379" s="19" t="s">
        <v>51</v>
      </c>
      <c r="N379">
        <v>3</v>
      </c>
      <c r="O379">
        <v>3</v>
      </c>
      <c r="P379" s="19" t="s">
        <v>145</v>
      </c>
      <c r="Q379">
        <v>2</v>
      </c>
      <c r="R379" s="19" t="s">
        <v>113</v>
      </c>
      <c r="S379">
        <v>67105</v>
      </c>
      <c r="T379" s="19" t="s">
        <v>64</v>
      </c>
      <c r="U379">
        <v>419.41</v>
      </c>
      <c r="V379">
        <v>3</v>
      </c>
      <c r="W379" s="19" t="s">
        <v>55</v>
      </c>
      <c r="X379">
        <v>12</v>
      </c>
      <c r="Y379">
        <v>3</v>
      </c>
      <c r="Z379">
        <v>2</v>
      </c>
      <c r="AA379">
        <v>1</v>
      </c>
      <c r="AB379">
        <v>9</v>
      </c>
      <c r="AC379">
        <v>3</v>
      </c>
      <c r="AD379">
        <v>3</v>
      </c>
      <c r="AE379">
        <v>4</v>
      </c>
      <c r="AF379">
        <v>2</v>
      </c>
      <c r="AG379">
        <v>1</v>
      </c>
      <c r="AH379">
        <v>3</v>
      </c>
      <c r="AI379">
        <v>0</v>
      </c>
      <c r="AJ379" s="19" t="s">
        <v>1567</v>
      </c>
      <c r="AK379" s="19" t="s">
        <v>1562</v>
      </c>
      <c r="AL379">
        <v>1</v>
      </c>
      <c r="AM379" s="19" t="s">
        <v>1565</v>
      </c>
      <c r="AN379">
        <v>0.36787153118028215</v>
      </c>
      <c r="AO379">
        <v>805260</v>
      </c>
    </row>
    <row r="380" spans="1:41" x14ac:dyDescent="0.3">
      <c r="A380" s="19" t="s">
        <v>451</v>
      </c>
      <c r="B380">
        <v>30</v>
      </c>
      <c r="C380" s="19" t="s">
        <v>196</v>
      </c>
      <c r="D380" s="19" t="s">
        <v>55</v>
      </c>
      <c r="E380" s="19" t="s">
        <v>48</v>
      </c>
      <c r="F380">
        <v>241</v>
      </c>
      <c r="G380" s="19" t="s">
        <v>49</v>
      </c>
      <c r="H380">
        <v>7</v>
      </c>
      <c r="I380">
        <v>3</v>
      </c>
      <c r="J380" s="19" t="s">
        <v>58</v>
      </c>
      <c r="K380">
        <v>1609</v>
      </c>
      <c r="L380">
        <v>2</v>
      </c>
      <c r="M380" s="19" t="s">
        <v>51</v>
      </c>
      <c r="N380">
        <v>2</v>
      </c>
      <c r="O380">
        <v>1</v>
      </c>
      <c r="P380" s="19" t="s">
        <v>67</v>
      </c>
      <c r="Q380">
        <v>2</v>
      </c>
      <c r="R380" s="19" t="s">
        <v>113</v>
      </c>
      <c r="S380">
        <v>52885</v>
      </c>
      <c r="T380" s="19" t="s">
        <v>64</v>
      </c>
      <c r="U380">
        <v>330.53</v>
      </c>
      <c r="V380">
        <v>1</v>
      </c>
      <c r="W380" s="19" t="s">
        <v>55</v>
      </c>
      <c r="X380">
        <v>12</v>
      </c>
      <c r="Y380">
        <v>3</v>
      </c>
      <c r="Z380">
        <v>2</v>
      </c>
      <c r="AA380">
        <v>1</v>
      </c>
      <c r="AB380">
        <v>6</v>
      </c>
      <c r="AC380">
        <v>3</v>
      </c>
      <c r="AD380">
        <v>2</v>
      </c>
      <c r="AE380">
        <v>6</v>
      </c>
      <c r="AF380">
        <v>4</v>
      </c>
      <c r="AG380">
        <v>1</v>
      </c>
      <c r="AH380">
        <v>1</v>
      </c>
      <c r="AI380">
        <v>0</v>
      </c>
      <c r="AJ380" s="19" t="s">
        <v>1569</v>
      </c>
      <c r="AK380" s="19" t="s">
        <v>1562</v>
      </c>
      <c r="AL380">
        <v>2</v>
      </c>
      <c r="AM380" s="19" t="s">
        <v>1564</v>
      </c>
      <c r="AN380">
        <v>6.054007564831633E-2</v>
      </c>
      <c r="AO380">
        <v>634620</v>
      </c>
    </row>
    <row r="381" spans="1:41" x14ac:dyDescent="0.3">
      <c r="A381" s="19" t="s">
        <v>452</v>
      </c>
      <c r="B381">
        <v>30</v>
      </c>
      <c r="C381" s="19" t="s">
        <v>196</v>
      </c>
      <c r="D381" s="19" t="s">
        <v>55</v>
      </c>
      <c r="E381" s="19" t="s">
        <v>48</v>
      </c>
      <c r="F381">
        <v>793</v>
      </c>
      <c r="G381" s="19" t="s">
        <v>49</v>
      </c>
      <c r="H381">
        <v>16</v>
      </c>
      <c r="I381">
        <v>1</v>
      </c>
      <c r="J381" s="19" t="s">
        <v>50</v>
      </c>
      <c r="K381">
        <v>1729</v>
      </c>
      <c r="L381">
        <v>2</v>
      </c>
      <c r="M381" s="19" t="s">
        <v>51</v>
      </c>
      <c r="N381">
        <v>3</v>
      </c>
      <c r="O381">
        <v>1</v>
      </c>
      <c r="P381" s="19" t="s">
        <v>67</v>
      </c>
      <c r="Q381">
        <v>4</v>
      </c>
      <c r="R381" s="19" t="s">
        <v>113</v>
      </c>
      <c r="S381">
        <v>37631</v>
      </c>
      <c r="T381" s="19" t="s">
        <v>72</v>
      </c>
      <c r="U381">
        <v>235.19</v>
      </c>
      <c r="V381">
        <v>1</v>
      </c>
      <c r="W381" s="19" t="s">
        <v>55</v>
      </c>
      <c r="X381">
        <v>12</v>
      </c>
      <c r="Y381">
        <v>3</v>
      </c>
      <c r="Z381">
        <v>2</v>
      </c>
      <c r="AA381">
        <v>1</v>
      </c>
      <c r="AB381">
        <v>10</v>
      </c>
      <c r="AC381">
        <v>2</v>
      </c>
      <c r="AD381">
        <v>2</v>
      </c>
      <c r="AE381">
        <v>10</v>
      </c>
      <c r="AF381">
        <v>0</v>
      </c>
      <c r="AG381">
        <v>0</v>
      </c>
      <c r="AH381">
        <v>8</v>
      </c>
      <c r="AI381">
        <v>0</v>
      </c>
      <c r="AJ381" s="19" t="s">
        <v>1569</v>
      </c>
      <c r="AK381" s="19" t="s">
        <v>1562</v>
      </c>
      <c r="AL381">
        <v>1</v>
      </c>
      <c r="AM381" s="19" t="s">
        <v>1565</v>
      </c>
      <c r="AN381">
        <v>-0.24535910774847705</v>
      </c>
      <c r="AO381">
        <v>451572</v>
      </c>
    </row>
    <row r="382" spans="1:41" x14ac:dyDescent="0.3">
      <c r="A382" s="19" t="s">
        <v>453</v>
      </c>
      <c r="B382">
        <v>30</v>
      </c>
      <c r="C382" s="19" t="s">
        <v>196</v>
      </c>
      <c r="D382" s="19" t="s">
        <v>55</v>
      </c>
      <c r="E382" s="19" t="s">
        <v>62</v>
      </c>
      <c r="F382">
        <v>1312</v>
      </c>
      <c r="G382" s="19" t="s">
        <v>49</v>
      </c>
      <c r="H382">
        <v>2</v>
      </c>
      <c r="I382">
        <v>4</v>
      </c>
      <c r="J382" s="19" t="s">
        <v>77</v>
      </c>
      <c r="K382">
        <v>1745</v>
      </c>
      <c r="L382">
        <v>4</v>
      </c>
      <c r="M382" s="19" t="s">
        <v>59</v>
      </c>
      <c r="N382">
        <v>2</v>
      </c>
      <c r="O382">
        <v>1</v>
      </c>
      <c r="P382" s="19" t="s">
        <v>67</v>
      </c>
      <c r="Q382">
        <v>1</v>
      </c>
      <c r="R382" s="19" t="s">
        <v>53</v>
      </c>
      <c r="S382">
        <v>73991</v>
      </c>
      <c r="T382" s="19" t="s">
        <v>64</v>
      </c>
      <c r="U382">
        <v>462.44</v>
      </c>
      <c r="V382">
        <v>0</v>
      </c>
      <c r="W382" s="19" t="s">
        <v>55</v>
      </c>
      <c r="X382">
        <v>16</v>
      </c>
      <c r="Y382">
        <v>3</v>
      </c>
      <c r="Z382">
        <v>4</v>
      </c>
      <c r="AA382">
        <v>0</v>
      </c>
      <c r="AB382">
        <v>10</v>
      </c>
      <c r="AC382">
        <v>2</v>
      </c>
      <c r="AD382">
        <v>3</v>
      </c>
      <c r="AE382">
        <v>9</v>
      </c>
      <c r="AF382">
        <v>7</v>
      </c>
      <c r="AG382">
        <v>0</v>
      </c>
      <c r="AH382">
        <v>7</v>
      </c>
      <c r="AI382">
        <v>0</v>
      </c>
      <c r="AJ382" s="19" t="s">
        <v>1569</v>
      </c>
      <c r="AK382" s="19" t="s">
        <v>1562</v>
      </c>
      <c r="AL382">
        <v>1</v>
      </c>
      <c r="AM382" s="19" t="s">
        <v>1565</v>
      </c>
      <c r="AN382">
        <v>0.48379352817045618</v>
      </c>
      <c r="AO382">
        <v>887892</v>
      </c>
    </row>
    <row r="383" spans="1:41" x14ac:dyDescent="0.3">
      <c r="A383" s="19" t="s">
        <v>454</v>
      </c>
      <c r="B383">
        <v>30</v>
      </c>
      <c r="C383" s="19" t="s">
        <v>196</v>
      </c>
      <c r="D383" s="19" t="s">
        <v>47</v>
      </c>
      <c r="E383" s="19" t="s">
        <v>62</v>
      </c>
      <c r="F383">
        <v>600</v>
      </c>
      <c r="G383" s="19" t="s">
        <v>80</v>
      </c>
      <c r="H383">
        <v>8</v>
      </c>
      <c r="I383">
        <v>3</v>
      </c>
      <c r="J383" s="19" t="s">
        <v>80</v>
      </c>
      <c r="K383">
        <v>1747</v>
      </c>
      <c r="L383">
        <v>3</v>
      </c>
      <c r="M383" s="19" t="s">
        <v>59</v>
      </c>
      <c r="N383">
        <v>2</v>
      </c>
      <c r="O383">
        <v>1</v>
      </c>
      <c r="P383" s="19" t="s">
        <v>80</v>
      </c>
      <c r="Q383">
        <v>4</v>
      </c>
      <c r="R383" s="19" t="s">
        <v>53</v>
      </c>
      <c r="S383">
        <v>5014</v>
      </c>
      <c r="T383" s="19" t="s">
        <v>54</v>
      </c>
      <c r="U383">
        <v>31.34</v>
      </c>
      <c r="V383">
        <v>6</v>
      </c>
      <c r="W383" s="19" t="s">
        <v>55</v>
      </c>
      <c r="X383">
        <v>11</v>
      </c>
      <c r="Y383">
        <v>3</v>
      </c>
      <c r="Z383">
        <v>3</v>
      </c>
      <c r="AA383">
        <v>1</v>
      </c>
      <c r="AB383">
        <v>6</v>
      </c>
      <c r="AC383">
        <v>0</v>
      </c>
      <c r="AD383">
        <v>2</v>
      </c>
      <c r="AE383">
        <v>4</v>
      </c>
      <c r="AF383">
        <v>2</v>
      </c>
      <c r="AG383">
        <v>1</v>
      </c>
      <c r="AH383">
        <v>2</v>
      </c>
      <c r="AI383">
        <v>1</v>
      </c>
      <c r="AJ383" s="19" t="s">
        <v>1567</v>
      </c>
      <c r="AK383" s="19" t="s">
        <v>1562</v>
      </c>
      <c r="AL383">
        <v>1</v>
      </c>
      <c r="AM383" s="19" t="s">
        <v>1565</v>
      </c>
      <c r="AN383">
        <v>-0.90119036340002046</v>
      </c>
      <c r="AO383">
        <v>60168</v>
      </c>
    </row>
    <row r="384" spans="1:41" x14ac:dyDescent="0.3">
      <c r="A384" s="19" t="s">
        <v>455</v>
      </c>
      <c r="B384">
        <v>30</v>
      </c>
      <c r="C384" s="19" t="s">
        <v>196</v>
      </c>
      <c r="D384" s="19" t="s">
        <v>55</v>
      </c>
      <c r="E384" s="19" t="s">
        <v>48</v>
      </c>
      <c r="F384">
        <v>979</v>
      </c>
      <c r="G384" s="19" t="s">
        <v>57</v>
      </c>
      <c r="H384">
        <v>15</v>
      </c>
      <c r="I384">
        <v>2</v>
      </c>
      <c r="J384" s="19" t="s">
        <v>63</v>
      </c>
      <c r="K384">
        <v>1754</v>
      </c>
      <c r="L384">
        <v>3</v>
      </c>
      <c r="M384" s="19" t="s">
        <v>51</v>
      </c>
      <c r="N384">
        <v>2</v>
      </c>
      <c r="O384">
        <v>3</v>
      </c>
      <c r="P384" s="19" t="s">
        <v>145</v>
      </c>
      <c r="Q384">
        <v>1</v>
      </c>
      <c r="R384" s="19" t="s">
        <v>53</v>
      </c>
      <c r="S384">
        <v>12093</v>
      </c>
      <c r="T384" s="19" t="s">
        <v>54</v>
      </c>
      <c r="U384">
        <v>75.58</v>
      </c>
      <c r="V384">
        <v>2</v>
      </c>
      <c r="W384" s="19" t="s">
        <v>55</v>
      </c>
      <c r="X384">
        <v>11</v>
      </c>
      <c r="Y384">
        <v>3</v>
      </c>
      <c r="Z384">
        <v>1</v>
      </c>
      <c r="AA384">
        <v>1</v>
      </c>
      <c r="AB384">
        <v>12</v>
      </c>
      <c r="AC384">
        <v>2</v>
      </c>
      <c r="AD384">
        <v>3</v>
      </c>
      <c r="AE384">
        <v>7</v>
      </c>
      <c r="AF384">
        <v>7</v>
      </c>
      <c r="AG384">
        <v>1</v>
      </c>
      <c r="AH384">
        <v>7</v>
      </c>
      <c r="AI384">
        <v>0</v>
      </c>
      <c r="AJ384" s="19" t="s">
        <v>1569</v>
      </c>
      <c r="AK384" s="19" t="s">
        <v>1562</v>
      </c>
      <c r="AL384">
        <v>1</v>
      </c>
      <c r="AM384" s="19" t="s">
        <v>1565</v>
      </c>
      <c r="AN384">
        <v>-0.75349570931282095</v>
      </c>
      <c r="AO384">
        <v>145116</v>
      </c>
    </row>
    <row r="385" spans="1:41" x14ac:dyDescent="0.3">
      <c r="A385" s="19" t="s">
        <v>456</v>
      </c>
      <c r="B385">
        <v>30</v>
      </c>
      <c r="C385" s="19" t="s">
        <v>196</v>
      </c>
      <c r="D385" s="19" t="s">
        <v>55</v>
      </c>
      <c r="E385" s="19" t="s">
        <v>48</v>
      </c>
      <c r="F385">
        <v>305</v>
      </c>
      <c r="G385" s="19" t="s">
        <v>49</v>
      </c>
      <c r="H385">
        <v>16</v>
      </c>
      <c r="I385">
        <v>3</v>
      </c>
      <c r="J385" s="19" t="s">
        <v>50</v>
      </c>
      <c r="K385">
        <v>1763</v>
      </c>
      <c r="L385">
        <v>3</v>
      </c>
      <c r="M385" s="19" t="s">
        <v>51</v>
      </c>
      <c r="N385">
        <v>4</v>
      </c>
      <c r="O385">
        <v>2</v>
      </c>
      <c r="P385" s="19" t="s">
        <v>168</v>
      </c>
      <c r="Q385">
        <v>3</v>
      </c>
      <c r="R385" s="19" t="s">
        <v>113</v>
      </c>
      <c r="S385">
        <v>19070</v>
      </c>
      <c r="T385" s="19" t="s">
        <v>54</v>
      </c>
      <c r="U385">
        <v>119.19</v>
      </c>
      <c r="V385">
        <v>3</v>
      </c>
      <c r="W385" s="19" t="s">
        <v>55</v>
      </c>
      <c r="X385">
        <v>16</v>
      </c>
      <c r="Y385">
        <v>3</v>
      </c>
      <c r="Z385">
        <v>3</v>
      </c>
      <c r="AA385">
        <v>1</v>
      </c>
      <c r="AB385">
        <v>10</v>
      </c>
      <c r="AC385">
        <v>3</v>
      </c>
      <c r="AD385">
        <v>3</v>
      </c>
      <c r="AE385">
        <v>7</v>
      </c>
      <c r="AF385">
        <v>0</v>
      </c>
      <c r="AG385">
        <v>1</v>
      </c>
      <c r="AH385">
        <v>7</v>
      </c>
      <c r="AI385">
        <v>0</v>
      </c>
      <c r="AJ385" s="19" t="s">
        <v>1569</v>
      </c>
      <c r="AK385" s="19" t="s">
        <v>1562</v>
      </c>
      <c r="AL385">
        <v>0</v>
      </c>
      <c r="AM385" s="19" t="s">
        <v>1563</v>
      </c>
      <c r="AN385">
        <v>-0.60426770701165644</v>
      </c>
      <c r="AO385">
        <v>228840</v>
      </c>
    </row>
    <row r="386" spans="1:41" x14ac:dyDescent="0.3">
      <c r="A386" s="19" t="s">
        <v>457</v>
      </c>
      <c r="B386">
        <v>30</v>
      </c>
      <c r="C386" s="19" t="s">
        <v>196</v>
      </c>
      <c r="D386" s="19" t="s">
        <v>55</v>
      </c>
      <c r="E386" s="19" t="s">
        <v>48</v>
      </c>
      <c r="F386">
        <v>1092</v>
      </c>
      <c r="G386" s="19" t="s">
        <v>49</v>
      </c>
      <c r="H386">
        <v>10</v>
      </c>
      <c r="I386">
        <v>3</v>
      </c>
      <c r="J386" s="19" t="s">
        <v>58</v>
      </c>
      <c r="K386">
        <v>1816</v>
      </c>
      <c r="L386">
        <v>1</v>
      </c>
      <c r="M386" s="19" t="s">
        <v>59</v>
      </c>
      <c r="N386">
        <v>3</v>
      </c>
      <c r="O386">
        <v>3</v>
      </c>
      <c r="P386" s="19" t="s">
        <v>120</v>
      </c>
      <c r="Q386">
        <v>3</v>
      </c>
      <c r="R386" s="19" t="s">
        <v>53</v>
      </c>
      <c r="S386">
        <v>36777</v>
      </c>
      <c r="T386" s="19" t="s">
        <v>72</v>
      </c>
      <c r="U386">
        <v>229.86</v>
      </c>
      <c r="V386">
        <v>9</v>
      </c>
      <c r="W386" s="19" t="s">
        <v>55</v>
      </c>
      <c r="X386">
        <v>14</v>
      </c>
      <c r="Y386">
        <v>3</v>
      </c>
      <c r="Z386">
        <v>2</v>
      </c>
      <c r="AA386">
        <v>0</v>
      </c>
      <c r="AB386">
        <v>9</v>
      </c>
      <c r="AC386">
        <v>3</v>
      </c>
      <c r="AD386">
        <v>3</v>
      </c>
      <c r="AE386">
        <v>7</v>
      </c>
      <c r="AF386">
        <v>7</v>
      </c>
      <c r="AG386">
        <v>0</v>
      </c>
      <c r="AH386">
        <v>2</v>
      </c>
      <c r="AI386">
        <v>0</v>
      </c>
      <c r="AJ386" s="19" t="s">
        <v>1569</v>
      </c>
      <c r="AK386" s="19" t="s">
        <v>1562</v>
      </c>
      <c r="AL386">
        <v>0</v>
      </c>
      <c r="AM386" s="19" t="s">
        <v>1563</v>
      </c>
      <c r="AN386">
        <v>-0.16973199348890911</v>
      </c>
      <c r="AO386">
        <v>441324</v>
      </c>
    </row>
    <row r="387" spans="1:41" x14ac:dyDescent="0.3">
      <c r="A387" s="19" t="s">
        <v>458</v>
      </c>
      <c r="B387">
        <v>30</v>
      </c>
      <c r="C387" s="19" t="s">
        <v>196</v>
      </c>
      <c r="D387" s="19" t="s">
        <v>47</v>
      </c>
      <c r="E387" s="19" t="s">
        <v>48</v>
      </c>
      <c r="F387">
        <v>945</v>
      </c>
      <c r="G387" s="19" t="s">
        <v>57</v>
      </c>
      <c r="H387">
        <v>9</v>
      </c>
      <c r="I387">
        <v>3</v>
      </c>
      <c r="J387" s="19" t="s">
        <v>58</v>
      </c>
      <c r="K387">
        <v>1876</v>
      </c>
      <c r="L387">
        <v>2</v>
      </c>
      <c r="M387" s="19" t="s">
        <v>51</v>
      </c>
      <c r="N387">
        <v>3</v>
      </c>
      <c r="O387">
        <v>1</v>
      </c>
      <c r="P387" s="19" t="s">
        <v>60</v>
      </c>
      <c r="Q387">
        <v>4</v>
      </c>
      <c r="R387" s="19" t="s">
        <v>53</v>
      </c>
      <c r="S387">
        <v>57958</v>
      </c>
      <c r="T387" s="19" t="s">
        <v>64</v>
      </c>
      <c r="U387">
        <v>362.24</v>
      </c>
      <c r="V387">
        <v>1</v>
      </c>
      <c r="W387" s="19" t="s">
        <v>55</v>
      </c>
      <c r="X387">
        <v>13</v>
      </c>
      <c r="Y387">
        <v>3</v>
      </c>
      <c r="Z387">
        <v>3</v>
      </c>
      <c r="AA387">
        <v>0</v>
      </c>
      <c r="AB387">
        <v>1</v>
      </c>
      <c r="AC387">
        <v>3</v>
      </c>
      <c r="AD387">
        <v>2</v>
      </c>
      <c r="AE387">
        <v>1</v>
      </c>
      <c r="AF387">
        <v>0</v>
      </c>
      <c r="AG387">
        <v>0</v>
      </c>
      <c r="AH387">
        <v>0</v>
      </c>
      <c r="AI387">
        <v>1</v>
      </c>
      <c r="AJ387" s="19" t="s">
        <v>1561</v>
      </c>
      <c r="AK387" s="19" t="s">
        <v>1562</v>
      </c>
      <c r="AL387">
        <v>1</v>
      </c>
      <c r="AM387" s="19" t="s">
        <v>1565</v>
      </c>
      <c r="AN387">
        <v>0.17497998648952287</v>
      </c>
      <c r="AO387">
        <v>695496</v>
      </c>
    </row>
    <row r="388" spans="1:41" x14ac:dyDescent="0.3">
      <c r="A388" s="19" t="s">
        <v>459</v>
      </c>
      <c r="B388">
        <v>30</v>
      </c>
      <c r="C388" s="19" t="s">
        <v>196</v>
      </c>
      <c r="D388" s="19" t="s">
        <v>55</v>
      </c>
      <c r="E388" s="19" t="s">
        <v>48</v>
      </c>
      <c r="F388">
        <v>911</v>
      </c>
      <c r="G388" s="19" t="s">
        <v>49</v>
      </c>
      <c r="H388">
        <v>1</v>
      </c>
      <c r="I388">
        <v>2</v>
      </c>
      <c r="J388" s="19" t="s">
        <v>58</v>
      </c>
      <c r="K388">
        <v>1989</v>
      </c>
      <c r="L388">
        <v>4</v>
      </c>
      <c r="M388" s="19" t="s">
        <v>51</v>
      </c>
      <c r="N388">
        <v>3</v>
      </c>
      <c r="O388">
        <v>1</v>
      </c>
      <c r="P388" s="19" t="s">
        <v>52</v>
      </c>
      <c r="Q388">
        <v>2</v>
      </c>
      <c r="R388" s="19" t="s">
        <v>113</v>
      </c>
      <c r="S388">
        <v>83074</v>
      </c>
      <c r="T388" s="19" t="s">
        <v>64</v>
      </c>
      <c r="U388">
        <v>519.21</v>
      </c>
      <c r="V388">
        <v>1</v>
      </c>
      <c r="W388" s="19" t="s">
        <v>55</v>
      </c>
      <c r="X388">
        <v>13</v>
      </c>
      <c r="Y388">
        <v>3</v>
      </c>
      <c r="Z388">
        <v>3</v>
      </c>
      <c r="AA388">
        <v>0</v>
      </c>
      <c r="AB388">
        <v>12</v>
      </c>
      <c r="AC388">
        <v>6</v>
      </c>
      <c r="AD388">
        <v>2</v>
      </c>
      <c r="AE388">
        <v>12</v>
      </c>
      <c r="AF388">
        <v>8</v>
      </c>
      <c r="AG388">
        <v>1</v>
      </c>
      <c r="AH388">
        <v>7</v>
      </c>
      <c r="AI388">
        <v>0</v>
      </c>
      <c r="AJ388" s="19" t="s">
        <v>1571</v>
      </c>
      <c r="AK388" s="19" t="s">
        <v>1562</v>
      </c>
      <c r="AL388">
        <v>2</v>
      </c>
      <c r="AM388" s="19" t="s">
        <v>1564</v>
      </c>
      <c r="AN388">
        <v>0.60620724586777708</v>
      </c>
      <c r="AO388">
        <v>996888</v>
      </c>
    </row>
    <row r="389" spans="1:41" x14ac:dyDescent="0.3">
      <c r="A389" s="19" t="s">
        <v>460</v>
      </c>
      <c r="B389">
        <v>31</v>
      </c>
      <c r="C389" s="19" t="s">
        <v>196</v>
      </c>
      <c r="D389" s="19" t="s">
        <v>55</v>
      </c>
      <c r="E389" s="19" t="s">
        <v>48</v>
      </c>
      <c r="F389">
        <v>670</v>
      </c>
      <c r="G389" s="19" t="s">
        <v>49</v>
      </c>
      <c r="H389">
        <v>26</v>
      </c>
      <c r="I389">
        <v>1</v>
      </c>
      <c r="J389" s="19" t="s">
        <v>50</v>
      </c>
      <c r="K389">
        <v>16</v>
      </c>
      <c r="L389">
        <v>1</v>
      </c>
      <c r="M389" s="19" t="s">
        <v>51</v>
      </c>
      <c r="N389">
        <v>3</v>
      </c>
      <c r="O389">
        <v>1</v>
      </c>
      <c r="P389" s="19" t="s">
        <v>67</v>
      </c>
      <c r="Q389">
        <v>3</v>
      </c>
      <c r="R389" s="19" t="s">
        <v>53</v>
      </c>
      <c r="S389">
        <v>11729</v>
      </c>
      <c r="T389" s="19" t="s">
        <v>54</v>
      </c>
      <c r="U389">
        <v>73.31</v>
      </c>
      <c r="V389">
        <v>1</v>
      </c>
      <c r="W389" s="19" t="s">
        <v>55</v>
      </c>
      <c r="X389">
        <v>17</v>
      </c>
      <c r="Y389">
        <v>3</v>
      </c>
      <c r="Z389">
        <v>4</v>
      </c>
      <c r="AA389">
        <v>1</v>
      </c>
      <c r="AB389">
        <v>5</v>
      </c>
      <c r="AC389">
        <v>1</v>
      </c>
      <c r="AD389">
        <v>2</v>
      </c>
      <c r="AE389">
        <v>5</v>
      </c>
      <c r="AF389">
        <v>2</v>
      </c>
      <c r="AG389">
        <v>4</v>
      </c>
      <c r="AH389">
        <v>3</v>
      </c>
      <c r="AI389">
        <v>0</v>
      </c>
      <c r="AJ389" s="19" t="s">
        <v>1567</v>
      </c>
      <c r="AK389" s="19" t="s">
        <v>1570</v>
      </c>
      <c r="AL389">
        <v>2</v>
      </c>
      <c r="AM389" s="19" t="s">
        <v>1564</v>
      </c>
      <c r="AN389">
        <v>-0.76479011917785567</v>
      </c>
      <c r="AO389">
        <v>140748</v>
      </c>
    </row>
    <row r="390" spans="1:41" x14ac:dyDescent="0.3">
      <c r="A390" s="19" t="s">
        <v>461</v>
      </c>
      <c r="B390">
        <v>31</v>
      </c>
      <c r="C390" s="19" t="s">
        <v>196</v>
      </c>
      <c r="D390" s="19" t="s">
        <v>55</v>
      </c>
      <c r="E390" s="19" t="s">
        <v>48</v>
      </c>
      <c r="F390">
        <v>655</v>
      </c>
      <c r="G390" s="19" t="s">
        <v>49</v>
      </c>
      <c r="H390">
        <v>7</v>
      </c>
      <c r="I390">
        <v>4</v>
      </c>
      <c r="J390" s="19" t="s">
        <v>50</v>
      </c>
      <c r="K390">
        <v>76</v>
      </c>
      <c r="L390">
        <v>4</v>
      </c>
      <c r="M390" s="19" t="s">
        <v>51</v>
      </c>
      <c r="N390">
        <v>3</v>
      </c>
      <c r="O390">
        <v>2</v>
      </c>
      <c r="P390" s="19" t="s">
        <v>52</v>
      </c>
      <c r="Q390">
        <v>4</v>
      </c>
      <c r="R390" s="19" t="s">
        <v>53</v>
      </c>
      <c r="S390">
        <v>46017</v>
      </c>
      <c r="T390" s="19" t="s">
        <v>72</v>
      </c>
      <c r="U390">
        <v>287.61</v>
      </c>
      <c r="V390">
        <v>3</v>
      </c>
      <c r="W390" s="19" t="s">
        <v>55</v>
      </c>
      <c r="X390">
        <v>22</v>
      </c>
      <c r="Y390">
        <v>4</v>
      </c>
      <c r="Z390">
        <v>4</v>
      </c>
      <c r="AA390">
        <v>1</v>
      </c>
      <c r="AB390">
        <v>10</v>
      </c>
      <c r="AC390">
        <v>3</v>
      </c>
      <c r="AD390">
        <v>2</v>
      </c>
      <c r="AE390">
        <v>7</v>
      </c>
      <c r="AF390">
        <v>7</v>
      </c>
      <c r="AG390">
        <v>1</v>
      </c>
      <c r="AH390">
        <v>7</v>
      </c>
      <c r="AI390">
        <v>0</v>
      </c>
      <c r="AJ390" s="19" t="s">
        <v>1569</v>
      </c>
      <c r="AK390" s="19" t="s">
        <v>1562</v>
      </c>
      <c r="AL390">
        <v>1</v>
      </c>
      <c r="AM390" s="19" t="s">
        <v>1565</v>
      </c>
      <c r="AN390">
        <v>-0.11027711638903268</v>
      </c>
      <c r="AO390">
        <v>552204</v>
      </c>
    </row>
    <row r="391" spans="1:41" x14ac:dyDescent="0.3">
      <c r="A391" s="19" t="s">
        <v>462</v>
      </c>
      <c r="B391">
        <v>31</v>
      </c>
      <c r="C391" s="19" t="s">
        <v>196</v>
      </c>
      <c r="D391" s="19" t="s">
        <v>55</v>
      </c>
      <c r="E391" s="19" t="s">
        <v>48</v>
      </c>
      <c r="F391">
        <v>1082</v>
      </c>
      <c r="G391" s="19" t="s">
        <v>49</v>
      </c>
      <c r="H391">
        <v>1</v>
      </c>
      <c r="I391">
        <v>4</v>
      </c>
      <c r="J391" s="19" t="s">
        <v>58</v>
      </c>
      <c r="K391">
        <v>95</v>
      </c>
      <c r="L391">
        <v>3</v>
      </c>
      <c r="M391" s="19" t="s">
        <v>51</v>
      </c>
      <c r="N391">
        <v>3</v>
      </c>
      <c r="O391">
        <v>1</v>
      </c>
      <c r="P391" s="19" t="s">
        <v>67</v>
      </c>
      <c r="Q391">
        <v>2</v>
      </c>
      <c r="R391" s="19" t="s">
        <v>53</v>
      </c>
      <c r="S391">
        <v>67320</v>
      </c>
      <c r="T391" s="19" t="s">
        <v>64</v>
      </c>
      <c r="U391">
        <v>420.75</v>
      </c>
      <c r="V391">
        <v>1</v>
      </c>
      <c r="W391" s="19" t="s">
        <v>55</v>
      </c>
      <c r="X391">
        <v>17</v>
      </c>
      <c r="Y391">
        <v>3</v>
      </c>
      <c r="Z391">
        <v>2</v>
      </c>
      <c r="AA391">
        <v>0</v>
      </c>
      <c r="AB391">
        <v>1</v>
      </c>
      <c r="AC391">
        <v>4</v>
      </c>
      <c r="AD391">
        <v>3</v>
      </c>
      <c r="AE391">
        <v>1</v>
      </c>
      <c r="AF391">
        <v>1</v>
      </c>
      <c r="AG391">
        <v>1</v>
      </c>
      <c r="AH391">
        <v>1</v>
      </c>
      <c r="AI391">
        <v>0</v>
      </c>
      <c r="AJ391" s="19" t="s">
        <v>1561</v>
      </c>
      <c r="AK391" s="19" t="s">
        <v>1562</v>
      </c>
      <c r="AL391">
        <v>1</v>
      </c>
      <c r="AM391" s="19" t="s">
        <v>1565</v>
      </c>
      <c r="AN391">
        <v>0.35001527640436148</v>
      </c>
      <c r="AO391">
        <v>807840</v>
      </c>
    </row>
    <row r="392" spans="1:41" x14ac:dyDescent="0.3">
      <c r="A392" s="19" t="s">
        <v>463</v>
      </c>
      <c r="B392">
        <v>31</v>
      </c>
      <c r="C392" s="19" t="s">
        <v>196</v>
      </c>
      <c r="D392" s="19" t="s">
        <v>55</v>
      </c>
      <c r="E392" s="19" t="s">
        <v>48</v>
      </c>
      <c r="F392">
        <v>746</v>
      </c>
      <c r="G392" s="19" t="s">
        <v>49</v>
      </c>
      <c r="H392">
        <v>8</v>
      </c>
      <c r="I392">
        <v>4</v>
      </c>
      <c r="J392" s="19" t="s">
        <v>50</v>
      </c>
      <c r="K392">
        <v>98</v>
      </c>
      <c r="L392">
        <v>3</v>
      </c>
      <c r="M392" s="19" t="s">
        <v>59</v>
      </c>
      <c r="N392">
        <v>3</v>
      </c>
      <c r="O392">
        <v>2</v>
      </c>
      <c r="P392" s="19" t="s">
        <v>120</v>
      </c>
      <c r="Q392">
        <v>4</v>
      </c>
      <c r="R392" s="19" t="s">
        <v>53</v>
      </c>
      <c r="S392">
        <v>28751</v>
      </c>
      <c r="T392" s="19" t="s">
        <v>72</v>
      </c>
      <c r="U392">
        <v>179.69</v>
      </c>
      <c r="V392">
        <v>1</v>
      </c>
      <c r="W392" s="19" t="s">
        <v>55</v>
      </c>
      <c r="X392">
        <v>23</v>
      </c>
      <c r="Y392">
        <v>4</v>
      </c>
      <c r="Z392">
        <v>4</v>
      </c>
      <c r="AA392">
        <v>0</v>
      </c>
      <c r="AB392">
        <v>11</v>
      </c>
      <c r="AC392">
        <v>2</v>
      </c>
      <c r="AD392">
        <v>3</v>
      </c>
      <c r="AE392">
        <v>11</v>
      </c>
      <c r="AF392">
        <v>7</v>
      </c>
      <c r="AG392">
        <v>1</v>
      </c>
      <c r="AH392">
        <v>7</v>
      </c>
      <c r="AI392">
        <v>0</v>
      </c>
      <c r="AJ392" s="19" t="s">
        <v>1571</v>
      </c>
      <c r="AK392" s="19" t="s">
        <v>1562</v>
      </c>
      <c r="AL392">
        <v>0</v>
      </c>
      <c r="AM392" s="19" t="s">
        <v>1563</v>
      </c>
      <c r="AN392">
        <v>-0.35092488633655888</v>
      </c>
      <c r="AO392">
        <v>345012</v>
      </c>
    </row>
    <row r="393" spans="1:41" x14ac:dyDescent="0.3">
      <c r="A393" s="19" t="s">
        <v>464</v>
      </c>
      <c r="B393">
        <v>31</v>
      </c>
      <c r="C393" s="19" t="s">
        <v>196</v>
      </c>
      <c r="D393" s="19" t="s">
        <v>47</v>
      </c>
      <c r="E393" s="19" t="s">
        <v>48</v>
      </c>
      <c r="F393">
        <v>249</v>
      </c>
      <c r="G393" s="19" t="s">
        <v>57</v>
      </c>
      <c r="H393">
        <v>6</v>
      </c>
      <c r="I393">
        <v>4</v>
      </c>
      <c r="J393" s="19" t="s">
        <v>50</v>
      </c>
      <c r="K393">
        <v>163</v>
      </c>
      <c r="L393">
        <v>2</v>
      </c>
      <c r="M393" s="19" t="s">
        <v>51</v>
      </c>
      <c r="N393">
        <v>1</v>
      </c>
      <c r="O393">
        <v>2</v>
      </c>
      <c r="P393" s="19" t="s">
        <v>145</v>
      </c>
      <c r="Q393">
        <v>3</v>
      </c>
      <c r="R393" s="19" t="s">
        <v>113</v>
      </c>
      <c r="S393">
        <v>79069</v>
      </c>
      <c r="T393" s="19" t="s">
        <v>64</v>
      </c>
      <c r="U393">
        <v>494.18</v>
      </c>
      <c r="V393">
        <v>4</v>
      </c>
      <c r="W393" s="19" t="s">
        <v>47</v>
      </c>
      <c r="X393">
        <v>18</v>
      </c>
      <c r="Y393">
        <v>3</v>
      </c>
      <c r="Z393">
        <v>2</v>
      </c>
      <c r="AA393">
        <v>0</v>
      </c>
      <c r="AB393">
        <v>12</v>
      </c>
      <c r="AC393">
        <v>3</v>
      </c>
      <c r="AD393">
        <v>2</v>
      </c>
      <c r="AE393">
        <v>7</v>
      </c>
      <c r="AF393">
        <v>7</v>
      </c>
      <c r="AG393">
        <v>7</v>
      </c>
      <c r="AH393">
        <v>7</v>
      </c>
      <c r="AI393">
        <v>1</v>
      </c>
      <c r="AJ393" s="19" t="s">
        <v>1569</v>
      </c>
      <c r="AK393" s="19" t="s">
        <v>1570</v>
      </c>
      <c r="AL393">
        <v>3</v>
      </c>
      <c r="AM393" s="19" t="s">
        <v>1568</v>
      </c>
      <c r="AN393">
        <v>0.6117462796944152</v>
      </c>
      <c r="AO393">
        <v>948828</v>
      </c>
    </row>
    <row r="394" spans="1:41" x14ac:dyDescent="0.3">
      <c r="A394" s="19" t="s">
        <v>465</v>
      </c>
      <c r="B394">
        <v>31</v>
      </c>
      <c r="C394" s="19" t="s">
        <v>196</v>
      </c>
      <c r="D394" s="19" t="s">
        <v>47</v>
      </c>
      <c r="E394" s="19" t="s">
        <v>48</v>
      </c>
      <c r="F394">
        <v>542</v>
      </c>
      <c r="G394" s="19" t="s">
        <v>57</v>
      </c>
      <c r="H394">
        <v>20</v>
      </c>
      <c r="I394">
        <v>3</v>
      </c>
      <c r="J394" s="19" t="s">
        <v>50</v>
      </c>
      <c r="K394">
        <v>175</v>
      </c>
      <c r="L394">
        <v>2</v>
      </c>
      <c r="M394" s="19" t="s">
        <v>59</v>
      </c>
      <c r="N394">
        <v>1</v>
      </c>
      <c r="O394">
        <v>2</v>
      </c>
      <c r="P394" s="19" t="s">
        <v>145</v>
      </c>
      <c r="Q394">
        <v>3</v>
      </c>
      <c r="R394" s="19" t="s">
        <v>113</v>
      </c>
      <c r="S394">
        <v>55748</v>
      </c>
      <c r="T394" s="19" t="s">
        <v>64</v>
      </c>
      <c r="U394">
        <v>348.42</v>
      </c>
      <c r="V394">
        <v>3</v>
      </c>
      <c r="W394" s="19" t="s">
        <v>47</v>
      </c>
      <c r="X394">
        <v>11</v>
      </c>
      <c r="Y394">
        <v>3</v>
      </c>
      <c r="Z394">
        <v>3</v>
      </c>
      <c r="AA394">
        <v>1</v>
      </c>
      <c r="AB394">
        <v>4</v>
      </c>
      <c r="AC394">
        <v>2</v>
      </c>
      <c r="AD394">
        <v>3</v>
      </c>
      <c r="AE394">
        <v>2</v>
      </c>
      <c r="AF394">
        <v>2</v>
      </c>
      <c r="AG394">
        <v>2</v>
      </c>
      <c r="AH394">
        <v>2</v>
      </c>
      <c r="AI394">
        <v>1</v>
      </c>
      <c r="AJ394" s="19" t="s">
        <v>1566</v>
      </c>
      <c r="AK394" s="19" t="s">
        <v>1562</v>
      </c>
      <c r="AL394">
        <v>1</v>
      </c>
      <c r="AM394" s="19" t="s">
        <v>1565</v>
      </c>
      <c r="AN394">
        <v>0.13636989971296279</v>
      </c>
      <c r="AO394">
        <v>668976</v>
      </c>
    </row>
    <row r="395" spans="1:41" x14ac:dyDescent="0.3">
      <c r="A395" s="19" t="s">
        <v>466</v>
      </c>
      <c r="B395">
        <v>31</v>
      </c>
      <c r="C395" s="19" t="s">
        <v>196</v>
      </c>
      <c r="D395" s="19" t="s">
        <v>55</v>
      </c>
      <c r="E395" s="19" t="s">
        <v>48</v>
      </c>
      <c r="F395">
        <v>140</v>
      </c>
      <c r="G395" s="19" t="s">
        <v>49</v>
      </c>
      <c r="H395">
        <v>12</v>
      </c>
      <c r="I395">
        <v>1</v>
      </c>
      <c r="J395" s="19" t="s">
        <v>58</v>
      </c>
      <c r="K395">
        <v>246</v>
      </c>
      <c r="L395">
        <v>3</v>
      </c>
      <c r="M395" s="19" t="s">
        <v>59</v>
      </c>
      <c r="N395">
        <v>3</v>
      </c>
      <c r="O395">
        <v>1</v>
      </c>
      <c r="P395" s="19" t="s">
        <v>67</v>
      </c>
      <c r="Q395">
        <v>4</v>
      </c>
      <c r="R395" s="19" t="s">
        <v>113</v>
      </c>
      <c r="S395">
        <v>6801</v>
      </c>
      <c r="T395" s="19" t="s">
        <v>54</v>
      </c>
      <c r="U395">
        <v>42.51</v>
      </c>
      <c r="V395">
        <v>8</v>
      </c>
      <c r="W395" s="19" t="s">
        <v>47</v>
      </c>
      <c r="X395">
        <v>23</v>
      </c>
      <c r="Y395">
        <v>4</v>
      </c>
      <c r="Z395">
        <v>3</v>
      </c>
      <c r="AA395">
        <v>1</v>
      </c>
      <c r="AB395">
        <v>7</v>
      </c>
      <c r="AC395">
        <v>0</v>
      </c>
      <c r="AD395">
        <v>3</v>
      </c>
      <c r="AE395">
        <v>4</v>
      </c>
      <c r="AF395">
        <v>2</v>
      </c>
      <c r="AG395">
        <v>0</v>
      </c>
      <c r="AH395">
        <v>2</v>
      </c>
      <c r="AI395">
        <v>0</v>
      </c>
      <c r="AJ395" s="19" t="s">
        <v>1567</v>
      </c>
      <c r="AK395" s="19" t="s">
        <v>1562</v>
      </c>
      <c r="AL395">
        <v>1</v>
      </c>
      <c r="AM395" s="19" t="s">
        <v>1565</v>
      </c>
      <c r="AN395">
        <v>-0.86361476686235794</v>
      </c>
      <c r="AO395">
        <v>81612</v>
      </c>
    </row>
    <row r="396" spans="1:41" x14ac:dyDescent="0.3">
      <c r="A396" s="19" t="s">
        <v>467</v>
      </c>
      <c r="B396">
        <v>31</v>
      </c>
      <c r="C396" s="19" t="s">
        <v>196</v>
      </c>
      <c r="D396" s="19" t="s">
        <v>55</v>
      </c>
      <c r="E396" s="19" t="s">
        <v>66</v>
      </c>
      <c r="F396">
        <v>979</v>
      </c>
      <c r="G396" s="19" t="s">
        <v>49</v>
      </c>
      <c r="H396">
        <v>1</v>
      </c>
      <c r="I396">
        <v>4</v>
      </c>
      <c r="J396" s="19" t="s">
        <v>58</v>
      </c>
      <c r="K396">
        <v>308</v>
      </c>
      <c r="L396">
        <v>3</v>
      </c>
      <c r="M396" s="19" t="s">
        <v>51</v>
      </c>
      <c r="N396">
        <v>1</v>
      </c>
      <c r="O396">
        <v>2</v>
      </c>
      <c r="P396" s="19" t="s">
        <v>120</v>
      </c>
      <c r="Q396">
        <v>3</v>
      </c>
      <c r="R396" s="19" t="s">
        <v>113</v>
      </c>
      <c r="S396">
        <v>20190</v>
      </c>
      <c r="T396" s="19" t="s">
        <v>54</v>
      </c>
      <c r="U396">
        <v>126.19</v>
      </c>
      <c r="V396">
        <v>0</v>
      </c>
      <c r="W396" s="19" t="s">
        <v>55</v>
      </c>
      <c r="X396">
        <v>12</v>
      </c>
      <c r="Y396">
        <v>3</v>
      </c>
      <c r="Z396">
        <v>4</v>
      </c>
      <c r="AA396">
        <v>1</v>
      </c>
      <c r="AB396">
        <v>6</v>
      </c>
      <c r="AC396">
        <v>2</v>
      </c>
      <c r="AD396">
        <v>3</v>
      </c>
      <c r="AE396">
        <v>5</v>
      </c>
      <c r="AF396">
        <v>4</v>
      </c>
      <c r="AG396">
        <v>1</v>
      </c>
      <c r="AH396">
        <v>4</v>
      </c>
      <c r="AI396">
        <v>0</v>
      </c>
      <c r="AJ396" s="19" t="s">
        <v>1567</v>
      </c>
      <c r="AK396" s="19" t="s">
        <v>1562</v>
      </c>
      <c r="AL396">
        <v>0</v>
      </c>
      <c r="AM396" s="19" t="s">
        <v>1563</v>
      </c>
      <c r="AN396">
        <v>-0.54419580032468862</v>
      </c>
      <c r="AO396">
        <v>242280</v>
      </c>
    </row>
    <row r="397" spans="1:41" x14ac:dyDescent="0.3">
      <c r="A397" s="19" t="s">
        <v>468</v>
      </c>
      <c r="B397">
        <v>31</v>
      </c>
      <c r="C397" s="19" t="s">
        <v>196</v>
      </c>
      <c r="D397" s="19" t="s">
        <v>55</v>
      </c>
      <c r="E397" s="19" t="s">
        <v>62</v>
      </c>
      <c r="F397">
        <v>1327</v>
      </c>
      <c r="G397" s="19" t="s">
        <v>49</v>
      </c>
      <c r="H397">
        <v>3</v>
      </c>
      <c r="I397">
        <v>4</v>
      </c>
      <c r="J397" s="19" t="s">
        <v>58</v>
      </c>
      <c r="K397">
        <v>337</v>
      </c>
      <c r="L397">
        <v>2</v>
      </c>
      <c r="M397" s="19" t="s">
        <v>51</v>
      </c>
      <c r="N397">
        <v>3</v>
      </c>
      <c r="O397">
        <v>3</v>
      </c>
      <c r="P397" s="19" t="s">
        <v>257</v>
      </c>
      <c r="Q397">
        <v>3</v>
      </c>
      <c r="R397" s="19" t="s">
        <v>53</v>
      </c>
      <c r="S397">
        <v>50689</v>
      </c>
      <c r="T397" s="19" t="s">
        <v>64</v>
      </c>
      <c r="U397">
        <v>316.81</v>
      </c>
      <c r="V397">
        <v>9</v>
      </c>
      <c r="W397" s="19" t="s">
        <v>55</v>
      </c>
      <c r="X397">
        <v>12</v>
      </c>
      <c r="Y397">
        <v>3</v>
      </c>
      <c r="Z397">
        <v>1</v>
      </c>
      <c r="AA397">
        <v>1</v>
      </c>
      <c r="AB397">
        <v>9</v>
      </c>
      <c r="AC397">
        <v>3</v>
      </c>
      <c r="AD397">
        <v>3</v>
      </c>
      <c r="AE397">
        <v>2</v>
      </c>
      <c r="AF397">
        <v>2</v>
      </c>
      <c r="AG397">
        <v>2</v>
      </c>
      <c r="AH397">
        <v>2</v>
      </c>
      <c r="AI397">
        <v>0</v>
      </c>
      <c r="AJ397" s="19" t="s">
        <v>1566</v>
      </c>
      <c r="AK397" s="19" t="s">
        <v>1562</v>
      </c>
      <c r="AL397">
        <v>0</v>
      </c>
      <c r="AM397" s="19" t="s">
        <v>1563</v>
      </c>
      <c r="AN397">
        <v>5.1171390603517279E-4</v>
      </c>
      <c r="AO397">
        <v>608268</v>
      </c>
    </row>
    <row r="398" spans="1:41" x14ac:dyDescent="0.3">
      <c r="A398" s="19" t="s">
        <v>469</v>
      </c>
      <c r="B398">
        <v>31</v>
      </c>
      <c r="C398" s="19" t="s">
        <v>196</v>
      </c>
      <c r="D398" s="19" t="s">
        <v>47</v>
      </c>
      <c r="E398" s="19" t="s">
        <v>62</v>
      </c>
      <c r="F398">
        <v>307</v>
      </c>
      <c r="G398" s="19" t="s">
        <v>49</v>
      </c>
      <c r="H398">
        <v>29</v>
      </c>
      <c r="I398">
        <v>2</v>
      </c>
      <c r="J398" s="19" t="s">
        <v>58</v>
      </c>
      <c r="K398">
        <v>355</v>
      </c>
      <c r="L398">
        <v>3</v>
      </c>
      <c r="M398" s="19" t="s">
        <v>51</v>
      </c>
      <c r="N398">
        <v>2</v>
      </c>
      <c r="O398">
        <v>1</v>
      </c>
      <c r="P398" s="19" t="s">
        <v>52</v>
      </c>
      <c r="Q398">
        <v>2</v>
      </c>
      <c r="R398" s="19" t="s">
        <v>53</v>
      </c>
      <c r="S398">
        <v>51993</v>
      </c>
      <c r="T398" s="19" t="s">
        <v>64</v>
      </c>
      <c r="U398">
        <v>324.95999999999998</v>
      </c>
      <c r="V398">
        <v>0</v>
      </c>
      <c r="W398" s="19" t="s">
        <v>55</v>
      </c>
      <c r="X398">
        <v>11</v>
      </c>
      <c r="Y398">
        <v>3</v>
      </c>
      <c r="Z398">
        <v>2</v>
      </c>
      <c r="AA398">
        <v>0</v>
      </c>
      <c r="AB398">
        <v>6</v>
      </c>
      <c r="AC398">
        <v>2</v>
      </c>
      <c r="AD398">
        <v>4</v>
      </c>
      <c r="AE398">
        <v>5</v>
      </c>
      <c r="AF398">
        <v>4</v>
      </c>
      <c r="AG398">
        <v>1</v>
      </c>
      <c r="AH398">
        <v>4</v>
      </c>
      <c r="AI398">
        <v>1</v>
      </c>
      <c r="AJ398" s="19" t="s">
        <v>1567</v>
      </c>
      <c r="AK398" s="19" t="s">
        <v>1562</v>
      </c>
      <c r="AL398">
        <v>1</v>
      </c>
      <c r="AM398" s="19" t="s">
        <v>1565</v>
      </c>
      <c r="AN398">
        <v>5.2667902641420411E-3</v>
      </c>
      <c r="AO398">
        <v>623916</v>
      </c>
    </row>
    <row r="399" spans="1:41" x14ac:dyDescent="0.3">
      <c r="A399" s="19" t="s">
        <v>470</v>
      </c>
      <c r="B399">
        <v>31</v>
      </c>
      <c r="C399" s="19" t="s">
        <v>196</v>
      </c>
      <c r="D399" s="19" t="s">
        <v>55</v>
      </c>
      <c r="E399" s="19" t="s">
        <v>48</v>
      </c>
      <c r="F399">
        <v>1463</v>
      </c>
      <c r="G399" s="19" t="s">
        <v>49</v>
      </c>
      <c r="H399">
        <v>23</v>
      </c>
      <c r="I399">
        <v>3</v>
      </c>
      <c r="J399" s="19" t="s">
        <v>58</v>
      </c>
      <c r="K399">
        <v>367</v>
      </c>
      <c r="L399">
        <v>2</v>
      </c>
      <c r="M399" s="19" t="s">
        <v>51</v>
      </c>
      <c r="N399">
        <v>2</v>
      </c>
      <c r="O399">
        <v>2</v>
      </c>
      <c r="P399" s="19" t="s">
        <v>168</v>
      </c>
      <c r="Q399">
        <v>4</v>
      </c>
      <c r="R399" s="19" t="s">
        <v>113</v>
      </c>
      <c r="S399">
        <v>30592</v>
      </c>
      <c r="T399" s="19" t="s">
        <v>72</v>
      </c>
      <c r="U399">
        <v>191.2</v>
      </c>
      <c r="V399">
        <v>0</v>
      </c>
      <c r="W399" s="19" t="s">
        <v>55</v>
      </c>
      <c r="X399">
        <v>21</v>
      </c>
      <c r="Y399">
        <v>4</v>
      </c>
      <c r="Z399">
        <v>2</v>
      </c>
      <c r="AA399">
        <v>1</v>
      </c>
      <c r="AB399">
        <v>10</v>
      </c>
      <c r="AC399">
        <v>2</v>
      </c>
      <c r="AD399">
        <v>3</v>
      </c>
      <c r="AE399">
        <v>9</v>
      </c>
      <c r="AF399">
        <v>0</v>
      </c>
      <c r="AG399">
        <v>7</v>
      </c>
      <c r="AH399">
        <v>8</v>
      </c>
      <c r="AI399">
        <v>0</v>
      </c>
      <c r="AJ399" s="19" t="s">
        <v>1569</v>
      </c>
      <c r="AK399" s="19" t="s">
        <v>1570</v>
      </c>
      <c r="AL399">
        <v>1</v>
      </c>
      <c r="AM399" s="19" t="s">
        <v>1565</v>
      </c>
      <c r="AN399">
        <v>-0.36516820623495511</v>
      </c>
      <c r="AO399">
        <v>367104</v>
      </c>
    </row>
    <row r="400" spans="1:41" x14ac:dyDescent="0.3">
      <c r="A400" s="19" t="s">
        <v>471</v>
      </c>
      <c r="B400">
        <v>31</v>
      </c>
      <c r="C400" s="19" t="s">
        <v>196</v>
      </c>
      <c r="D400" s="19" t="s">
        <v>55</v>
      </c>
      <c r="E400" s="19" t="s">
        <v>62</v>
      </c>
      <c r="F400">
        <v>444</v>
      </c>
      <c r="G400" s="19" t="s">
        <v>57</v>
      </c>
      <c r="H400">
        <v>5</v>
      </c>
      <c r="I400">
        <v>3</v>
      </c>
      <c r="J400" s="19" t="s">
        <v>63</v>
      </c>
      <c r="K400">
        <v>399</v>
      </c>
      <c r="L400">
        <v>4</v>
      </c>
      <c r="M400" s="19" t="s">
        <v>59</v>
      </c>
      <c r="N400">
        <v>3</v>
      </c>
      <c r="O400">
        <v>1</v>
      </c>
      <c r="P400" s="19" t="s">
        <v>60</v>
      </c>
      <c r="Q400">
        <v>2</v>
      </c>
      <c r="R400" s="19" t="s">
        <v>53</v>
      </c>
      <c r="S400">
        <v>11647</v>
      </c>
      <c r="T400" s="19" t="s">
        <v>54</v>
      </c>
      <c r="U400">
        <v>72.790000000000006</v>
      </c>
      <c r="V400">
        <v>1</v>
      </c>
      <c r="W400" s="19" t="s">
        <v>55</v>
      </c>
      <c r="X400">
        <v>11</v>
      </c>
      <c r="Y400">
        <v>3</v>
      </c>
      <c r="Z400">
        <v>3</v>
      </c>
      <c r="AA400">
        <v>1</v>
      </c>
      <c r="AB400">
        <v>2</v>
      </c>
      <c r="AC400">
        <v>5</v>
      </c>
      <c r="AD400">
        <v>2</v>
      </c>
      <c r="AE400">
        <v>2</v>
      </c>
      <c r="AF400">
        <v>2</v>
      </c>
      <c r="AG400">
        <v>2</v>
      </c>
      <c r="AH400">
        <v>2</v>
      </c>
      <c r="AI400">
        <v>0</v>
      </c>
      <c r="AJ400" s="19" t="s">
        <v>1566</v>
      </c>
      <c r="AK400" s="19" t="s">
        <v>1562</v>
      </c>
      <c r="AL400">
        <v>2</v>
      </c>
      <c r="AM400" s="19" t="s">
        <v>1564</v>
      </c>
      <c r="AN400">
        <v>-0.76388088093717044</v>
      </c>
      <c r="AO400">
        <v>139764</v>
      </c>
    </row>
    <row r="401" spans="1:41" x14ac:dyDescent="0.3">
      <c r="A401" s="19" t="s">
        <v>472</v>
      </c>
      <c r="B401">
        <v>31</v>
      </c>
      <c r="C401" s="19" t="s">
        <v>196</v>
      </c>
      <c r="D401" s="19" t="s">
        <v>55</v>
      </c>
      <c r="E401" s="19" t="s">
        <v>48</v>
      </c>
      <c r="F401">
        <v>218</v>
      </c>
      <c r="G401" s="19" t="s">
        <v>57</v>
      </c>
      <c r="H401">
        <v>7</v>
      </c>
      <c r="I401">
        <v>3</v>
      </c>
      <c r="J401" s="19" t="s">
        <v>77</v>
      </c>
      <c r="K401">
        <v>416</v>
      </c>
      <c r="L401">
        <v>2</v>
      </c>
      <c r="M401" s="19" t="s">
        <v>51</v>
      </c>
      <c r="N401">
        <v>4</v>
      </c>
      <c r="O401">
        <v>2</v>
      </c>
      <c r="P401" s="19" t="s">
        <v>145</v>
      </c>
      <c r="Q401">
        <v>4</v>
      </c>
      <c r="R401" s="19" t="s">
        <v>113</v>
      </c>
      <c r="S401">
        <v>9716</v>
      </c>
      <c r="T401" s="19" t="s">
        <v>54</v>
      </c>
      <c r="U401">
        <v>60.72</v>
      </c>
      <c r="V401">
        <v>4</v>
      </c>
      <c r="W401" s="19" t="s">
        <v>55</v>
      </c>
      <c r="X401">
        <v>11</v>
      </c>
      <c r="Y401">
        <v>3</v>
      </c>
      <c r="Z401">
        <v>2</v>
      </c>
      <c r="AA401">
        <v>1</v>
      </c>
      <c r="AB401">
        <v>10</v>
      </c>
      <c r="AC401">
        <v>3</v>
      </c>
      <c r="AD401">
        <v>2</v>
      </c>
      <c r="AE401">
        <v>8</v>
      </c>
      <c r="AF401">
        <v>7</v>
      </c>
      <c r="AG401">
        <v>7</v>
      </c>
      <c r="AH401">
        <v>7</v>
      </c>
      <c r="AI401">
        <v>0</v>
      </c>
      <c r="AJ401" s="19" t="s">
        <v>1569</v>
      </c>
      <c r="AK401" s="19" t="s">
        <v>1570</v>
      </c>
      <c r="AL401">
        <v>2</v>
      </c>
      <c r="AM401" s="19" t="s">
        <v>1564</v>
      </c>
      <c r="AN401">
        <v>-0.80194859105956906</v>
      </c>
      <c r="AO401">
        <v>116592</v>
      </c>
    </row>
    <row r="402" spans="1:41" x14ac:dyDescent="0.3">
      <c r="A402" s="19" t="s">
        <v>473</v>
      </c>
      <c r="B402">
        <v>31</v>
      </c>
      <c r="C402" s="19" t="s">
        <v>196</v>
      </c>
      <c r="D402" s="19" t="s">
        <v>55</v>
      </c>
      <c r="E402" s="19" t="s">
        <v>48</v>
      </c>
      <c r="F402">
        <v>691</v>
      </c>
      <c r="G402" s="19" t="s">
        <v>49</v>
      </c>
      <c r="H402">
        <v>5</v>
      </c>
      <c r="I402">
        <v>4</v>
      </c>
      <c r="J402" s="19" t="s">
        <v>77</v>
      </c>
      <c r="K402">
        <v>423</v>
      </c>
      <c r="L402">
        <v>3</v>
      </c>
      <c r="M402" s="19" t="s">
        <v>51</v>
      </c>
      <c r="N402">
        <v>3</v>
      </c>
      <c r="O402">
        <v>1</v>
      </c>
      <c r="P402" s="19" t="s">
        <v>67</v>
      </c>
      <c r="Q402">
        <v>4</v>
      </c>
      <c r="R402" s="19" t="s">
        <v>113</v>
      </c>
      <c r="S402">
        <v>89891</v>
      </c>
      <c r="T402" s="19" t="s">
        <v>70</v>
      </c>
      <c r="U402">
        <v>561.82000000000005</v>
      </c>
      <c r="V402">
        <v>0</v>
      </c>
      <c r="W402" s="19" t="s">
        <v>47</v>
      </c>
      <c r="X402">
        <v>12</v>
      </c>
      <c r="Y402">
        <v>3</v>
      </c>
      <c r="Z402">
        <v>3</v>
      </c>
      <c r="AA402">
        <v>1</v>
      </c>
      <c r="AB402">
        <v>6</v>
      </c>
      <c r="AC402">
        <v>4</v>
      </c>
      <c r="AD402">
        <v>3</v>
      </c>
      <c r="AE402">
        <v>5</v>
      </c>
      <c r="AF402">
        <v>2</v>
      </c>
      <c r="AG402">
        <v>0</v>
      </c>
      <c r="AH402">
        <v>3</v>
      </c>
      <c r="AI402">
        <v>0</v>
      </c>
      <c r="AJ402" s="19" t="s">
        <v>1567</v>
      </c>
      <c r="AK402" s="19" t="s">
        <v>1562</v>
      </c>
      <c r="AL402">
        <v>1</v>
      </c>
      <c r="AM402" s="19" t="s">
        <v>1565</v>
      </c>
      <c r="AN402">
        <v>0.80264740361355402</v>
      </c>
      <c r="AO402">
        <v>1078692</v>
      </c>
    </row>
    <row r="403" spans="1:41" x14ac:dyDescent="0.3">
      <c r="A403" s="19" t="s">
        <v>474</v>
      </c>
      <c r="B403">
        <v>31</v>
      </c>
      <c r="C403" s="19" t="s">
        <v>196</v>
      </c>
      <c r="D403" s="19" t="s">
        <v>55</v>
      </c>
      <c r="E403" s="19" t="s">
        <v>48</v>
      </c>
      <c r="F403">
        <v>106</v>
      </c>
      <c r="G403" s="19" t="s">
        <v>406</v>
      </c>
      <c r="H403">
        <v>2</v>
      </c>
      <c r="I403">
        <v>3</v>
      </c>
      <c r="J403" s="19" t="s">
        <v>80</v>
      </c>
      <c r="K403">
        <v>424</v>
      </c>
      <c r="L403">
        <v>1</v>
      </c>
      <c r="M403" s="19" t="s">
        <v>51</v>
      </c>
      <c r="N403">
        <v>2</v>
      </c>
      <c r="O403">
        <v>2</v>
      </c>
      <c r="P403" s="19" t="s">
        <v>80</v>
      </c>
      <c r="Q403">
        <v>1</v>
      </c>
      <c r="R403" s="19" t="s">
        <v>113</v>
      </c>
      <c r="S403">
        <v>88545</v>
      </c>
      <c r="T403" s="19" t="s">
        <v>70</v>
      </c>
      <c r="U403">
        <v>553.41</v>
      </c>
      <c r="V403">
        <v>3</v>
      </c>
      <c r="W403" s="19" t="s">
        <v>55</v>
      </c>
      <c r="X403">
        <v>12</v>
      </c>
      <c r="Y403">
        <v>3</v>
      </c>
      <c r="Z403">
        <v>4</v>
      </c>
      <c r="AA403">
        <v>0</v>
      </c>
      <c r="AB403">
        <v>9</v>
      </c>
      <c r="AC403">
        <v>1</v>
      </c>
      <c r="AD403">
        <v>3</v>
      </c>
      <c r="AE403">
        <v>2</v>
      </c>
      <c r="AF403">
        <v>2</v>
      </c>
      <c r="AG403">
        <v>1</v>
      </c>
      <c r="AH403">
        <v>0</v>
      </c>
      <c r="AI403">
        <v>0</v>
      </c>
      <c r="AJ403" s="19" t="s">
        <v>1566</v>
      </c>
      <c r="AK403" s="19" t="s">
        <v>1562</v>
      </c>
      <c r="AL403">
        <v>1</v>
      </c>
      <c r="AM403" s="19" t="s">
        <v>1565</v>
      </c>
      <c r="AN403">
        <v>0.7449340392391679</v>
      </c>
      <c r="AO403">
        <v>1062540</v>
      </c>
    </row>
    <row r="404" spans="1:41" x14ac:dyDescent="0.3">
      <c r="A404" s="19" t="s">
        <v>475</v>
      </c>
      <c r="B404">
        <v>31</v>
      </c>
      <c r="C404" s="19" t="s">
        <v>196</v>
      </c>
      <c r="D404" s="19" t="s">
        <v>55</v>
      </c>
      <c r="E404" s="19" t="s">
        <v>48</v>
      </c>
      <c r="F404">
        <v>192</v>
      </c>
      <c r="G404" s="19" t="s">
        <v>49</v>
      </c>
      <c r="H404">
        <v>2</v>
      </c>
      <c r="I404">
        <v>4</v>
      </c>
      <c r="J404" s="19" t="s">
        <v>50</v>
      </c>
      <c r="K404">
        <v>426</v>
      </c>
      <c r="L404">
        <v>3</v>
      </c>
      <c r="M404" s="19" t="s">
        <v>51</v>
      </c>
      <c r="N404">
        <v>3</v>
      </c>
      <c r="O404">
        <v>1</v>
      </c>
      <c r="P404" s="19" t="s">
        <v>67</v>
      </c>
      <c r="Q404">
        <v>4</v>
      </c>
      <c r="R404" s="19" t="s">
        <v>53</v>
      </c>
      <c r="S404">
        <v>90912</v>
      </c>
      <c r="T404" s="19" t="s">
        <v>70</v>
      </c>
      <c r="U404">
        <v>568.20000000000005</v>
      </c>
      <c r="V404">
        <v>0</v>
      </c>
      <c r="W404" s="19" t="s">
        <v>47</v>
      </c>
      <c r="X404">
        <v>18</v>
      </c>
      <c r="Y404">
        <v>3</v>
      </c>
      <c r="Z404">
        <v>2</v>
      </c>
      <c r="AA404">
        <v>1</v>
      </c>
      <c r="AB404">
        <v>3</v>
      </c>
      <c r="AC404">
        <v>2</v>
      </c>
      <c r="AD404">
        <v>1</v>
      </c>
      <c r="AE404">
        <v>2</v>
      </c>
      <c r="AF404">
        <v>2</v>
      </c>
      <c r="AG404">
        <v>2</v>
      </c>
      <c r="AH404">
        <v>2</v>
      </c>
      <c r="AI404">
        <v>0</v>
      </c>
      <c r="AJ404" s="19" t="s">
        <v>1566</v>
      </c>
      <c r="AK404" s="19" t="s">
        <v>1562</v>
      </c>
      <c r="AL404">
        <v>2</v>
      </c>
      <c r="AM404" s="19" t="s">
        <v>1564</v>
      </c>
      <c r="AN404">
        <v>0.82312223423162967</v>
      </c>
      <c r="AO404">
        <v>1090944</v>
      </c>
    </row>
    <row r="405" spans="1:41" x14ac:dyDescent="0.3">
      <c r="A405" s="19" t="s">
        <v>476</v>
      </c>
      <c r="B405">
        <v>31</v>
      </c>
      <c r="C405" s="19" t="s">
        <v>196</v>
      </c>
      <c r="D405" s="19" t="s">
        <v>55</v>
      </c>
      <c r="E405" s="19" t="s">
        <v>48</v>
      </c>
      <c r="F405">
        <v>691</v>
      </c>
      <c r="G405" s="19" t="s">
        <v>57</v>
      </c>
      <c r="H405">
        <v>7</v>
      </c>
      <c r="I405">
        <v>3</v>
      </c>
      <c r="J405" s="19" t="s">
        <v>63</v>
      </c>
      <c r="K405">
        <v>438</v>
      </c>
      <c r="L405">
        <v>4</v>
      </c>
      <c r="M405" s="19" t="s">
        <v>51</v>
      </c>
      <c r="N405">
        <v>3</v>
      </c>
      <c r="O405">
        <v>2</v>
      </c>
      <c r="P405" s="19" t="s">
        <v>145</v>
      </c>
      <c r="Q405">
        <v>4</v>
      </c>
      <c r="R405" s="19" t="s">
        <v>53</v>
      </c>
      <c r="S405">
        <v>71316</v>
      </c>
      <c r="T405" s="19" t="s">
        <v>64</v>
      </c>
      <c r="U405">
        <v>445.72</v>
      </c>
      <c r="V405">
        <v>4</v>
      </c>
      <c r="W405" s="19" t="s">
        <v>55</v>
      </c>
      <c r="X405">
        <v>12</v>
      </c>
      <c r="Y405">
        <v>3</v>
      </c>
      <c r="Z405">
        <v>4</v>
      </c>
      <c r="AA405">
        <v>3</v>
      </c>
      <c r="AB405">
        <v>13</v>
      </c>
      <c r="AC405">
        <v>3</v>
      </c>
      <c r="AD405">
        <v>3</v>
      </c>
      <c r="AE405">
        <v>7</v>
      </c>
      <c r="AF405">
        <v>7</v>
      </c>
      <c r="AG405">
        <v>1</v>
      </c>
      <c r="AH405">
        <v>7</v>
      </c>
      <c r="AI405">
        <v>0</v>
      </c>
      <c r="AJ405" s="19" t="s">
        <v>1569</v>
      </c>
      <c r="AK405" s="19" t="s">
        <v>1562</v>
      </c>
      <c r="AL405">
        <v>0</v>
      </c>
      <c r="AM405" s="19" t="s">
        <v>1563</v>
      </c>
      <c r="AN405">
        <v>0.45370875668956112</v>
      </c>
      <c r="AO405">
        <v>855792</v>
      </c>
    </row>
    <row r="406" spans="1:41" x14ac:dyDescent="0.3">
      <c r="A406" s="19" t="s">
        <v>477</v>
      </c>
      <c r="B406">
        <v>31</v>
      </c>
      <c r="C406" s="19" t="s">
        <v>196</v>
      </c>
      <c r="D406" s="19" t="s">
        <v>55</v>
      </c>
      <c r="E406" s="19" t="s">
        <v>62</v>
      </c>
      <c r="F406">
        <v>798</v>
      </c>
      <c r="G406" s="19" t="s">
        <v>49</v>
      </c>
      <c r="H406">
        <v>7</v>
      </c>
      <c r="I406">
        <v>2</v>
      </c>
      <c r="J406" s="19" t="s">
        <v>50</v>
      </c>
      <c r="K406">
        <v>442</v>
      </c>
      <c r="L406">
        <v>3</v>
      </c>
      <c r="M406" s="19" t="s">
        <v>59</v>
      </c>
      <c r="N406">
        <v>2</v>
      </c>
      <c r="O406">
        <v>3</v>
      </c>
      <c r="P406" s="19" t="s">
        <v>120</v>
      </c>
      <c r="Q406">
        <v>3</v>
      </c>
      <c r="R406" s="19" t="s">
        <v>113</v>
      </c>
      <c r="S406">
        <v>3368</v>
      </c>
      <c r="T406" s="19" t="s">
        <v>54</v>
      </c>
      <c r="U406">
        <v>21.05</v>
      </c>
      <c r="V406">
        <v>1</v>
      </c>
      <c r="W406" s="19" t="s">
        <v>55</v>
      </c>
      <c r="X406">
        <v>24</v>
      </c>
      <c r="Y406">
        <v>4</v>
      </c>
      <c r="Z406">
        <v>1</v>
      </c>
      <c r="AA406">
        <v>1</v>
      </c>
      <c r="AB406">
        <v>10</v>
      </c>
      <c r="AC406">
        <v>2</v>
      </c>
      <c r="AD406">
        <v>3</v>
      </c>
      <c r="AE406">
        <v>10</v>
      </c>
      <c r="AF406">
        <v>9</v>
      </c>
      <c r="AG406">
        <v>8</v>
      </c>
      <c r="AH406">
        <v>9</v>
      </c>
      <c r="AI406">
        <v>0</v>
      </c>
      <c r="AJ406" s="19" t="s">
        <v>1569</v>
      </c>
      <c r="AK406" s="19" t="s">
        <v>1570</v>
      </c>
      <c r="AL406">
        <v>1</v>
      </c>
      <c r="AM406" s="19" t="s">
        <v>1565</v>
      </c>
      <c r="AN406">
        <v>-0.92396490616609961</v>
      </c>
      <c r="AO406">
        <v>40416</v>
      </c>
    </row>
    <row r="407" spans="1:41" x14ac:dyDescent="0.3">
      <c r="A407" s="19" t="s">
        <v>478</v>
      </c>
      <c r="B407">
        <v>31</v>
      </c>
      <c r="C407" s="19" t="s">
        <v>196</v>
      </c>
      <c r="D407" s="19" t="s">
        <v>55</v>
      </c>
      <c r="E407" s="19" t="s">
        <v>48</v>
      </c>
      <c r="F407">
        <v>1232</v>
      </c>
      <c r="G407" s="19" t="s">
        <v>49</v>
      </c>
      <c r="H407">
        <v>7</v>
      </c>
      <c r="I407">
        <v>4</v>
      </c>
      <c r="J407" s="19" t="s">
        <v>58</v>
      </c>
      <c r="K407">
        <v>462</v>
      </c>
      <c r="L407">
        <v>3</v>
      </c>
      <c r="M407" s="19" t="s">
        <v>59</v>
      </c>
      <c r="N407">
        <v>3</v>
      </c>
      <c r="O407">
        <v>3</v>
      </c>
      <c r="P407" s="19" t="s">
        <v>120</v>
      </c>
      <c r="Q407">
        <v>4</v>
      </c>
      <c r="R407" s="19" t="s">
        <v>53</v>
      </c>
      <c r="S407">
        <v>78575</v>
      </c>
      <c r="T407" s="19" t="s">
        <v>64</v>
      </c>
      <c r="U407">
        <v>491.09</v>
      </c>
      <c r="V407">
        <v>1</v>
      </c>
      <c r="W407" s="19" t="s">
        <v>47</v>
      </c>
      <c r="X407">
        <v>14</v>
      </c>
      <c r="Y407">
        <v>3</v>
      </c>
      <c r="Z407">
        <v>3</v>
      </c>
      <c r="AA407">
        <v>0</v>
      </c>
      <c r="AB407">
        <v>11</v>
      </c>
      <c r="AC407">
        <v>2</v>
      </c>
      <c r="AD407">
        <v>2</v>
      </c>
      <c r="AE407">
        <v>11</v>
      </c>
      <c r="AF407">
        <v>9</v>
      </c>
      <c r="AG407">
        <v>4</v>
      </c>
      <c r="AH407">
        <v>10</v>
      </c>
      <c r="AI407">
        <v>0</v>
      </c>
      <c r="AJ407" s="19" t="s">
        <v>1571</v>
      </c>
      <c r="AK407" s="19" t="s">
        <v>1570</v>
      </c>
      <c r="AL407">
        <v>3</v>
      </c>
      <c r="AM407" s="19" t="s">
        <v>1568</v>
      </c>
      <c r="AN407">
        <v>0.77388880581909802</v>
      </c>
      <c r="AO407">
        <v>942900</v>
      </c>
    </row>
    <row r="408" spans="1:41" x14ac:dyDescent="0.3">
      <c r="A408" s="19" t="s">
        <v>479</v>
      </c>
      <c r="B408">
        <v>31</v>
      </c>
      <c r="C408" s="19" t="s">
        <v>196</v>
      </c>
      <c r="D408" s="19" t="s">
        <v>55</v>
      </c>
      <c r="E408" s="19" t="s">
        <v>48</v>
      </c>
      <c r="F408">
        <v>408</v>
      </c>
      <c r="G408" s="19" t="s">
        <v>49</v>
      </c>
      <c r="H408">
        <v>9</v>
      </c>
      <c r="I408">
        <v>4</v>
      </c>
      <c r="J408" s="19" t="s">
        <v>50</v>
      </c>
      <c r="K408">
        <v>493</v>
      </c>
      <c r="L408">
        <v>3</v>
      </c>
      <c r="M408" s="19" t="s">
        <v>51</v>
      </c>
      <c r="N408">
        <v>2</v>
      </c>
      <c r="O408">
        <v>1</v>
      </c>
      <c r="P408" s="19" t="s">
        <v>67</v>
      </c>
      <c r="Q408">
        <v>2</v>
      </c>
      <c r="R408" s="19" t="s">
        <v>53</v>
      </c>
      <c r="S408">
        <v>7655</v>
      </c>
      <c r="T408" s="19" t="s">
        <v>54</v>
      </c>
      <c r="U408">
        <v>47.84</v>
      </c>
      <c r="V408">
        <v>0</v>
      </c>
      <c r="W408" s="19" t="s">
        <v>47</v>
      </c>
      <c r="X408">
        <v>16</v>
      </c>
      <c r="Y408">
        <v>3</v>
      </c>
      <c r="Z408">
        <v>4</v>
      </c>
      <c r="AA408">
        <v>0</v>
      </c>
      <c r="AB408">
        <v>3</v>
      </c>
      <c r="AC408">
        <v>5</v>
      </c>
      <c r="AD408">
        <v>3</v>
      </c>
      <c r="AE408">
        <v>2</v>
      </c>
      <c r="AF408">
        <v>2</v>
      </c>
      <c r="AG408">
        <v>2</v>
      </c>
      <c r="AH408">
        <v>2</v>
      </c>
      <c r="AI408">
        <v>0</v>
      </c>
      <c r="AJ408" s="19" t="s">
        <v>1566</v>
      </c>
      <c r="AK408" s="19" t="s">
        <v>1562</v>
      </c>
      <c r="AL408">
        <v>2</v>
      </c>
      <c r="AM408" s="19" t="s">
        <v>1564</v>
      </c>
      <c r="AN408">
        <v>-0.84648890462157778</v>
      </c>
      <c r="AO408">
        <v>91860</v>
      </c>
    </row>
    <row r="409" spans="1:41" x14ac:dyDescent="0.3">
      <c r="A409" s="19" t="s">
        <v>480</v>
      </c>
      <c r="B409">
        <v>31</v>
      </c>
      <c r="C409" s="19" t="s">
        <v>196</v>
      </c>
      <c r="D409" s="19" t="s">
        <v>55</v>
      </c>
      <c r="E409" s="19" t="s">
        <v>48</v>
      </c>
      <c r="F409">
        <v>480</v>
      </c>
      <c r="G409" s="19" t="s">
        <v>49</v>
      </c>
      <c r="H409">
        <v>7</v>
      </c>
      <c r="I409">
        <v>2</v>
      </c>
      <c r="J409" s="19" t="s">
        <v>58</v>
      </c>
      <c r="K409">
        <v>524</v>
      </c>
      <c r="L409">
        <v>2</v>
      </c>
      <c r="M409" s="19" t="s">
        <v>59</v>
      </c>
      <c r="N409">
        <v>3</v>
      </c>
      <c r="O409">
        <v>2</v>
      </c>
      <c r="P409" s="19" t="s">
        <v>120</v>
      </c>
      <c r="Q409">
        <v>1</v>
      </c>
      <c r="R409" s="19" t="s">
        <v>113</v>
      </c>
      <c r="S409">
        <v>71031</v>
      </c>
      <c r="T409" s="19" t="s">
        <v>64</v>
      </c>
      <c r="U409">
        <v>443.94</v>
      </c>
      <c r="V409">
        <v>1</v>
      </c>
      <c r="W409" s="19" t="s">
        <v>55</v>
      </c>
      <c r="X409">
        <v>12</v>
      </c>
      <c r="Y409">
        <v>3</v>
      </c>
      <c r="Z409">
        <v>2</v>
      </c>
      <c r="AA409">
        <v>1</v>
      </c>
      <c r="AB409">
        <v>13</v>
      </c>
      <c r="AC409">
        <v>5</v>
      </c>
      <c r="AD409">
        <v>1</v>
      </c>
      <c r="AE409">
        <v>13</v>
      </c>
      <c r="AF409">
        <v>10</v>
      </c>
      <c r="AG409">
        <v>3</v>
      </c>
      <c r="AH409">
        <v>12</v>
      </c>
      <c r="AI409">
        <v>0</v>
      </c>
      <c r="AJ409" s="19" t="s">
        <v>1571</v>
      </c>
      <c r="AK409" s="19" t="s">
        <v>1570</v>
      </c>
      <c r="AL409">
        <v>3</v>
      </c>
      <c r="AM409" s="19" t="s">
        <v>1568</v>
      </c>
      <c r="AN409">
        <v>0.60357741986810498</v>
      </c>
      <c r="AO409">
        <v>852372</v>
      </c>
    </row>
    <row r="410" spans="1:41" x14ac:dyDescent="0.3">
      <c r="A410" s="19" t="s">
        <v>481</v>
      </c>
      <c r="B410">
        <v>31</v>
      </c>
      <c r="C410" s="19" t="s">
        <v>196</v>
      </c>
      <c r="D410" s="19" t="s">
        <v>55</v>
      </c>
      <c r="E410" s="19" t="s">
        <v>48</v>
      </c>
      <c r="F410">
        <v>329</v>
      </c>
      <c r="G410" s="19" t="s">
        <v>49</v>
      </c>
      <c r="H410">
        <v>1</v>
      </c>
      <c r="I410">
        <v>2</v>
      </c>
      <c r="J410" s="19" t="s">
        <v>50</v>
      </c>
      <c r="K410">
        <v>530</v>
      </c>
      <c r="L410">
        <v>4</v>
      </c>
      <c r="M410" s="19" t="s">
        <v>51</v>
      </c>
      <c r="N410">
        <v>2</v>
      </c>
      <c r="O410">
        <v>1</v>
      </c>
      <c r="P410" s="19" t="s">
        <v>52</v>
      </c>
      <c r="Q410">
        <v>1</v>
      </c>
      <c r="R410" s="19" t="s">
        <v>113</v>
      </c>
      <c r="S410">
        <v>77429</v>
      </c>
      <c r="T410" s="19" t="s">
        <v>64</v>
      </c>
      <c r="U410">
        <v>483.93</v>
      </c>
      <c r="V410">
        <v>1</v>
      </c>
      <c r="W410" s="19" t="s">
        <v>55</v>
      </c>
      <c r="X410">
        <v>12</v>
      </c>
      <c r="Y410">
        <v>3</v>
      </c>
      <c r="Z410">
        <v>3</v>
      </c>
      <c r="AA410">
        <v>1</v>
      </c>
      <c r="AB410">
        <v>4</v>
      </c>
      <c r="AC410">
        <v>3</v>
      </c>
      <c r="AD410">
        <v>3</v>
      </c>
      <c r="AE410">
        <v>4</v>
      </c>
      <c r="AF410">
        <v>2</v>
      </c>
      <c r="AG410">
        <v>3</v>
      </c>
      <c r="AH410">
        <v>2</v>
      </c>
      <c r="AI410">
        <v>0</v>
      </c>
      <c r="AJ410" s="19" t="s">
        <v>1567</v>
      </c>
      <c r="AK410" s="19" t="s">
        <v>1570</v>
      </c>
      <c r="AL410">
        <v>2</v>
      </c>
      <c r="AM410" s="19" t="s">
        <v>1564</v>
      </c>
      <c r="AN410">
        <v>0.49706311048337765</v>
      </c>
      <c r="AO410">
        <v>929148</v>
      </c>
    </row>
    <row r="411" spans="1:41" x14ac:dyDescent="0.3">
      <c r="A411" s="19" t="s">
        <v>482</v>
      </c>
      <c r="B411">
        <v>31</v>
      </c>
      <c r="C411" s="19" t="s">
        <v>196</v>
      </c>
      <c r="D411" s="19" t="s">
        <v>55</v>
      </c>
      <c r="E411" s="19" t="s">
        <v>48</v>
      </c>
      <c r="F411">
        <v>1274</v>
      </c>
      <c r="G411" s="19" t="s">
        <v>49</v>
      </c>
      <c r="H411">
        <v>9</v>
      </c>
      <c r="I411">
        <v>1</v>
      </c>
      <c r="J411" s="19" t="s">
        <v>50</v>
      </c>
      <c r="K411">
        <v>581</v>
      </c>
      <c r="L411">
        <v>3</v>
      </c>
      <c r="M411" s="19" t="s">
        <v>51</v>
      </c>
      <c r="N411">
        <v>3</v>
      </c>
      <c r="O411">
        <v>3</v>
      </c>
      <c r="P411" s="19" t="s">
        <v>120</v>
      </c>
      <c r="Q411">
        <v>2</v>
      </c>
      <c r="R411" s="19" t="s">
        <v>53</v>
      </c>
      <c r="S411">
        <v>92083</v>
      </c>
      <c r="T411" s="19" t="s">
        <v>70</v>
      </c>
      <c r="U411">
        <v>575.52</v>
      </c>
      <c r="V411">
        <v>1</v>
      </c>
      <c r="W411" s="19" t="s">
        <v>55</v>
      </c>
      <c r="X411">
        <v>25</v>
      </c>
      <c r="Y411">
        <v>4</v>
      </c>
      <c r="Z411">
        <v>4</v>
      </c>
      <c r="AA411">
        <v>1</v>
      </c>
      <c r="AB411">
        <v>13</v>
      </c>
      <c r="AC411">
        <v>6</v>
      </c>
      <c r="AD411">
        <v>4</v>
      </c>
      <c r="AE411">
        <v>13</v>
      </c>
      <c r="AF411">
        <v>8</v>
      </c>
      <c r="AG411">
        <v>0</v>
      </c>
      <c r="AH411">
        <v>8</v>
      </c>
      <c r="AI411">
        <v>0</v>
      </c>
      <c r="AJ411" s="19" t="s">
        <v>1571</v>
      </c>
      <c r="AK411" s="19" t="s">
        <v>1562</v>
      </c>
      <c r="AL411">
        <v>1</v>
      </c>
      <c r="AM411" s="19" t="s">
        <v>1565</v>
      </c>
      <c r="AN411">
        <v>1.0788419078108813</v>
      </c>
      <c r="AO411">
        <v>1104996</v>
      </c>
    </row>
    <row r="412" spans="1:41" x14ac:dyDescent="0.3">
      <c r="A412" s="19" t="s">
        <v>483</v>
      </c>
      <c r="B412">
        <v>31</v>
      </c>
      <c r="C412" s="19" t="s">
        <v>196</v>
      </c>
      <c r="D412" s="19" t="s">
        <v>47</v>
      </c>
      <c r="E412" s="19" t="s">
        <v>62</v>
      </c>
      <c r="F412">
        <v>534</v>
      </c>
      <c r="G412" s="19" t="s">
        <v>49</v>
      </c>
      <c r="H412">
        <v>20</v>
      </c>
      <c r="I412">
        <v>3</v>
      </c>
      <c r="J412" s="19" t="s">
        <v>50</v>
      </c>
      <c r="K412">
        <v>587</v>
      </c>
      <c r="L412">
        <v>1</v>
      </c>
      <c r="M412" s="19" t="s">
        <v>51</v>
      </c>
      <c r="N412">
        <v>3</v>
      </c>
      <c r="O412">
        <v>3</v>
      </c>
      <c r="P412" s="19" t="s">
        <v>168</v>
      </c>
      <c r="Q412">
        <v>3</v>
      </c>
      <c r="R412" s="19" t="s">
        <v>113</v>
      </c>
      <c r="S412">
        <v>88922</v>
      </c>
      <c r="T412" s="19" t="s">
        <v>70</v>
      </c>
      <c r="U412">
        <v>555.76</v>
      </c>
      <c r="V412">
        <v>3</v>
      </c>
      <c r="W412" s="19" t="s">
        <v>55</v>
      </c>
      <c r="X412">
        <v>12</v>
      </c>
      <c r="Y412">
        <v>3</v>
      </c>
      <c r="Z412">
        <v>1</v>
      </c>
      <c r="AA412">
        <v>0</v>
      </c>
      <c r="AB412">
        <v>12</v>
      </c>
      <c r="AC412">
        <v>2</v>
      </c>
      <c r="AD412">
        <v>3</v>
      </c>
      <c r="AE412">
        <v>1</v>
      </c>
      <c r="AF412">
        <v>0</v>
      </c>
      <c r="AG412">
        <v>0</v>
      </c>
      <c r="AH412">
        <v>0</v>
      </c>
      <c r="AI412">
        <v>1</v>
      </c>
      <c r="AJ412" s="19" t="s">
        <v>1561</v>
      </c>
      <c r="AK412" s="19" t="s">
        <v>1562</v>
      </c>
      <c r="AL412">
        <v>0</v>
      </c>
      <c r="AM412" s="19" t="s">
        <v>1563</v>
      </c>
      <c r="AN412">
        <v>0.84527042250180839</v>
      </c>
      <c r="AO412">
        <v>1067064</v>
      </c>
    </row>
    <row r="413" spans="1:41" x14ac:dyDescent="0.3">
      <c r="A413" s="19" t="s">
        <v>484</v>
      </c>
      <c r="B413">
        <v>31</v>
      </c>
      <c r="C413" s="19" t="s">
        <v>196</v>
      </c>
      <c r="D413" s="19" t="s">
        <v>55</v>
      </c>
      <c r="E413" s="19" t="s">
        <v>48</v>
      </c>
      <c r="F413">
        <v>828</v>
      </c>
      <c r="G413" s="19" t="s">
        <v>57</v>
      </c>
      <c r="H413">
        <v>2</v>
      </c>
      <c r="I413">
        <v>1</v>
      </c>
      <c r="J413" s="19" t="s">
        <v>50</v>
      </c>
      <c r="K413">
        <v>604</v>
      </c>
      <c r="L413">
        <v>2</v>
      </c>
      <c r="M413" s="19" t="s">
        <v>51</v>
      </c>
      <c r="N413">
        <v>3</v>
      </c>
      <c r="O413">
        <v>2</v>
      </c>
      <c r="P413" s="19" t="s">
        <v>145</v>
      </c>
      <c r="Q413">
        <v>4</v>
      </c>
      <c r="R413" s="19" t="s">
        <v>53</v>
      </c>
      <c r="S413">
        <v>56766</v>
      </c>
      <c r="T413" s="19" t="s">
        <v>64</v>
      </c>
      <c r="U413">
        <v>354.79</v>
      </c>
      <c r="V413">
        <v>4</v>
      </c>
      <c r="W413" s="19" t="s">
        <v>47</v>
      </c>
      <c r="X413">
        <v>13</v>
      </c>
      <c r="Y413">
        <v>3</v>
      </c>
      <c r="Z413">
        <v>3</v>
      </c>
      <c r="AA413">
        <v>0</v>
      </c>
      <c r="AB413">
        <v>10</v>
      </c>
      <c r="AC413">
        <v>2</v>
      </c>
      <c r="AD413">
        <v>4</v>
      </c>
      <c r="AE413">
        <v>6</v>
      </c>
      <c r="AF413">
        <v>5</v>
      </c>
      <c r="AG413">
        <v>0</v>
      </c>
      <c r="AH413">
        <v>5</v>
      </c>
      <c r="AI413">
        <v>0</v>
      </c>
      <c r="AJ413" s="19" t="s">
        <v>1569</v>
      </c>
      <c r="AK413" s="19" t="s">
        <v>1562</v>
      </c>
      <c r="AL413">
        <v>1</v>
      </c>
      <c r="AM413" s="19" t="s">
        <v>1565</v>
      </c>
      <c r="AN413">
        <v>0.15712086042738835</v>
      </c>
      <c r="AO413">
        <v>681192</v>
      </c>
    </row>
    <row r="414" spans="1:41" x14ac:dyDescent="0.3">
      <c r="A414" s="19" t="s">
        <v>485</v>
      </c>
      <c r="B414">
        <v>31</v>
      </c>
      <c r="C414" s="19" t="s">
        <v>196</v>
      </c>
      <c r="D414" s="19" t="s">
        <v>55</v>
      </c>
      <c r="E414" s="19" t="s">
        <v>48</v>
      </c>
      <c r="F414">
        <v>688</v>
      </c>
      <c r="G414" s="19" t="s">
        <v>57</v>
      </c>
      <c r="H414">
        <v>7</v>
      </c>
      <c r="I414">
        <v>3</v>
      </c>
      <c r="J414" s="19" t="s">
        <v>50</v>
      </c>
      <c r="K414">
        <v>613</v>
      </c>
      <c r="L414">
        <v>3</v>
      </c>
      <c r="M414" s="19" t="s">
        <v>51</v>
      </c>
      <c r="N414">
        <v>2</v>
      </c>
      <c r="O414">
        <v>3</v>
      </c>
      <c r="P414" s="19" t="s">
        <v>444</v>
      </c>
      <c r="Q414">
        <v>4</v>
      </c>
      <c r="R414" s="19" t="s">
        <v>53</v>
      </c>
      <c r="S414">
        <v>14403</v>
      </c>
      <c r="T414" s="19" t="s">
        <v>54</v>
      </c>
      <c r="U414">
        <v>90.02</v>
      </c>
      <c r="V414">
        <v>9</v>
      </c>
      <c r="W414" s="19" t="s">
        <v>55</v>
      </c>
      <c r="X414">
        <v>21</v>
      </c>
      <c r="Y414">
        <v>4</v>
      </c>
      <c r="Z414">
        <v>3</v>
      </c>
      <c r="AA414">
        <v>1</v>
      </c>
      <c r="AB414">
        <v>10</v>
      </c>
      <c r="AC414">
        <v>3</v>
      </c>
      <c r="AD414">
        <v>2</v>
      </c>
      <c r="AE414">
        <v>5</v>
      </c>
      <c r="AF414">
        <v>4</v>
      </c>
      <c r="AG414">
        <v>0</v>
      </c>
      <c r="AH414">
        <v>1</v>
      </c>
      <c r="AI414">
        <v>0</v>
      </c>
      <c r="AJ414" s="19" t="s">
        <v>1567</v>
      </c>
      <c r="AK414" s="19" t="s">
        <v>1562</v>
      </c>
      <c r="AL414">
        <v>1</v>
      </c>
      <c r="AM414" s="19" t="s">
        <v>1565</v>
      </c>
      <c r="AN414">
        <v>-0.72407154614715974</v>
      </c>
      <c r="AO414">
        <v>172836</v>
      </c>
    </row>
    <row r="415" spans="1:41" x14ac:dyDescent="0.3">
      <c r="A415" s="19" t="s">
        <v>486</v>
      </c>
      <c r="B415">
        <v>31</v>
      </c>
      <c r="C415" s="19" t="s">
        <v>196</v>
      </c>
      <c r="D415" s="19" t="s">
        <v>47</v>
      </c>
      <c r="E415" s="19" t="s">
        <v>48</v>
      </c>
      <c r="F415">
        <v>1365</v>
      </c>
      <c r="G415" s="19" t="s">
        <v>57</v>
      </c>
      <c r="H415">
        <v>13</v>
      </c>
      <c r="I415">
        <v>4</v>
      </c>
      <c r="J415" s="19" t="s">
        <v>58</v>
      </c>
      <c r="K415">
        <v>650</v>
      </c>
      <c r="L415">
        <v>2</v>
      </c>
      <c r="M415" s="19" t="s">
        <v>51</v>
      </c>
      <c r="N415">
        <v>3</v>
      </c>
      <c r="O415">
        <v>2</v>
      </c>
      <c r="P415" s="19" t="s">
        <v>145</v>
      </c>
      <c r="Q415">
        <v>1</v>
      </c>
      <c r="R415" s="19" t="s">
        <v>53</v>
      </c>
      <c r="S415">
        <v>33097</v>
      </c>
      <c r="T415" s="19" t="s">
        <v>72</v>
      </c>
      <c r="U415">
        <v>206.86</v>
      </c>
      <c r="V415">
        <v>2</v>
      </c>
      <c r="W415" s="19" t="s">
        <v>55</v>
      </c>
      <c r="X415">
        <v>17</v>
      </c>
      <c r="Y415">
        <v>3</v>
      </c>
      <c r="Z415">
        <v>3</v>
      </c>
      <c r="AA415">
        <v>0</v>
      </c>
      <c r="AB415">
        <v>9</v>
      </c>
      <c r="AC415">
        <v>2</v>
      </c>
      <c r="AD415">
        <v>1</v>
      </c>
      <c r="AE415">
        <v>3</v>
      </c>
      <c r="AF415">
        <v>1</v>
      </c>
      <c r="AG415">
        <v>1</v>
      </c>
      <c r="AH415">
        <v>2</v>
      </c>
      <c r="AI415">
        <v>1</v>
      </c>
      <c r="AJ415" s="19" t="s">
        <v>1566</v>
      </c>
      <c r="AK415" s="19" t="s">
        <v>1562</v>
      </c>
      <c r="AL415">
        <v>2</v>
      </c>
      <c r="AM415" s="19" t="s">
        <v>1564</v>
      </c>
      <c r="AN415">
        <v>-0.32534916820693244</v>
      </c>
      <c r="AO415">
        <v>397164</v>
      </c>
    </row>
    <row r="416" spans="1:41" x14ac:dyDescent="0.3">
      <c r="A416" s="19" t="s">
        <v>487</v>
      </c>
      <c r="B416">
        <v>31</v>
      </c>
      <c r="C416" s="19" t="s">
        <v>196</v>
      </c>
      <c r="D416" s="19" t="s">
        <v>55</v>
      </c>
      <c r="E416" s="19" t="s">
        <v>48</v>
      </c>
      <c r="F416">
        <v>525</v>
      </c>
      <c r="G416" s="19" t="s">
        <v>57</v>
      </c>
      <c r="H416">
        <v>6</v>
      </c>
      <c r="I416">
        <v>4</v>
      </c>
      <c r="J416" s="19" t="s">
        <v>58</v>
      </c>
      <c r="K416">
        <v>653</v>
      </c>
      <c r="L416">
        <v>1</v>
      </c>
      <c r="M416" s="19" t="s">
        <v>51</v>
      </c>
      <c r="N416">
        <v>4</v>
      </c>
      <c r="O416">
        <v>2</v>
      </c>
      <c r="P416" s="19" t="s">
        <v>145</v>
      </c>
      <c r="Q416">
        <v>4</v>
      </c>
      <c r="R416" s="19" t="s">
        <v>53</v>
      </c>
      <c r="S416">
        <v>79657</v>
      </c>
      <c r="T416" s="19" t="s">
        <v>64</v>
      </c>
      <c r="U416">
        <v>497.86</v>
      </c>
      <c r="V416">
        <v>4</v>
      </c>
      <c r="W416" s="19" t="s">
        <v>55</v>
      </c>
      <c r="X416">
        <v>22</v>
      </c>
      <c r="Y416">
        <v>4</v>
      </c>
      <c r="Z416">
        <v>4</v>
      </c>
      <c r="AA416">
        <v>2</v>
      </c>
      <c r="AB416">
        <v>13</v>
      </c>
      <c r="AC416">
        <v>4</v>
      </c>
      <c r="AD416">
        <v>4</v>
      </c>
      <c r="AE416">
        <v>7</v>
      </c>
      <c r="AF416">
        <v>7</v>
      </c>
      <c r="AG416">
        <v>5</v>
      </c>
      <c r="AH416">
        <v>7</v>
      </c>
      <c r="AI416">
        <v>0</v>
      </c>
      <c r="AJ416" s="19" t="s">
        <v>1569</v>
      </c>
      <c r="AK416" s="19" t="s">
        <v>1570</v>
      </c>
      <c r="AL416">
        <v>1</v>
      </c>
      <c r="AM416" s="19" t="s">
        <v>1565</v>
      </c>
      <c r="AN416">
        <v>0.62373209983202049</v>
      </c>
      <c r="AO416">
        <v>955884</v>
      </c>
    </row>
    <row r="417" spans="1:41" x14ac:dyDescent="0.3">
      <c r="A417" s="19" t="s">
        <v>488</v>
      </c>
      <c r="B417">
        <v>31</v>
      </c>
      <c r="C417" s="19" t="s">
        <v>196</v>
      </c>
      <c r="D417" s="19" t="s">
        <v>55</v>
      </c>
      <c r="E417" s="19" t="s">
        <v>48</v>
      </c>
      <c r="F417">
        <v>1222</v>
      </c>
      <c r="G417" s="19" t="s">
        <v>49</v>
      </c>
      <c r="H417">
        <v>11</v>
      </c>
      <c r="I417">
        <v>4</v>
      </c>
      <c r="J417" s="19" t="s">
        <v>50</v>
      </c>
      <c r="K417">
        <v>895</v>
      </c>
      <c r="L417">
        <v>4</v>
      </c>
      <c r="M417" s="19" t="s">
        <v>51</v>
      </c>
      <c r="N417">
        <v>3</v>
      </c>
      <c r="O417">
        <v>1</v>
      </c>
      <c r="P417" s="19" t="s">
        <v>67</v>
      </c>
      <c r="Q417">
        <v>4</v>
      </c>
      <c r="R417" s="19" t="s">
        <v>113</v>
      </c>
      <c r="S417">
        <v>11966</v>
      </c>
      <c r="T417" s="19" t="s">
        <v>54</v>
      </c>
      <c r="U417">
        <v>74.790000000000006</v>
      </c>
      <c r="V417">
        <v>3</v>
      </c>
      <c r="W417" s="19" t="s">
        <v>47</v>
      </c>
      <c r="X417">
        <v>19</v>
      </c>
      <c r="Y417">
        <v>3</v>
      </c>
      <c r="Z417">
        <v>2</v>
      </c>
      <c r="AA417">
        <v>1</v>
      </c>
      <c r="AB417">
        <v>8</v>
      </c>
      <c r="AC417">
        <v>2</v>
      </c>
      <c r="AD417">
        <v>3</v>
      </c>
      <c r="AE417">
        <v>6</v>
      </c>
      <c r="AF417">
        <v>4</v>
      </c>
      <c r="AG417">
        <v>0</v>
      </c>
      <c r="AH417">
        <v>2</v>
      </c>
      <c r="AI417">
        <v>0</v>
      </c>
      <c r="AJ417" s="19" t="s">
        <v>1569</v>
      </c>
      <c r="AK417" s="19" t="s">
        <v>1562</v>
      </c>
      <c r="AL417">
        <v>1</v>
      </c>
      <c r="AM417" s="19" t="s">
        <v>1565</v>
      </c>
      <c r="AN417">
        <v>-0.76003739160049633</v>
      </c>
      <c r="AO417">
        <v>143592</v>
      </c>
    </row>
    <row r="418" spans="1:41" x14ac:dyDescent="0.3">
      <c r="A418" s="19" t="s">
        <v>489</v>
      </c>
      <c r="B418">
        <v>31</v>
      </c>
      <c r="C418" s="19" t="s">
        <v>196</v>
      </c>
      <c r="D418" s="19" t="s">
        <v>55</v>
      </c>
      <c r="E418" s="19" t="s">
        <v>48</v>
      </c>
      <c r="F418">
        <v>154</v>
      </c>
      <c r="G418" s="19" t="s">
        <v>57</v>
      </c>
      <c r="H418">
        <v>7</v>
      </c>
      <c r="I418">
        <v>4</v>
      </c>
      <c r="J418" s="19" t="s">
        <v>50</v>
      </c>
      <c r="K418">
        <v>941</v>
      </c>
      <c r="L418">
        <v>2</v>
      </c>
      <c r="M418" s="19" t="s">
        <v>51</v>
      </c>
      <c r="N418">
        <v>2</v>
      </c>
      <c r="O418">
        <v>1</v>
      </c>
      <c r="P418" s="19" t="s">
        <v>60</v>
      </c>
      <c r="Q418">
        <v>3</v>
      </c>
      <c r="R418" s="19" t="s">
        <v>113</v>
      </c>
      <c r="S418">
        <v>94848</v>
      </c>
      <c r="T418" s="19" t="s">
        <v>70</v>
      </c>
      <c r="U418">
        <v>592.79999999999995</v>
      </c>
      <c r="V418">
        <v>3</v>
      </c>
      <c r="W418" s="19" t="s">
        <v>55</v>
      </c>
      <c r="X418">
        <v>15</v>
      </c>
      <c r="Y418">
        <v>3</v>
      </c>
      <c r="Z418">
        <v>2</v>
      </c>
      <c r="AA418">
        <v>0</v>
      </c>
      <c r="AB418">
        <v>13</v>
      </c>
      <c r="AC418">
        <v>2</v>
      </c>
      <c r="AD418">
        <v>4</v>
      </c>
      <c r="AE418">
        <v>7</v>
      </c>
      <c r="AF418">
        <v>7</v>
      </c>
      <c r="AG418">
        <v>5</v>
      </c>
      <c r="AH418">
        <v>2</v>
      </c>
      <c r="AI418">
        <v>0</v>
      </c>
      <c r="AJ418" s="19" t="s">
        <v>1569</v>
      </c>
      <c r="AK418" s="19" t="s">
        <v>1570</v>
      </c>
      <c r="AL418">
        <v>1</v>
      </c>
      <c r="AM418" s="19" t="s">
        <v>1565</v>
      </c>
      <c r="AN418">
        <v>0.92284933501083999</v>
      </c>
      <c r="AO418">
        <v>1138176</v>
      </c>
    </row>
    <row r="419" spans="1:41" x14ac:dyDescent="0.3">
      <c r="A419" s="19" t="s">
        <v>490</v>
      </c>
      <c r="B419">
        <v>31</v>
      </c>
      <c r="C419" s="19" t="s">
        <v>196</v>
      </c>
      <c r="D419" s="19" t="s">
        <v>55</v>
      </c>
      <c r="E419" s="19" t="s">
        <v>66</v>
      </c>
      <c r="F419">
        <v>1188</v>
      </c>
      <c r="G419" s="19" t="s">
        <v>57</v>
      </c>
      <c r="H419">
        <v>20</v>
      </c>
      <c r="I419">
        <v>2</v>
      </c>
      <c r="J419" s="19" t="s">
        <v>63</v>
      </c>
      <c r="K419">
        <v>947</v>
      </c>
      <c r="L419">
        <v>4</v>
      </c>
      <c r="M419" s="19" t="s">
        <v>59</v>
      </c>
      <c r="N419">
        <v>3</v>
      </c>
      <c r="O419">
        <v>2</v>
      </c>
      <c r="P419" s="19" t="s">
        <v>145</v>
      </c>
      <c r="Q419">
        <v>3</v>
      </c>
      <c r="R419" s="19" t="s">
        <v>113</v>
      </c>
      <c r="S419">
        <v>53921</v>
      </c>
      <c r="T419" s="19" t="s">
        <v>64</v>
      </c>
      <c r="U419">
        <v>337.01</v>
      </c>
      <c r="V419">
        <v>1</v>
      </c>
      <c r="W419" s="19" t="s">
        <v>55</v>
      </c>
      <c r="X419">
        <v>13</v>
      </c>
      <c r="Y419">
        <v>3</v>
      </c>
      <c r="Z419">
        <v>4</v>
      </c>
      <c r="AA419">
        <v>1</v>
      </c>
      <c r="AB419">
        <v>9</v>
      </c>
      <c r="AC419">
        <v>2</v>
      </c>
      <c r="AD419">
        <v>2</v>
      </c>
      <c r="AE419">
        <v>9</v>
      </c>
      <c r="AF419">
        <v>8</v>
      </c>
      <c r="AG419">
        <v>0</v>
      </c>
      <c r="AH419">
        <v>0</v>
      </c>
      <c r="AI419">
        <v>0</v>
      </c>
      <c r="AJ419" s="19" t="s">
        <v>1569</v>
      </c>
      <c r="AK419" s="19" t="s">
        <v>1562</v>
      </c>
      <c r="AL419">
        <v>1</v>
      </c>
      <c r="AM419" s="19" t="s">
        <v>1565</v>
      </c>
      <c r="AN419">
        <v>9.9128244285403372E-2</v>
      </c>
      <c r="AO419">
        <v>647052</v>
      </c>
    </row>
    <row r="420" spans="1:41" x14ac:dyDescent="0.3">
      <c r="A420" s="19" t="s">
        <v>491</v>
      </c>
      <c r="B420">
        <v>31</v>
      </c>
      <c r="C420" s="19" t="s">
        <v>196</v>
      </c>
      <c r="D420" s="19" t="s">
        <v>55</v>
      </c>
      <c r="E420" s="19" t="s">
        <v>48</v>
      </c>
      <c r="F420">
        <v>616</v>
      </c>
      <c r="G420" s="19" t="s">
        <v>49</v>
      </c>
      <c r="H420">
        <v>12</v>
      </c>
      <c r="I420">
        <v>3</v>
      </c>
      <c r="J420" s="19" t="s">
        <v>58</v>
      </c>
      <c r="K420">
        <v>961</v>
      </c>
      <c r="L420">
        <v>4</v>
      </c>
      <c r="M420" s="19" t="s">
        <v>59</v>
      </c>
      <c r="N420">
        <v>3</v>
      </c>
      <c r="O420">
        <v>2</v>
      </c>
      <c r="P420" s="19" t="s">
        <v>168</v>
      </c>
      <c r="Q420">
        <v>4</v>
      </c>
      <c r="R420" s="19" t="s">
        <v>113</v>
      </c>
      <c r="S420">
        <v>50726</v>
      </c>
      <c r="T420" s="19" t="s">
        <v>64</v>
      </c>
      <c r="U420">
        <v>317.04000000000002</v>
      </c>
      <c r="V420">
        <v>0</v>
      </c>
      <c r="W420" s="19" t="s">
        <v>47</v>
      </c>
      <c r="X420">
        <v>11</v>
      </c>
      <c r="Y420">
        <v>3</v>
      </c>
      <c r="Z420">
        <v>3</v>
      </c>
      <c r="AA420">
        <v>2</v>
      </c>
      <c r="AB420">
        <v>10</v>
      </c>
      <c r="AC420">
        <v>2</v>
      </c>
      <c r="AD420">
        <v>1</v>
      </c>
      <c r="AE420">
        <v>9</v>
      </c>
      <c r="AF420">
        <v>7</v>
      </c>
      <c r="AG420">
        <v>8</v>
      </c>
      <c r="AH420">
        <v>5</v>
      </c>
      <c r="AI420">
        <v>0</v>
      </c>
      <c r="AJ420" s="19" t="s">
        <v>1569</v>
      </c>
      <c r="AK420" s="19" t="s">
        <v>1570</v>
      </c>
      <c r="AL420">
        <v>3</v>
      </c>
      <c r="AM420" s="19" t="s">
        <v>1568</v>
      </c>
      <c r="AN420">
        <v>5.2643749036534654E-2</v>
      </c>
      <c r="AO420">
        <v>608712</v>
      </c>
    </row>
    <row r="421" spans="1:41" x14ac:dyDescent="0.3">
      <c r="A421" s="19" t="s">
        <v>492</v>
      </c>
      <c r="B421">
        <v>31</v>
      </c>
      <c r="C421" s="19" t="s">
        <v>196</v>
      </c>
      <c r="D421" s="19" t="s">
        <v>47</v>
      </c>
      <c r="E421" s="19" t="s">
        <v>66</v>
      </c>
      <c r="F421">
        <v>335</v>
      </c>
      <c r="G421" s="19" t="s">
        <v>49</v>
      </c>
      <c r="H421">
        <v>9</v>
      </c>
      <c r="I421">
        <v>2</v>
      </c>
      <c r="J421" s="19" t="s">
        <v>58</v>
      </c>
      <c r="K421">
        <v>991</v>
      </c>
      <c r="L421">
        <v>3</v>
      </c>
      <c r="M421" s="19" t="s">
        <v>51</v>
      </c>
      <c r="N421">
        <v>2</v>
      </c>
      <c r="O421">
        <v>1</v>
      </c>
      <c r="P421" s="19" t="s">
        <v>67</v>
      </c>
      <c r="Q421">
        <v>1</v>
      </c>
      <c r="R421" s="19" t="s">
        <v>53</v>
      </c>
      <c r="S421">
        <v>51300</v>
      </c>
      <c r="T421" s="19" t="s">
        <v>64</v>
      </c>
      <c r="U421">
        <v>320.62</v>
      </c>
      <c r="V421">
        <v>0</v>
      </c>
      <c r="W421" s="19" t="s">
        <v>47</v>
      </c>
      <c r="X421">
        <v>22</v>
      </c>
      <c r="Y421">
        <v>4</v>
      </c>
      <c r="Z421">
        <v>1</v>
      </c>
      <c r="AA421">
        <v>0</v>
      </c>
      <c r="AB421">
        <v>4</v>
      </c>
      <c r="AC421">
        <v>0</v>
      </c>
      <c r="AD421">
        <v>3</v>
      </c>
      <c r="AE421">
        <v>3</v>
      </c>
      <c r="AF421">
        <v>2</v>
      </c>
      <c r="AG421">
        <v>1</v>
      </c>
      <c r="AH421">
        <v>2</v>
      </c>
      <c r="AI421">
        <v>1</v>
      </c>
      <c r="AJ421" s="19" t="s">
        <v>1566</v>
      </c>
      <c r="AK421" s="19" t="s">
        <v>1562</v>
      </c>
      <c r="AL421">
        <v>2</v>
      </c>
      <c r="AM421" s="19" t="s">
        <v>1564</v>
      </c>
      <c r="AN421">
        <v>2.8754956618296825E-2</v>
      </c>
      <c r="AO421">
        <v>615600</v>
      </c>
    </row>
    <row r="422" spans="1:41" x14ac:dyDescent="0.3">
      <c r="A422" s="19" t="s">
        <v>493</v>
      </c>
      <c r="B422">
        <v>31</v>
      </c>
      <c r="C422" s="19" t="s">
        <v>196</v>
      </c>
      <c r="D422" s="19" t="s">
        <v>55</v>
      </c>
      <c r="E422" s="19" t="s">
        <v>62</v>
      </c>
      <c r="F422">
        <v>853</v>
      </c>
      <c r="G422" s="19" t="s">
        <v>49</v>
      </c>
      <c r="H422">
        <v>1</v>
      </c>
      <c r="I422">
        <v>1</v>
      </c>
      <c r="J422" s="19" t="s">
        <v>50</v>
      </c>
      <c r="K422">
        <v>1011</v>
      </c>
      <c r="L422">
        <v>3</v>
      </c>
      <c r="M422" s="19" t="s">
        <v>59</v>
      </c>
      <c r="N422">
        <v>3</v>
      </c>
      <c r="O422">
        <v>2</v>
      </c>
      <c r="P422" s="19" t="s">
        <v>120</v>
      </c>
      <c r="Q422">
        <v>1</v>
      </c>
      <c r="R422" s="19" t="s">
        <v>113</v>
      </c>
      <c r="S422">
        <v>23677</v>
      </c>
      <c r="T422" s="19" t="s">
        <v>54</v>
      </c>
      <c r="U422">
        <v>147.97999999999999</v>
      </c>
      <c r="V422">
        <v>1</v>
      </c>
      <c r="W422" s="19" t="s">
        <v>55</v>
      </c>
      <c r="X422">
        <v>12</v>
      </c>
      <c r="Y422">
        <v>3</v>
      </c>
      <c r="Z422">
        <v>3</v>
      </c>
      <c r="AA422">
        <v>1</v>
      </c>
      <c r="AB422">
        <v>4</v>
      </c>
      <c r="AC422">
        <v>1</v>
      </c>
      <c r="AD422">
        <v>3</v>
      </c>
      <c r="AE422">
        <v>4</v>
      </c>
      <c r="AF422">
        <v>3</v>
      </c>
      <c r="AG422">
        <v>0</v>
      </c>
      <c r="AH422">
        <v>3</v>
      </c>
      <c r="AI422">
        <v>0</v>
      </c>
      <c r="AJ422" s="19" t="s">
        <v>1567</v>
      </c>
      <c r="AK422" s="19" t="s">
        <v>1562</v>
      </c>
      <c r="AL422">
        <v>1</v>
      </c>
      <c r="AM422" s="19" t="s">
        <v>1565</v>
      </c>
      <c r="AN422">
        <v>-0.46547419337729834</v>
      </c>
      <c r="AO422">
        <v>284124</v>
      </c>
    </row>
    <row r="423" spans="1:41" x14ac:dyDescent="0.3">
      <c r="A423" s="19" t="s">
        <v>494</v>
      </c>
      <c r="B423">
        <v>31</v>
      </c>
      <c r="C423" s="19" t="s">
        <v>196</v>
      </c>
      <c r="D423" s="19" t="s">
        <v>55</v>
      </c>
      <c r="E423" s="19" t="s">
        <v>62</v>
      </c>
      <c r="F423">
        <v>793</v>
      </c>
      <c r="G423" s="19" t="s">
        <v>57</v>
      </c>
      <c r="H423">
        <v>20</v>
      </c>
      <c r="I423">
        <v>3</v>
      </c>
      <c r="J423" s="19" t="s">
        <v>50</v>
      </c>
      <c r="K423">
        <v>1135</v>
      </c>
      <c r="L423">
        <v>3</v>
      </c>
      <c r="M423" s="19" t="s">
        <v>51</v>
      </c>
      <c r="N423">
        <v>4</v>
      </c>
      <c r="O423">
        <v>1</v>
      </c>
      <c r="P423" s="19" t="s">
        <v>60</v>
      </c>
      <c r="Q423">
        <v>4</v>
      </c>
      <c r="R423" s="19" t="s">
        <v>113</v>
      </c>
      <c r="S423">
        <v>56609</v>
      </c>
      <c r="T423" s="19" t="s">
        <v>64</v>
      </c>
      <c r="U423">
        <v>353.81</v>
      </c>
      <c r="V423">
        <v>0</v>
      </c>
      <c r="W423" s="19" t="s">
        <v>55</v>
      </c>
      <c r="X423">
        <v>12</v>
      </c>
      <c r="Y423">
        <v>3</v>
      </c>
      <c r="Z423">
        <v>1</v>
      </c>
      <c r="AA423">
        <v>1</v>
      </c>
      <c r="AB423">
        <v>3</v>
      </c>
      <c r="AC423">
        <v>4</v>
      </c>
      <c r="AD423">
        <v>3</v>
      </c>
      <c r="AE423">
        <v>2</v>
      </c>
      <c r="AF423">
        <v>2</v>
      </c>
      <c r="AG423">
        <v>2</v>
      </c>
      <c r="AH423">
        <v>2</v>
      </c>
      <c r="AI423">
        <v>0</v>
      </c>
      <c r="AJ423" s="19" t="s">
        <v>1566</v>
      </c>
      <c r="AK423" s="19" t="s">
        <v>1562</v>
      </c>
      <c r="AL423">
        <v>0</v>
      </c>
      <c r="AM423" s="19" t="s">
        <v>1563</v>
      </c>
      <c r="AN423">
        <v>0.14763176878404019</v>
      </c>
      <c r="AO423">
        <v>679308</v>
      </c>
    </row>
    <row r="424" spans="1:41" x14ac:dyDescent="0.3">
      <c r="A424" s="19" t="s">
        <v>495</v>
      </c>
      <c r="B424">
        <v>31</v>
      </c>
      <c r="C424" s="19" t="s">
        <v>196</v>
      </c>
      <c r="D424" s="19" t="s">
        <v>47</v>
      </c>
      <c r="E424" s="19" t="s">
        <v>62</v>
      </c>
      <c r="F424">
        <v>874</v>
      </c>
      <c r="G424" s="19" t="s">
        <v>49</v>
      </c>
      <c r="H424">
        <v>15</v>
      </c>
      <c r="I424">
        <v>3</v>
      </c>
      <c r="J424" s="19" t="s">
        <v>58</v>
      </c>
      <c r="K424">
        <v>1160</v>
      </c>
      <c r="L424">
        <v>3</v>
      </c>
      <c r="M424" s="19" t="s">
        <v>51</v>
      </c>
      <c r="N424">
        <v>3</v>
      </c>
      <c r="O424">
        <v>1</v>
      </c>
      <c r="P424" s="19" t="s">
        <v>52</v>
      </c>
      <c r="Q424">
        <v>3</v>
      </c>
      <c r="R424" s="19" t="s">
        <v>113</v>
      </c>
      <c r="S424">
        <v>97825</v>
      </c>
      <c r="T424" s="19" t="s">
        <v>70</v>
      </c>
      <c r="U424">
        <v>611.41</v>
      </c>
      <c r="V424">
        <v>1</v>
      </c>
      <c r="W424" s="19" t="s">
        <v>55</v>
      </c>
      <c r="X424">
        <v>12</v>
      </c>
      <c r="Y424">
        <v>3</v>
      </c>
      <c r="Z424">
        <v>3</v>
      </c>
      <c r="AA424">
        <v>1</v>
      </c>
      <c r="AB424">
        <v>2</v>
      </c>
      <c r="AC424">
        <v>5</v>
      </c>
      <c r="AD424">
        <v>2</v>
      </c>
      <c r="AE424">
        <v>2</v>
      </c>
      <c r="AF424">
        <v>2</v>
      </c>
      <c r="AG424">
        <v>2</v>
      </c>
      <c r="AH424">
        <v>2</v>
      </c>
      <c r="AI424">
        <v>1</v>
      </c>
      <c r="AJ424" s="19" t="s">
        <v>1566</v>
      </c>
      <c r="AK424" s="19" t="s">
        <v>1562</v>
      </c>
      <c r="AL424">
        <v>1</v>
      </c>
      <c r="AM424" s="19" t="s">
        <v>1565</v>
      </c>
      <c r="AN424">
        <v>0.89141276244089962</v>
      </c>
      <c r="AO424">
        <v>1173900</v>
      </c>
    </row>
    <row r="425" spans="1:41" x14ac:dyDescent="0.3">
      <c r="A425" s="19" t="s">
        <v>496</v>
      </c>
      <c r="B425">
        <v>31</v>
      </c>
      <c r="C425" s="19" t="s">
        <v>196</v>
      </c>
      <c r="D425" s="19" t="s">
        <v>55</v>
      </c>
      <c r="E425" s="19" t="s">
        <v>48</v>
      </c>
      <c r="F425">
        <v>1332</v>
      </c>
      <c r="G425" s="19" t="s">
        <v>49</v>
      </c>
      <c r="H425">
        <v>11</v>
      </c>
      <c r="I425">
        <v>2</v>
      </c>
      <c r="J425" s="19" t="s">
        <v>58</v>
      </c>
      <c r="K425">
        <v>1251</v>
      </c>
      <c r="L425">
        <v>3</v>
      </c>
      <c r="M425" s="19" t="s">
        <v>51</v>
      </c>
      <c r="N425">
        <v>3</v>
      </c>
      <c r="O425">
        <v>2</v>
      </c>
      <c r="P425" s="19" t="s">
        <v>168</v>
      </c>
      <c r="Q425">
        <v>1</v>
      </c>
      <c r="R425" s="19" t="s">
        <v>113</v>
      </c>
      <c r="S425">
        <v>57661</v>
      </c>
      <c r="T425" s="19" t="s">
        <v>64</v>
      </c>
      <c r="U425">
        <v>360.38</v>
      </c>
      <c r="V425">
        <v>1</v>
      </c>
      <c r="W425" s="19" t="s">
        <v>47</v>
      </c>
      <c r="X425">
        <v>12</v>
      </c>
      <c r="Y425">
        <v>3</v>
      </c>
      <c r="Z425">
        <v>4</v>
      </c>
      <c r="AA425">
        <v>0</v>
      </c>
      <c r="AB425">
        <v>6</v>
      </c>
      <c r="AC425">
        <v>2</v>
      </c>
      <c r="AD425">
        <v>2</v>
      </c>
      <c r="AE425">
        <v>6</v>
      </c>
      <c r="AF425">
        <v>5</v>
      </c>
      <c r="AG425">
        <v>0</v>
      </c>
      <c r="AH425">
        <v>1</v>
      </c>
      <c r="AI425">
        <v>0</v>
      </c>
      <c r="AJ425" s="19" t="s">
        <v>1569</v>
      </c>
      <c r="AK425" s="19" t="s">
        <v>1562</v>
      </c>
      <c r="AL425">
        <v>3</v>
      </c>
      <c r="AM425" s="19" t="s">
        <v>1568</v>
      </c>
      <c r="AN425">
        <v>0.1965558335606124</v>
      </c>
      <c r="AO425">
        <v>691932</v>
      </c>
    </row>
    <row r="426" spans="1:41" x14ac:dyDescent="0.3">
      <c r="A426" s="19" t="s">
        <v>497</v>
      </c>
      <c r="B426">
        <v>31</v>
      </c>
      <c r="C426" s="19" t="s">
        <v>196</v>
      </c>
      <c r="D426" s="19" t="s">
        <v>55</v>
      </c>
      <c r="E426" s="19" t="s">
        <v>48</v>
      </c>
      <c r="F426">
        <v>1062</v>
      </c>
      <c r="G426" s="19" t="s">
        <v>49</v>
      </c>
      <c r="H426">
        <v>24</v>
      </c>
      <c r="I426">
        <v>3</v>
      </c>
      <c r="J426" s="19" t="s">
        <v>58</v>
      </c>
      <c r="K426">
        <v>1252</v>
      </c>
      <c r="L426">
        <v>3</v>
      </c>
      <c r="M426" s="19" t="s">
        <v>59</v>
      </c>
      <c r="N426">
        <v>2</v>
      </c>
      <c r="O426">
        <v>2</v>
      </c>
      <c r="P426" s="19" t="s">
        <v>168</v>
      </c>
      <c r="Q426">
        <v>1</v>
      </c>
      <c r="R426" s="19" t="s">
        <v>53</v>
      </c>
      <c r="S426">
        <v>32024</v>
      </c>
      <c r="T426" s="19" t="s">
        <v>72</v>
      </c>
      <c r="U426">
        <v>200.15</v>
      </c>
      <c r="V426">
        <v>1</v>
      </c>
      <c r="W426" s="19" t="s">
        <v>55</v>
      </c>
      <c r="X426">
        <v>19</v>
      </c>
      <c r="Y426">
        <v>3</v>
      </c>
      <c r="Z426">
        <v>2</v>
      </c>
      <c r="AA426">
        <v>0</v>
      </c>
      <c r="AB426">
        <v>10</v>
      </c>
      <c r="AC426">
        <v>2</v>
      </c>
      <c r="AD426">
        <v>3</v>
      </c>
      <c r="AE426">
        <v>10</v>
      </c>
      <c r="AF426">
        <v>9</v>
      </c>
      <c r="AG426">
        <v>1</v>
      </c>
      <c r="AH426">
        <v>8</v>
      </c>
      <c r="AI426">
        <v>0</v>
      </c>
      <c r="AJ426" s="19" t="s">
        <v>1569</v>
      </c>
      <c r="AK426" s="19" t="s">
        <v>1562</v>
      </c>
      <c r="AL426">
        <v>1</v>
      </c>
      <c r="AM426" s="19" t="s">
        <v>1565</v>
      </c>
      <c r="AN426">
        <v>-0.33545196902681101</v>
      </c>
      <c r="AO426">
        <v>384288</v>
      </c>
    </row>
    <row r="427" spans="1:41" x14ac:dyDescent="0.3">
      <c r="A427" s="19" t="s">
        <v>498</v>
      </c>
      <c r="B427">
        <v>31</v>
      </c>
      <c r="C427" s="19" t="s">
        <v>196</v>
      </c>
      <c r="D427" s="19" t="s">
        <v>55</v>
      </c>
      <c r="E427" s="19" t="s">
        <v>66</v>
      </c>
      <c r="F427">
        <v>587</v>
      </c>
      <c r="G427" s="19" t="s">
        <v>57</v>
      </c>
      <c r="H427">
        <v>2</v>
      </c>
      <c r="I427">
        <v>4</v>
      </c>
      <c r="J427" s="19" t="s">
        <v>50</v>
      </c>
      <c r="K427">
        <v>1324</v>
      </c>
      <c r="L427">
        <v>4</v>
      </c>
      <c r="M427" s="19" t="s">
        <v>59</v>
      </c>
      <c r="N427">
        <v>3</v>
      </c>
      <c r="O427">
        <v>3</v>
      </c>
      <c r="P427" s="19" t="s">
        <v>145</v>
      </c>
      <c r="Q427">
        <v>3</v>
      </c>
      <c r="R427" s="19" t="s">
        <v>53</v>
      </c>
      <c r="S427">
        <v>71313</v>
      </c>
      <c r="T427" s="19" t="s">
        <v>64</v>
      </c>
      <c r="U427">
        <v>445.71</v>
      </c>
      <c r="V427">
        <v>1</v>
      </c>
      <c r="W427" s="19" t="s">
        <v>47</v>
      </c>
      <c r="X427">
        <v>19</v>
      </c>
      <c r="Y427">
        <v>3</v>
      </c>
      <c r="Z427">
        <v>1</v>
      </c>
      <c r="AA427">
        <v>1</v>
      </c>
      <c r="AB427">
        <v>10</v>
      </c>
      <c r="AC427">
        <v>5</v>
      </c>
      <c r="AD427">
        <v>2</v>
      </c>
      <c r="AE427">
        <v>10</v>
      </c>
      <c r="AF427">
        <v>8</v>
      </c>
      <c r="AG427">
        <v>9</v>
      </c>
      <c r="AH427">
        <v>6</v>
      </c>
      <c r="AI427">
        <v>0</v>
      </c>
      <c r="AJ427" s="19" t="s">
        <v>1569</v>
      </c>
      <c r="AK427" s="19" t="s">
        <v>1570</v>
      </c>
      <c r="AL427">
        <v>3</v>
      </c>
      <c r="AM427" s="19" t="s">
        <v>1568</v>
      </c>
      <c r="AN427">
        <v>0.45364760454600195</v>
      </c>
      <c r="AO427">
        <v>855756</v>
      </c>
    </row>
    <row r="428" spans="1:41" x14ac:dyDescent="0.3">
      <c r="A428" s="19" t="s">
        <v>499</v>
      </c>
      <c r="B428">
        <v>31</v>
      </c>
      <c r="C428" s="19" t="s">
        <v>196</v>
      </c>
      <c r="D428" s="19" t="s">
        <v>47</v>
      </c>
      <c r="E428" s="19" t="s">
        <v>62</v>
      </c>
      <c r="F428">
        <v>1060</v>
      </c>
      <c r="G428" s="19" t="s">
        <v>57</v>
      </c>
      <c r="H428">
        <v>1</v>
      </c>
      <c r="I428">
        <v>3</v>
      </c>
      <c r="J428" s="19" t="s">
        <v>50</v>
      </c>
      <c r="K428">
        <v>1331</v>
      </c>
      <c r="L428">
        <v>4</v>
      </c>
      <c r="M428" s="19" t="s">
        <v>59</v>
      </c>
      <c r="N428">
        <v>3</v>
      </c>
      <c r="O428">
        <v>1</v>
      </c>
      <c r="P428" s="19" t="s">
        <v>60</v>
      </c>
      <c r="Q428">
        <v>2</v>
      </c>
      <c r="R428" s="19" t="s">
        <v>53</v>
      </c>
      <c r="S428">
        <v>54006</v>
      </c>
      <c r="T428" s="19" t="s">
        <v>64</v>
      </c>
      <c r="U428">
        <v>337.54</v>
      </c>
      <c r="V428">
        <v>1</v>
      </c>
      <c r="W428" s="19" t="s">
        <v>47</v>
      </c>
      <c r="X428">
        <v>11</v>
      </c>
      <c r="Y428">
        <v>3</v>
      </c>
      <c r="Z428">
        <v>1</v>
      </c>
      <c r="AA428">
        <v>0</v>
      </c>
      <c r="AB428">
        <v>3</v>
      </c>
      <c r="AC428">
        <v>2</v>
      </c>
      <c r="AD428">
        <v>4</v>
      </c>
      <c r="AE428">
        <v>3</v>
      </c>
      <c r="AF428">
        <v>2</v>
      </c>
      <c r="AG428">
        <v>2</v>
      </c>
      <c r="AH428">
        <v>2</v>
      </c>
      <c r="AI428">
        <v>1</v>
      </c>
      <c r="AJ428" s="19" t="s">
        <v>1566</v>
      </c>
      <c r="AK428" s="19" t="s">
        <v>1562</v>
      </c>
      <c r="AL428">
        <v>2</v>
      </c>
      <c r="AM428" s="19" t="s">
        <v>1564</v>
      </c>
      <c r="AN428">
        <v>9.4861264197404552E-2</v>
      </c>
      <c r="AO428">
        <v>648072</v>
      </c>
    </row>
    <row r="429" spans="1:41" x14ac:dyDescent="0.3">
      <c r="A429" s="19" t="s">
        <v>499</v>
      </c>
      <c r="B429">
        <v>31</v>
      </c>
      <c r="C429" s="19" t="s">
        <v>196</v>
      </c>
      <c r="D429" s="19" t="s">
        <v>47</v>
      </c>
      <c r="E429" s="19" t="s">
        <v>62</v>
      </c>
      <c r="F429">
        <v>1060</v>
      </c>
      <c r="G429" s="19" t="s">
        <v>57</v>
      </c>
      <c r="H429">
        <v>1</v>
      </c>
      <c r="I429">
        <v>3</v>
      </c>
      <c r="J429" s="19" t="s">
        <v>50</v>
      </c>
      <c r="K429">
        <v>1331</v>
      </c>
      <c r="L429">
        <v>4</v>
      </c>
      <c r="M429" s="19" t="s">
        <v>59</v>
      </c>
      <c r="N429">
        <v>3</v>
      </c>
      <c r="O429">
        <v>1</v>
      </c>
      <c r="P429" s="19" t="s">
        <v>60</v>
      </c>
      <c r="Q429">
        <v>2</v>
      </c>
      <c r="R429" s="19" t="s">
        <v>53</v>
      </c>
      <c r="S429">
        <v>54006</v>
      </c>
      <c r="T429" s="19" t="s">
        <v>64</v>
      </c>
      <c r="U429">
        <v>337.54</v>
      </c>
      <c r="V429">
        <v>1</v>
      </c>
      <c r="W429" s="19" t="s">
        <v>47</v>
      </c>
      <c r="X429">
        <v>11</v>
      </c>
      <c r="Y429">
        <v>3</v>
      </c>
      <c r="Z429">
        <v>1</v>
      </c>
      <c r="AA429">
        <v>0</v>
      </c>
      <c r="AB429">
        <v>3</v>
      </c>
      <c r="AC429">
        <v>2</v>
      </c>
      <c r="AD429">
        <v>4</v>
      </c>
      <c r="AE429">
        <v>3</v>
      </c>
      <c r="AF429">
        <v>2</v>
      </c>
      <c r="AG429">
        <v>2</v>
      </c>
      <c r="AH429">
        <v>0</v>
      </c>
      <c r="AI429">
        <v>1</v>
      </c>
      <c r="AJ429" s="19" t="s">
        <v>1566</v>
      </c>
      <c r="AK429" s="19" t="s">
        <v>1562</v>
      </c>
      <c r="AL429">
        <v>2</v>
      </c>
      <c r="AM429" s="19" t="s">
        <v>1564</v>
      </c>
      <c r="AN429">
        <v>9.4861264197404552E-2</v>
      </c>
      <c r="AO429">
        <v>648072</v>
      </c>
    </row>
    <row r="430" spans="1:41" x14ac:dyDescent="0.3">
      <c r="A430" s="19" t="s">
        <v>500</v>
      </c>
      <c r="B430">
        <v>31</v>
      </c>
      <c r="C430" s="19" t="s">
        <v>196</v>
      </c>
      <c r="D430" s="19" t="s">
        <v>47</v>
      </c>
      <c r="E430" s="19" t="s">
        <v>48</v>
      </c>
      <c r="F430">
        <v>330</v>
      </c>
      <c r="G430" s="19" t="s">
        <v>49</v>
      </c>
      <c r="H430">
        <v>22</v>
      </c>
      <c r="I430">
        <v>4</v>
      </c>
      <c r="J430" s="19" t="s">
        <v>58</v>
      </c>
      <c r="K430">
        <v>1389</v>
      </c>
      <c r="L430">
        <v>4</v>
      </c>
      <c r="M430" s="19" t="s">
        <v>51</v>
      </c>
      <c r="N430">
        <v>3</v>
      </c>
      <c r="O430">
        <v>2</v>
      </c>
      <c r="P430" s="19" t="s">
        <v>120</v>
      </c>
      <c r="Q430">
        <v>3</v>
      </c>
      <c r="R430" s="19" t="s">
        <v>113</v>
      </c>
      <c r="S430">
        <v>16338</v>
      </c>
      <c r="T430" s="19" t="s">
        <v>54</v>
      </c>
      <c r="U430">
        <v>102.11</v>
      </c>
      <c r="V430">
        <v>1</v>
      </c>
      <c r="W430" s="19" t="s">
        <v>47</v>
      </c>
      <c r="X430">
        <v>15</v>
      </c>
      <c r="Y430">
        <v>3</v>
      </c>
      <c r="Z430">
        <v>4</v>
      </c>
      <c r="AA430">
        <v>2</v>
      </c>
      <c r="AB430">
        <v>10</v>
      </c>
      <c r="AC430">
        <v>3</v>
      </c>
      <c r="AD430">
        <v>2</v>
      </c>
      <c r="AE430">
        <v>10</v>
      </c>
      <c r="AF430">
        <v>2</v>
      </c>
      <c r="AG430">
        <v>6</v>
      </c>
      <c r="AH430">
        <v>7</v>
      </c>
      <c r="AI430">
        <v>1</v>
      </c>
      <c r="AJ430" s="19" t="s">
        <v>1569</v>
      </c>
      <c r="AK430" s="19" t="s">
        <v>1570</v>
      </c>
      <c r="AL430">
        <v>3</v>
      </c>
      <c r="AM430" s="19" t="s">
        <v>1568</v>
      </c>
      <c r="AN430">
        <v>-0.63115755253614481</v>
      </c>
      <c r="AO430">
        <v>196056</v>
      </c>
    </row>
    <row r="431" spans="1:41" x14ac:dyDescent="0.3">
      <c r="A431" s="19" t="s">
        <v>501</v>
      </c>
      <c r="B431">
        <v>31</v>
      </c>
      <c r="C431" s="19" t="s">
        <v>196</v>
      </c>
      <c r="D431" s="19" t="s">
        <v>47</v>
      </c>
      <c r="E431" s="19" t="s">
        <v>62</v>
      </c>
      <c r="F431">
        <v>667</v>
      </c>
      <c r="G431" s="19" t="s">
        <v>57</v>
      </c>
      <c r="H431">
        <v>1</v>
      </c>
      <c r="I431">
        <v>4</v>
      </c>
      <c r="J431" s="19" t="s">
        <v>50</v>
      </c>
      <c r="K431">
        <v>1427</v>
      </c>
      <c r="L431">
        <v>2</v>
      </c>
      <c r="M431" s="19" t="s">
        <v>59</v>
      </c>
      <c r="N431">
        <v>1</v>
      </c>
      <c r="O431">
        <v>1</v>
      </c>
      <c r="P431" s="19" t="s">
        <v>60</v>
      </c>
      <c r="Q431">
        <v>3</v>
      </c>
      <c r="R431" s="19" t="s">
        <v>53</v>
      </c>
      <c r="S431">
        <v>69027</v>
      </c>
      <c r="T431" s="19" t="s">
        <v>64</v>
      </c>
      <c r="U431">
        <v>431.42</v>
      </c>
      <c r="V431">
        <v>1</v>
      </c>
      <c r="W431" s="19" t="s">
        <v>55</v>
      </c>
      <c r="X431">
        <v>12</v>
      </c>
      <c r="Y431">
        <v>3</v>
      </c>
      <c r="Z431">
        <v>2</v>
      </c>
      <c r="AA431">
        <v>0</v>
      </c>
      <c r="AB431">
        <v>1</v>
      </c>
      <c r="AC431">
        <v>3</v>
      </c>
      <c r="AD431">
        <v>3</v>
      </c>
      <c r="AE431">
        <v>1</v>
      </c>
      <c r="AF431">
        <v>0</v>
      </c>
      <c r="AG431">
        <v>0</v>
      </c>
      <c r="AH431">
        <v>0</v>
      </c>
      <c r="AI431">
        <v>1</v>
      </c>
      <c r="AJ431" s="19" t="s">
        <v>1561</v>
      </c>
      <c r="AK431" s="19" t="s">
        <v>1562</v>
      </c>
      <c r="AL431">
        <v>0</v>
      </c>
      <c r="AM431" s="19" t="s">
        <v>1563</v>
      </c>
      <c r="AN431">
        <v>0.3993813369580092</v>
      </c>
      <c r="AO431">
        <v>828324</v>
      </c>
    </row>
    <row r="432" spans="1:41" x14ac:dyDescent="0.3">
      <c r="A432" s="19" t="s">
        <v>502</v>
      </c>
      <c r="B432">
        <v>31</v>
      </c>
      <c r="C432" s="19" t="s">
        <v>196</v>
      </c>
      <c r="D432" s="19" t="s">
        <v>55</v>
      </c>
      <c r="E432" s="19" t="s">
        <v>48</v>
      </c>
      <c r="F432">
        <v>182</v>
      </c>
      <c r="G432" s="19" t="s">
        <v>49</v>
      </c>
      <c r="H432">
        <v>8</v>
      </c>
      <c r="I432">
        <v>5</v>
      </c>
      <c r="J432" s="19" t="s">
        <v>50</v>
      </c>
      <c r="K432">
        <v>1430</v>
      </c>
      <c r="L432">
        <v>1</v>
      </c>
      <c r="M432" s="19" t="s">
        <v>59</v>
      </c>
      <c r="N432">
        <v>3</v>
      </c>
      <c r="O432">
        <v>4</v>
      </c>
      <c r="P432" s="19" t="s">
        <v>257</v>
      </c>
      <c r="Q432">
        <v>2</v>
      </c>
      <c r="R432" s="19" t="s">
        <v>53</v>
      </c>
      <c r="S432">
        <v>93772</v>
      </c>
      <c r="T432" s="19" t="s">
        <v>70</v>
      </c>
      <c r="U432">
        <v>586.08000000000004</v>
      </c>
      <c r="V432">
        <v>3</v>
      </c>
      <c r="W432" s="19" t="s">
        <v>55</v>
      </c>
      <c r="X432">
        <v>11</v>
      </c>
      <c r="Y432">
        <v>3</v>
      </c>
      <c r="Z432">
        <v>3</v>
      </c>
      <c r="AA432">
        <v>0</v>
      </c>
      <c r="AB432">
        <v>9</v>
      </c>
      <c r="AC432">
        <v>3</v>
      </c>
      <c r="AD432">
        <v>4</v>
      </c>
      <c r="AE432">
        <v>3</v>
      </c>
      <c r="AF432">
        <v>2</v>
      </c>
      <c r="AG432">
        <v>1</v>
      </c>
      <c r="AH432">
        <v>0</v>
      </c>
      <c r="AI432">
        <v>0</v>
      </c>
      <c r="AJ432" s="19" t="s">
        <v>1566</v>
      </c>
      <c r="AK432" s="19" t="s">
        <v>1562</v>
      </c>
      <c r="AL432">
        <v>1</v>
      </c>
      <c r="AM432" s="19" t="s">
        <v>1565</v>
      </c>
      <c r="AN432">
        <v>0.85089436438668609</v>
      </c>
      <c r="AO432">
        <v>1125264</v>
      </c>
    </row>
    <row r="433" spans="1:41" x14ac:dyDescent="0.3">
      <c r="A433" s="19" t="s">
        <v>503</v>
      </c>
      <c r="B433">
        <v>31</v>
      </c>
      <c r="C433" s="19" t="s">
        <v>196</v>
      </c>
      <c r="D433" s="19" t="s">
        <v>47</v>
      </c>
      <c r="E433" s="19" t="s">
        <v>48</v>
      </c>
      <c r="F433">
        <v>202</v>
      </c>
      <c r="G433" s="19" t="s">
        <v>49</v>
      </c>
      <c r="H433">
        <v>8</v>
      </c>
      <c r="I433">
        <v>3</v>
      </c>
      <c r="J433" s="19" t="s">
        <v>50</v>
      </c>
      <c r="K433">
        <v>1433</v>
      </c>
      <c r="L433">
        <v>1</v>
      </c>
      <c r="M433" s="19" t="s">
        <v>59</v>
      </c>
      <c r="N433">
        <v>2</v>
      </c>
      <c r="O433">
        <v>1</v>
      </c>
      <c r="P433" s="19" t="s">
        <v>67</v>
      </c>
      <c r="Q433">
        <v>2</v>
      </c>
      <c r="R433" s="19" t="s">
        <v>53</v>
      </c>
      <c r="S433">
        <v>81135</v>
      </c>
      <c r="T433" s="19" t="s">
        <v>64</v>
      </c>
      <c r="U433">
        <v>507.09</v>
      </c>
      <c r="V433">
        <v>1</v>
      </c>
      <c r="W433" s="19" t="s">
        <v>55</v>
      </c>
      <c r="X433">
        <v>12</v>
      </c>
      <c r="Y433">
        <v>3</v>
      </c>
      <c r="Z433">
        <v>3</v>
      </c>
      <c r="AA433">
        <v>0</v>
      </c>
      <c r="AB433">
        <v>1</v>
      </c>
      <c r="AC433">
        <v>3</v>
      </c>
      <c r="AD433">
        <v>4</v>
      </c>
      <c r="AE433">
        <v>1</v>
      </c>
      <c r="AF433">
        <v>0</v>
      </c>
      <c r="AG433">
        <v>0</v>
      </c>
      <c r="AH433">
        <v>0</v>
      </c>
      <c r="AI433">
        <v>1</v>
      </c>
      <c r="AJ433" s="19" t="s">
        <v>1561</v>
      </c>
      <c r="AK433" s="19" t="s">
        <v>1562</v>
      </c>
      <c r="AL433">
        <v>1</v>
      </c>
      <c r="AM433" s="19" t="s">
        <v>1565</v>
      </c>
      <c r="AN433">
        <v>0.6270571813884116</v>
      </c>
      <c r="AO433">
        <v>973620</v>
      </c>
    </row>
    <row r="434" spans="1:41" x14ac:dyDescent="0.3">
      <c r="A434" s="19" t="s">
        <v>504</v>
      </c>
      <c r="B434">
        <v>31</v>
      </c>
      <c r="C434" s="19" t="s">
        <v>196</v>
      </c>
      <c r="D434" s="19" t="s">
        <v>55</v>
      </c>
      <c r="E434" s="19" t="s">
        <v>48</v>
      </c>
      <c r="F434">
        <v>326</v>
      </c>
      <c r="G434" s="19" t="s">
        <v>57</v>
      </c>
      <c r="H434">
        <v>8</v>
      </c>
      <c r="I434">
        <v>2</v>
      </c>
      <c r="J434" s="19" t="s">
        <v>50</v>
      </c>
      <c r="K434">
        <v>1453</v>
      </c>
      <c r="L434">
        <v>1</v>
      </c>
      <c r="M434" s="19" t="s">
        <v>51</v>
      </c>
      <c r="N434">
        <v>3</v>
      </c>
      <c r="O434">
        <v>3</v>
      </c>
      <c r="P434" s="19" t="s">
        <v>145</v>
      </c>
      <c r="Q434">
        <v>4</v>
      </c>
      <c r="R434" s="19" t="s">
        <v>53</v>
      </c>
      <c r="S434">
        <v>20508</v>
      </c>
      <c r="T434" s="19" t="s">
        <v>54</v>
      </c>
      <c r="U434">
        <v>128.18</v>
      </c>
      <c r="V434">
        <v>1</v>
      </c>
      <c r="W434" s="19" t="s">
        <v>55</v>
      </c>
      <c r="X434">
        <v>18</v>
      </c>
      <c r="Y434">
        <v>3</v>
      </c>
      <c r="Z434">
        <v>1</v>
      </c>
      <c r="AA434">
        <v>1</v>
      </c>
      <c r="AB434">
        <v>13</v>
      </c>
      <c r="AC434">
        <v>5</v>
      </c>
      <c r="AD434">
        <v>3</v>
      </c>
      <c r="AE434">
        <v>13</v>
      </c>
      <c r="AF434">
        <v>7</v>
      </c>
      <c r="AG434">
        <v>9</v>
      </c>
      <c r="AH434">
        <v>9</v>
      </c>
      <c r="AI434">
        <v>0</v>
      </c>
      <c r="AJ434" s="19" t="s">
        <v>1571</v>
      </c>
      <c r="AK434" s="19" t="s">
        <v>1570</v>
      </c>
      <c r="AL434">
        <v>1</v>
      </c>
      <c r="AM434" s="19" t="s">
        <v>1565</v>
      </c>
      <c r="AN434">
        <v>-0.58196394662923434</v>
      </c>
      <c r="AO434">
        <v>246096</v>
      </c>
    </row>
    <row r="435" spans="1:41" x14ac:dyDescent="0.3">
      <c r="A435" s="19" t="s">
        <v>505</v>
      </c>
      <c r="B435">
        <v>31</v>
      </c>
      <c r="C435" s="19" t="s">
        <v>196</v>
      </c>
      <c r="D435" s="19" t="s">
        <v>47</v>
      </c>
      <c r="E435" s="19" t="s">
        <v>62</v>
      </c>
      <c r="F435">
        <v>1445</v>
      </c>
      <c r="G435" s="19" t="s">
        <v>49</v>
      </c>
      <c r="H435">
        <v>1</v>
      </c>
      <c r="I435">
        <v>5</v>
      </c>
      <c r="J435" s="19" t="s">
        <v>50</v>
      </c>
      <c r="K435">
        <v>1459</v>
      </c>
      <c r="L435">
        <v>3</v>
      </c>
      <c r="M435" s="19" t="s">
        <v>59</v>
      </c>
      <c r="N435">
        <v>4</v>
      </c>
      <c r="O435">
        <v>3</v>
      </c>
      <c r="P435" s="19" t="s">
        <v>120</v>
      </c>
      <c r="Q435">
        <v>2</v>
      </c>
      <c r="R435" s="19" t="s">
        <v>53</v>
      </c>
      <c r="S435">
        <v>4051</v>
      </c>
      <c r="T435" s="19" t="s">
        <v>54</v>
      </c>
      <c r="U435">
        <v>25.32</v>
      </c>
      <c r="V435">
        <v>1</v>
      </c>
      <c r="W435" s="19" t="s">
        <v>55</v>
      </c>
      <c r="X435">
        <v>11</v>
      </c>
      <c r="Y435">
        <v>3</v>
      </c>
      <c r="Z435">
        <v>1</v>
      </c>
      <c r="AA435">
        <v>0</v>
      </c>
      <c r="AB435">
        <v>10</v>
      </c>
      <c r="AC435">
        <v>2</v>
      </c>
      <c r="AD435">
        <v>3</v>
      </c>
      <c r="AE435">
        <v>10</v>
      </c>
      <c r="AF435">
        <v>8</v>
      </c>
      <c r="AG435">
        <v>4</v>
      </c>
      <c r="AH435">
        <v>7</v>
      </c>
      <c r="AI435">
        <v>1</v>
      </c>
      <c r="AJ435" s="19" t="s">
        <v>1569</v>
      </c>
      <c r="AK435" s="19" t="s">
        <v>1570</v>
      </c>
      <c r="AL435">
        <v>2</v>
      </c>
      <c r="AM435" s="19" t="s">
        <v>1564</v>
      </c>
      <c r="AN435">
        <v>-0.90854567543909426</v>
      </c>
      <c r="AO435">
        <v>48612</v>
      </c>
    </row>
    <row r="436" spans="1:41" x14ac:dyDescent="0.3">
      <c r="A436" s="19" t="s">
        <v>506</v>
      </c>
      <c r="B436">
        <v>31</v>
      </c>
      <c r="C436" s="19" t="s">
        <v>196</v>
      </c>
      <c r="D436" s="19" t="s">
        <v>55</v>
      </c>
      <c r="E436" s="19" t="s">
        <v>48</v>
      </c>
      <c r="F436">
        <v>1398</v>
      </c>
      <c r="G436" s="19" t="s">
        <v>406</v>
      </c>
      <c r="H436">
        <v>8</v>
      </c>
      <c r="I436">
        <v>2</v>
      </c>
      <c r="J436" s="19" t="s">
        <v>58</v>
      </c>
      <c r="K436">
        <v>1461</v>
      </c>
      <c r="L436">
        <v>4</v>
      </c>
      <c r="M436" s="19" t="s">
        <v>59</v>
      </c>
      <c r="N436">
        <v>4</v>
      </c>
      <c r="O436">
        <v>1</v>
      </c>
      <c r="P436" s="19" t="s">
        <v>80</v>
      </c>
      <c r="Q436">
        <v>2</v>
      </c>
      <c r="R436" s="19" t="s">
        <v>53</v>
      </c>
      <c r="S436">
        <v>49747</v>
      </c>
      <c r="T436" s="19" t="s">
        <v>72</v>
      </c>
      <c r="U436">
        <v>310.92</v>
      </c>
      <c r="V436">
        <v>9</v>
      </c>
      <c r="W436" s="19" t="s">
        <v>55</v>
      </c>
      <c r="X436">
        <v>18</v>
      </c>
      <c r="Y436">
        <v>3</v>
      </c>
      <c r="Z436">
        <v>4</v>
      </c>
      <c r="AA436">
        <v>0</v>
      </c>
      <c r="AB436">
        <v>8</v>
      </c>
      <c r="AC436">
        <v>3</v>
      </c>
      <c r="AD436">
        <v>3</v>
      </c>
      <c r="AE436">
        <v>3</v>
      </c>
      <c r="AF436">
        <v>2</v>
      </c>
      <c r="AG436">
        <v>0</v>
      </c>
      <c r="AH436">
        <v>2</v>
      </c>
      <c r="AI436">
        <v>0</v>
      </c>
      <c r="AJ436" s="19" t="s">
        <v>1566</v>
      </c>
      <c r="AK436" s="19" t="s">
        <v>1562</v>
      </c>
      <c r="AL436">
        <v>1</v>
      </c>
      <c r="AM436" s="19" t="s">
        <v>1565</v>
      </c>
      <c r="AN436">
        <v>-1.9648386130996811E-2</v>
      </c>
      <c r="AO436">
        <v>596964</v>
      </c>
    </row>
    <row r="437" spans="1:41" x14ac:dyDescent="0.3">
      <c r="A437" s="19" t="s">
        <v>507</v>
      </c>
      <c r="B437">
        <v>31</v>
      </c>
      <c r="C437" s="19" t="s">
        <v>196</v>
      </c>
      <c r="D437" s="19" t="s">
        <v>47</v>
      </c>
      <c r="E437" s="19" t="s">
        <v>62</v>
      </c>
      <c r="F437">
        <v>523</v>
      </c>
      <c r="G437" s="19" t="s">
        <v>49</v>
      </c>
      <c r="H437">
        <v>2</v>
      </c>
      <c r="I437">
        <v>3</v>
      </c>
      <c r="J437" s="19" t="s">
        <v>50</v>
      </c>
      <c r="K437">
        <v>1464</v>
      </c>
      <c r="L437">
        <v>2</v>
      </c>
      <c r="M437" s="19" t="s">
        <v>51</v>
      </c>
      <c r="N437">
        <v>3</v>
      </c>
      <c r="O437">
        <v>1</v>
      </c>
      <c r="P437" s="19" t="s">
        <v>52</v>
      </c>
      <c r="Q437">
        <v>4</v>
      </c>
      <c r="R437" s="19" t="s">
        <v>113</v>
      </c>
      <c r="S437">
        <v>88142</v>
      </c>
      <c r="T437" s="19" t="s">
        <v>70</v>
      </c>
      <c r="U437">
        <v>550.89</v>
      </c>
      <c r="V437">
        <v>6</v>
      </c>
      <c r="W437" s="19" t="s">
        <v>47</v>
      </c>
      <c r="X437">
        <v>13</v>
      </c>
      <c r="Y437">
        <v>3</v>
      </c>
      <c r="Z437">
        <v>3</v>
      </c>
      <c r="AA437">
        <v>1</v>
      </c>
      <c r="AB437">
        <v>7</v>
      </c>
      <c r="AC437">
        <v>2</v>
      </c>
      <c r="AD437">
        <v>1</v>
      </c>
      <c r="AE437">
        <v>2</v>
      </c>
      <c r="AF437">
        <v>2</v>
      </c>
      <c r="AG437">
        <v>2</v>
      </c>
      <c r="AH437">
        <v>2</v>
      </c>
      <c r="AI437">
        <v>1</v>
      </c>
      <c r="AJ437" s="19" t="s">
        <v>1566</v>
      </c>
      <c r="AK437" s="19" t="s">
        <v>1562</v>
      </c>
      <c r="AL437">
        <v>2</v>
      </c>
      <c r="AM437" s="19" t="s">
        <v>1564</v>
      </c>
      <c r="AN437">
        <v>0.70419528450872249</v>
      </c>
      <c r="AO437">
        <v>1057704</v>
      </c>
    </row>
    <row r="438" spans="1:41" x14ac:dyDescent="0.3">
      <c r="A438" s="19" t="s">
        <v>508</v>
      </c>
      <c r="B438">
        <v>31</v>
      </c>
      <c r="C438" s="19" t="s">
        <v>196</v>
      </c>
      <c r="D438" s="19" t="s">
        <v>47</v>
      </c>
      <c r="E438" s="19" t="s">
        <v>62</v>
      </c>
      <c r="F438">
        <v>561</v>
      </c>
      <c r="G438" s="19" t="s">
        <v>49</v>
      </c>
      <c r="H438">
        <v>3</v>
      </c>
      <c r="I438">
        <v>3</v>
      </c>
      <c r="J438" s="19" t="s">
        <v>50</v>
      </c>
      <c r="K438">
        <v>1537</v>
      </c>
      <c r="L438">
        <v>4</v>
      </c>
      <c r="M438" s="19" t="s">
        <v>59</v>
      </c>
      <c r="N438">
        <v>3</v>
      </c>
      <c r="O438">
        <v>1</v>
      </c>
      <c r="P438" s="19" t="s">
        <v>67</v>
      </c>
      <c r="Q438">
        <v>3</v>
      </c>
      <c r="R438" s="19" t="s">
        <v>53</v>
      </c>
      <c r="S438">
        <v>88235</v>
      </c>
      <c r="T438" s="19" t="s">
        <v>70</v>
      </c>
      <c r="U438">
        <v>551.47</v>
      </c>
      <c r="V438">
        <v>1</v>
      </c>
      <c r="W438" s="19" t="s">
        <v>55</v>
      </c>
      <c r="X438">
        <v>12</v>
      </c>
      <c r="Y438">
        <v>3</v>
      </c>
      <c r="Z438">
        <v>1</v>
      </c>
      <c r="AA438">
        <v>0</v>
      </c>
      <c r="AB438">
        <v>7</v>
      </c>
      <c r="AC438">
        <v>2</v>
      </c>
      <c r="AD438">
        <v>1</v>
      </c>
      <c r="AE438">
        <v>7</v>
      </c>
      <c r="AF438">
        <v>2</v>
      </c>
      <c r="AG438">
        <v>7</v>
      </c>
      <c r="AH438">
        <v>7</v>
      </c>
      <c r="AI438">
        <v>1</v>
      </c>
      <c r="AJ438" s="19" t="s">
        <v>1569</v>
      </c>
      <c r="AK438" s="19" t="s">
        <v>1570</v>
      </c>
      <c r="AL438">
        <v>2</v>
      </c>
      <c r="AM438" s="19" t="s">
        <v>1564</v>
      </c>
      <c r="AN438">
        <v>0.76943847168061252</v>
      </c>
      <c r="AO438">
        <v>1058820</v>
      </c>
    </row>
    <row r="439" spans="1:41" x14ac:dyDescent="0.3">
      <c r="A439" s="19" t="s">
        <v>509</v>
      </c>
      <c r="B439">
        <v>31</v>
      </c>
      <c r="C439" s="19" t="s">
        <v>196</v>
      </c>
      <c r="D439" s="19" t="s">
        <v>55</v>
      </c>
      <c r="E439" s="19" t="s">
        <v>62</v>
      </c>
      <c r="F439">
        <v>715</v>
      </c>
      <c r="G439" s="19" t="s">
        <v>57</v>
      </c>
      <c r="H439">
        <v>2</v>
      </c>
      <c r="I439">
        <v>4</v>
      </c>
      <c r="J439" s="19" t="s">
        <v>82</v>
      </c>
      <c r="K439">
        <v>1613</v>
      </c>
      <c r="L439">
        <v>4</v>
      </c>
      <c r="M439" s="19" t="s">
        <v>51</v>
      </c>
      <c r="N439">
        <v>3</v>
      </c>
      <c r="O439">
        <v>2</v>
      </c>
      <c r="P439" s="19" t="s">
        <v>145</v>
      </c>
      <c r="Q439">
        <v>1</v>
      </c>
      <c r="R439" s="19" t="s">
        <v>53</v>
      </c>
      <c r="S439">
        <v>55021</v>
      </c>
      <c r="T439" s="19" t="s">
        <v>64</v>
      </c>
      <c r="U439">
        <v>343.88</v>
      </c>
      <c r="V439">
        <v>7</v>
      </c>
      <c r="W439" s="19" t="s">
        <v>55</v>
      </c>
      <c r="X439">
        <v>13</v>
      </c>
      <c r="Y439">
        <v>3</v>
      </c>
      <c r="Z439">
        <v>4</v>
      </c>
      <c r="AA439">
        <v>0</v>
      </c>
      <c r="AB439">
        <v>10</v>
      </c>
      <c r="AC439">
        <v>3</v>
      </c>
      <c r="AD439">
        <v>3</v>
      </c>
      <c r="AE439">
        <v>5</v>
      </c>
      <c r="AF439">
        <v>2</v>
      </c>
      <c r="AG439">
        <v>0</v>
      </c>
      <c r="AH439">
        <v>3</v>
      </c>
      <c r="AI439">
        <v>0</v>
      </c>
      <c r="AJ439" s="19" t="s">
        <v>1567</v>
      </c>
      <c r="AK439" s="19" t="s">
        <v>1562</v>
      </c>
      <c r="AL439">
        <v>1</v>
      </c>
      <c r="AM439" s="19" t="s">
        <v>1565</v>
      </c>
      <c r="AN439">
        <v>0.12155069692378069</v>
      </c>
      <c r="AO439">
        <v>660252</v>
      </c>
    </row>
    <row r="440" spans="1:41" x14ac:dyDescent="0.3">
      <c r="A440" s="19" t="s">
        <v>510</v>
      </c>
      <c r="B440">
        <v>31</v>
      </c>
      <c r="C440" s="19" t="s">
        <v>196</v>
      </c>
      <c r="D440" s="19" t="s">
        <v>55</v>
      </c>
      <c r="E440" s="19" t="s">
        <v>48</v>
      </c>
      <c r="F440">
        <v>1112</v>
      </c>
      <c r="G440" s="19" t="s">
        <v>57</v>
      </c>
      <c r="H440">
        <v>5</v>
      </c>
      <c r="I440">
        <v>4</v>
      </c>
      <c r="J440" s="19" t="s">
        <v>50</v>
      </c>
      <c r="K440">
        <v>1673</v>
      </c>
      <c r="L440">
        <v>1</v>
      </c>
      <c r="M440" s="19" t="s">
        <v>59</v>
      </c>
      <c r="N440">
        <v>3</v>
      </c>
      <c r="O440">
        <v>2</v>
      </c>
      <c r="P440" s="19" t="s">
        <v>145</v>
      </c>
      <c r="Q440">
        <v>4</v>
      </c>
      <c r="R440" s="19" t="s">
        <v>113</v>
      </c>
      <c r="S440">
        <v>67412</v>
      </c>
      <c r="T440" s="19" t="s">
        <v>64</v>
      </c>
      <c r="U440">
        <v>421.32</v>
      </c>
      <c r="V440">
        <v>1</v>
      </c>
      <c r="W440" s="19" t="s">
        <v>55</v>
      </c>
      <c r="X440">
        <v>11</v>
      </c>
      <c r="Y440">
        <v>3</v>
      </c>
      <c r="Z440">
        <v>1</v>
      </c>
      <c r="AA440">
        <v>2</v>
      </c>
      <c r="AB440">
        <v>10</v>
      </c>
      <c r="AC440">
        <v>2</v>
      </c>
      <c r="AD440">
        <v>3</v>
      </c>
      <c r="AE440">
        <v>10</v>
      </c>
      <c r="AF440">
        <v>0</v>
      </c>
      <c r="AG440">
        <v>0</v>
      </c>
      <c r="AH440">
        <v>2</v>
      </c>
      <c r="AI440">
        <v>0</v>
      </c>
      <c r="AJ440" s="19" t="s">
        <v>1569</v>
      </c>
      <c r="AK440" s="19" t="s">
        <v>1562</v>
      </c>
      <c r="AL440">
        <v>0</v>
      </c>
      <c r="AM440" s="19" t="s">
        <v>1563</v>
      </c>
      <c r="AN440">
        <v>0.3741294338711747</v>
      </c>
      <c r="AO440">
        <v>808944</v>
      </c>
    </row>
    <row r="441" spans="1:41" x14ac:dyDescent="0.3">
      <c r="A441" s="19" t="s">
        <v>511</v>
      </c>
      <c r="B441">
        <v>31</v>
      </c>
      <c r="C441" s="19" t="s">
        <v>196</v>
      </c>
      <c r="D441" s="19" t="s">
        <v>55</v>
      </c>
      <c r="E441" s="19" t="s">
        <v>48</v>
      </c>
      <c r="F441">
        <v>741</v>
      </c>
      <c r="G441" s="19" t="s">
        <v>49</v>
      </c>
      <c r="H441">
        <v>2</v>
      </c>
      <c r="I441">
        <v>4</v>
      </c>
      <c r="J441" s="19" t="s">
        <v>50</v>
      </c>
      <c r="K441">
        <v>1721</v>
      </c>
      <c r="L441">
        <v>2</v>
      </c>
      <c r="M441" s="19" t="s">
        <v>51</v>
      </c>
      <c r="N441">
        <v>3</v>
      </c>
      <c r="O441">
        <v>1</v>
      </c>
      <c r="P441" s="19" t="s">
        <v>52</v>
      </c>
      <c r="Q441">
        <v>3</v>
      </c>
      <c r="R441" s="19" t="s">
        <v>113</v>
      </c>
      <c r="S441">
        <v>59335</v>
      </c>
      <c r="T441" s="19" t="s">
        <v>64</v>
      </c>
      <c r="U441">
        <v>370.84</v>
      </c>
      <c r="V441">
        <v>1</v>
      </c>
      <c r="W441" s="19" t="s">
        <v>55</v>
      </c>
      <c r="X441">
        <v>14</v>
      </c>
      <c r="Y441">
        <v>3</v>
      </c>
      <c r="Z441">
        <v>4</v>
      </c>
      <c r="AA441">
        <v>1</v>
      </c>
      <c r="AB441">
        <v>6</v>
      </c>
      <c r="AC441">
        <v>2</v>
      </c>
      <c r="AD441">
        <v>4</v>
      </c>
      <c r="AE441">
        <v>5</v>
      </c>
      <c r="AF441">
        <v>2</v>
      </c>
      <c r="AG441">
        <v>0</v>
      </c>
      <c r="AH441">
        <v>3</v>
      </c>
      <c r="AI441">
        <v>0</v>
      </c>
      <c r="AJ441" s="19" t="s">
        <v>1567</v>
      </c>
      <c r="AK441" s="19" t="s">
        <v>1562</v>
      </c>
      <c r="AL441">
        <v>0</v>
      </c>
      <c r="AM441" s="19" t="s">
        <v>1563</v>
      </c>
      <c r="AN441">
        <v>0.14722183756126533</v>
      </c>
      <c r="AO441">
        <v>712020</v>
      </c>
    </row>
    <row r="442" spans="1:41" x14ac:dyDescent="0.3">
      <c r="A442" s="19" t="s">
        <v>512</v>
      </c>
      <c r="B442">
        <v>31</v>
      </c>
      <c r="C442" s="19" t="s">
        <v>196</v>
      </c>
      <c r="D442" s="19" t="s">
        <v>55</v>
      </c>
      <c r="E442" s="19" t="s">
        <v>62</v>
      </c>
      <c r="F442">
        <v>163</v>
      </c>
      <c r="G442" s="19" t="s">
        <v>49</v>
      </c>
      <c r="H442">
        <v>24</v>
      </c>
      <c r="I442">
        <v>1</v>
      </c>
      <c r="J442" s="19" t="s">
        <v>77</v>
      </c>
      <c r="K442">
        <v>1736</v>
      </c>
      <c r="L442">
        <v>4</v>
      </c>
      <c r="M442" s="19" t="s">
        <v>59</v>
      </c>
      <c r="N442">
        <v>3</v>
      </c>
      <c r="O442">
        <v>2</v>
      </c>
      <c r="P442" s="19" t="s">
        <v>120</v>
      </c>
      <c r="Q442">
        <v>4</v>
      </c>
      <c r="R442" s="19" t="s">
        <v>53</v>
      </c>
      <c r="S442">
        <v>57179</v>
      </c>
      <c r="T442" s="19" t="s">
        <v>64</v>
      </c>
      <c r="U442">
        <v>357.37</v>
      </c>
      <c r="V442">
        <v>2</v>
      </c>
      <c r="W442" s="19" t="s">
        <v>55</v>
      </c>
      <c r="X442">
        <v>20</v>
      </c>
      <c r="Y442">
        <v>4</v>
      </c>
      <c r="Z442">
        <v>4</v>
      </c>
      <c r="AA442">
        <v>0</v>
      </c>
      <c r="AB442">
        <v>9</v>
      </c>
      <c r="AC442">
        <v>3</v>
      </c>
      <c r="AD442">
        <v>2</v>
      </c>
      <c r="AE442">
        <v>5</v>
      </c>
      <c r="AF442">
        <v>4</v>
      </c>
      <c r="AG442">
        <v>1</v>
      </c>
      <c r="AH442">
        <v>4</v>
      </c>
      <c r="AI442">
        <v>0</v>
      </c>
      <c r="AJ442" s="19" t="s">
        <v>1567</v>
      </c>
      <c r="AK442" s="19" t="s">
        <v>1562</v>
      </c>
      <c r="AL442">
        <v>1</v>
      </c>
      <c r="AM442" s="19" t="s">
        <v>1565</v>
      </c>
      <c r="AN442">
        <v>0.29085826316169527</v>
      </c>
      <c r="AO442">
        <v>686148</v>
      </c>
    </row>
    <row r="443" spans="1:41" x14ac:dyDescent="0.3">
      <c r="A443" s="19" t="s">
        <v>513</v>
      </c>
      <c r="B443">
        <v>31</v>
      </c>
      <c r="C443" s="19" t="s">
        <v>196</v>
      </c>
      <c r="D443" s="19" t="s">
        <v>55</v>
      </c>
      <c r="E443" s="19" t="s">
        <v>48</v>
      </c>
      <c r="F443">
        <v>1003</v>
      </c>
      <c r="G443" s="19" t="s">
        <v>57</v>
      </c>
      <c r="H443">
        <v>5</v>
      </c>
      <c r="I443">
        <v>3</v>
      </c>
      <c r="J443" s="19" t="s">
        <v>77</v>
      </c>
      <c r="K443">
        <v>1749</v>
      </c>
      <c r="L443">
        <v>1</v>
      </c>
      <c r="M443" s="19" t="s">
        <v>51</v>
      </c>
      <c r="N443">
        <v>3</v>
      </c>
      <c r="O443">
        <v>2</v>
      </c>
      <c r="P443" s="19" t="s">
        <v>145</v>
      </c>
      <c r="Q443">
        <v>3</v>
      </c>
      <c r="R443" s="19" t="s">
        <v>113</v>
      </c>
      <c r="S443">
        <v>33093</v>
      </c>
      <c r="T443" s="19" t="s">
        <v>72</v>
      </c>
      <c r="U443">
        <v>206.83</v>
      </c>
      <c r="V443">
        <v>1</v>
      </c>
      <c r="W443" s="19" t="s">
        <v>55</v>
      </c>
      <c r="X443">
        <v>19</v>
      </c>
      <c r="Y443">
        <v>3</v>
      </c>
      <c r="Z443">
        <v>3</v>
      </c>
      <c r="AA443">
        <v>1</v>
      </c>
      <c r="AB443">
        <v>6</v>
      </c>
      <c r="AC443">
        <v>3</v>
      </c>
      <c r="AD443">
        <v>3</v>
      </c>
      <c r="AE443">
        <v>5</v>
      </c>
      <c r="AF443">
        <v>2</v>
      </c>
      <c r="AG443">
        <v>0</v>
      </c>
      <c r="AH443">
        <v>2</v>
      </c>
      <c r="AI443">
        <v>0</v>
      </c>
      <c r="AJ443" s="19" t="s">
        <v>1567</v>
      </c>
      <c r="AK443" s="19" t="s">
        <v>1562</v>
      </c>
      <c r="AL443">
        <v>0</v>
      </c>
      <c r="AM443" s="19" t="s">
        <v>1563</v>
      </c>
      <c r="AN443">
        <v>-0.32543070439834476</v>
      </c>
      <c r="AO443">
        <v>397116</v>
      </c>
    </row>
    <row r="444" spans="1:41" x14ac:dyDescent="0.3">
      <c r="A444" s="19" t="s">
        <v>514</v>
      </c>
      <c r="B444">
        <v>31</v>
      </c>
      <c r="C444" s="19" t="s">
        <v>196</v>
      </c>
      <c r="D444" s="19" t="s">
        <v>47</v>
      </c>
      <c r="E444" s="19" t="s">
        <v>48</v>
      </c>
      <c r="F444">
        <v>1079</v>
      </c>
      <c r="G444" s="19" t="s">
        <v>57</v>
      </c>
      <c r="H444">
        <v>16</v>
      </c>
      <c r="I444">
        <v>4</v>
      </c>
      <c r="J444" s="19" t="s">
        <v>63</v>
      </c>
      <c r="K444">
        <v>1761</v>
      </c>
      <c r="L444">
        <v>1</v>
      </c>
      <c r="M444" s="19" t="s">
        <v>51</v>
      </c>
      <c r="N444">
        <v>3</v>
      </c>
      <c r="O444">
        <v>3</v>
      </c>
      <c r="P444" s="19" t="s">
        <v>145</v>
      </c>
      <c r="Q444">
        <v>3</v>
      </c>
      <c r="R444" s="19" t="s">
        <v>113</v>
      </c>
      <c r="S444">
        <v>70678</v>
      </c>
      <c r="T444" s="19" t="s">
        <v>64</v>
      </c>
      <c r="U444">
        <v>441.74</v>
      </c>
      <c r="V444">
        <v>2</v>
      </c>
      <c r="W444" s="19" t="s">
        <v>55</v>
      </c>
      <c r="X444">
        <v>13</v>
      </c>
      <c r="Y444">
        <v>3</v>
      </c>
      <c r="Z444">
        <v>1</v>
      </c>
      <c r="AA444">
        <v>3</v>
      </c>
      <c r="AB444">
        <v>10</v>
      </c>
      <c r="AC444">
        <v>2</v>
      </c>
      <c r="AD444">
        <v>3</v>
      </c>
      <c r="AE444">
        <v>1</v>
      </c>
      <c r="AF444">
        <v>0</v>
      </c>
      <c r="AG444">
        <v>0</v>
      </c>
      <c r="AH444">
        <v>0</v>
      </c>
      <c r="AI444">
        <v>1</v>
      </c>
      <c r="AJ444" s="19" t="s">
        <v>1561</v>
      </c>
      <c r="AK444" s="19" t="s">
        <v>1562</v>
      </c>
      <c r="AL444">
        <v>0</v>
      </c>
      <c r="AM444" s="19" t="s">
        <v>1563</v>
      </c>
      <c r="AN444">
        <v>0.44070373415930231</v>
      </c>
      <c r="AO444">
        <v>848136</v>
      </c>
    </row>
    <row r="445" spans="1:41" x14ac:dyDescent="0.3">
      <c r="A445" s="19" t="s">
        <v>515</v>
      </c>
      <c r="B445">
        <v>31</v>
      </c>
      <c r="C445" s="19" t="s">
        <v>196</v>
      </c>
      <c r="D445" s="19" t="s">
        <v>55</v>
      </c>
      <c r="E445" s="19" t="s">
        <v>48</v>
      </c>
      <c r="F445">
        <v>196</v>
      </c>
      <c r="G445" s="19" t="s">
        <v>57</v>
      </c>
      <c r="H445">
        <v>29</v>
      </c>
      <c r="I445">
        <v>4</v>
      </c>
      <c r="J445" s="19" t="s">
        <v>63</v>
      </c>
      <c r="K445">
        <v>1784</v>
      </c>
      <c r="L445">
        <v>1</v>
      </c>
      <c r="M445" s="19" t="s">
        <v>59</v>
      </c>
      <c r="N445">
        <v>2</v>
      </c>
      <c r="O445">
        <v>2</v>
      </c>
      <c r="P445" s="19" t="s">
        <v>145</v>
      </c>
      <c r="Q445">
        <v>4</v>
      </c>
      <c r="R445" s="19" t="s">
        <v>113</v>
      </c>
      <c r="S445">
        <v>81738</v>
      </c>
      <c r="T445" s="19" t="s">
        <v>64</v>
      </c>
      <c r="U445">
        <v>510.86</v>
      </c>
      <c r="V445">
        <v>1</v>
      </c>
      <c r="W445" s="19" t="s">
        <v>55</v>
      </c>
      <c r="X445">
        <v>14</v>
      </c>
      <c r="Y445">
        <v>3</v>
      </c>
      <c r="Z445">
        <v>1</v>
      </c>
      <c r="AA445">
        <v>2</v>
      </c>
      <c r="AB445">
        <v>13</v>
      </c>
      <c r="AC445">
        <v>3</v>
      </c>
      <c r="AD445">
        <v>3</v>
      </c>
      <c r="AE445">
        <v>12</v>
      </c>
      <c r="AF445">
        <v>7</v>
      </c>
      <c r="AG445">
        <v>5</v>
      </c>
      <c r="AH445">
        <v>7</v>
      </c>
      <c r="AI445">
        <v>0</v>
      </c>
      <c r="AJ445" s="19" t="s">
        <v>1571</v>
      </c>
      <c r="AK445" s="19" t="s">
        <v>1570</v>
      </c>
      <c r="AL445">
        <v>1</v>
      </c>
      <c r="AM445" s="19" t="s">
        <v>1565</v>
      </c>
      <c r="AN445">
        <v>0.66615130341425977</v>
      </c>
      <c r="AO445">
        <v>980856</v>
      </c>
    </row>
    <row r="446" spans="1:41" x14ac:dyDescent="0.3">
      <c r="A446" s="19" t="s">
        <v>516</v>
      </c>
      <c r="B446">
        <v>31</v>
      </c>
      <c r="C446" s="19" t="s">
        <v>196</v>
      </c>
      <c r="D446" s="19" t="s">
        <v>55</v>
      </c>
      <c r="E446" s="19" t="s">
        <v>62</v>
      </c>
      <c r="F446">
        <v>1125</v>
      </c>
      <c r="G446" s="19" t="s">
        <v>57</v>
      </c>
      <c r="H446">
        <v>7</v>
      </c>
      <c r="I446">
        <v>4</v>
      </c>
      <c r="J446" s="19" t="s">
        <v>63</v>
      </c>
      <c r="K446">
        <v>1833</v>
      </c>
      <c r="L446">
        <v>1</v>
      </c>
      <c r="M446" s="19" t="s">
        <v>59</v>
      </c>
      <c r="N446">
        <v>3</v>
      </c>
      <c r="O446">
        <v>3</v>
      </c>
      <c r="P446" s="19" t="s">
        <v>145</v>
      </c>
      <c r="Q446">
        <v>1</v>
      </c>
      <c r="R446" s="19" t="s">
        <v>113</v>
      </c>
      <c r="S446">
        <v>40734</v>
      </c>
      <c r="T446" s="19" t="s">
        <v>72</v>
      </c>
      <c r="U446">
        <v>254.59</v>
      </c>
      <c r="V446">
        <v>2</v>
      </c>
      <c r="W446" s="19" t="s">
        <v>55</v>
      </c>
      <c r="X446">
        <v>14</v>
      </c>
      <c r="Y446">
        <v>3</v>
      </c>
      <c r="Z446">
        <v>4</v>
      </c>
      <c r="AA446">
        <v>2</v>
      </c>
      <c r="AB446">
        <v>9</v>
      </c>
      <c r="AC446">
        <v>3</v>
      </c>
      <c r="AD446">
        <v>3</v>
      </c>
      <c r="AE446">
        <v>3</v>
      </c>
      <c r="AF446">
        <v>2</v>
      </c>
      <c r="AG446">
        <v>2</v>
      </c>
      <c r="AH446">
        <v>2</v>
      </c>
      <c r="AI446">
        <v>0</v>
      </c>
      <c r="AJ446" s="19" t="s">
        <v>1566</v>
      </c>
      <c r="AK446" s="19" t="s">
        <v>1562</v>
      </c>
      <c r="AL446">
        <v>1</v>
      </c>
      <c r="AM446" s="19" t="s">
        <v>1565</v>
      </c>
      <c r="AN446">
        <v>-0.16967619475303461</v>
      </c>
      <c r="AO446">
        <v>488808</v>
      </c>
    </row>
    <row r="447" spans="1:41" x14ac:dyDescent="0.3">
      <c r="A447" s="19" t="s">
        <v>517</v>
      </c>
      <c r="B447">
        <v>31</v>
      </c>
      <c r="C447" s="19" t="s">
        <v>196</v>
      </c>
      <c r="D447" s="19" t="s">
        <v>47</v>
      </c>
      <c r="E447" s="19" t="s">
        <v>48</v>
      </c>
      <c r="F447">
        <v>359</v>
      </c>
      <c r="G447" s="19" t="s">
        <v>406</v>
      </c>
      <c r="H447">
        <v>18</v>
      </c>
      <c r="I447">
        <v>5</v>
      </c>
      <c r="J447" s="19" t="s">
        <v>80</v>
      </c>
      <c r="K447">
        <v>1842</v>
      </c>
      <c r="L447">
        <v>4</v>
      </c>
      <c r="M447" s="19" t="s">
        <v>51</v>
      </c>
      <c r="N447">
        <v>4</v>
      </c>
      <c r="O447">
        <v>1</v>
      </c>
      <c r="P447" s="19" t="s">
        <v>80</v>
      </c>
      <c r="Q447">
        <v>1</v>
      </c>
      <c r="R447" s="19" t="s">
        <v>113</v>
      </c>
      <c r="S447">
        <v>73615</v>
      </c>
      <c r="T447" s="19" t="s">
        <v>64</v>
      </c>
      <c r="U447">
        <v>460.09</v>
      </c>
      <c r="V447">
        <v>0</v>
      </c>
      <c r="W447" s="19" t="s">
        <v>55</v>
      </c>
      <c r="X447">
        <v>17</v>
      </c>
      <c r="Y447">
        <v>3</v>
      </c>
      <c r="Z447">
        <v>3</v>
      </c>
      <c r="AA447">
        <v>0</v>
      </c>
      <c r="AB447">
        <v>2</v>
      </c>
      <c r="AC447">
        <v>4</v>
      </c>
      <c r="AD447">
        <v>3</v>
      </c>
      <c r="AE447">
        <v>1</v>
      </c>
      <c r="AF447">
        <v>0</v>
      </c>
      <c r="AG447">
        <v>0</v>
      </c>
      <c r="AH447">
        <v>0</v>
      </c>
      <c r="AI447">
        <v>1</v>
      </c>
      <c r="AJ447" s="19" t="s">
        <v>1561</v>
      </c>
      <c r="AK447" s="19" t="s">
        <v>1562</v>
      </c>
      <c r="AL447">
        <v>1</v>
      </c>
      <c r="AM447" s="19" t="s">
        <v>1565</v>
      </c>
      <c r="AN447">
        <v>0.45071228526276297</v>
      </c>
      <c r="AO447">
        <v>883380</v>
      </c>
    </row>
    <row r="448" spans="1:41" x14ac:dyDescent="0.3">
      <c r="A448" s="19" t="s">
        <v>518</v>
      </c>
      <c r="B448">
        <v>31</v>
      </c>
      <c r="C448" s="19" t="s">
        <v>196</v>
      </c>
      <c r="D448" s="19" t="s">
        <v>55</v>
      </c>
      <c r="E448" s="19" t="s">
        <v>48</v>
      </c>
      <c r="F448">
        <v>311</v>
      </c>
      <c r="G448" s="19" t="s">
        <v>49</v>
      </c>
      <c r="H448">
        <v>20</v>
      </c>
      <c r="I448">
        <v>3</v>
      </c>
      <c r="J448" s="19" t="s">
        <v>50</v>
      </c>
      <c r="K448">
        <v>1881</v>
      </c>
      <c r="L448">
        <v>2</v>
      </c>
      <c r="M448" s="19" t="s">
        <v>51</v>
      </c>
      <c r="N448">
        <v>3</v>
      </c>
      <c r="O448">
        <v>2</v>
      </c>
      <c r="P448" s="19" t="s">
        <v>52</v>
      </c>
      <c r="Q448">
        <v>3</v>
      </c>
      <c r="R448" s="19" t="s">
        <v>53</v>
      </c>
      <c r="S448">
        <v>74523</v>
      </c>
      <c r="T448" s="19" t="s">
        <v>64</v>
      </c>
      <c r="U448">
        <v>465.77</v>
      </c>
      <c r="V448">
        <v>1</v>
      </c>
      <c r="W448" s="19" t="s">
        <v>55</v>
      </c>
      <c r="X448">
        <v>11</v>
      </c>
      <c r="Y448">
        <v>3</v>
      </c>
      <c r="Z448">
        <v>1</v>
      </c>
      <c r="AA448">
        <v>1</v>
      </c>
      <c r="AB448">
        <v>10</v>
      </c>
      <c r="AC448">
        <v>2</v>
      </c>
      <c r="AD448">
        <v>3</v>
      </c>
      <c r="AE448">
        <v>10</v>
      </c>
      <c r="AF448">
        <v>8</v>
      </c>
      <c r="AG448">
        <v>0</v>
      </c>
      <c r="AH448">
        <v>2</v>
      </c>
      <c r="AI448">
        <v>0</v>
      </c>
      <c r="AJ448" s="19" t="s">
        <v>1569</v>
      </c>
      <c r="AK448" s="19" t="s">
        <v>1562</v>
      </c>
      <c r="AL448">
        <v>0</v>
      </c>
      <c r="AM448" s="19" t="s">
        <v>1563</v>
      </c>
      <c r="AN448">
        <v>0.44087659898168324</v>
      </c>
      <c r="AO448">
        <v>894276</v>
      </c>
    </row>
    <row r="449" spans="1:41" x14ac:dyDescent="0.3">
      <c r="A449" s="19" t="s">
        <v>519</v>
      </c>
      <c r="B449">
        <v>31</v>
      </c>
      <c r="C449" s="19" t="s">
        <v>196</v>
      </c>
      <c r="D449" s="19" t="s">
        <v>55</v>
      </c>
      <c r="E449" s="19" t="s">
        <v>48</v>
      </c>
      <c r="F449">
        <v>1079</v>
      </c>
      <c r="G449" s="19" t="s">
        <v>57</v>
      </c>
      <c r="H449">
        <v>10</v>
      </c>
      <c r="I449">
        <v>2</v>
      </c>
      <c r="J449" s="19" t="s">
        <v>58</v>
      </c>
      <c r="K449">
        <v>1912</v>
      </c>
      <c r="L449">
        <v>3</v>
      </c>
      <c r="M449" s="19" t="s">
        <v>59</v>
      </c>
      <c r="N449">
        <v>3</v>
      </c>
      <c r="O449">
        <v>2</v>
      </c>
      <c r="P449" s="19" t="s">
        <v>145</v>
      </c>
      <c r="Q449">
        <v>4</v>
      </c>
      <c r="R449" s="19" t="s">
        <v>53</v>
      </c>
      <c r="S449">
        <v>95476</v>
      </c>
      <c r="T449" s="19" t="s">
        <v>70</v>
      </c>
      <c r="U449">
        <v>596.72</v>
      </c>
      <c r="V449">
        <v>2</v>
      </c>
      <c r="W449" s="19" t="s">
        <v>47</v>
      </c>
      <c r="X449">
        <v>11</v>
      </c>
      <c r="Y449">
        <v>3</v>
      </c>
      <c r="Z449">
        <v>4</v>
      </c>
      <c r="AA449">
        <v>1</v>
      </c>
      <c r="AB449">
        <v>8</v>
      </c>
      <c r="AC449">
        <v>2</v>
      </c>
      <c r="AD449">
        <v>3</v>
      </c>
      <c r="AE449">
        <v>5</v>
      </c>
      <c r="AF449">
        <v>2</v>
      </c>
      <c r="AG449">
        <v>1</v>
      </c>
      <c r="AH449">
        <v>4</v>
      </c>
      <c r="AI449">
        <v>0</v>
      </c>
      <c r="AJ449" s="19" t="s">
        <v>1567</v>
      </c>
      <c r="AK449" s="19" t="s">
        <v>1562</v>
      </c>
      <c r="AL449">
        <v>1</v>
      </c>
      <c r="AM449" s="19" t="s">
        <v>1565</v>
      </c>
      <c r="AN449">
        <v>0.94618735281973942</v>
      </c>
      <c r="AO449">
        <v>1145712</v>
      </c>
    </row>
    <row r="450" spans="1:41" x14ac:dyDescent="0.3">
      <c r="A450" s="19" t="s">
        <v>520</v>
      </c>
      <c r="B450">
        <v>31</v>
      </c>
      <c r="C450" s="19" t="s">
        <v>196</v>
      </c>
      <c r="D450" s="19" t="s">
        <v>55</v>
      </c>
      <c r="E450" s="19" t="s">
        <v>48</v>
      </c>
      <c r="F450">
        <v>471</v>
      </c>
      <c r="G450" s="19" t="s">
        <v>49</v>
      </c>
      <c r="H450">
        <v>4</v>
      </c>
      <c r="I450">
        <v>3</v>
      </c>
      <c r="J450" s="19" t="s">
        <v>58</v>
      </c>
      <c r="K450">
        <v>1916</v>
      </c>
      <c r="L450">
        <v>1</v>
      </c>
      <c r="M450" s="19" t="s">
        <v>59</v>
      </c>
      <c r="N450">
        <v>4</v>
      </c>
      <c r="O450">
        <v>1</v>
      </c>
      <c r="P450" s="19" t="s">
        <v>52</v>
      </c>
      <c r="Q450">
        <v>3</v>
      </c>
      <c r="R450" s="19" t="s">
        <v>53</v>
      </c>
      <c r="S450">
        <v>18019</v>
      </c>
      <c r="T450" s="19" t="s">
        <v>54</v>
      </c>
      <c r="U450">
        <v>112.62</v>
      </c>
      <c r="V450">
        <v>8</v>
      </c>
      <c r="W450" s="19" t="s">
        <v>55</v>
      </c>
      <c r="X450">
        <v>12</v>
      </c>
      <c r="Y450">
        <v>3</v>
      </c>
      <c r="Z450">
        <v>2</v>
      </c>
      <c r="AA450">
        <v>1</v>
      </c>
      <c r="AB450">
        <v>4</v>
      </c>
      <c r="AC450">
        <v>0</v>
      </c>
      <c r="AD450">
        <v>2</v>
      </c>
      <c r="AE450">
        <v>2</v>
      </c>
      <c r="AF450">
        <v>2</v>
      </c>
      <c r="AG450">
        <v>2</v>
      </c>
      <c r="AH450">
        <v>2</v>
      </c>
      <c r="AI450">
        <v>0</v>
      </c>
      <c r="AJ450" s="19" t="s">
        <v>1566</v>
      </c>
      <c r="AK450" s="19" t="s">
        <v>1562</v>
      </c>
      <c r="AL450">
        <v>1</v>
      </c>
      <c r="AM450" s="19" t="s">
        <v>1565</v>
      </c>
      <c r="AN450">
        <v>-0.65160882630797268</v>
      </c>
      <c r="AO450">
        <v>216228</v>
      </c>
    </row>
    <row r="451" spans="1:41" x14ac:dyDescent="0.3">
      <c r="A451" s="19" t="s">
        <v>521</v>
      </c>
      <c r="B451">
        <v>31</v>
      </c>
      <c r="C451" s="19" t="s">
        <v>196</v>
      </c>
      <c r="D451" s="19" t="s">
        <v>55</v>
      </c>
      <c r="E451" s="19" t="s">
        <v>66</v>
      </c>
      <c r="F451">
        <v>976</v>
      </c>
      <c r="G451" s="19" t="s">
        <v>49</v>
      </c>
      <c r="H451">
        <v>3</v>
      </c>
      <c r="I451">
        <v>2</v>
      </c>
      <c r="J451" s="19" t="s">
        <v>58</v>
      </c>
      <c r="K451">
        <v>1948</v>
      </c>
      <c r="L451">
        <v>3</v>
      </c>
      <c r="M451" s="19" t="s">
        <v>51</v>
      </c>
      <c r="N451">
        <v>3</v>
      </c>
      <c r="O451">
        <v>1</v>
      </c>
      <c r="P451" s="19" t="s">
        <v>67</v>
      </c>
      <c r="Q451">
        <v>1</v>
      </c>
      <c r="R451" s="19" t="s">
        <v>53</v>
      </c>
      <c r="S451">
        <v>84613</v>
      </c>
      <c r="T451" s="19" t="s">
        <v>70</v>
      </c>
      <c r="U451">
        <v>528.83000000000004</v>
      </c>
      <c r="V451">
        <v>1</v>
      </c>
      <c r="W451" s="19" t="s">
        <v>47</v>
      </c>
      <c r="X451">
        <v>13</v>
      </c>
      <c r="Y451">
        <v>3</v>
      </c>
      <c r="Z451">
        <v>4</v>
      </c>
      <c r="AA451">
        <v>1</v>
      </c>
      <c r="AB451">
        <v>4</v>
      </c>
      <c r="AC451">
        <v>3</v>
      </c>
      <c r="AD451">
        <v>4</v>
      </c>
      <c r="AE451">
        <v>4</v>
      </c>
      <c r="AF451">
        <v>2</v>
      </c>
      <c r="AG451">
        <v>2</v>
      </c>
      <c r="AH451">
        <v>3</v>
      </c>
      <c r="AI451">
        <v>0</v>
      </c>
      <c r="AJ451" s="19" t="s">
        <v>1567</v>
      </c>
      <c r="AK451" s="19" t="s">
        <v>1562</v>
      </c>
      <c r="AL451">
        <v>2</v>
      </c>
      <c r="AM451" s="19" t="s">
        <v>1564</v>
      </c>
      <c r="AN451">
        <v>0.69680395992873201</v>
      </c>
      <c r="AO451">
        <v>1015356</v>
      </c>
    </row>
    <row r="452" spans="1:41" x14ac:dyDescent="0.3">
      <c r="A452" s="19" t="s">
        <v>522</v>
      </c>
      <c r="B452">
        <v>31</v>
      </c>
      <c r="C452" s="19" t="s">
        <v>196</v>
      </c>
      <c r="D452" s="19" t="s">
        <v>55</v>
      </c>
      <c r="E452" s="19" t="s">
        <v>62</v>
      </c>
      <c r="F452">
        <v>1125</v>
      </c>
      <c r="G452" s="19" t="s">
        <v>49</v>
      </c>
      <c r="H452">
        <v>1</v>
      </c>
      <c r="I452">
        <v>3</v>
      </c>
      <c r="J452" s="19" t="s">
        <v>50</v>
      </c>
      <c r="K452">
        <v>1956</v>
      </c>
      <c r="L452">
        <v>4</v>
      </c>
      <c r="M452" s="19" t="s">
        <v>51</v>
      </c>
      <c r="N452">
        <v>1</v>
      </c>
      <c r="O452">
        <v>2</v>
      </c>
      <c r="P452" s="19" t="s">
        <v>67</v>
      </c>
      <c r="Q452">
        <v>1</v>
      </c>
      <c r="R452" s="19" t="s">
        <v>113</v>
      </c>
      <c r="S452">
        <v>92794</v>
      </c>
      <c r="T452" s="19" t="s">
        <v>70</v>
      </c>
      <c r="U452">
        <v>579.96</v>
      </c>
      <c r="V452">
        <v>1</v>
      </c>
      <c r="W452" s="19" t="s">
        <v>55</v>
      </c>
      <c r="X452">
        <v>21</v>
      </c>
      <c r="Y452">
        <v>4</v>
      </c>
      <c r="Z452">
        <v>2</v>
      </c>
      <c r="AA452">
        <v>0</v>
      </c>
      <c r="AB452">
        <v>10</v>
      </c>
      <c r="AC452">
        <v>6</v>
      </c>
      <c r="AD452">
        <v>3</v>
      </c>
      <c r="AE452">
        <v>10</v>
      </c>
      <c r="AF452">
        <v>8</v>
      </c>
      <c r="AG452">
        <v>8</v>
      </c>
      <c r="AH452">
        <v>7</v>
      </c>
      <c r="AI452">
        <v>0</v>
      </c>
      <c r="AJ452" s="19" t="s">
        <v>1569</v>
      </c>
      <c r="AK452" s="19" t="s">
        <v>1570</v>
      </c>
      <c r="AL452">
        <v>2</v>
      </c>
      <c r="AM452" s="19" t="s">
        <v>1564</v>
      </c>
      <c r="AN452">
        <v>0.86086330301049196</v>
      </c>
      <c r="AO452">
        <v>1113528</v>
      </c>
    </row>
    <row r="453" spans="1:41" x14ac:dyDescent="0.3">
      <c r="A453" s="19" t="s">
        <v>523</v>
      </c>
      <c r="B453">
        <v>31</v>
      </c>
      <c r="C453" s="19" t="s">
        <v>196</v>
      </c>
      <c r="D453" s="19" t="s">
        <v>47</v>
      </c>
      <c r="E453" s="19" t="s">
        <v>62</v>
      </c>
      <c r="F453">
        <v>754</v>
      </c>
      <c r="G453" s="19" t="s">
        <v>57</v>
      </c>
      <c r="H453">
        <v>26</v>
      </c>
      <c r="I453">
        <v>4</v>
      </c>
      <c r="J453" s="19" t="s">
        <v>63</v>
      </c>
      <c r="K453">
        <v>1967</v>
      </c>
      <c r="L453">
        <v>1</v>
      </c>
      <c r="M453" s="19" t="s">
        <v>51</v>
      </c>
      <c r="N453">
        <v>3</v>
      </c>
      <c r="O453">
        <v>2</v>
      </c>
      <c r="P453" s="19" t="s">
        <v>145</v>
      </c>
      <c r="Q453">
        <v>4</v>
      </c>
      <c r="R453" s="19" t="s">
        <v>113</v>
      </c>
      <c r="S453">
        <v>87672</v>
      </c>
      <c r="T453" s="19" t="s">
        <v>70</v>
      </c>
      <c r="U453">
        <v>547.95000000000005</v>
      </c>
      <c r="V453">
        <v>1</v>
      </c>
      <c r="W453" s="19" t="s">
        <v>47</v>
      </c>
      <c r="X453">
        <v>11</v>
      </c>
      <c r="Y453">
        <v>3</v>
      </c>
      <c r="Z453">
        <v>3</v>
      </c>
      <c r="AA453">
        <v>0</v>
      </c>
      <c r="AB453">
        <v>10</v>
      </c>
      <c r="AC453">
        <v>4</v>
      </c>
      <c r="AD453">
        <v>3</v>
      </c>
      <c r="AE453">
        <v>10</v>
      </c>
      <c r="AF453">
        <v>7</v>
      </c>
      <c r="AG453">
        <v>0</v>
      </c>
      <c r="AH453">
        <v>8</v>
      </c>
      <c r="AI453">
        <v>1</v>
      </c>
      <c r="AJ453" s="19" t="s">
        <v>1569</v>
      </c>
      <c r="AK453" s="19" t="s">
        <v>1562</v>
      </c>
      <c r="AL453">
        <v>1</v>
      </c>
      <c r="AM453" s="19" t="s">
        <v>1565</v>
      </c>
      <c r="AN453">
        <v>0.78711024337437885</v>
      </c>
      <c r="AO453">
        <v>1052064</v>
      </c>
    </row>
    <row r="454" spans="1:41" x14ac:dyDescent="0.3">
      <c r="A454" s="19" t="s">
        <v>524</v>
      </c>
      <c r="B454">
        <v>31</v>
      </c>
      <c r="C454" s="19" t="s">
        <v>196</v>
      </c>
      <c r="D454" s="19" t="s">
        <v>55</v>
      </c>
      <c r="E454" s="19" t="s">
        <v>48</v>
      </c>
      <c r="F454">
        <v>1276</v>
      </c>
      <c r="G454" s="19" t="s">
        <v>49</v>
      </c>
      <c r="H454">
        <v>2</v>
      </c>
      <c r="I454">
        <v>1</v>
      </c>
      <c r="J454" s="19" t="s">
        <v>58</v>
      </c>
      <c r="K454">
        <v>1974</v>
      </c>
      <c r="L454">
        <v>4</v>
      </c>
      <c r="M454" s="19" t="s">
        <v>59</v>
      </c>
      <c r="N454">
        <v>1</v>
      </c>
      <c r="O454">
        <v>1</v>
      </c>
      <c r="P454" s="19" t="s">
        <v>52</v>
      </c>
      <c r="Q454">
        <v>4</v>
      </c>
      <c r="R454" s="19" t="s">
        <v>53</v>
      </c>
      <c r="S454">
        <v>74847</v>
      </c>
      <c r="T454" s="19" t="s">
        <v>64</v>
      </c>
      <c r="U454">
        <v>467.79</v>
      </c>
      <c r="V454">
        <v>1</v>
      </c>
      <c r="W454" s="19" t="s">
        <v>47</v>
      </c>
      <c r="X454">
        <v>11</v>
      </c>
      <c r="Y454">
        <v>3</v>
      </c>
      <c r="Z454">
        <v>3</v>
      </c>
      <c r="AA454">
        <v>3</v>
      </c>
      <c r="AB454">
        <v>1</v>
      </c>
      <c r="AC454">
        <v>4</v>
      </c>
      <c r="AD454">
        <v>3</v>
      </c>
      <c r="AE454">
        <v>1</v>
      </c>
      <c r="AF454">
        <v>0</v>
      </c>
      <c r="AG454">
        <v>0</v>
      </c>
      <c r="AH454">
        <v>0</v>
      </c>
      <c r="AI454">
        <v>0</v>
      </c>
      <c r="AJ454" s="19" t="s">
        <v>1561</v>
      </c>
      <c r="AK454" s="19" t="s">
        <v>1562</v>
      </c>
      <c r="AL454">
        <v>1</v>
      </c>
      <c r="AM454" s="19" t="s">
        <v>1565</v>
      </c>
      <c r="AN454">
        <v>0.44714102765565056</v>
      </c>
      <c r="AO454">
        <v>898164</v>
      </c>
    </row>
    <row r="455" spans="1:41" x14ac:dyDescent="0.3">
      <c r="A455" s="19" t="s">
        <v>525</v>
      </c>
      <c r="B455">
        <v>31</v>
      </c>
      <c r="C455" s="19" t="s">
        <v>196</v>
      </c>
      <c r="D455" s="19" t="s">
        <v>55</v>
      </c>
      <c r="E455" s="19" t="s">
        <v>66</v>
      </c>
      <c r="F455">
        <v>697</v>
      </c>
      <c r="G455" s="19" t="s">
        <v>49</v>
      </c>
      <c r="H455">
        <v>10</v>
      </c>
      <c r="I455">
        <v>3</v>
      </c>
      <c r="J455" s="19" t="s">
        <v>58</v>
      </c>
      <c r="K455">
        <v>1979</v>
      </c>
      <c r="L455">
        <v>3</v>
      </c>
      <c r="M455" s="19" t="s">
        <v>59</v>
      </c>
      <c r="N455">
        <v>3</v>
      </c>
      <c r="O455">
        <v>3</v>
      </c>
      <c r="P455" s="19" t="s">
        <v>257</v>
      </c>
      <c r="Q455">
        <v>3</v>
      </c>
      <c r="R455" s="19" t="s">
        <v>113</v>
      </c>
      <c r="S455">
        <v>83750</v>
      </c>
      <c r="T455" s="19" t="s">
        <v>70</v>
      </c>
      <c r="U455">
        <v>523.44000000000005</v>
      </c>
      <c r="V455">
        <v>4</v>
      </c>
      <c r="W455" s="19" t="s">
        <v>55</v>
      </c>
      <c r="X455">
        <v>20</v>
      </c>
      <c r="Y455">
        <v>4</v>
      </c>
      <c r="Z455">
        <v>3</v>
      </c>
      <c r="AA455">
        <v>1</v>
      </c>
      <c r="AB455">
        <v>13</v>
      </c>
      <c r="AC455">
        <v>2</v>
      </c>
      <c r="AD455">
        <v>4</v>
      </c>
      <c r="AE455">
        <v>11</v>
      </c>
      <c r="AF455">
        <v>7</v>
      </c>
      <c r="AG455">
        <v>4</v>
      </c>
      <c r="AH455">
        <v>8</v>
      </c>
      <c r="AI455">
        <v>0</v>
      </c>
      <c r="AJ455" s="19" t="s">
        <v>1571</v>
      </c>
      <c r="AK455" s="19" t="s">
        <v>1570</v>
      </c>
      <c r="AL455">
        <v>1</v>
      </c>
      <c r="AM455" s="19" t="s">
        <v>1565</v>
      </c>
      <c r="AN455">
        <v>0.65307770994950476</v>
      </c>
      <c r="AO455">
        <v>1005000</v>
      </c>
    </row>
    <row r="456" spans="1:41" x14ac:dyDescent="0.3">
      <c r="A456" s="19" t="s">
        <v>526</v>
      </c>
      <c r="B456">
        <v>31</v>
      </c>
      <c r="C456" s="19" t="s">
        <v>196</v>
      </c>
      <c r="D456" s="19" t="s">
        <v>55</v>
      </c>
      <c r="E456" s="19" t="s">
        <v>48</v>
      </c>
      <c r="F456">
        <v>1154</v>
      </c>
      <c r="G456" s="19" t="s">
        <v>57</v>
      </c>
      <c r="H456">
        <v>2</v>
      </c>
      <c r="I456">
        <v>2</v>
      </c>
      <c r="J456" s="19" t="s">
        <v>50</v>
      </c>
      <c r="K456">
        <v>1996</v>
      </c>
      <c r="L456">
        <v>1</v>
      </c>
      <c r="M456" s="19" t="s">
        <v>51</v>
      </c>
      <c r="N456">
        <v>3</v>
      </c>
      <c r="O456">
        <v>1</v>
      </c>
      <c r="P456" s="19" t="s">
        <v>60</v>
      </c>
      <c r="Q456">
        <v>3</v>
      </c>
      <c r="R456" s="19" t="s">
        <v>113</v>
      </c>
      <c r="S456">
        <v>80634</v>
      </c>
      <c r="T456" s="19" t="s">
        <v>64</v>
      </c>
      <c r="U456">
        <v>503.96</v>
      </c>
      <c r="V456">
        <v>0</v>
      </c>
      <c r="W456" s="19" t="s">
        <v>55</v>
      </c>
      <c r="X456">
        <v>19</v>
      </c>
      <c r="Y456">
        <v>3</v>
      </c>
      <c r="Z456">
        <v>3</v>
      </c>
      <c r="AA456">
        <v>1</v>
      </c>
      <c r="AB456">
        <v>3</v>
      </c>
      <c r="AC456">
        <v>1</v>
      </c>
      <c r="AD456">
        <v>3</v>
      </c>
      <c r="AE456">
        <v>2</v>
      </c>
      <c r="AF456">
        <v>2</v>
      </c>
      <c r="AG456">
        <v>1</v>
      </c>
      <c r="AH456">
        <v>2</v>
      </c>
      <c r="AI456">
        <v>0</v>
      </c>
      <c r="AJ456" s="19" t="s">
        <v>1566</v>
      </c>
      <c r="AK456" s="19" t="s">
        <v>1562</v>
      </c>
      <c r="AL456">
        <v>0</v>
      </c>
      <c r="AM456" s="19" t="s">
        <v>1563</v>
      </c>
      <c r="AN456">
        <v>0.6346895377790156</v>
      </c>
      <c r="AO456">
        <v>967608</v>
      </c>
    </row>
    <row r="457" spans="1:41" x14ac:dyDescent="0.3">
      <c r="A457" s="19" t="s">
        <v>527</v>
      </c>
      <c r="B457">
        <v>31</v>
      </c>
      <c r="C457" s="19" t="s">
        <v>196</v>
      </c>
      <c r="D457" s="19" t="s">
        <v>55</v>
      </c>
      <c r="E457" s="19" t="s">
        <v>66</v>
      </c>
      <c r="F457">
        <v>325</v>
      </c>
      <c r="G457" s="19" t="s">
        <v>49</v>
      </c>
      <c r="H457">
        <v>5</v>
      </c>
      <c r="I457">
        <v>3</v>
      </c>
      <c r="J457" s="19" t="s">
        <v>58</v>
      </c>
      <c r="K457">
        <v>2057</v>
      </c>
      <c r="L457">
        <v>2</v>
      </c>
      <c r="M457" s="19" t="s">
        <v>51</v>
      </c>
      <c r="N457">
        <v>3</v>
      </c>
      <c r="O457">
        <v>2</v>
      </c>
      <c r="P457" s="19" t="s">
        <v>120</v>
      </c>
      <c r="Q457">
        <v>1</v>
      </c>
      <c r="R457" s="19" t="s">
        <v>53</v>
      </c>
      <c r="S457">
        <v>29251</v>
      </c>
      <c r="T457" s="19" t="s">
        <v>72</v>
      </c>
      <c r="U457">
        <v>182.82</v>
      </c>
      <c r="V457">
        <v>0</v>
      </c>
      <c r="W457" s="19" t="s">
        <v>55</v>
      </c>
      <c r="X457">
        <v>19</v>
      </c>
      <c r="Y457">
        <v>3</v>
      </c>
      <c r="Z457">
        <v>2</v>
      </c>
      <c r="AA457">
        <v>0</v>
      </c>
      <c r="AB457">
        <v>10</v>
      </c>
      <c r="AC457">
        <v>2</v>
      </c>
      <c r="AD457">
        <v>3</v>
      </c>
      <c r="AE457">
        <v>9</v>
      </c>
      <c r="AF457">
        <v>4</v>
      </c>
      <c r="AG457">
        <v>1</v>
      </c>
      <c r="AH457">
        <v>7</v>
      </c>
      <c r="AI457">
        <v>0</v>
      </c>
      <c r="AJ457" s="19" t="s">
        <v>1569</v>
      </c>
      <c r="AK457" s="19" t="s">
        <v>1562</v>
      </c>
      <c r="AL457">
        <v>1</v>
      </c>
      <c r="AM457" s="19" t="s">
        <v>1565</v>
      </c>
      <c r="AN457">
        <v>-0.33963701611181119</v>
      </c>
      <c r="AO457">
        <v>351012</v>
      </c>
    </row>
    <row r="458" spans="1:41" x14ac:dyDescent="0.3">
      <c r="A458" s="19" t="s">
        <v>527</v>
      </c>
      <c r="B458">
        <v>31</v>
      </c>
      <c r="C458" s="19" t="s">
        <v>196</v>
      </c>
      <c r="D458" s="19" t="s">
        <v>55</v>
      </c>
      <c r="E458" s="19" t="s">
        <v>66</v>
      </c>
      <c r="F458">
        <v>325</v>
      </c>
      <c r="G458" s="19" t="s">
        <v>49</v>
      </c>
      <c r="H458">
        <v>5</v>
      </c>
      <c r="I458">
        <v>3</v>
      </c>
      <c r="J458" s="19" t="s">
        <v>58</v>
      </c>
      <c r="K458">
        <v>2057</v>
      </c>
      <c r="L458">
        <v>2</v>
      </c>
      <c r="M458" s="19" t="s">
        <v>51</v>
      </c>
      <c r="N458">
        <v>3</v>
      </c>
      <c r="O458">
        <v>2</v>
      </c>
      <c r="P458" s="19" t="s">
        <v>120</v>
      </c>
      <c r="Q458">
        <v>1</v>
      </c>
      <c r="R458" s="19" t="s">
        <v>53</v>
      </c>
      <c r="S458">
        <v>26945</v>
      </c>
      <c r="T458" s="19" t="s">
        <v>72</v>
      </c>
      <c r="U458">
        <v>168.41</v>
      </c>
      <c r="V458">
        <v>0</v>
      </c>
      <c r="W458" s="19" t="s">
        <v>55</v>
      </c>
      <c r="X458">
        <v>19</v>
      </c>
      <c r="Y458">
        <v>3</v>
      </c>
      <c r="Z458">
        <v>2</v>
      </c>
      <c r="AA458">
        <v>0</v>
      </c>
      <c r="AB458">
        <v>10</v>
      </c>
      <c r="AC458">
        <v>2</v>
      </c>
      <c r="AD458">
        <v>3</v>
      </c>
      <c r="AE458">
        <v>9</v>
      </c>
      <c r="AF458">
        <v>4</v>
      </c>
      <c r="AG458">
        <v>1</v>
      </c>
      <c r="AH458">
        <v>7</v>
      </c>
      <c r="AI458">
        <v>0</v>
      </c>
      <c r="AJ458" s="19" t="s">
        <v>1569</v>
      </c>
      <c r="AK458" s="19" t="s">
        <v>1562</v>
      </c>
      <c r="AL458">
        <v>1</v>
      </c>
      <c r="AM458" s="19" t="s">
        <v>1565</v>
      </c>
      <c r="AN458">
        <v>-0.39169667358834748</v>
      </c>
      <c r="AO458">
        <v>323340</v>
      </c>
    </row>
    <row r="459" spans="1:41" x14ac:dyDescent="0.3">
      <c r="A459" s="19" t="s">
        <v>528</v>
      </c>
      <c r="B459">
        <v>32</v>
      </c>
      <c r="C459" s="19" t="s">
        <v>196</v>
      </c>
      <c r="D459" s="19" t="s">
        <v>55</v>
      </c>
      <c r="E459" s="19" t="s">
        <v>62</v>
      </c>
      <c r="F459">
        <v>1005</v>
      </c>
      <c r="G459" s="19" t="s">
        <v>49</v>
      </c>
      <c r="H459">
        <v>2</v>
      </c>
      <c r="I459">
        <v>2</v>
      </c>
      <c r="J459" s="19" t="s">
        <v>50</v>
      </c>
      <c r="K459">
        <v>8</v>
      </c>
      <c r="L459">
        <v>4</v>
      </c>
      <c r="M459" s="19" t="s">
        <v>51</v>
      </c>
      <c r="N459">
        <v>3</v>
      </c>
      <c r="O459">
        <v>1</v>
      </c>
      <c r="P459" s="19" t="s">
        <v>52</v>
      </c>
      <c r="Q459">
        <v>4</v>
      </c>
      <c r="R459" s="19" t="s">
        <v>53</v>
      </c>
      <c r="S459">
        <v>91852</v>
      </c>
      <c r="T459" s="19" t="s">
        <v>70</v>
      </c>
      <c r="U459">
        <v>574.08000000000004</v>
      </c>
      <c r="V459">
        <v>0</v>
      </c>
      <c r="W459" s="19" t="s">
        <v>55</v>
      </c>
      <c r="X459">
        <v>13</v>
      </c>
      <c r="Y459">
        <v>3</v>
      </c>
      <c r="Z459">
        <v>3</v>
      </c>
      <c r="AA459">
        <v>0</v>
      </c>
      <c r="AB459">
        <v>8</v>
      </c>
      <c r="AC459">
        <v>2</v>
      </c>
      <c r="AD459">
        <v>2</v>
      </c>
      <c r="AE459">
        <v>7</v>
      </c>
      <c r="AF459">
        <v>7</v>
      </c>
      <c r="AG459">
        <v>3</v>
      </c>
      <c r="AH459">
        <v>6</v>
      </c>
      <c r="AI459">
        <v>0</v>
      </c>
      <c r="AJ459" s="19" t="s">
        <v>1569</v>
      </c>
      <c r="AK459" s="19" t="s">
        <v>1570</v>
      </c>
      <c r="AL459">
        <v>2</v>
      </c>
      <c r="AM459" s="19" t="s">
        <v>1564</v>
      </c>
      <c r="AN459">
        <v>0.77592685975692832</v>
      </c>
      <c r="AO459">
        <v>1102224</v>
      </c>
    </row>
    <row r="460" spans="1:41" x14ac:dyDescent="0.3">
      <c r="A460" s="19" t="s">
        <v>529</v>
      </c>
      <c r="B460">
        <v>32</v>
      </c>
      <c r="C460" s="19" t="s">
        <v>196</v>
      </c>
      <c r="D460" s="19" t="s">
        <v>55</v>
      </c>
      <c r="E460" s="19" t="s">
        <v>48</v>
      </c>
      <c r="F460">
        <v>334</v>
      </c>
      <c r="G460" s="19" t="s">
        <v>49</v>
      </c>
      <c r="H460">
        <v>5</v>
      </c>
      <c r="I460">
        <v>2</v>
      </c>
      <c r="J460" s="19" t="s">
        <v>50</v>
      </c>
      <c r="K460">
        <v>21</v>
      </c>
      <c r="L460">
        <v>1</v>
      </c>
      <c r="M460" s="19" t="s">
        <v>51</v>
      </c>
      <c r="N460">
        <v>4</v>
      </c>
      <c r="O460">
        <v>1</v>
      </c>
      <c r="P460" s="19" t="s">
        <v>67</v>
      </c>
      <c r="Q460">
        <v>2</v>
      </c>
      <c r="R460" s="19" t="s">
        <v>53</v>
      </c>
      <c r="S460">
        <v>33217</v>
      </c>
      <c r="T460" s="19" t="s">
        <v>72</v>
      </c>
      <c r="U460">
        <v>207.61</v>
      </c>
      <c r="V460">
        <v>0</v>
      </c>
      <c r="W460" s="19" t="s">
        <v>47</v>
      </c>
      <c r="X460">
        <v>12</v>
      </c>
      <c r="Y460">
        <v>3</v>
      </c>
      <c r="Z460">
        <v>4</v>
      </c>
      <c r="AA460">
        <v>2</v>
      </c>
      <c r="AB460">
        <v>7</v>
      </c>
      <c r="AC460">
        <v>5</v>
      </c>
      <c r="AD460">
        <v>2</v>
      </c>
      <c r="AE460">
        <v>6</v>
      </c>
      <c r="AF460">
        <v>2</v>
      </c>
      <c r="AG460">
        <v>0</v>
      </c>
      <c r="AH460">
        <v>5</v>
      </c>
      <c r="AI460">
        <v>0</v>
      </c>
      <c r="AJ460" s="19" t="s">
        <v>1569</v>
      </c>
      <c r="AK460" s="19" t="s">
        <v>1562</v>
      </c>
      <c r="AL460">
        <v>3</v>
      </c>
      <c r="AM460" s="19" t="s">
        <v>1568</v>
      </c>
      <c r="AN460">
        <v>-0.33387615216393829</v>
      </c>
      <c r="AO460">
        <v>398604</v>
      </c>
    </row>
    <row r="461" spans="1:41" x14ac:dyDescent="0.3">
      <c r="A461" s="19" t="s">
        <v>530</v>
      </c>
      <c r="B461">
        <v>32</v>
      </c>
      <c r="C461" s="19" t="s">
        <v>196</v>
      </c>
      <c r="D461" s="19" t="s">
        <v>47</v>
      </c>
      <c r="E461" s="19" t="s">
        <v>62</v>
      </c>
      <c r="F461">
        <v>1125</v>
      </c>
      <c r="G461" s="19" t="s">
        <v>49</v>
      </c>
      <c r="H461">
        <v>16</v>
      </c>
      <c r="I461">
        <v>1</v>
      </c>
      <c r="J461" s="19" t="s">
        <v>50</v>
      </c>
      <c r="K461">
        <v>33</v>
      </c>
      <c r="L461">
        <v>2</v>
      </c>
      <c r="M461" s="19" t="s">
        <v>59</v>
      </c>
      <c r="N461">
        <v>1</v>
      </c>
      <c r="O461">
        <v>1</v>
      </c>
      <c r="P461" s="19" t="s">
        <v>67</v>
      </c>
      <c r="Q461">
        <v>1</v>
      </c>
      <c r="R461" s="19" t="s">
        <v>53</v>
      </c>
      <c r="S461">
        <v>9308</v>
      </c>
      <c r="T461" s="19" t="s">
        <v>54</v>
      </c>
      <c r="U461">
        <v>58.18</v>
      </c>
      <c r="V461">
        <v>1</v>
      </c>
      <c r="W461" s="19" t="s">
        <v>47</v>
      </c>
      <c r="X461">
        <v>22</v>
      </c>
      <c r="Y461">
        <v>4</v>
      </c>
      <c r="Z461">
        <v>2</v>
      </c>
      <c r="AA461">
        <v>0</v>
      </c>
      <c r="AB461">
        <v>10</v>
      </c>
      <c r="AC461">
        <v>5</v>
      </c>
      <c r="AD461">
        <v>3</v>
      </c>
      <c r="AE461">
        <v>10</v>
      </c>
      <c r="AF461">
        <v>2</v>
      </c>
      <c r="AG461">
        <v>6</v>
      </c>
      <c r="AH461">
        <v>2</v>
      </c>
      <c r="AI461">
        <v>1</v>
      </c>
      <c r="AJ461" s="19" t="s">
        <v>1569</v>
      </c>
      <c r="AK461" s="19" t="s">
        <v>1570</v>
      </c>
      <c r="AL461">
        <v>3</v>
      </c>
      <c r="AM461" s="19" t="s">
        <v>1568</v>
      </c>
      <c r="AN461">
        <v>-0.81334013379721037</v>
      </c>
      <c r="AO461">
        <v>111696</v>
      </c>
    </row>
    <row r="462" spans="1:41" x14ac:dyDescent="0.3">
      <c r="A462" s="19" t="s">
        <v>531</v>
      </c>
      <c r="B462">
        <v>32</v>
      </c>
      <c r="C462" s="19" t="s">
        <v>196</v>
      </c>
      <c r="D462" s="19" t="s">
        <v>55</v>
      </c>
      <c r="E462" s="19" t="s">
        <v>48</v>
      </c>
      <c r="F462">
        <v>427</v>
      </c>
      <c r="G462" s="19" t="s">
        <v>49</v>
      </c>
      <c r="H462">
        <v>1</v>
      </c>
      <c r="I462">
        <v>3</v>
      </c>
      <c r="J462" s="19" t="s">
        <v>58</v>
      </c>
      <c r="K462">
        <v>78</v>
      </c>
      <c r="L462">
        <v>1</v>
      </c>
      <c r="M462" s="19" t="s">
        <v>51</v>
      </c>
      <c r="N462">
        <v>3</v>
      </c>
      <c r="O462">
        <v>2</v>
      </c>
      <c r="P462" s="19" t="s">
        <v>120</v>
      </c>
      <c r="Q462">
        <v>4</v>
      </c>
      <c r="R462" s="19" t="s">
        <v>113</v>
      </c>
      <c r="S462">
        <v>6949</v>
      </c>
      <c r="T462" s="19" t="s">
        <v>54</v>
      </c>
      <c r="U462">
        <v>43.43</v>
      </c>
      <c r="V462">
        <v>1</v>
      </c>
      <c r="W462" s="19" t="s">
        <v>47</v>
      </c>
      <c r="X462">
        <v>22</v>
      </c>
      <c r="Y462">
        <v>4</v>
      </c>
      <c r="Z462">
        <v>2</v>
      </c>
      <c r="AA462">
        <v>1</v>
      </c>
      <c r="AB462">
        <v>9</v>
      </c>
      <c r="AC462">
        <v>3</v>
      </c>
      <c r="AD462">
        <v>3</v>
      </c>
      <c r="AE462">
        <v>9</v>
      </c>
      <c r="AF462">
        <v>8</v>
      </c>
      <c r="AG462">
        <v>7</v>
      </c>
      <c r="AH462">
        <v>8</v>
      </c>
      <c r="AI462">
        <v>0</v>
      </c>
      <c r="AJ462" s="19" t="s">
        <v>1569</v>
      </c>
      <c r="AK462" s="19" t="s">
        <v>1570</v>
      </c>
      <c r="AL462">
        <v>2</v>
      </c>
      <c r="AM462" s="19" t="s">
        <v>1564</v>
      </c>
      <c r="AN462">
        <v>-0.84312117961645672</v>
      </c>
      <c r="AO462">
        <v>83388</v>
      </c>
    </row>
    <row r="463" spans="1:41" x14ac:dyDescent="0.3">
      <c r="A463" s="19" t="s">
        <v>532</v>
      </c>
      <c r="B463">
        <v>32</v>
      </c>
      <c r="C463" s="19" t="s">
        <v>196</v>
      </c>
      <c r="D463" s="19" t="s">
        <v>55</v>
      </c>
      <c r="E463" s="19" t="s">
        <v>48</v>
      </c>
      <c r="F463">
        <v>548</v>
      </c>
      <c r="G463" s="19" t="s">
        <v>49</v>
      </c>
      <c r="H463">
        <v>1</v>
      </c>
      <c r="I463">
        <v>3</v>
      </c>
      <c r="J463" s="19" t="s">
        <v>50</v>
      </c>
      <c r="K463">
        <v>96</v>
      </c>
      <c r="L463">
        <v>2</v>
      </c>
      <c r="M463" s="19" t="s">
        <v>51</v>
      </c>
      <c r="N463">
        <v>3</v>
      </c>
      <c r="O463">
        <v>2</v>
      </c>
      <c r="P463" s="19" t="s">
        <v>67</v>
      </c>
      <c r="Q463">
        <v>2</v>
      </c>
      <c r="R463" s="19" t="s">
        <v>113</v>
      </c>
      <c r="S463">
        <v>52990</v>
      </c>
      <c r="T463" s="19" t="s">
        <v>64</v>
      </c>
      <c r="U463">
        <v>331.19</v>
      </c>
      <c r="V463">
        <v>1</v>
      </c>
      <c r="W463" s="19" t="s">
        <v>55</v>
      </c>
      <c r="X463">
        <v>17</v>
      </c>
      <c r="Y463">
        <v>3</v>
      </c>
      <c r="Z463">
        <v>2</v>
      </c>
      <c r="AA463">
        <v>2</v>
      </c>
      <c r="AB463">
        <v>10</v>
      </c>
      <c r="AC463">
        <v>3</v>
      </c>
      <c r="AD463">
        <v>3</v>
      </c>
      <c r="AE463">
        <v>10</v>
      </c>
      <c r="AF463">
        <v>4</v>
      </c>
      <c r="AG463">
        <v>0</v>
      </c>
      <c r="AH463">
        <v>4</v>
      </c>
      <c r="AI463">
        <v>0</v>
      </c>
      <c r="AJ463" s="19" t="s">
        <v>1569</v>
      </c>
      <c r="AK463" s="19" t="s">
        <v>1562</v>
      </c>
      <c r="AL463">
        <v>1</v>
      </c>
      <c r="AM463" s="19" t="s">
        <v>1565</v>
      </c>
      <c r="AN463">
        <v>6.2645714448412257E-2</v>
      </c>
      <c r="AO463">
        <v>635880</v>
      </c>
    </row>
    <row r="464" spans="1:41" x14ac:dyDescent="0.3">
      <c r="A464" s="19" t="s">
        <v>533</v>
      </c>
      <c r="B464">
        <v>32</v>
      </c>
      <c r="C464" s="19" t="s">
        <v>196</v>
      </c>
      <c r="D464" s="19" t="s">
        <v>55</v>
      </c>
      <c r="E464" s="19" t="s">
        <v>48</v>
      </c>
      <c r="F464">
        <v>1093</v>
      </c>
      <c r="G464" s="19" t="s">
        <v>57</v>
      </c>
      <c r="H464">
        <v>6</v>
      </c>
      <c r="I464">
        <v>4</v>
      </c>
      <c r="J464" s="19" t="s">
        <v>58</v>
      </c>
      <c r="K464">
        <v>125</v>
      </c>
      <c r="L464">
        <v>2</v>
      </c>
      <c r="M464" s="19" t="s">
        <v>51</v>
      </c>
      <c r="N464">
        <v>3</v>
      </c>
      <c r="O464">
        <v>2</v>
      </c>
      <c r="P464" s="19" t="s">
        <v>145</v>
      </c>
      <c r="Q464">
        <v>3</v>
      </c>
      <c r="R464" s="19" t="s">
        <v>53</v>
      </c>
      <c r="S464">
        <v>2150</v>
      </c>
      <c r="T464" s="19" t="s">
        <v>54</v>
      </c>
      <c r="U464">
        <v>13.44</v>
      </c>
      <c r="V464">
        <v>1</v>
      </c>
      <c r="W464" s="19" t="s">
        <v>55</v>
      </c>
      <c r="X464">
        <v>16</v>
      </c>
      <c r="Y464">
        <v>3</v>
      </c>
      <c r="Z464">
        <v>1</v>
      </c>
      <c r="AA464">
        <v>0</v>
      </c>
      <c r="AB464">
        <v>12</v>
      </c>
      <c r="AC464">
        <v>0</v>
      </c>
      <c r="AD464">
        <v>3</v>
      </c>
      <c r="AE464">
        <v>11</v>
      </c>
      <c r="AF464">
        <v>8</v>
      </c>
      <c r="AG464">
        <v>5</v>
      </c>
      <c r="AH464">
        <v>7</v>
      </c>
      <c r="AI464">
        <v>0</v>
      </c>
      <c r="AJ464" s="19" t="s">
        <v>1571</v>
      </c>
      <c r="AK464" s="19" t="s">
        <v>1570</v>
      </c>
      <c r="AL464">
        <v>1</v>
      </c>
      <c r="AM464" s="19" t="s">
        <v>1565</v>
      </c>
      <c r="AN464">
        <v>-0.95617429711589885</v>
      </c>
      <c r="AO464">
        <v>25800</v>
      </c>
    </row>
    <row r="465" spans="1:41" x14ac:dyDescent="0.3">
      <c r="A465" s="19" t="s">
        <v>534</v>
      </c>
      <c r="B465">
        <v>32</v>
      </c>
      <c r="C465" s="19" t="s">
        <v>196</v>
      </c>
      <c r="D465" s="19" t="s">
        <v>55</v>
      </c>
      <c r="E465" s="19" t="s">
        <v>48</v>
      </c>
      <c r="F465">
        <v>827</v>
      </c>
      <c r="G465" s="19" t="s">
        <v>49</v>
      </c>
      <c r="H465">
        <v>1</v>
      </c>
      <c r="I465">
        <v>1</v>
      </c>
      <c r="J465" s="19" t="s">
        <v>50</v>
      </c>
      <c r="K465">
        <v>134</v>
      </c>
      <c r="L465">
        <v>4</v>
      </c>
      <c r="M465" s="19" t="s">
        <v>51</v>
      </c>
      <c r="N465">
        <v>3</v>
      </c>
      <c r="O465">
        <v>1</v>
      </c>
      <c r="P465" s="19" t="s">
        <v>67</v>
      </c>
      <c r="Q465">
        <v>1</v>
      </c>
      <c r="R465" s="19" t="s">
        <v>53</v>
      </c>
      <c r="S465">
        <v>90480</v>
      </c>
      <c r="T465" s="19" t="s">
        <v>70</v>
      </c>
      <c r="U465">
        <v>565.5</v>
      </c>
      <c r="V465">
        <v>1</v>
      </c>
      <c r="W465" s="19" t="s">
        <v>55</v>
      </c>
      <c r="X465">
        <v>13</v>
      </c>
      <c r="Y465">
        <v>3</v>
      </c>
      <c r="Z465">
        <v>4</v>
      </c>
      <c r="AA465">
        <v>0</v>
      </c>
      <c r="AB465">
        <v>1</v>
      </c>
      <c r="AC465">
        <v>2</v>
      </c>
      <c r="AD465">
        <v>3</v>
      </c>
      <c r="AE465">
        <v>1</v>
      </c>
      <c r="AF465">
        <v>0</v>
      </c>
      <c r="AG465">
        <v>0</v>
      </c>
      <c r="AH465">
        <v>0</v>
      </c>
      <c r="AI465">
        <v>0</v>
      </c>
      <c r="AJ465" s="19" t="s">
        <v>1561</v>
      </c>
      <c r="AK465" s="19" t="s">
        <v>1562</v>
      </c>
      <c r="AL465">
        <v>1</v>
      </c>
      <c r="AM465" s="19" t="s">
        <v>1565</v>
      </c>
      <c r="AN465">
        <v>0.81445903459694924</v>
      </c>
      <c r="AO465">
        <v>1085760</v>
      </c>
    </row>
    <row r="466" spans="1:41" x14ac:dyDescent="0.3">
      <c r="A466" s="19" t="s">
        <v>535</v>
      </c>
      <c r="B466">
        <v>32</v>
      </c>
      <c r="C466" s="19" t="s">
        <v>196</v>
      </c>
      <c r="D466" s="19" t="s">
        <v>47</v>
      </c>
      <c r="E466" s="19" t="s">
        <v>48</v>
      </c>
      <c r="F466">
        <v>1033</v>
      </c>
      <c r="G466" s="19" t="s">
        <v>49</v>
      </c>
      <c r="H466">
        <v>9</v>
      </c>
      <c r="I466">
        <v>3</v>
      </c>
      <c r="J466" s="19" t="s">
        <v>58</v>
      </c>
      <c r="K466">
        <v>190</v>
      </c>
      <c r="L466">
        <v>1</v>
      </c>
      <c r="M466" s="19" t="s">
        <v>59</v>
      </c>
      <c r="N466">
        <v>3</v>
      </c>
      <c r="O466">
        <v>1</v>
      </c>
      <c r="P466" s="19" t="s">
        <v>52</v>
      </c>
      <c r="Q466">
        <v>1</v>
      </c>
      <c r="R466" s="19" t="s">
        <v>53</v>
      </c>
      <c r="S466">
        <v>75740</v>
      </c>
      <c r="T466" s="19" t="s">
        <v>64</v>
      </c>
      <c r="U466">
        <v>473.38</v>
      </c>
      <c r="V466">
        <v>7</v>
      </c>
      <c r="W466" s="19" t="s">
        <v>55</v>
      </c>
      <c r="X466">
        <v>22</v>
      </c>
      <c r="Y466">
        <v>4</v>
      </c>
      <c r="Z466">
        <v>1</v>
      </c>
      <c r="AA466">
        <v>0</v>
      </c>
      <c r="AB466">
        <v>10</v>
      </c>
      <c r="AC466">
        <v>2</v>
      </c>
      <c r="AD466">
        <v>4</v>
      </c>
      <c r="AE466">
        <v>5</v>
      </c>
      <c r="AF466">
        <v>4</v>
      </c>
      <c r="AG466">
        <v>0</v>
      </c>
      <c r="AH466">
        <v>4</v>
      </c>
      <c r="AI466">
        <v>1</v>
      </c>
      <c r="AJ466" s="19" t="s">
        <v>1567</v>
      </c>
      <c r="AK466" s="19" t="s">
        <v>1562</v>
      </c>
      <c r="AL466">
        <v>1</v>
      </c>
      <c r="AM466" s="19" t="s">
        <v>1565</v>
      </c>
      <c r="AN466">
        <v>0.46440687582186291</v>
      </c>
      <c r="AO466">
        <v>908880</v>
      </c>
    </row>
    <row r="467" spans="1:41" x14ac:dyDescent="0.3">
      <c r="A467" s="19" t="s">
        <v>536</v>
      </c>
      <c r="B467">
        <v>32</v>
      </c>
      <c r="C467" s="19" t="s">
        <v>196</v>
      </c>
      <c r="D467" s="19" t="s">
        <v>55</v>
      </c>
      <c r="E467" s="19" t="s">
        <v>62</v>
      </c>
      <c r="F467">
        <v>689</v>
      </c>
      <c r="G467" s="19" t="s">
        <v>57</v>
      </c>
      <c r="H467">
        <v>9</v>
      </c>
      <c r="I467">
        <v>2</v>
      </c>
      <c r="J467" s="19" t="s">
        <v>58</v>
      </c>
      <c r="K467">
        <v>195</v>
      </c>
      <c r="L467">
        <v>4</v>
      </c>
      <c r="M467" s="19" t="s">
        <v>51</v>
      </c>
      <c r="N467">
        <v>1</v>
      </c>
      <c r="O467">
        <v>2</v>
      </c>
      <c r="P467" s="19" t="s">
        <v>145</v>
      </c>
      <c r="Q467">
        <v>4</v>
      </c>
      <c r="R467" s="19" t="s">
        <v>53</v>
      </c>
      <c r="S467">
        <v>67617</v>
      </c>
      <c r="T467" s="19" t="s">
        <v>64</v>
      </c>
      <c r="U467">
        <v>422.61</v>
      </c>
      <c r="V467">
        <v>0</v>
      </c>
      <c r="W467" s="19" t="s">
        <v>55</v>
      </c>
      <c r="X467">
        <v>17</v>
      </c>
      <c r="Y467">
        <v>3</v>
      </c>
      <c r="Z467">
        <v>4</v>
      </c>
      <c r="AA467">
        <v>3</v>
      </c>
      <c r="AB467">
        <v>9</v>
      </c>
      <c r="AC467">
        <v>2</v>
      </c>
      <c r="AD467">
        <v>4</v>
      </c>
      <c r="AE467">
        <v>8</v>
      </c>
      <c r="AF467">
        <v>7</v>
      </c>
      <c r="AG467">
        <v>0</v>
      </c>
      <c r="AH467">
        <v>7</v>
      </c>
      <c r="AI467">
        <v>0</v>
      </c>
      <c r="AJ467" s="19" t="s">
        <v>1569</v>
      </c>
      <c r="AK467" s="19" t="s">
        <v>1562</v>
      </c>
      <c r="AL467">
        <v>0</v>
      </c>
      <c r="AM467" s="19" t="s">
        <v>1563</v>
      </c>
      <c r="AN467">
        <v>0.37830816368105413</v>
      </c>
      <c r="AO467">
        <v>811404</v>
      </c>
    </row>
    <row r="468" spans="1:41" x14ac:dyDescent="0.3">
      <c r="A468" s="19" t="s">
        <v>537</v>
      </c>
      <c r="B468">
        <v>32</v>
      </c>
      <c r="C468" s="19" t="s">
        <v>196</v>
      </c>
      <c r="D468" s="19" t="s">
        <v>55</v>
      </c>
      <c r="E468" s="19" t="s">
        <v>62</v>
      </c>
      <c r="F468">
        <v>967</v>
      </c>
      <c r="G468" s="19" t="s">
        <v>57</v>
      </c>
      <c r="H468">
        <v>8</v>
      </c>
      <c r="I468">
        <v>3</v>
      </c>
      <c r="J468" s="19" t="s">
        <v>63</v>
      </c>
      <c r="K468">
        <v>207</v>
      </c>
      <c r="L468">
        <v>2</v>
      </c>
      <c r="M468" s="19" t="s">
        <v>59</v>
      </c>
      <c r="N468">
        <v>3</v>
      </c>
      <c r="O468">
        <v>3</v>
      </c>
      <c r="P468" s="19" t="s">
        <v>145</v>
      </c>
      <c r="Q468">
        <v>4</v>
      </c>
      <c r="R468" s="19" t="s">
        <v>53</v>
      </c>
      <c r="S468">
        <v>95841</v>
      </c>
      <c r="T468" s="19" t="s">
        <v>70</v>
      </c>
      <c r="U468">
        <v>599.01</v>
      </c>
      <c r="V468">
        <v>1</v>
      </c>
      <c r="W468" s="19" t="s">
        <v>55</v>
      </c>
      <c r="X468">
        <v>14</v>
      </c>
      <c r="Y468">
        <v>3</v>
      </c>
      <c r="Z468">
        <v>4</v>
      </c>
      <c r="AA468">
        <v>0</v>
      </c>
      <c r="AB468">
        <v>9</v>
      </c>
      <c r="AC468">
        <v>2</v>
      </c>
      <c r="AD468">
        <v>3</v>
      </c>
      <c r="AE468">
        <v>9</v>
      </c>
      <c r="AF468">
        <v>8</v>
      </c>
      <c r="AG468">
        <v>3</v>
      </c>
      <c r="AH468">
        <v>7</v>
      </c>
      <c r="AI468">
        <v>0</v>
      </c>
      <c r="AJ468" s="19" t="s">
        <v>1569</v>
      </c>
      <c r="AK468" s="19" t="s">
        <v>1570</v>
      </c>
      <c r="AL468">
        <v>1</v>
      </c>
      <c r="AM468" s="19" t="s">
        <v>1565</v>
      </c>
      <c r="AN468">
        <v>0.95362753028611014</v>
      </c>
      <c r="AO468">
        <v>1150092</v>
      </c>
    </row>
    <row r="469" spans="1:41" x14ac:dyDescent="0.3">
      <c r="A469" s="19" t="s">
        <v>538</v>
      </c>
      <c r="B469">
        <v>32</v>
      </c>
      <c r="C469" s="19" t="s">
        <v>196</v>
      </c>
      <c r="D469" s="19" t="s">
        <v>55</v>
      </c>
      <c r="E469" s="19" t="s">
        <v>48</v>
      </c>
      <c r="F469">
        <v>120</v>
      </c>
      <c r="G469" s="19" t="s">
        <v>49</v>
      </c>
      <c r="H469">
        <v>6</v>
      </c>
      <c r="I469">
        <v>5</v>
      </c>
      <c r="J469" s="19" t="s">
        <v>50</v>
      </c>
      <c r="K469">
        <v>231</v>
      </c>
      <c r="L469">
        <v>3</v>
      </c>
      <c r="M469" s="19" t="s">
        <v>51</v>
      </c>
      <c r="N469">
        <v>3</v>
      </c>
      <c r="O469">
        <v>1</v>
      </c>
      <c r="P469" s="19" t="s">
        <v>67</v>
      </c>
      <c r="Q469">
        <v>3</v>
      </c>
      <c r="R469" s="19" t="s">
        <v>53</v>
      </c>
      <c r="S469">
        <v>17896</v>
      </c>
      <c r="T469" s="19" t="s">
        <v>54</v>
      </c>
      <c r="U469">
        <v>111.85</v>
      </c>
      <c r="V469">
        <v>3</v>
      </c>
      <c r="W469" s="19" t="s">
        <v>55</v>
      </c>
      <c r="X469">
        <v>20</v>
      </c>
      <c r="Y469">
        <v>4</v>
      </c>
      <c r="Z469">
        <v>1</v>
      </c>
      <c r="AA469">
        <v>0</v>
      </c>
      <c r="AB469">
        <v>8</v>
      </c>
      <c r="AC469">
        <v>2</v>
      </c>
      <c r="AD469">
        <v>3</v>
      </c>
      <c r="AE469">
        <v>5</v>
      </c>
      <c r="AF469">
        <v>4</v>
      </c>
      <c r="AG469">
        <v>1</v>
      </c>
      <c r="AH469">
        <v>4</v>
      </c>
      <c r="AI469">
        <v>0</v>
      </c>
      <c r="AJ469" s="19" t="s">
        <v>1567</v>
      </c>
      <c r="AK469" s="19" t="s">
        <v>1562</v>
      </c>
      <c r="AL469">
        <v>0</v>
      </c>
      <c r="AM469" s="19" t="s">
        <v>1563</v>
      </c>
      <c r="AN469">
        <v>-0.64111893365222139</v>
      </c>
      <c r="AO469">
        <v>214752</v>
      </c>
    </row>
    <row r="470" spans="1:41" x14ac:dyDescent="0.3">
      <c r="A470" s="19" t="s">
        <v>539</v>
      </c>
      <c r="B470">
        <v>32</v>
      </c>
      <c r="C470" s="19" t="s">
        <v>196</v>
      </c>
      <c r="D470" s="19" t="s">
        <v>47</v>
      </c>
      <c r="E470" s="19" t="s">
        <v>48</v>
      </c>
      <c r="F470">
        <v>1045</v>
      </c>
      <c r="G470" s="19" t="s">
        <v>57</v>
      </c>
      <c r="H470">
        <v>4</v>
      </c>
      <c r="I470">
        <v>4</v>
      </c>
      <c r="J470" s="19" t="s">
        <v>58</v>
      </c>
      <c r="K470">
        <v>291</v>
      </c>
      <c r="L470">
        <v>4</v>
      </c>
      <c r="M470" s="19" t="s">
        <v>51</v>
      </c>
      <c r="N470">
        <v>1</v>
      </c>
      <c r="O470">
        <v>3</v>
      </c>
      <c r="P470" s="19" t="s">
        <v>145</v>
      </c>
      <c r="Q470">
        <v>4</v>
      </c>
      <c r="R470" s="19" t="s">
        <v>113</v>
      </c>
      <c r="S470">
        <v>47175</v>
      </c>
      <c r="T470" s="19" t="s">
        <v>72</v>
      </c>
      <c r="U470">
        <v>294.83999999999997</v>
      </c>
      <c r="V470">
        <v>1</v>
      </c>
      <c r="W470" s="19" t="s">
        <v>55</v>
      </c>
      <c r="X470">
        <v>11</v>
      </c>
      <c r="Y470">
        <v>3</v>
      </c>
      <c r="Z470">
        <v>3</v>
      </c>
      <c r="AA470">
        <v>0</v>
      </c>
      <c r="AB470">
        <v>14</v>
      </c>
      <c r="AC470">
        <v>2</v>
      </c>
      <c r="AD470">
        <v>2</v>
      </c>
      <c r="AE470">
        <v>14</v>
      </c>
      <c r="AF470">
        <v>8</v>
      </c>
      <c r="AG470">
        <v>9</v>
      </c>
      <c r="AH470">
        <v>8</v>
      </c>
      <c r="AI470">
        <v>1</v>
      </c>
      <c r="AJ470" s="19" t="s">
        <v>1571</v>
      </c>
      <c r="AK470" s="19" t="s">
        <v>1570</v>
      </c>
      <c r="AL470">
        <v>2</v>
      </c>
      <c r="AM470" s="19" t="s">
        <v>1564</v>
      </c>
      <c r="AN470">
        <v>-3.8382542531408839E-2</v>
      </c>
      <c r="AO470">
        <v>566100</v>
      </c>
    </row>
    <row r="471" spans="1:41" x14ac:dyDescent="0.3">
      <c r="A471" s="19" t="s">
        <v>540</v>
      </c>
      <c r="B471">
        <v>32</v>
      </c>
      <c r="C471" s="19" t="s">
        <v>196</v>
      </c>
      <c r="D471" s="19" t="s">
        <v>55</v>
      </c>
      <c r="E471" s="19" t="s">
        <v>48</v>
      </c>
      <c r="F471">
        <v>1401</v>
      </c>
      <c r="G471" s="19" t="s">
        <v>57</v>
      </c>
      <c r="H471">
        <v>4</v>
      </c>
      <c r="I471">
        <v>2</v>
      </c>
      <c r="J471" s="19" t="s">
        <v>50</v>
      </c>
      <c r="K471">
        <v>330</v>
      </c>
      <c r="L471">
        <v>3</v>
      </c>
      <c r="M471" s="19" t="s">
        <v>59</v>
      </c>
      <c r="N471">
        <v>3</v>
      </c>
      <c r="O471">
        <v>1</v>
      </c>
      <c r="P471" s="19" t="s">
        <v>60</v>
      </c>
      <c r="Q471">
        <v>2</v>
      </c>
      <c r="R471" s="19" t="s">
        <v>113</v>
      </c>
      <c r="S471">
        <v>8805</v>
      </c>
      <c r="T471" s="19" t="s">
        <v>54</v>
      </c>
      <c r="U471">
        <v>55.03</v>
      </c>
      <c r="V471">
        <v>2</v>
      </c>
      <c r="W471" s="19" t="s">
        <v>55</v>
      </c>
      <c r="X471">
        <v>11</v>
      </c>
      <c r="Y471">
        <v>3</v>
      </c>
      <c r="Z471">
        <v>1</v>
      </c>
      <c r="AA471">
        <v>1</v>
      </c>
      <c r="AB471">
        <v>6</v>
      </c>
      <c r="AC471">
        <v>5</v>
      </c>
      <c r="AD471">
        <v>3</v>
      </c>
      <c r="AE471">
        <v>4</v>
      </c>
      <c r="AF471">
        <v>3</v>
      </c>
      <c r="AG471">
        <v>1</v>
      </c>
      <c r="AH471">
        <v>2</v>
      </c>
      <c r="AI471">
        <v>0</v>
      </c>
      <c r="AJ471" s="19" t="s">
        <v>1567</v>
      </c>
      <c r="AK471" s="19" t="s">
        <v>1562</v>
      </c>
      <c r="AL471">
        <v>1</v>
      </c>
      <c r="AM471" s="19" t="s">
        <v>1565</v>
      </c>
      <c r="AN471">
        <v>-0.82149662201869889</v>
      </c>
      <c r="AO471">
        <v>105660</v>
      </c>
    </row>
    <row r="472" spans="1:41" x14ac:dyDescent="0.3">
      <c r="A472" s="19" t="s">
        <v>541</v>
      </c>
      <c r="B472">
        <v>32</v>
      </c>
      <c r="C472" s="19" t="s">
        <v>196</v>
      </c>
      <c r="D472" s="19" t="s">
        <v>47</v>
      </c>
      <c r="E472" s="19" t="s">
        <v>48</v>
      </c>
      <c r="F472">
        <v>515</v>
      </c>
      <c r="G472" s="19" t="s">
        <v>49</v>
      </c>
      <c r="H472">
        <v>1</v>
      </c>
      <c r="I472">
        <v>3</v>
      </c>
      <c r="J472" s="19" t="s">
        <v>50</v>
      </c>
      <c r="K472">
        <v>331</v>
      </c>
      <c r="L472">
        <v>4</v>
      </c>
      <c r="M472" s="19" t="s">
        <v>51</v>
      </c>
      <c r="N472">
        <v>2</v>
      </c>
      <c r="O472">
        <v>1</v>
      </c>
      <c r="P472" s="19" t="s">
        <v>52</v>
      </c>
      <c r="Q472">
        <v>3</v>
      </c>
      <c r="R472" s="19" t="s">
        <v>53</v>
      </c>
      <c r="S472">
        <v>6237</v>
      </c>
      <c r="T472" s="19" t="s">
        <v>54</v>
      </c>
      <c r="U472">
        <v>38.979999999999997</v>
      </c>
      <c r="V472">
        <v>0</v>
      </c>
      <c r="W472" s="19" t="s">
        <v>47</v>
      </c>
      <c r="X472">
        <v>14</v>
      </c>
      <c r="Y472">
        <v>3</v>
      </c>
      <c r="Z472">
        <v>4</v>
      </c>
      <c r="AA472">
        <v>0</v>
      </c>
      <c r="AB472">
        <v>4</v>
      </c>
      <c r="AC472">
        <v>2</v>
      </c>
      <c r="AD472">
        <v>1</v>
      </c>
      <c r="AE472">
        <v>3</v>
      </c>
      <c r="AF472">
        <v>2</v>
      </c>
      <c r="AG472">
        <v>1</v>
      </c>
      <c r="AH472">
        <v>2</v>
      </c>
      <c r="AI472">
        <v>1</v>
      </c>
      <c r="AJ472" s="19" t="s">
        <v>1566</v>
      </c>
      <c r="AK472" s="19" t="s">
        <v>1562</v>
      </c>
      <c r="AL472">
        <v>2</v>
      </c>
      <c r="AM472" s="19" t="s">
        <v>1564</v>
      </c>
      <c r="AN472">
        <v>-0.87940974802612937</v>
      </c>
      <c r="AO472">
        <v>74844</v>
      </c>
    </row>
    <row r="473" spans="1:41" x14ac:dyDescent="0.3">
      <c r="A473" s="19" t="s">
        <v>542</v>
      </c>
      <c r="B473">
        <v>32</v>
      </c>
      <c r="C473" s="19" t="s">
        <v>196</v>
      </c>
      <c r="D473" s="19" t="s">
        <v>55</v>
      </c>
      <c r="E473" s="19" t="s">
        <v>66</v>
      </c>
      <c r="F473">
        <v>976</v>
      </c>
      <c r="G473" s="19" t="s">
        <v>57</v>
      </c>
      <c r="H473">
        <v>26</v>
      </c>
      <c r="I473">
        <v>4</v>
      </c>
      <c r="J473" s="19" t="s">
        <v>63</v>
      </c>
      <c r="K473">
        <v>333</v>
      </c>
      <c r="L473">
        <v>3</v>
      </c>
      <c r="M473" s="19" t="s">
        <v>51</v>
      </c>
      <c r="N473">
        <v>3</v>
      </c>
      <c r="O473">
        <v>2</v>
      </c>
      <c r="P473" s="19" t="s">
        <v>145</v>
      </c>
      <c r="Q473">
        <v>4</v>
      </c>
      <c r="R473" s="19" t="s">
        <v>113</v>
      </c>
      <c r="S473">
        <v>21056</v>
      </c>
      <c r="T473" s="19" t="s">
        <v>54</v>
      </c>
      <c r="U473">
        <v>131.6</v>
      </c>
      <c r="V473">
        <v>0</v>
      </c>
      <c r="W473" s="19" t="s">
        <v>55</v>
      </c>
      <c r="X473">
        <v>18</v>
      </c>
      <c r="Y473">
        <v>3</v>
      </c>
      <c r="Z473">
        <v>1</v>
      </c>
      <c r="AA473">
        <v>0</v>
      </c>
      <c r="AB473">
        <v>4</v>
      </c>
      <c r="AC473">
        <v>2</v>
      </c>
      <c r="AD473">
        <v>3</v>
      </c>
      <c r="AE473">
        <v>3</v>
      </c>
      <c r="AF473">
        <v>2</v>
      </c>
      <c r="AG473">
        <v>2</v>
      </c>
      <c r="AH473">
        <v>2</v>
      </c>
      <c r="AI473">
        <v>0</v>
      </c>
      <c r="AJ473" s="19" t="s">
        <v>1566</v>
      </c>
      <c r="AK473" s="19" t="s">
        <v>1562</v>
      </c>
      <c r="AL473">
        <v>0</v>
      </c>
      <c r="AM473" s="19" t="s">
        <v>1563</v>
      </c>
      <c r="AN473">
        <v>-0.57079348840575184</v>
      </c>
      <c r="AO473">
        <v>252672</v>
      </c>
    </row>
    <row r="474" spans="1:41" x14ac:dyDescent="0.3">
      <c r="A474" s="19" t="s">
        <v>543</v>
      </c>
      <c r="B474">
        <v>32</v>
      </c>
      <c r="C474" s="19" t="s">
        <v>196</v>
      </c>
      <c r="D474" s="19" t="s">
        <v>55</v>
      </c>
      <c r="E474" s="19" t="s">
        <v>62</v>
      </c>
      <c r="F474">
        <v>1311</v>
      </c>
      <c r="G474" s="19" t="s">
        <v>49</v>
      </c>
      <c r="H474">
        <v>7</v>
      </c>
      <c r="I474">
        <v>3</v>
      </c>
      <c r="J474" s="19" t="s">
        <v>50</v>
      </c>
      <c r="K474">
        <v>359</v>
      </c>
      <c r="L474">
        <v>2</v>
      </c>
      <c r="M474" s="19" t="s">
        <v>51</v>
      </c>
      <c r="N474">
        <v>4</v>
      </c>
      <c r="O474">
        <v>1</v>
      </c>
      <c r="P474" s="19" t="s">
        <v>52</v>
      </c>
      <c r="Q474">
        <v>2</v>
      </c>
      <c r="R474" s="19" t="s">
        <v>113</v>
      </c>
      <c r="S474">
        <v>46543</v>
      </c>
      <c r="T474" s="19" t="s">
        <v>72</v>
      </c>
      <c r="U474">
        <v>290.89</v>
      </c>
      <c r="V474">
        <v>1</v>
      </c>
      <c r="W474" s="19" t="s">
        <v>55</v>
      </c>
      <c r="X474">
        <v>20</v>
      </c>
      <c r="Y474">
        <v>4</v>
      </c>
      <c r="Z474">
        <v>3</v>
      </c>
      <c r="AA474">
        <v>0</v>
      </c>
      <c r="AB474">
        <v>5</v>
      </c>
      <c r="AC474">
        <v>3</v>
      </c>
      <c r="AD474">
        <v>1</v>
      </c>
      <c r="AE474">
        <v>5</v>
      </c>
      <c r="AF474">
        <v>1</v>
      </c>
      <c r="AG474">
        <v>0</v>
      </c>
      <c r="AH474">
        <v>3</v>
      </c>
      <c r="AI474">
        <v>0</v>
      </c>
      <c r="AJ474" s="19" t="s">
        <v>1567</v>
      </c>
      <c r="AK474" s="19" t="s">
        <v>1562</v>
      </c>
      <c r="AL474">
        <v>2</v>
      </c>
      <c r="AM474" s="19" t="s">
        <v>1564</v>
      </c>
      <c r="AN474">
        <v>-0.10010708712203636</v>
      </c>
      <c r="AO474">
        <v>558516</v>
      </c>
    </row>
    <row r="475" spans="1:41" x14ac:dyDescent="0.3">
      <c r="A475" s="19" t="s">
        <v>544</v>
      </c>
      <c r="B475">
        <v>32</v>
      </c>
      <c r="C475" s="19" t="s">
        <v>196</v>
      </c>
      <c r="D475" s="19" t="s">
        <v>55</v>
      </c>
      <c r="E475" s="19" t="s">
        <v>48</v>
      </c>
      <c r="F475">
        <v>128</v>
      </c>
      <c r="G475" s="19" t="s">
        <v>49</v>
      </c>
      <c r="H475">
        <v>2</v>
      </c>
      <c r="I475">
        <v>1</v>
      </c>
      <c r="J475" s="19" t="s">
        <v>77</v>
      </c>
      <c r="K475">
        <v>362</v>
      </c>
      <c r="L475">
        <v>4</v>
      </c>
      <c r="M475" s="19" t="s">
        <v>51</v>
      </c>
      <c r="N475">
        <v>2</v>
      </c>
      <c r="O475">
        <v>2</v>
      </c>
      <c r="P475" s="19" t="s">
        <v>52</v>
      </c>
      <c r="Q475">
        <v>1</v>
      </c>
      <c r="R475" s="19" t="s">
        <v>53</v>
      </c>
      <c r="S475">
        <v>57556</v>
      </c>
      <c r="T475" s="19" t="s">
        <v>64</v>
      </c>
      <c r="U475">
        <v>359.72</v>
      </c>
      <c r="V475">
        <v>4</v>
      </c>
      <c r="W475" s="19" t="s">
        <v>55</v>
      </c>
      <c r="X475">
        <v>13</v>
      </c>
      <c r="Y475">
        <v>3</v>
      </c>
      <c r="Z475">
        <v>4</v>
      </c>
      <c r="AA475">
        <v>0</v>
      </c>
      <c r="AB475">
        <v>9</v>
      </c>
      <c r="AC475">
        <v>5</v>
      </c>
      <c r="AD475">
        <v>3</v>
      </c>
      <c r="AE475">
        <v>6</v>
      </c>
      <c r="AF475">
        <v>2</v>
      </c>
      <c r="AG475">
        <v>0</v>
      </c>
      <c r="AH475">
        <v>4</v>
      </c>
      <c r="AI475">
        <v>0</v>
      </c>
      <c r="AJ475" s="19" t="s">
        <v>1569</v>
      </c>
      <c r="AK475" s="19" t="s">
        <v>1562</v>
      </c>
      <c r="AL475">
        <v>1</v>
      </c>
      <c r="AM475" s="19" t="s">
        <v>1565</v>
      </c>
      <c r="AN475">
        <v>0.11282548382364856</v>
      </c>
      <c r="AO475">
        <v>690672</v>
      </c>
    </row>
    <row r="476" spans="1:41" x14ac:dyDescent="0.3">
      <c r="A476" s="19" t="s">
        <v>545</v>
      </c>
      <c r="B476">
        <v>32</v>
      </c>
      <c r="C476" s="19" t="s">
        <v>196</v>
      </c>
      <c r="D476" s="19" t="s">
        <v>55</v>
      </c>
      <c r="E476" s="19" t="s">
        <v>48</v>
      </c>
      <c r="F476">
        <v>906</v>
      </c>
      <c r="G476" s="19" t="s">
        <v>57</v>
      </c>
      <c r="H476">
        <v>7</v>
      </c>
      <c r="I476">
        <v>3</v>
      </c>
      <c r="J476" s="19" t="s">
        <v>50</v>
      </c>
      <c r="K476">
        <v>420</v>
      </c>
      <c r="L476">
        <v>4</v>
      </c>
      <c r="M476" s="19" t="s">
        <v>51</v>
      </c>
      <c r="N476">
        <v>2</v>
      </c>
      <c r="O476">
        <v>2</v>
      </c>
      <c r="P476" s="19" t="s">
        <v>145</v>
      </c>
      <c r="Q476">
        <v>3</v>
      </c>
      <c r="R476" s="19" t="s">
        <v>113</v>
      </c>
      <c r="S476">
        <v>4343</v>
      </c>
      <c r="T476" s="19" t="s">
        <v>54</v>
      </c>
      <c r="U476">
        <v>27.14</v>
      </c>
      <c r="V476">
        <v>1</v>
      </c>
      <c r="W476" s="19" t="s">
        <v>55</v>
      </c>
      <c r="X476">
        <v>14</v>
      </c>
      <c r="Y476">
        <v>3</v>
      </c>
      <c r="Z476">
        <v>3</v>
      </c>
      <c r="AA476">
        <v>1</v>
      </c>
      <c r="AB476">
        <v>13</v>
      </c>
      <c r="AC476">
        <v>3</v>
      </c>
      <c r="AD476">
        <v>2</v>
      </c>
      <c r="AE476">
        <v>13</v>
      </c>
      <c r="AF476">
        <v>8</v>
      </c>
      <c r="AG476">
        <v>4</v>
      </c>
      <c r="AH476">
        <v>8</v>
      </c>
      <c r="AI476">
        <v>0</v>
      </c>
      <c r="AJ476" s="19" t="s">
        <v>1571</v>
      </c>
      <c r="AK476" s="19" t="s">
        <v>1570</v>
      </c>
      <c r="AL476">
        <v>2</v>
      </c>
      <c r="AM476" s="19" t="s">
        <v>1564</v>
      </c>
      <c r="AN476">
        <v>-0.91147208017411574</v>
      </c>
      <c r="AO476">
        <v>52116</v>
      </c>
    </row>
    <row r="477" spans="1:41" x14ac:dyDescent="0.3">
      <c r="A477" s="19" t="s">
        <v>546</v>
      </c>
      <c r="B477">
        <v>32</v>
      </c>
      <c r="C477" s="19" t="s">
        <v>196</v>
      </c>
      <c r="D477" s="19" t="s">
        <v>55</v>
      </c>
      <c r="E477" s="19" t="s">
        <v>48</v>
      </c>
      <c r="F477">
        <v>588</v>
      </c>
      <c r="G477" s="19" t="s">
        <v>57</v>
      </c>
      <c r="H477">
        <v>8</v>
      </c>
      <c r="I477">
        <v>2</v>
      </c>
      <c r="J477" s="19" t="s">
        <v>77</v>
      </c>
      <c r="K477">
        <v>436</v>
      </c>
      <c r="L477">
        <v>3</v>
      </c>
      <c r="M477" s="19" t="s">
        <v>59</v>
      </c>
      <c r="N477">
        <v>2</v>
      </c>
      <c r="O477">
        <v>2</v>
      </c>
      <c r="P477" s="19" t="s">
        <v>145</v>
      </c>
      <c r="Q477">
        <v>2</v>
      </c>
      <c r="R477" s="19" t="s">
        <v>113</v>
      </c>
      <c r="S477">
        <v>14500</v>
      </c>
      <c r="T477" s="19" t="s">
        <v>54</v>
      </c>
      <c r="U477">
        <v>90.62</v>
      </c>
      <c r="V477">
        <v>1</v>
      </c>
      <c r="W477" s="19" t="s">
        <v>47</v>
      </c>
      <c r="X477">
        <v>11</v>
      </c>
      <c r="Y477">
        <v>3</v>
      </c>
      <c r="Z477">
        <v>4</v>
      </c>
      <c r="AA477">
        <v>0</v>
      </c>
      <c r="AB477">
        <v>13</v>
      </c>
      <c r="AC477">
        <v>2</v>
      </c>
      <c r="AD477">
        <v>3</v>
      </c>
      <c r="AE477">
        <v>13</v>
      </c>
      <c r="AF477">
        <v>12</v>
      </c>
      <c r="AG477">
        <v>11</v>
      </c>
      <c r="AH477">
        <v>9</v>
      </c>
      <c r="AI477">
        <v>0</v>
      </c>
      <c r="AJ477" s="19" t="s">
        <v>1571</v>
      </c>
      <c r="AK477" s="19" t="s">
        <v>1570</v>
      </c>
      <c r="AL477">
        <v>3</v>
      </c>
      <c r="AM477" s="19" t="s">
        <v>1568</v>
      </c>
      <c r="AN477">
        <v>-0.70443130613048077</v>
      </c>
      <c r="AO477">
        <v>174000</v>
      </c>
    </row>
    <row r="478" spans="1:41" x14ac:dyDescent="0.3">
      <c r="A478" s="19" t="s">
        <v>547</v>
      </c>
      <c r="B478">
        <v>32</v>
      </c>
      <c r="C478" s="19" t="s">
        <v>196</v>
      </c>
      <c r="D478" s="19" t="s">
        <v>55</v>
      </c>
      <c r="E478" s="19" t="s">
        <v>48</v>
      </c>
      <c r="F478">
        <v>1018</v>
      </c>
      <c r="G478" s="19" t="s">
        <v>49</v>
      </c>
      <c r="H478">
        <v>2</v>
      </c>
      <c r="I478">
        <v>4</v>
      </c>
      <c r="J478" s="19" t="s">
        <v>58</v>
      </c>
      <c r="K478">
        <v>439</v>
      </c>
      <c r="L478">
        <v>1</v>
      </c>
      <c r="M478" s="19" t="s">
        <v>59</v>
      </c>
      <c r="N478">
        <v>4</v>
      </c>
      <c r="O478">
        <v>2</v>
      </c>
      <c r="P478" s="19" t="s">
        <v>67</v>
      </c>
      <c r="Q478">
        <v>4</v>
      </c>
      <c r="R478" s="19" t="s">
        <v>53</v>
      </c>
      <c r="S478">
        <v>54222</v>
      </c>
      <c r="T478" s="19" t="s">
        <v>64</v>
      </c>
      <c r="U478">
        <v>338.89</v>
      </c>
      <c r="V478">
        <v>7</v>
      </c>
      <c r="W478" s="19" t="s">
        <v>55</v>
      </c>
      <c r="X478">
        <v>16</v>
      </c>
      <c r="Y478">
        <v>3</v>
      </c>
      <c r="Z478">
        <v>3</v>
      </c>
      <c r="AA478">
        <v>0</v>
      </c>
      <c r="AB478">
        <v>10</v>
      </c>
      <c r="AC478">
        <v>0</v>
      </c>
      <c r="AD478">
        <v>2</v>
      </c>
      <c r="AE478">
        <v>7</v>
      </c>
      <c r="AF478">
        <v>7</v>
      </c>
      <c r="AG478">
        <v>0</v>
      </c>
      <c r="AH478">
        <v>7</v>
      </c>
      <c r="AI478">
        <v>0</v>
      </c>
      <c r="AJ478" s="19" t="s">
        <v>1569</v>
      </c>
      <c r="AK478" s="19" t="s">
        <v>1562</v>
      </c>
      <c r="AL478">
        <v>1</v>
      </c>
      <c r="AM478" s="19" t="s">
        <v>1565</v>
      </c>
      <c r="AN478">
        <v>8.7351876369537826E-2</v>
      </c>
      <c r="AO478">
        <v>650664</v>
      </c>
    </row>
    <row r="479" spans="1:41" x14ac:dyDescent="0.3">
      <c r="A479" s="19" t="s">
        <v>548</v>
      </c>
      <c r="B479">
        <v>32</v>
      </c>
      <c r="C479" s="19" t="s">
        <v>196</v>
      </c>
      <c r="D479" s="19" t="s">
        <v>55</v>
      </c>
      <c r="E479" s="19" t="s">
        <v>48</v>
      </c>
      <c r="F479">
        <v>1062</v>
      </c>
      <c r="G479" s="19" t="s">
        <v>49</v>
      </c>
      <c r="H479">
        <v>2</v>
      </c>
      <c r="I479">
        <v>3</v>
      </c>
      <c r="J479" s="19" t="s">
        <v>58</v>
      </c>
      <c r="K479">
        <v>471</v>
      </c>
      <c r="L479">
        <v>3</v>
      </c>
      <c r="M479" s="19" t="s">
        <v>59</v>
      </c>
      <c r="N479">
        <v>3</v>
      </c>
      <c r="O479">
        <v>1</v>
      </c>
      <c r="P479" s="19" t="s">
        <v>52</v>
      </c>
      <c r="Q479">
        <v>2</v>
      </c>
      <c r="R479" s="19" t="s">
        <v>113</v>
      </c>
      <c r="S479">
        <v>30375</v>
      </c>
      <c r="T479" s="19" t="s">
        <v>72</v>
      </c>
      <c r="U479">
        <v>189.84</v>
      </c>
      <c r="V479">
        <v>1</v>
      </c>
      <c r="W479" s="19" t="s">
        <v>55</v>
      </c>
      <c r="X479">
        <v>13</v>
      </c>
      <c r="Y479">
        <v>3</v>
      </c>
      <c r="Z479">
        <v>3</v>
      </c>
      <c r="AA479">
        <v>1</v>
      </c>
      <c r="AB479">
        <v>8</v>
      </c>
      <c r="AC479">
        <v>4</v>
      </c>
      <c r="AD479">
        <v>3</v>
      </c>
      <c r="AE479">
        <v>8</v>
      </c>
      <c r="AF479">
        <v>0</v>
      </c>
      <c r="AG479">
        <v>0</v>
      </c>
      <c r="AH479">
        <v>7</v>
      </c>
      <c r="AI479">
        <v>0</v>
      </c>
      <c r="AJ479" s="19" t="s">
        <v>1569</v>
      </c>
      <c r="AK479" s="19" t="s">
        <v>1562</v>
      </c>
      <c r="AL479">
        <v>1</v>
      </c>
      <c r="AM479" s="19" t="s">
        <v>1565</v>
      </c>
      <c r="AN479">
        <v>-0.41270981181556526</v>
      </c>
      <c r="AO479">
        <v>364500</v>
      </c>
    </row>
    <row r="480" spans="1:41" x14ac:dyDescent="0.3">
      <c r="A480" s="19" t="s">
        <v>549</v>
      </c>
      <c r="B480">
        <v>32</v>
      </c>
      <c r="C480" s="19" t="s">
        <v>196</v>
      </c>
      <c r="D480" s="19" t="s">
        <v>47</v>
      </c>
      <c r="E480" s="19" t="s">
        <v>66</v>
      </c>
      <c r="F480">
        <v>1474</v>
      </c>
      <c r="G480" s="19" t="s">
        <v>57</v>
      </c>
      <c r="H480">
        <v>11</v>
      </c>
      <c r="I480">
        <v>4</v>
      </c>
      <c r="J480" s="19" t="s">
        <v>82</v>
      </c>
      <c r="K480">
        <v>631</v>
      </c>
      <c r="L480">
        <v>4</v>
      </c>
      <c r="M480" s="19" t="s">
        <v>51</v>
      </c>
      <c r="N480">
        <v>4</v>
      </c>
      <c r="O480">
        <v>2</v>
      </c>
      <c r="P480" s="19" t="s">
        <v>145</v>
      </c>
      <c r="Q480">
        <v>3</v>
      </c>
      <c r="R480" s="19" t="s">
        <v>113</v>
      </c>
      <c r="S480">
        <v>10662</v>
      </c>
      <c r="T480" s="19" t="s">
        <v>54</v>
      </c>
      <c r="U480">
        <v>66.64</v>
      </c>
      <c r="V480">
        <v>8</v>
      </c>
      <c r="W480" s="19" t="s">
        <v>55</v>
      </c>
      <c r="X480">
        <v>12</v>
      </c>
      <c r="Y480">
        <v>3</v>
      </c>
      <c r="Z480">
        <v>4</v>
      </c>
      <c r="AA480">
        <v>0</v>
      </c>
      <c r="AB480">
        <v>6</v>
      </c>
      <c r="AC480">
        <v>2</v>
      </c>
      <c r="AD480">
        <v>3</v>
      </c>
      <c r="AE480">
        <v>4</v>
      </c>
      <c r="AF480">
        <v>2</v>
      </c>
      <c r="AG480">
        <v>1</v>
      </c>
      <c r="AH480">
        <v>2</v>
      </c>
      <c r="AI480">
        <v>1</v>
      </c>
      <c r="AJ480" s="19" t="s">
        <v>1567</v>
      </c>
      <c r="AK480" s="19" t="s">
        <v>1562</v>
      </c>
      <c r="AL480">
        <v>0</v>
      </c>
      <c r="AM480" s="19" t="s">
        <v>1563</v>
      </c>
      <c r="AN480">
        <v>-0.78266528179056449</v>
      </c>
      <c r="AO480">
        <v>127944</v>
      </c>
    </row>
    <row r="481" spans="1:41" x14ac:dyDescent="0.3">
      <c r="A481" s="19" t="s">
        <v>550</v>
      </c>
      <c r="B481">
        <v>32</v>
      </c>
      <c r="C481" s="19" t="s">
        <v>196</v>
      </c>
      <c r="D481" s="19" t="s">
        <v>55</v>
      </c>
      <c r="E481" s="19" t="s">
        <v>48</v>
      </c>
      <c r="F481">
        <v>646</v>
      </c>
      <c r="G481" s="19" t="s">
        <v>49</v>
      </c>
      <c r="H481">
        <v>9</v>
      </c>
      <c r="I481">
        <v>4</v>
      </c>
      <c r="J481" s="19" t="s">
        <v>50</v>
      </c>
      <c r="K481">
        <v>679</v>
      </c>
      <c r="L481">
        <v>1</v>
      </c>
      <c r="M481" s="19" t="s">
        <v>59</v>
      </c>
      <c r="N481">
        <v>3</v>
      </c>
      <c r="O481">
        <v>2</v>
      </c>
      <c r="P481" s="19" t="s">
        <v>67</v>
      </c>
      <c r="Q481">
        <v>4</v>
      </c>
      <c r="R481" s="19" t="s">
        <v>113</v>
      </c>
      <c r="S481">
        <v>17964</v>
      </c>
      <c r="T481" s="19" t="s">
        <v>54</v>
      </c>
      <c r="U481">
        <v>112.28</v>
      </c>
      <c r="V481">
        <v>1</v>
      </c>
      <c r="W481" s="19" t="s">
        <v>47</v>
      </c>
      <c r="X481">
        <v>12</v>
      </c>
      <c r="Y481">
        <v>3</v>
      </c>
      <c r="Z481">
        <v>4</v>
      </c>
      <c r="AA481">
        <v>1</v>
      </c>
      <c r="AB481">
        <v>6</v>
      </c>
      <c r="AC481">
        <v>2</v>
      </c>
      <c r="AD481">
        <v>2</v>
      </c>
      <c r="AE481">
        <v>6</v>
      </c>
      <c r="AF481">
        <v>4</v>
      </c>
      <c r="AG481">
        <v>0</v>
      </c>
      <c r="AH481">
        <v>5</v>
      </c>
      <c r="AI481">
        <v>0</v>
      </c>
      <c r="AJ481" s="19" t="s">
        <v>1569</v>
      </c>
      <c r="AK481" s="19" t="s">
        <v>1562</v>
      </c>
      <c r="AL481">
        <v>2</v>
      </c>
      <c r="AM481" s="19" t="s">
        <v>1564</v>
      </c>
      <c r="AN481">
        <v>-0.63975528185787356</v>
      </c>
      <c r="AO481">
        <v>215568</v>
      </c>
    </row>
    <row r="482" spans="1:41" x14ac:dyDescent="0.3">
      <c r="A482" s="19" t="s">
        <v>551</v>
      </c>
      <c r="B482">
        <v>32</v>
      </c>
      <c r="C482" s="19" t="s">
        <v>196</v>
      </c>
      <c r="D482" s="19" t="s">
        <v>55</v>
      </c>
      <c r="E482" s="19" t="s">
        <v>48</v>
      </c>
      <c r="F482">
        <v>929</v>
      </c>
      <c r="G482" s="19" t="s">
        <v>57</v>
      </c>
      <c r="H482">
        <v>10</v>
      </c>
      <c r="I482">
        <v>3</v>
      </c>
      <c r="J482" s="19" t="s">
        <v>63</v>
      </c>
      <c r="K482">
        <v>722</v>
      </c>
      <c r="L482">
        <v>4</v>
      </c>
      <c r="M482" s="19" t="s">
        <v>51</v>
      </c>
      <c r="N482">
        <v>3</v>
      </c>
      <c r="O482">
        <v>2</v>
      </c>
      <c r="P482" s="19" t="s">
        <v>145</v>
      </c>
      <c r="Q482">
        <v>4</v>
      </c>
      <c r="R482" s="19" t="s">
        <v>53</v>
      </c>
      <c r="S482">
        <v>60638</v>
      </c>
      <c r="T482" s="19" t="s">
        <v>64</v>
      </c>
      <c r="U482">
        <v>378.99</v>
      </c>
      <c r="V482">
        <v>1</v>
      </c>
      <c r="W482" s="19" t="s">
        <v>55</v>
      </c>
      <c r="X482">
        <v>12</v>
      </c>
      <c r="Y482">
        <v>3</v>
      </c>
      <c r="Z482">
        <v>4</v>
      </c>
      <c r="AA482">
        <v>0</v>
      </c>
      <c r="AB482">
        <v>10</v>
      </c>
      <c r="AC482">
        <v>2</v>
      </c>
      <c r="AD482">
        <v>2</v>
      </c>
      <c r="AE482">
        <v>10</v>
      </c>
      <c r="AF482">
        <v>7</v>
      </c>
      <c r="AG482">
        <v>0</v>
      </c>
      <c r="AH482">
        <v>8</v>
      </c>
      <c r="AI482">
        <v>0</v>
      </c>
      <c r="AJ482" s="19" t="s">
        <v>1569</v>
      </c>
      <c r="AK482" s="19" t="s">
        <v>1562</v>
      </c>
      <c r="AL482">
        <v>1</v>
      </c>
      <c r="AM482" s="19" t="s">
        <v>1565</v>
      </c>
      <c r="AN482">
        <v>0.23604789371447654</v>
      </c>
      <c r="AO482">
        <v>727656</v>
      </c>
    </row>
    <row r="483" spans="1:41" x14ac:dyDescent="0.3">
      <c r="A483" s="19" t="s">
        <v>552</v>
      </c>
      <c r="B483">
        <v>32</v>
      </c>
      <c r="C483" s="19" t="s">
        <v>196</v>
      </c>
      <c r="D483" s="19" t="s">
        <v>55</v>
      </c>
      <c r="E483" s="19" t="s">
        <v>48</v>
      </c>
      <c r="F483">
        <v>1018</v>
      </c>
      <c r="G483" s="19" t="s">
        <v>49</v>
      </c>
      <c r="H483">
        <v>3</v>
      </c>
      <c r="I483">
        <v>2</v>
      </c>
      <c r="J483" s="19" t="s">
        <v>50</v>
      </c>
      <c r="K483">
        <v>727</v>
      </c>
      <c r="L483">
        <v>3</v>
      </c>
      <c r="M483" s="19" t="s">
        <v>59</v>
      </c>
      <c r="N483">
        <v>3</v>
      </c>
      <c r="O483">
        <v>3</v>
      </c>
      <c r="P483" s="19" t="s">
        <v>257</v>
      </c>
      <c r="Q483">
        <v>4</v>
      </c>
      <c r="R483" s="19" t="s">
        <v>53</v>
      </c>
      <c r="S483">
        <v>74666</v>
      </c>
      <c r="T483" s="19" t="s">
        <v>64</v>
      </c>
      <c r="U483">
        <v>466.66</v>
      </c>
      <c r="V483">
        <v>3</v>
      </c>
      <c r="W483" s="19" t="s">
        <v>55</v>
      </c>
      <c r="X483">
        <v>15</v>
      </c>
      <c r="Y483">
        <v>3</v>
      </c>
      <c r="Z483">
        <v>4</v>
      </c>
      <c r="AA483">
        <v>0</v>
      </c>
      <c r="AB483">
        <v>10</v>
      </c>
      <c r="AC483">
        <v>6</v>
      </c>
      <c r="AD483">
        <v>3</v>
      </c>
      <c r="AE483">
        <v>7</v>
      </c>
      <c r="AF483">
        <v>7</v>
      </c>
      <c r="AG483">
        <v>7</v>
      </c>
      <c r="AH483">
        <v>7</v>
      </c>
      <c r="AI483">
        <v>0</v>
      </c>
      <c r="AJ483" s="19" t="s">
        <v>1569</v>
      </c>
      <c r="AK483" s="19" t="s">
        <v>1570</v>
      </c>
      <c r="AL483">
        <v>1</v>
      </c>
      <c r="AM483" s="19" t="s">
        <v>1565</v>
      </c>
      <c r="AN483">
        <v>0.47377552586375787</v>
      </c>
      <c r="AO483">
        <v>895992</v>
      </c>
    </row>
    <row r="484" spans="1:41" x14ac:dyDescent="0.3">
      <c r="A484" s="19" t="s">
        <v>553</v>
      </c>
      <c r="B484">
        <v>32</v>
      </c>
      <c r="C484" s="19" t="s">
        <v>196</v>
      </c>
      <c r="D484" s="19" t="s">
        <v>55</v>
      </c>
      <c r="E484" s="19" t="s">
        <v>62</v>
      </c>
      <c r="F484">
        <v>430</v>
      </c>
      <c r="G484" s="19" t="s">
        <v>49</v>
      </c>
      <c r="H484">
        <v>24</v>
      </c>
      <c r="I484">
        <v>4</v>
      </c>
      <c r="J484" s="19" t="s">
        <v>50</v>
      </c>
      <c r="K484">
        <v>772</v>
      </c>
      <c r="L484">
        <v>1</v>
      </c>
      <c r="M484" s="19" t="s">
        <v>51</v>
      </c>
      <c r="N484">
        <v>3</v>
      </c>
      <c r="O484">
        <v>2</v>
      </c>
      <c r="P484" s="19" t="s">
        <v>52</v>
      </c>
      <c r="Q484">
        <v>4</v>
      </c>
      <c r="R484" s="19" t="s">
        <v>113</v>
      </c>
      <c r="S484">
        <v>86067</v>
      </c>
      <c r="T484" s="19" t="s">
        <v>70</v>
      </c>
      <c r="U484">
        <v>537.91999999999996</v>
      </c>
      <c r="V484">
        <v>1</v>
      </c>
      <c r="W484" s="19" t="s">
        <v>55</v>
      </c>
      <c r="X484">
        <v>15</v>
      </c>
      <c r="Y484">
        <v>3</v>
      </c>
      <c r="Z484">
        <v>4</v>
      </c>
      <c r="AA484">
        <v>2</v>
      </c>
      <c r="AB484">
        <v>10</v>
      </c>
      <c r="AC484">
        <v>2</v>
      </c>
      <c r="AD484">
        <v>3</v>
      </c>
      <c r="AE484">
        <v>10</v>
      </c>
      <c r="AF484">
        <v>8</v>
      </c>
      <c r="AG484">
        <v>4</v>
      </c>
      <c r="AH484">
        <v>7</v>
      </c>
      <c r="AI484">
        <v>0</v>
      </c>
      <c r="AJ484" s="19" t="s">
        <v>1569</v>
      </c>
      <c r="AK484" s="19" t="s">
        <v>1570</v>
      </c>
      <c r="AL484">
        <v>1</v>
      </c>
      <c r="AM484" s="19" t="s">
        <v>1565</v>
      </c>
      <c r="AN484">
        <v>0.66407587247637012</v>
      </c>
      <c r="AO484">
        <v>1032804</v>
      </c>
    </row>
    <row r="485" spans="1:41" x14ac:dyDescent="0.3">
      <c r="A485" s="19" t="s">
        <v>554</v>
      </c>
      <c r="B485">
        <v>32</v>
      </c>
      <c r="C485" s="19" t="s">
        <v>196</v>
      </c>
      <c r="D485" s="19" t="s">
        <v>55</v>
      </c>
      <c r="E485" s="19" t="s">
        <v>48</v>
      </c>
      <c r="F485">
        <v>859</v>
      </c>
      <c r="G485" s="19" t="s">
        <v>49</v>
      </c>
      <c r="H485">
        <v>4</v>
      </c>
      <c r="I485">
        <v>3</v>
      </c>
      <c r="J485" s="19" t="s">
        <v>50</v>
      </c>
      <c r="K485">
        <v>830</v>
      </c>
      <c r="L485">
        <v>3</v>
      </c>
      <c r="M485" s="19" t="s">
        <v>59</v>
      </c>
      <c r="N485">
        <v>2</v>
      </c>
      <c r="O485">
        <v>2</v>
      </c>
      <c r="P485" s="19" t="s">
        <v>120</v>
      </c>
      <c r="Q485">
        <v>3</v>
      </c>
      <c r="R485" s="19" t="s">
        <v>113</v>
      </c>
      <c r="S485">
        <v>68215</v>
      </c>
      <c r="T485" s="19" t="s">
        <v>64</v>
      </c>
      <c r="U485">
        <v>426.34</v>
      </c>
      <c r="V485">
        <v>1</v>
      </c>
      <c r="W485" s="19" t="s">
        <v>55</v>
      </c>
      <c r="X485">
        <v>12</v>
      </c>
      <c r="Y485">
        <v>3</v>
      </c>
      <c r="Z485">
        <v>3</v>
      </c>
      <c r="AA485">
        <v>1</v>
      </c>
      <c r="AB485">
        <v>14</v>
      </c>
      <c r="AC485">
        <v>3</v>
      </c>
      <c r="AD485">
        <v>3</v>
      </c>
      <c r="AE485">
        <v>14</v>
      </c>
      <c r="AF485">
        <v>13</v>
      </c>
      <c r="AG485">
        <v>6</v>
      </c>
      <c r="AH485">
        <v>8</v>
      </c>
      <c r="AI485">
        <v>0</v>
      </c>
      <c r="AJ485" s="19" t="s">
        <v>1571</v>
      </c>
      <c r="AK485" s="19" t="s">
        <v>1570</v>
      </c>
      <c r="AL485">
        <v>1</v>
      </c>
      <c r="AM485" s="19" t="s">
        <v>1565</v>
      </c>
      <c r="AN485">
        <v>0.54000413476232612</v>
      </c>
      <c r="AO485">
        <v>818580</v>
      </c>
    </row>
    <row r="486" spans="1:41" x14ac:dyDescent="0.3">
      <c r="A486" s="19" t="s">
        <v>555</v>
      </c>
      <c r="B486">
        <v>32</v>
      </c>
      <c r="C486" s="19" t="s">
        <v>196</v>
      </c>
      <c r="D486" s="19" t="s">
        <v>55</v>
      </c>
      <c r="E486" s="19" t="s">
        <v>48</v>
      </c>
      <c r="F486">
        <v>117</v>
      </c>
      <c r="G486" s="19" t="s">
        <v>57</v>
      </c>
      <c r="H486">
        <v>13</v>
      </c>
      <c r="I486">
        <v>4</v>
      </c>
      <c r="J486" s="19" t="s">
        <v>50</v>
      </c>
      <c r="K486">
        <v>859</v>
      </c>
      <c r="L486">
        <v>2</v>
      </c>
      <c r="M486" s="19" t="s">
        <v>51</v>
      </c>
      <c r="N486">
        <v>3</v>
      </c>
      <c r="O486">
        <v>2</v>
      </c>
      <c r="P486" s="19" t="s">
        <v>145</v>
      </c>
      <c r="Q486">
        <v>4</v>
      </c>
      <c r="R486" s="19" t="s">
        <v>53</v>
      </c>
      <c r="S486">
        <v>70042</v>
      </c>
      <c r="T486" s="19" t="s">
        <v>64</v>
      </c>
      <c r="U486">
        <v>437.76</v>
      </c>
      <c r="V486">
        <v>2</v>
      </c>
      <c r="W486" s="19" t="s">
        <v>55</v>
      </c>
      <c r="X486">
        <v>11</v>
      </c>
      <c r="Y486">
        <v>3</v>
      </c>
      <c r="Z486">
        <v>3</v>
      </c>
      <c r="AA486">
        <v>1</v>
      </c>
      <c r="AB486">
        <v>8</v>
      </c>
      <c r="AC486">
        <v>3</v>
      </c>
      <c r="AD486">
        <v>2</v>
      </c>
      <c r="AE486">
        <v>5</v>
      </c>
      <c r="AF486">
        <v>2</v>
      </c>
      <c r="AG486">
        <v>0</v>
      </c>
      <c r="AH486">
        <v>3</v>
      </c>
      <c r="AI486">
        <v>0</v>
      </c>
      <c r="AJ486" s="19" t="s">
        <v>1567</v>
      </c>
      <c r="AK486" s="19" t="s">
        <v>1562</v>
      </c>
      <c r="AL486">
        <v>1</v>
      </c>
      <c r="AM486" s="19" t="s">
        <v>1565</v>
      </c>
      <c r="AN486">
        <v>0.42773947972474957</v>
      </c>
      <c r="AO486">
        <v>840504</v>
      </c>
    </row>
    <row r="487" spans="1:41" x14ac:dyDescent="0.3">
      <c r="A487" s="19" t="s">
        <v>556</v>
      </c>
      <c r="B487">
        <v>32</v>
      </c>
      <c r="C487" s="19" t="s">
        <v>196</v>
      </c>
      <c r="D487" s="19" t="s">
        <v>55</v>
      </c>
      <c r="E487" s="19" t="s">
        <v>48</v>
      </c>
      <c r="F487">
        <v>638</v>
      </c>
      <c r="G487" s="19" t="s">
        <v>49</v>
      </c>
      <c r="H487">
        <v>8</v>
      </c>
      <c r="I487">
        <v>2</v>
      </c>
      <c r="J487" s="19" t="s">
        <v>58</v>
      </c>
      <c r="K487">
        <v>865</v>
      </c>
      <c r="L487">
        <v>3</v>
      </c>
      <c r="M487" s="19" t="s">
        <v>59</v>
      </c>
      <c r="N487">
        <v>4</v>
      </c>
      <c r="O487">
        <v>2</v>
      </c>
      <c r="P487" s="19" t="s">
        <v>67</v>
      </c>
      <c r="Q487">
        <v>3</v>
      </c>
      <c r="R487" s="19" t="s">
        <v>113</v>
      </c>
      <c r="S487">
        <v>14284</v>
      </c>
      <c r="T487" s="19" t="s">
        <v>54</v>
      </c>
      <c r="U487">
        <v>89.28</v>
      </c>
      <c r="V487">
        <v>5</v>
      </c>
      <c r="W487" s="19" t="s">
        <v>55</v>
      </c>
      <c r="X487">
        <v>12</v>
      </c>
      <c r="Y487">
        <v>3</v>
      </c>
      <c r="Z487">
        <v>3</v>
      </c>
      <c r="AA487">
        <v>1</v>
      </c>
      <c r="AB487">
        <v>9</v>
      </c>
      <c r="AC487">
        <v>3</v>
      </c>
      <c r="AD487">
        <v>2</v>
      </c>
      <c r="AE487">
        <v>5</v>
      </c>
      <c r="AF487">
        <v>3</v>
      </c>
      <c r="AG487">
        <v>1</v>
      </c>
      <c r="AH487">
        <v>3</v>
      </c>
      <c r="AI487">
        <v>0</v>
      </c>
      <c r="AJ487" s="19" t="s">
        <v>1567</v>
      </c>
      <c r="AK487" s="19" t="s">
        <v>1562</v>
      </c>
      <c r="AL487">
        <v>1</v>
      </c>
      <c r="AM487" s="19" t="s">
        <v>1565</v>
      </c>
      <c r="AN487">
        <v>-0.71355290837552143</v>
      </c>
      <c r="AO487">
        <v>171408</v>
      </c>
    </row>
    <row r="488" spans="1:41" x14ac:dyDescent="0.3">
      <c r="A488" s="19" t="s">
        <v>557</v>
      </c>
      <c r="B488">
        <v>32</v>
      </c>
      <c r="C488" s="19" t="s">
        <v>196</v>
      </c>
      <c r="D488" s="19" t="s">
        <v>55</v>
      </c>
      <c r="E488" s="19" t="s">
        <v>66</v>
      </c>
      <c r="F488">
        <v>300</v>
      </c>
      <c r="G488" s="19" t="s">
        <v>49</v>
      </c>
      <c r="H488">
        <v>1</v>
      </c>
      <c r="I488">
        <v>3</v>
      </c>
      <c r="J488" s="19" t="s">
        <v>50</v>
      </c>
      <c r="K488">
        <v>882</v>
      </c>
      <c r="L488">
        <v>4</v>
      </c>
      <c r="M488" s="19" t="s">
        <v>51</v>
      </c>
      <c r="N488">
        <v>3</v>
      </c>
      <c r="O488">
        <v>1</v>
      </c>
      <c r="P488" s="19" t="s">
        <v>52</v>
      </c>
      <c r="Q488">
        <v>4</v>
      </c>
      <c r="R488" s="19" t="s">
        <v>53</v>
      </c>
      <c r="S488">
        <v>73789</v>
      </c>
      <c r="T488" s="19" t="s">
        <v>64</v>
      </c>
      <c r="U488">
        <v>461.18</v>
      </c>
      <c r="V488">
        <v>0</v>
      </c>
      <c r="W488" s="19" t="s">
        <v>55</v>
      </c>
      <c r="X488">
        <v>12</v>
      </c>
      <c r="Y488">
        <v>3</v>
      </c>
      <c r="Z488">
        <v>2</v>
      </c>
      <c r="AA488">
        <v>1</v>
      </c>
      <c r="AB488">
        <v>4</v>
      </c>
      <c r="AC488">
        <v>2</v>
      </c>
      <c r="AD488">
        <v>3</v>
      </c>
      <c r="AE488">
        <v>3</v>
      </c>
      <c r="AF488">
        <v>0</v>
      </c>
      <c r="AG488">
        <v>0</v>
      </c>
      <c r="AH488">
        <v>2</v>
      </c>
      <c r="AI488">
        <v>0</v>
      </c>
      <c r="AJ488" s="19" t="s">
        <v>1566</v>
      </c>
      <c r="AK488" s="19" t="s">
        <v>1562</v>
      </c>
      <c r="AL488">
        <v>0</v>
      </c>
      <c r="AM488" s="19" t="s">
        <v>1563</v>
      </c>
      <c r="AN488">
        <v>0.42668496118325117</v>
      </c>
      <c r="AO488">
        <v>885468</v>
      </c>
    </row>
    <row r="489" spans="1:41" x14ac:dyDescent="0.3">
      <c r="A489" s="19" t="s">
        <v>558</v>
      </c>
      <c r="B489">
        <v>32</v>
      </c>
      <c r="C489" s="19" t="s">
        <v>196</v>
      </c>
      <c r="D489" s="19" t="s">
        <v>55</v>
      </c>
      <c r="E489" s="19" t="s">
        <v>62</v>
      </c>
      <c r="F489">
        <v>379</v>
      </c>
      <c r="G489" s="19" t="s">
        <v>57</v>
      </c>
      <c r="H489">
        <v>5</v>
      </c>
      <c r="I489">
        <v>2</v>
      </c>
      <c r="J489" s="19" t="s">
        <v>50</v>
      </c>
      <c r="K489">
        <v>889</v>
      </c>
      <c r="L489">
        <v>2</v>
      </c>
      <c r="M489" s="19" t="s">
        <v>51</v>
      </c>
      <c r="N489">
        <v>3</v>
      </c>
      <c r="O489">
        <v>2</v>
      </c>
      <c r="P489" s="19" t="s">
        <v>145</v>
      </c>
      <c r="Q489">
        <v>2</v>
      </c>
      <c r="R489" s="19" t="s">
        <v>113</v>
      </c>
      <c r="S489">
        <v>85664</v>
      </c>
      <c r="T489" s="19" t="s">
        <v>70</v>
      </c>
      <c r="U489">
        <v>535.4</v>
      </c>
      <c r="V489">
        <v>1</v>
      </c>
      <c r="W489" s="19" t="s">
        <v>55</v>
      </c>
      <c r="X489">
        <v>14</v>
      </c>
      <c r="Y489">
        <v>3</v>
      </c>
      <c r="Z489">
        <v>4</v>
      </c>
      <c r="AA489">
        <v>1</v>
      </c>
      <c r="AB489">
        <v>10</v>
      </c>
      <c r="AC489">
        <v>3</v>
      </c>
      <c r="AD489">
        <v>3</v>
      </c>
      <c r="AE489">
        <v>10</v>
      </c>
      <c r="AF489">
        <v>8</v>
      </c>
      <c r="AG489">
        <v>5</v>
      </c>
      <c r="AH489">
        <v>3</v>
      </c>
      <c r="AI489">
        <v>0</v>
      </c>
      <c r="AJ489" s="19" t="s">
        <v>1569</v>
      </c>
      <c r="AK489" s="19" t="s">
        <v>1570</v>
      </c>
      <c r="AL489">
        <v>2</v>
      </c>
      <c r="AM489" s="19" t="s">
        <v>1564</v>
      </c>
      <c r="AN489">
        <v>0.74617907528541372</v>
      </c>
      <c r="AO489">
        <v>1027968</v>
      </c>
    </row>
    <row r="490" spans="1:41" x14ac:dyDescent="0.3">
      <c r="A490" s="19" t="s">
        <v>559</v>
      </c>
      <c r="B490">
        <v>32</v>
      </c>
      <c r="C490" s="19" t="s">
        <v>196</v>
      </c>
      <c r="D490" s="19" t="s">
        <v>47</v>
      </c>
      <c r="E490" s="19" t="s">
        <v>48</v>
      </c>
      <c r="F490">
        <v>374</v>
      </c>
      <c r="G490" s="19" t="s">
        <v>49</v>
      </c>
      <c r="H490">
        <v>25</v>
      </c>
      <c r="I490">
        <v>4</v>
      </c>
      <c r="J490" s="19" t="s">
        <v>50</v>
      </c>
      <c r="K490">
        <v>911</v>
      </c>
      <c r="L490">
        <v>1</v>
      </c>
      <c r="M490" s="19" t="s">
        <v>51</v>
      </c>
      <c r="N490">
        <v>3</v>
      </c>
      <c r="O490">
        <v>1</v>
      </c>
      <c r="P490" s="19" t="s">
        <v>52</v>
      </c>
      <c r="Q490">
        <v>4</v>
      </c>
      <c r="R490" s="19" t="s">
        <v>53</v>
      </c>
      <c r="S490">
        <v>94468</v>
      </c>
      <c r="T490" s="19" t="s">
        <v>70</v>
      </c>
      <c r="U490">
        <v>590.41999999999996</v>
      </c>
      <c r="V490">
        <v>1</v>
      </c>
      <c r="W490" s="19" t="s">
        <v>47</v>
      </c>
      <c r="X490">
        <v>24</v>
      </c>
      <c r="Y490">
        <v>4</v>
      </c>
      <c r="Z490">
        <v>3</v>
      </c>
      <c r="AA490">
        <v>0</v>
      </c>
      <c r="AB490">
        <v>1</v>
      </c>
      <c r="AC490">
        <v>2</v>
      </c>
      <c r="AD490">
        <v>1</v>
      </c>
      <c r="AE490">
        <v>1</v>
      </c>
      <c r="AF490">
        <v>0</v>
      </c>
      <c r="AG490">
        <v>0</v>
      </c>
      <c r="AH490">
        <v>1</v>
      </c>
      <c r="AI490">
        <v>1</v>
      </c>
      <c r="AJ490" s="19" t="s">
        <v>1561</v>
      </c>
      <c r="AK490" s="19" t="s">
        <v>1562</v>
      </c>
      <c r="AL490">
        <v>2</v>
      </c>
      <c r="AM490" s="19" t="s">
        <v>1564</v>
      </c>
      <c r="AN490">
        <v>0.82650632090229392</v>
      </c>
      <c r="AO490">
        <v>1133616</v>
      </c>
    </row>
    <row r="491" spans="1:41" x14ac:dyDescent="0.3">
      <c r="A491" s="19" t="s">
        <v>560</v>
      </c>
      <c r="B491">
        <v>32</v>
      </c>
      <c r="C491" s="19" t="s">
        <v>196</v>
      </c>
      <c r="D491" s="19" t="s">
        <v>55</v>
      </c>
      <c r="E491" s="19" t="s">
        <v>66</v>
      </c>
      <c r="F491">
        <v>1184</v>
      </c>
      <c r="G491" s="19" t="s">
        <v>49</v>
      </c>
      <c r="H491">
        <v>1</v>
      </c>
      <c r="I491">
        <v>3</v>
      </c>
      <c r="J491" s="19" t="s">
        <v>50</v>
      </c>
      <c r="K491">
        <v>951</v>
      </c>
      <c r="L491">
        <v>3</v>
      </c>
      <c r="M491" s="19" t="s">
        <v>59</v>
      </c>
      <c r="N491">
        <v>2</v>
      </c>
      <c r="O491">
        <v>1</v>
      </c>
      <c r="P491" s="19" t="s">
        <v>52</v>
      </c>
      <c r="Q491">
        <v>2</v>
      </c>
      <c r="R491" s="19" t="s">
        <v>113</v>
      </c>
      <c r="S491">
        <v>62389</v>
      </c>
      <c r="T491" s="19" t="s">
        <v>64</v>
      </c>
      <c r="U491">
        <v>389.93</v>
      </c>
      <c r="V491">
        <v>6</v>
      </c>
      <c r="W491" s="19" t="s">
        <v>55</v>
      </c>
      <c r="X491">
        <v>20</v>
      </c>
      <c r="Y491">
        <v>4</v>
      </c>
      <c r="Z491">
        <v>3</v>
      </c>
      <c r="AA491">
        <v>0</v>
      </c>
      <c r="AB491">
        <v>5</v>
      </c>
      <c r="AC491">
        <v>3</v>
      </c>
      <c r="AD491">
        <v>3</v>
      </c>
      <c r="AE491">
        <v>3</v>
      </c>
      <c r="AF491">
        <v>0</v>
      </c>
      <c r="AG491">
        <v>0</v>
      </c>
      <c r="AH491">
        <v>2</v>
      </c>
      <c r="AI491">
        <v>0</v>
      </c>
      <c r="AJ491" s="19" t="s">
        <v>1566</v>
      </c>
      <c r="AK491" s="19" t="s">
        <v>1562</v>
      </c>
      <c r="AL491">
        <v>1</v>
      </c>
      <c r="AM491" s="19" t="s">
        <v>1565</v>
      </c>
      <c r="AN491">
        <v>0.2062698782103275</v>
      </c>
      <c r="AO491">
        <v>748668</v>
      </c>
    </row>
    <row r="492" spans="1:41" x14ac:dyDescent="0.3">
      <c r="A492" s="19" t="s">
        <v>561</v>
      </c>
      <c r="B492">
        <v>32</v>
      </c>
      <c r="C492" s="19" t="s">
        <v>196</v>
      </c>
      <c r="D492" s="19" t="s">
        <v>55</v>
      </c>
      <c r="E492" s="19" t="s">
        <v>48</v>
      </c>
      <c r="F492">
        <v>498</v>
      </c>
      <c r="G492" s="19" t="s">
        <v>49</v>
      </c>
      <c r="H492">
        <v>3</v>
      </c>
      <c r="I492">
        <v>4</v>
      </c>
      <c r="J492" s="19" t="s">
        <v>58</v>
      </c>
      <c r="K492">
        <v>966</v>
      </c>
      <c r="L492">
        <v>3</v>
      </c>
      <c r="M492" s="19" t="s">
        <v>59</v>
      </c>
      <c r="N492">
        <v>3</v>
      </c>
      <c r="O492">
        <v>2</v>
      </c>
      <c r="P492" s="19" t="s">
        <v>120</v>
      </c>
      <c r="Q492">
        <v>1</v>
      </c>
      <c r="R492" s="19" t="s">
        <v>113</v>
      </c>
      <c r="S492">
        <v>10435</v>
      </c>
      <c r="T492" s="19" t="s">
        <v>54</v>
      </c>
      <c r="U492">
        <v>65.22</v>
      </c>
      <c r="V492">
        <v>1</v>
      </c>
      <c r="W492" s="19" t="s">
        <v>55</v>
      </c>
      <c r="X492">
        <v>12</v>
      </c>
      <c r="Y492">
        <v>3</v>
      </c>
      <c r="Z492">
        <v>3</v>
      </c>
      <c r="AA492">
        <v>1</v>
      </c>
      <c r="AB492">
        <v>8</v>
      </c>
      <c r="AC492">
        <v>2</v>
      </c>
      <c r="AD492">
        <v>4</v>
      </c>
      <c r="AE492">
        <v>8</v>
      </c>
      <c r="AF492">
        <v>7</v>
      </c>
      <c r="AG492">
        <v>6</v>
      </c>
      <c r="AH492">
        <v>3</v>
      </c>
      <c r="AI492">
        <v>0</v>
      </c>
      <c r="AJ492" s="19" t="s">
        <v>1569</v>
      </c>
      <c r="AK492" s="19" t="s">
        <v>1570</v>
      </c>
      <c r="AL492">
        <v>2</v>
      </c>
      <c r="AM492" s="19" t="s">
        <v>1564</v>
      </c>
      <c r="AN492">
        <v>-0.76442214840951594</v>
      </c>
      <c r="AO492">
        <v>125220</v>
      </c>
    </row>
    <row r="493" spans="1:41" x14ac:dyDescent="0.3">
      <c r="A493" s="19" t="s">
        <v>562</v>
      </c>
      <c r="B493">
        <v>32</v>
      </c>
      <c r="C493" s="19" t="s">
        <v>196</v>
      </c>
      <c r="D493" s="19" t="s">
        <v>55</v>
      </c>
      <c r="E493" s="19" t="s">
        <v>66</v>
      </c>
      <c r="F493">
        <v>1109</v>
      </c>
      <c r="G493" s="19" t="s">
        <v>49</v>
      </c>
      <c r="H493">
        <v>29</v>
      </c>
      <c r="I493">
        <v>4</v>
      </c>
      <c r="J493" s="19" t="s">
        <v>58</v>
      </c>
      <c r="K493">
        <v>1046</v>
      </c>
      <c r="L493">
        <v>4</v>
      </c>
      <c r="M493" s="19" t="s">
        <v>59</v>
      </c>
      <c r="N493">
        <v>3</v>
      </c>
      <c r="O493">
        <v>1</v>
      </c>
      <c r="P493" s="19" t="s">
        <v>52</v>
      </c>
      <c r="Q493">
        <v>3</v>
      </c>
      <c r="R493" s="19" t="s">
        <v>53</v>
      </c>
      <c r="S493">
        <v>55340</v>
      </c>
      <c r="T493" s="19" t="s">
        <v>64</v>
      </c>
      <c r="U493">
        <v>345.88</v>
      </c>
      <c r="V493">
        <v>9</v>
      </c>
      <c r="W493" s="19" t="s">
        <v>55</v>
      </c>
      <c r="X493">
        <v>12</v>
      </c>
      <c r="Y493">
        <v>3</v>
      </c>
      <c r="Z493">
        <v>2</v>
      </c>
      <c r="AA493">
        <v>0</v>
      </c>
      <c r="AB493">
        <v>10</v>
      </c>
      <c r="AC493">
        <v>2</v>
      </c>
      <c r="AD493">
        <v>3</v>
      </c>
      <c r="AE493">
        <v>8</v>
      </c>
      <c r="AF493">
        <v>7</v>
      </c>
      <c r="AG493">
        <v>7</v>
      </c>
      <c r="AH493">
        <v>7</v>
      </c>
      <c r="AI493">
        <v>0</v>
      </c>
      <c r="AJ493" s="19" t="s">
        <v>1569</v>
      </c>
      <c r="AK493" s="19" t="s">
        <v>1570</v>
      </c>
      <c r="AL493">
        <v>1</v>
      </c>
      <c r="AM493" s="19" t="s">
        <v>1565</v>
      </c>
      <c r="AN493">
        <v>6.9979885238736383E-2</v>
      </c>
      <c r="AO493">
        <v>664080</v>
      </c>
    </row>
    <row r="494" spans="1:41" x14ac:dyDescent="0.3">
      <c r="A494" s="19" t="s">
        <v>563</v>
      </c>
      <c r="B494">
        <v>32</v>
      </c>
      <c r="C494" s="19" t="s">
        <v>196</v>
      </c>
      <c r="D494" s="19" t="s">
        <v>55</v>
      </c>
      <c r="E494" s="19" t="s">
        <v>66</v>
      </c>
      <c r="F494">
        <v>862</v>
      </c>
      <c r="G494" s="19" t="s">
        <v>57</v>
      </c>
      <c r="H494">
        <v>2</v>
      </c>
      <c r="I494">
        <v>1</v>
      </c>
      <c r="J494" s="19" t="s">
        <v>50</v>
      </c>
      <c r="K494">
        <v>1190</v>
      </c>
      <c r="L494">
        <v>3</v>
      </c>
      <c r="M494" s="19" t="s">
        <v>59</v>
      </c>
      <c r="N494">
        <v>3</v>
      </c>
      <c r="O494">
        <v>1</v>
      </c>
      <c r="P494" s="19" t="s">
        <v>60</v>
      </c>
      <c r="Q494">
        <v>1</v>
      </c>
      <c r="R494" s="19" t="s">
        <v>53</v>
      </c>
      <c r="S494">
        <v>45078</v>
      </c>
      <c r="T494" s="19" t="s">
        <v>72</v>
      </c>
      <c r="U494">
        <v>281.74</v>
      </c>
      <c r="V494">
        <v>1</v>
      </c>
      <c r="W494" s="19" t="s">
        <v>55</v>
      </c>
      <c r="X494">
        <v>12</v>
      </c>
      <c r="Y494">
        <v>3</v>
      </c>
      <c r="Z494">
        <v>3</v>
      </c>
      <c r="AA494">
        <v>3</v>
      </c>
      <c r="AB494">
        <v>1</v>
      </c>
      <c r="AC494">
        <v>3</v>
      </c>
      <c r="AD494">
        <v>3</v>
      </c>
      <c r="AE494">
        <v>1</v>
      </c>
      <c r="AF494">
        <v>0</v>
      </c>
      <c r="AG494">
        <v>0</v>
      </c>
      <c r="AH494">
        <v>0</v>
      </c>
      <c r="AI494">
        <v>0</v>
      </c>
      <c r="AJ494" s="19" t="s">
        <v>1561</v>
      </c>
      <c r="AK494" s="19" t="s">
        <v>1562</v>
      </c>
      <c r="AL494">
        <v>1</v>
      </c>
      <c r="AM494" s="19" t="s">
        <v>1565</v>
      </c>
      <c r="AN494">
        <v>-8.6135687377502462E-2</v>
      </c>
      <c r="AO494">
        <v>540936</v>
      </c>
    </row>
    <row r="495" spans="1:41" x14ac:dyDescent="0.3">
      <c r="A495" s="19" t="s">
        <v>564</v>
      </c>
      <c r="B495">
        <v>32</v>
      </c>
      <c r="C495" s="19" t="s">
        <v>196</v>
      </c>
      <c r="D495" s="19" t="s">
        <v>55</v>
      </c>
      <c r="E495" s="19" t="s">
        <v>62</v>
      </c>
      <c r="F495">
        <v>116</v>
      </c>
      <c r="G495" s="19" t="s">
        <v>49</v>
      </c>
      <c r="H495">
        <v>13</v>
      </c>
      <c r="I495">
        <v>3</v>
      </c>
      <c r="J495" s="19" t="s">
        <v>82</v>
      </c>
      <c r="K495">
        <v>1234</v>
      </c>
      <c r="L495">
        <v>3</v>
      </c>
      <c r="M495" s="19" t="s">
        <v>59</v>
      </c>
      <c r="N495">
        <v>2</v>
      </c>
      <c r="O495">
        <v>1</v>
      </c>
      <c r="P495" s="19" t="s">
        <v>52</v>
      </c>
      <c r="Q495">
        <v>2</v>
      </c>
      <c r="R495" s="19" t="s">
        <v>113</v>
      </c>
      <c r="S495">
        <v>79832</v>
      </c>
      <c r="T495" s="19" t="s">
        <v>64</v>
      </c>
      <c r="U495">
        <v>498.95</v>
      </c>
      <c r="V495">
        <v>1</v>
      </c>
      <c r="W495" s="19" t="s">
        <v>55</v>
      </c>
      <c r="X495">
        <v>20</v>
      </c>
      <c r="Y495">
        <v>4</v>
      </c>
      <c r="Z495">
        <v>3</v>
      </c>
      <c r="AA495">
        <v>1</v>
      </c>
      <c r="AB495">
        <v>2</v>
      </c>
      <c r="AC495">
        <v>2</v>
      </c>
      <c r="AD495">
        <v>3</v>
      </c>
      <c r="AE495">
        <v>2</v>
      </c>
      <c r="AF495">
        <v>2</v>
      </c>
      <c r="AG495">
        <v>2</v>
      </c>
      <c r="AH495">
        <v>2</v>
      </c>
      <c r="AI495">
        <v>0</v>
      </c>
      <c r="AJ495" s="19" t="s">
        <v>1566</v>
      </c>
      <c r="AK495" s="19" t="s">
        <v>1562</v>
      </c>
      <c r="AL495">
        <v>1</v>
      </c>
      <c r="AM495" s="19" t="s">
        <v>1565</v>
      </c>
      <c r="AN495">
        <v>0.54352428981530176</v>
      </c>
      <c r="AO495">
        <v>957984</v>
      </c>
    </row>
    <row r="496" spans="1:41" x14ac:dyDescent="0.3">
      <c r="A496" s="19" t="s">
        <v>565</v>
      </c>
      <c r="B496">
        <v>32</v>
      </c>
      <c r="C496" s="19" t="s">
        <v>196</v>
      </c>
      <c r="D496" s="19" t="s">
        <v>55</v>
      </c>
      <c r="E496" s="19" t="s">
        <v>62</v>
      </c>
      <c r="F496">
        <v>1316</v>
      </c>
      <c r="G496" s="19" t="s">
        <v>49</v>
      </c>
      <c r="H496">
        <v>2</v>
      </c>
      <c r="I496">
        <v>2</v>
      </c>
      <c r="J496" s="19" t="s">
        <v>50</v>
      </c>
      <c r="K496">
        <v>1235</v>
      </c>
      <c r="L496">
        <v>4</v>
      </c>
      <c r="M496" s="19" t="s">
        <v>59</v>
      </c>
      <c r="N496">
        <v>3</v>
      </c>
      <c r="O496">
        <v>2</v>
      </c>
      <c r="P496" s="19" t="s">
        <v>67</v>
      </c>
      <c r="Q496">
        <v>3</v>
      </c>
      <c r="R496" s="19" t="s">
        <v>53</v>
      </c>
      <c r="S496">
        <v>52293</v>
      </c>
      <c r="T496" s="19" t="s">
        <v>64</v>
      </c>
      <c r="U496">
        <v>326.83</v>
      </c>
      <c r="V496">
        <v>4</v>
      </c>
      <c r="W496" s="19" t="s">
        <v>47</v>
      </c>
      <c r="X496">
        <v>14</v>
      </c>
      <c r="Y496">
        <v>3</v>
      </c>
      <c r="Z496">
        <v>4</v>
      </c>
      <c r="AA496">
        <v>0</v>
      </c>
      <c r="AB496">
        <v>10</v>
      </c>
      <c r="AC496">
        <v>2</v>
      </c>
      <c r="AD496">
        <v>3</v>
      </c>
      <c r="AE496">
        <v>8</v>
      </c>
      <c r="AF496">
        <v>7</v>
      </c>
      <c r="AG496">
        <v>0</v>
      </c>
      <c r="AH496">
        <v>7</v>
      </c>
      <c r="AI496">
        <v>0</v>
      </c>
      <c r="AJ496" s="19" t="s">
        <v>1569</v>
      </c>
      <c r="AK496" s="19" t="s">
        <v>1562</v>
      </c>
      <c r="AL496">
        <v>1</v>
      </c>
      <c r="AM496" s="19" t="s">
        <v>1565</v>
      </c>
      <c r="AN496">
        <v>4.8668283556346899E-2</v>
      </c>
      <c r="AO496">
        <v>627516</v>
      </c>
    </row>
    <row r="497" spans="1:41" x14ac:dyDescent="0.3">
      <c r="A497" s="19" t="s">
        <v>566</v>
      </c>
      <c r="B497">
        <v>32</v>
      </c>
      <c r="C497" s="19" t="s">
        <v>196</v>
      </c>
      <c r="D497" s="19" t="s">
        <v>55</v>
      </c>
      <c r="E497" s="19" t="s">
        <v>48</v>
      </c>
      <c r="F497">
        <v>604</v>
      </c>
      <c r="G497" s="19" t="s">
        <v>57</v>
      </c>
      <c r="H497">
        <v>8</v>
      </c>
      <c r="I497">
        <v>3</v>
      </c>
      <c r="J497" s="19" t="s">
        <v>58</v>
      </c>
      <c r="K497">
        <v>1304</v>
      </c>
      <c r="L497">
        <v>3</v>
      </c>
      <c r="M497" s="19" t="s">
        <v>51</v>
      </c>
      <c r="N497">
        <v>4</v>
      </c>
      <c r="O497">
        <v>2</v>
      </c>
      <c r="P497" s="19" t="s">
        <v>145</v>
      </c>
      <c r="Q497">
        <v>4</v>
      </c>
      <c r="R497" s="19" t="s">
        <v>113</v>
      </c>
      <c r="S497">
        <v>96981</v>
      </c>
      <c r="T497" s="19" t="s">
        <v>70</v>
      </c>
      <c r="U497">
        <v>606.13</v>
      </c>
      <c r="V497">
        <v>1</v>
      </c>
      <c r="W497" s="19" t="s">
        <v>55</v>
      </c>
      <c r="X497">
        <v>15</v>
      </c>
      <c r="Y497">
        <v>3</v>
      </c>
      <c r="Z497">
        <v>3</v>
      </c>
      <c r="AA497">
        <v>2</v>
      </c>
      <c r="AB497">
        <v>10</v>
      </c>
      <c r="AC497">
        <v>4</v>
      </c>
      <c r="AD497">
        <v>4</v>
      </c>
      <c r="AE497">
        <v>10</v>
      </c>
      <c r="AF497">
        <v>7</v>
      </c>
      <c r="AG497">
        <v>0</v>
      </c>
      <c r="AH497">
        <v>8</v>
      </c>
      <c r="AI497">
        <v>0</v>
      </c>
      <c r="AJ497" s="19" t="s">
        <v>1569</v>
      </c>
      <c r="AK497" s="19" t="s">
        <v>1562</v>
      </c>
      <c r="AL497">
        <v>0</v>
      </c>
      <c r="AM497" s="19" t="s">
        <v>1563</v>
      </c>
      <c r="AN497">
        <v>0.97686534483861032</v>
      </c>
      <c r="AO497">
        <v>1163772</v>
      </c>
    </row>
    <row r="498" spans="1:41" x14ac:dyDescent="0.3">
      <c r="A498" s="19" t="s">
        <v>567</v>
      </c>
      <c r="B498">
        <v>32</v>
      </c>
      <c r="C498" s="19" t="s">
        <v>196</v>
      </c>
      <c r="D498" s="19" t="s">
        <v>47</v>
      </c>
      <c r="E498" s="19" t="s">
        <v>48</v>
      </c>
      <c r="F498">
        <v>1089</v>
      </c>
      <c r="G498" s="19" t="s">
        <v>49</v>
      </c>
      <c r="H498">
        <v>7</v>
      </c>
      <c r="I498">
        <v>2</v>
      </c>
      <c r="J498" s="19" t="s">
        <v>50</v>
      </c>
      <c r="K498">
        <v>1309</v>
      </c>
      <c r="L498">
        <v>4</v>
      </c>
      <c r="M498" s="19" t="s">
        <v>51</v>
      </c>
      <c r="N498">
        <v>3</v>
      </c>
      <c r="O498">
        <v>2</v>
      </c>
      <c r="P498" s="19" t="s">
        <v>52</v>
      </c>
      <c r="Q498">
        <v>3</v>
      </c>
      <c r="R498" s="19" t="s">
        <v>113</v>
      </c>
      <c r="S498">
        <v>79781</v>
      </c>
      <c r="T498" s="19" t="s">
        <v>64</v>
      </c>
      <c r="U498">
        <v>498.63</v>
      </c>
      <c r="V498">
        <v>1</v>
      </c>
      <c r="W498" s="19" t="s">
        <v>55</v>
      </c>
      <c r="X498">
        <v>18</v>
      </c>
      <c r="Y498">
        <v>3</v>
      </c>
      <c r="Z498">
        <v>1</v>
      </c>
      <c r="AA498">
        <v>1</v>
      </c>
      <c r="AB498">
        <v>10</v>
      </c>
      <c r="AC498">
        <v>3</v>
      </c>
      <c r="AD498">
        <v>3</v>
      </c>
      <c r="AE498">
        <v>10</v>
      </c>
      <c r="AF498">
        <v>4</v>
      </c>
      <c r="AG498">
        <v>1</v>
      </c>
      <c r="AH498">
        <v>1</v>
      </c>
      <c r="AI498">
        <v>1</v>
      </c>
      <c r="AJ498" s="19" t="s">
        <v>1569</v>
      </c>
      <c r="AK498" s="19" t="s">
        <v>1562</v>
      </c>
      <c r="AL498">
        <v>0</v>
      </c>
      <c r="AM498" s="19" t="s">
        <v>1563</v>
      </c>
      <c r="AN498">
        <v>0.54253822233884397</v>
      </c>
      <c r="AO498">
        <v>957372</v>
      </c>
    </row>
    <row r="499" spans="1:41" x14ac:dyDescent="0.3">
      <c r="A499" s="19" t="s">
        <v>568</v>
      </c>
      <c r="B499">
        <v>32</v>
      </c>
      <c r="C499" s="19" t="s">
        <v>196</v>
      </c>
      <c r="D499" s="19" t="s">
        <v>55</v>
      </c>
      <c r="E499" s="19" t="s">
        <v>48</v>
      </c>
      <c r="F499">
        <v>499</v>
      </c>
      <c r="G499" s="19" t="s">
        <v>57</v>
      </c>
      <c r="H499">
        <v>2</v>
      </c>
      <c r="I499">
        <v>1</v>
      </c>
      <c r="J499" s="19" t="s">
        <v>63</v>
      </c>
      <c r="K499">
        <v>1396</v>
      </c>
      <c r="L499">
        <v>3</v>
      </c>
      <c r="M499" s="19" t="s">
        <v>51</v>
      </c>
      <c r="N499">
        <v>3</v>
      </c>
      <c r="O499">
        <v>2</v>
      </c>
      <c r="P499" s="19" t="s">
        <v>145</v>
      </c>
      <c r="Q499">
        <v>2</v>
      </c>
      <c r="R499" s="19" t="s">
        <v>113</v>
      </c>
      <c r="S499">
        <v>61403</v>
      </c>
      <c r="T499" s="19" t="s">
        <v>64</v>
      </c>
      <c r="U499">
        <v>383.77</v>
      </c>
      <c r="V499">
        <v>0</v>
      </c>
      <c r="W499" s="19" t="s">
        <v>47</v>
      </c>
      <c r="X499">
        <v>13</v>
      </c>
      <c r="Y499">
        <v>3</v>
      </c>
      <c r="Z499">
        <v>1</v>
      </c>
      <c r="AA499">
        <v>3</v>
      </c>
      <c r="AB499">
        <v>4</v>
      </c>
      <c r="AC499">
        <v>3</v>
      </c>
      <c r="AD499">
        <v>2</v>
      </c>
      <c r="AE499">
        <v>3</v>
      </c>
      <c r="AF499">
        <v>2</v>
      </c>
      <c r="AG499">
        <v>1</v>
      </c>
      <c r="AH499">
        <v>2</v>
      </c>
      <c r="AI499">
        <v>0</v>
      </c>
      <c r="AJ499" s="19" t="s">
        <v>1566</v>
      </c>
      <c r="AK499" s="19" t="s">
        <v>1562</v>
      </c>
      <c r="AL499">
        <v>3</v>
      </c>
      <c r="AM499" s="19" t="s">
        <v>1568</v>
      </c>
      <c r="AN499">
        <v>0.25164169032207534</v>
      </c>
      <c r="AO499">
        <v>736836</v>
      </c>
    </row>
    <row r="500" spans="1:41" x14ac:dyDescent="0.3">
      <c r="A500" s="19" t="s">
        <v>569</v>
      </c>
      <c r="B500">
        <v>32</v>
      </c>
      <c r="C500" s="19" t="s">
        <v>196</v>
      </c>
      <c r="D500" s="19" t="s">
        <v>55</v>
      </c>
      <c r="E500" s="19" t="s">
        <v>48</v>
      </c>
      <c r="F500">
        <v>601</v>
      </c>
      <c r="G500" s="19" t="s">
        <v>57</v>
      </c>
      <c r="H500">
        <v>7</v>
      </c>
      <c r="I500">
        <v>5</v>
      </c>
      <c r="J500" s="19" t="s">
        <v>63</v>
      </c>
      <c r="K500">
        <v>1446</v>
      </c>
      <c r="L500">
        <v>4</v>
      </c>
      <c r="M500" s="19" t="s">
        <v>51</v>
      </c>
      <c r="N500">
        <v>3</v>
      </c>
      <c r="O500">
        <v>2</v>
      </c>
      <c r="P500" s="19" t="s">
        <v>145</v>
      </c>
      <c r="Q500">
        <v>4</v>
      </c>
      <c r="R500" s="19" t="s">
        <v>113</v>
      </c>
      <c r="S500">
        <v>30124</v>
      </c>
      <c r="T500" s="19" t="s">
        <v>72</v>
      </c>
      <c r="U500">
        <v>188.28</v>
      </c>
      <c r="V500">
        <v>4</v>
      </c>
      <c r="W500" s="19" t="s">
        <v>55</v>
      </c>
      <c r="X500">
        <v>12</v>
      </c>
      <c r="Y500">
        <v>3</v>
      </c>
      <c r="Z500">
        <v>3</v>
      </c>
      <c r="AA500">
        <v>1</v>
      </c>
      <c r="AB500">
        <v>7</v>
      </c>
      <c r="AC500">
        <v>3</v>
      </c>
      <c r="AD500">
        <v>2</v>
      </c>
      <c r="AE500">
        <v>4</v>
      </c>
      <c r="AF500">
        <v>3</v>
      </c>
      <c r="AG500">
        <v>0</v>
      </c>
      <c r="AH500">
        <v>3</v>
      </c>
      <c r="AI500">
        <v>0</v>
      </c>
      <c r="AJ500" s="19" t="s">
        <v>1567</v>
      </c>
      <c r="AK500" s="19" t="s">
        <v>1562</v>
      </c>
      <c r="AL500">
        <v>1</v>
      </c>
      <c r="AM500" s="19" t="s">
        <v>1565</v>
      </c>
      <c r="AN500">
        <v>-0.38595094247411044</v>
      </c>
      <c r="AO500">
        <v>361488</v>
      </c>
    </row>
    <row r="501" spans="1:41" x14ac:dyDescent="0.3">
      <c r="A501" s="19" t="s">
        <v>570</v>
      </c>
      <c r="B501">
        <v>32</v>
      </c>
      <c r="C501" s="19" t="s">
        <v>196</v>
      </c>
      <c r="D501" s="19" t="s">
        <v>55</v>
      </c>
      <c r="E501" s="19" t="s">
        <v>48</v>
      </c>
      <c r="F501">
        <v>495</v>
      </c>
      <c r="G501" s="19" t="s">
        <v>49</v>
      </c>
      <c r="H501">
        <v>10</v>
      </c>
      <c r="I501">
        <v>3</v>
      </c>
      <c r="J501" s="19" t="s">
        <v>58</v>
      </c>
      <c r="K501">
        <v>1516</v>
      </c>
      <c r="L501">
        <v>3</v>
      </c>
      <c r="M501" s="19" t="s">
        <v>51</v>
      </c>
      <c r="N501">
        <v>3</v>
      </c>
      <c r="O501">
        <v>3</v>
      </c>
      <c r="P501" s="19" t="s">
        <v>444</v>
      </c>
      <c r="Q501">
        <v>4</v>
      </c>
      <c r="R501" s="19" t="s">
        <v>53</v>
      </c>
      <c r="S501">
        <v>96435</v>
      </c>
      <c r="T501" s="19" t="s">
        <v>70</v>
      </c>
      <c r="U501">
        <v>602.72</v>
      </c>
      <c r="V501">
        <v>2</v>
      </c>
      <c r="W501" s="19" t="s">
        <v>55</v>
      </c>
      <c r="X501">
        <v>25</v>
      </c>
      <c r="Y501">
        <v>4</v>
      </c>
      <c r="Z501">
        <v>2</v>
      </c>
      <c r="AA501">
        <v>0</v>
      </c>
      <c r="AB501">
        <v>10</v>
      </c>
      <c r="AC501">
        <v>5</v>
      </c>
      <c r="AD501">
        <v>4</v>
      </c>
      <c r="AE501">
        <v>5</v>
      </c>
      <c r="AF501">
        <v>2</v>
      </c>
      <c r="AG501">
        <v>0</v>
      </c>
      <c r="AH501">
        <v>0</v>
      </c>
      <c r="AI501">
        <v>0</v>
      </c>
      <c r="AJ501" s="19" t="s">
        <v>1567</v>
      </c>
      <c r="AK501" s="19" t="s">
        <v>1562</v>
      </c>
      <c r="AL501">
        <v>0</v>
      </c>
      <c r="AM501" s="19" t="s">
        <v>1563</v>
      </c>
      <c r="AN501">
        <v>0.84747347408863782</v>
      </c>
      <c r="AO501">
        <v>1157220</v>
      </c>
    </row>
    <row r="502" spans="1:41" x14ac:dyDescent="0.3">
      <c r="A502" s="19" t="s">
        <v>571</v>
      </c>
      <c r="B502">
        <v>32</v>
      </c>
      <c r="C502" s="19" t="s">
        <v>196</v>
      </c>
      <c r="D502" s="19" t="s">
        <v>55</v>
      </c>
      <c r="E502" s="19" t="s">
        <v>48</v>
      </c>
      <c r="F502">
        <v>824</v>
      </c>
      <c r="G502" s="19" t="s">
        <v>49</v>
      </c>
      <c r="H502">
        <v>5</v>
      </c>
      <c r="I502">
        <v>2</v>
      </c>
      <c r="J502" s="19" t="s">
        <v>50</v>
      </c>
      <c r="K502">
        <v>1555</v>
      </c>
      <c r="L502">
        <v>4</v>
      </c>
      <c r="M502" s="19" t="s">
        <v>59</v>
      </c>
      <c r="N502">
        <v>2</v>
      </c>
      <c r="O502">
        <v>2</v>
      </c>
      <c r="P502" s="19" t="s">
        <v>67</v>
      </c>
      <c r="Q502">
        <v>2</v>
      </c>
      <c r="R502" s="19" t="s">
        <v>113</v>
      </c>
      <c r="S502">
        <v>44919</v>
      </c>
      <c r="T502" s="19" t="s">
        <v>72</v>
      </c>
      <c r="U502">
        <v>280.74</v>
      </c>
      <c r="V502">
        <v>3</v>
      </c>
      <c r="W502" s="19" t="s">
        <v>55</v>
      </c>
      <c r="X502">
        <v>12</v>
      </c>
      <c r="Y502">
        <v>3</v>
      </c>
      <c r="Z502">
        <v>1</v>
      </c>
      <c r="AA502">
        <v>1</v>
      </c>
      <c r="AB502">
        <v>12</v>
      </c>
      <c r="AC502">
        <v>2</v>
      </c>
      <c r="AD502">
        <v>3</v>
      </c>
      <c r="AE502">
        <v>7</v>
      </c>
      <c r="AF502">
        <v>1</v>
      </c>
      <c r="AG502">
        <v>2</v>
      </c>
      <c r="AH502">
        <v>5</v>
      </c>
      <c r="AI502">
        <v>0</v>
      </c>
      <c r="AJ502" s="19" t="s">
        <v>1569</v>
      </c>
      <c r="AK502" s="19" t="s">
        <v>1562</v>
      </c>
      <c r="AL502">
        <v>1</v>
      </c>
      <c r="AM502" s="19" t="s">
        <v>1565</v>
      </c>
      <c r="AN502">
        <v>-9.9207721318961495E-2</v>
      </c>
      <c r="AO502">
        <v>539028</v>
      </c>
    </row>
    <row r="503" spans="1:41" x14ac:dyDescent="0.3">
      <c r="A503" s="19" t="s">
        <v>572</v>
      </c>
      <c r="B503">
        <v>32</v>
      </c>
      <c r="C503" s="19" t="s">
        <v>196</v>
      </c>
      <c r="D503" s="19" t="s">
        <v>55</v>
      </c>
      <c r="E503" s="19" t="s">
        <v>66</v>
      </c>
      <c r="F503">
        <v>1200</v>
      </c>
      <c r="G503" s="19" t="s">
        <v>49</v>
      </c>
      <c r="H503">
        <v>1</v>
      </c>
      <c r="I503">
        <v>4</v>
      </c>
      <c r="J503" s="19" t="s">
        <v>77</v>
      </c>
      <c r="K503">
        <v>1574</v>
      </c>
      <c r="L503">
        <v>4</v>
      </c>
      <c r="M503" s="19" t="s">
        <v>51</v>
      </c>
      <c r="N503">
        <v>3</v>
      </c>
      <c r="O503">
        <v>2</v>
      </c>
      <c r="P503" s="19" t="s">
        <v>67</v>
      </c>
      <c r="Q503">
        <v>1</v>
      </c>
      <c r="R503" s="19" t="s">
        <v>113</v>
      </c>
      <c r="S503">
        <v>36247</v>
      </c>
      <c r="T503" s="19" t="s">
        <v>72</v>
      </c>
      <c r="U503">
        <v>226.54</v>
      </c>
      <c r="V503">
        <v>4</v>
      </c>
      <c r="W503" s="19" t="s">
        <v>55</v>
      </c>
      <c r="X503">
        <v>14</v>
      </c>
      <c r="Y503">
        <v>3</v>
      </c>
      <c r="Z503">
        <v>2</v>
      </c>
      <c r="AA503">
        <v>1</v>
      </c>
      <c r="AB503">
        <v>9</v>
      </c>
      <c r="AC503">
        <v>3</v>
      </c>
      <c r="AD503">
        <v>2</v>
      </c>
      <c r="AE503">
        <v>6</v>
      </c>
      <c r="AF503">
        <v>5</v>
      </c>
      <c r="AG503">
        <v>1</v>
      </c>
      <c r="AH503">
        <v>2</v>
      </c>
      <c r="AI503">
        <v>0</v>
      </c>
      <c r="AJ503" s="19" t="s">
        <v>1569</v>
      </c>
      <c r="AK503" s="19" t="s">
        <v>1562</v>
      </c>
      <c r="AL503">
        <v>2</v>
      </c>
      <c r="AM503" s="19" t="s">
        <v>1564</v>
      </c>
      <c r="AN503">
        <v>-0.2731134325040272</v>
      </c>
      <c r="AO503">
        <v>434964</v>
      </c>
    </row>
    <row r="504" spans="1:41" x14ac:dyDescent="0.3">
      <c r="A504" s="19" t="s">
        <v>573</v>
      </c>
      <c r="B504">
        <v>32</v>
      </c>
      <c r="C504" s="19" t="s">
        <v>196</v>
      </c>
      <c r="D504" s="19" t="s">
        <v>55</v>
      </c>
      <c r="E504" s="19" t="s">
        <v>48</v>
      </c>
      <c r="F504">
        <v>634</v>
      </c>
      <c r="G504" s="19" t="s">
        <v>49</v>
      </c>
      <c r="H504">
        <v>5</v>
      </c>
      <c r="I504">
        <v>4</v>
      </c>
      <c r="J504" s="19" t="s">
        <v>82</v>
      </c>
      <c r="K504">
        <v>1607</v>
      </c>
      <c r="L504">
        <v>2</v>
      </c>
      <c r="M504" s="19" t="s">
        <v>59</v>
      </c>
      <c r="N504">
        <v>4</v>
      </c>
      <c r="O504">
        <v>1</v>
      </c>
      <c r="P504" s="19" t="s">
        <v>67</v>
      </c>
      <c r="Q504">
        <v>4</v>
      </c>
      <c r="R504" s="19" t="s">
        <v>113</v>
      </c>
      <c r="S504">
        <v>95758</v>
      </c>
      <c r="T504" s="19" t="s">
        <v>70</v>
      </c>
      <c r="U504">
        <v>598.49</v>
      </c>
      <c r="V504">
        <v>3</v>
      </c>
      <c r="W504" s="19" t="s">
        <v>55</v>
      </c>
      <c r="X504">
        <v>17</v>
      </c>
      <c r="Y504">
        <v>3</v>
      </c>
      <c r="Z504">
        <v>4</v>
      </c>
      <c r="AA504">
        <v>2</v>
      </c>
      <c r="AB504">
        <v>6</v>
      </c>
      <c r="AC504">
        <v>3</v>
      </c>
      <c r="AD504">
        <v>3</v>
      </c>
      <c r="AE504">
        <v>3</v>
      </c>
      <c r="AF504">
        <v>2</v>
      </c>
      <c r="AG504">
        <v>0</v>
      </c>
      <c r="AH504">
        <v>2</v>
      </c>
      <c r="AI504">
        <v>0</v>
      </c>
      <c r="AJ504" s="19" t="s">
        <v>1566</v>
      </c>
      <c r="AK504" s="19" t="s">
        <v>1562</v>
      </c>
      <c r="AL504">
        <v>0</v>
      </c>
      <c r="AM504" s="19" t="s">
        <v>1563</v>
      </c>
      <c r="AN504">
        <v>0.92030247828177125</v>
      </c>
      <c r="AO504">
        <v>1149096</v>
      </c>
    </row>
    <row r="505" spans="1:41" x14ac:dyDescent="0.3">
      <c r="A505" s="19" t="s">
        <v>574</v>
      </c>
      <c r="B505">
        <v>32</v>
      </c>
      <c r="C505" s="19" t="s">
        <v>196</v>
      </c>
      <c r="D505" s="19" t="s">
        <v>55</v>
      </c>
      <c r="E505" s="19" t="s">
        <v>48</v>
      </c>
      <c r="F505">
        <v>977</v>
      </c>
      <c r="G505" s="19" t="s">
        <v>49</v>
      </c>
      <c r="H505">
        <v>2</v>
      </c>
      <c r="I505">
        <v>3</v>
      </c>
      <c r="J505" s="19" t="s">
        <v>58</v>
      </c>
      <c r="K505">
        <v>1671</v>
      </c>
      <c r="L505">
        <v>4</v>
      </c>
      <c r="M505" s="19" t="s">
        <v>51</v>
      </c>
      <c r="N505">
        <v>3</v>
      </c>
      <c r="O505">
        <v>2</v>
      </c>
      <c r="P505" s="19" t="s">
        <v>67</v>
      </c>
      <c r="Q505">
        <v>2</v>
      </c>
      <c r="R505" s="19" t="s">
        <v>53</v>
      </c>
      <c r="S505">
        <v>92747</v>
      </c>
      <c r="T505" s="19" t="s">
        <v>70</v>
      </c>
      <c r="U505">
        <v>579.66999999999996</v>
      </c>
      <c r="V505">
        <v>0</v>
      </c>
      <c r="W505" s="19" t="s">
        <v>55</v>
      </c>
      <c r="X505">
        <v>13</v>
      </c>
      <c r="Y505">
        <v>3</v>
      </c>
      <c r="Z505">
        <v>3</v>
      </c>
      <c r="AA505">
        <v>2</v>
      </c>
      <c r="AB505">
        <v>10</v>
      </c>
      <c r="AC505">
        <v>4</v>
      </c>
      <c r="AD505">
        <v>2</v>
      </c>
      <c r="AE505">
        <v>9</v>
      </c>
      <c r="AF505">
        <v>5</v>
      </c>
      <c r="AG505">
        <v>1</v>
      </c>
      <c r="AH505">
        <v>6</v>
      </c>
      <c r="AI505">
        <v>0</v>
      </c>
      <c r="AJ505" s="19" t="s">
        <v>1569</v>
      </c>
      <c r="AK505" s="19" t="s">
        <v>1562</v>
      </c>
      <c r="AL505">
        <v>2</v>
      </c>
      <c r="AM505" s="19" t="s">
        <v>1564</v>
      </c>
      <c r="AN505">
        <v>0.85992077897616326</v>
      </c>
      <c r="AO505">
        <v>1112964</v>
      </c>
    </row>
    <row r="506" spans="1:41" x14ac:dyDescent="0.3">
      <c r="A506" s="19" t="s">
        <v>575</v>
      </c>
      <c r="B506">
        <v>32</v>
      </c>
      <c r="C506" s="19" t="s">
        <v>196</v>
      </c>
      <c r="D506" s="19" t="s">
        <v>47</v>
      </c>
      <c r="E506" s="19" t="s">
        <v>48</v>
      </c>
      <c r="F506">
        <v>1259</v>
      </c>
      <c r="G506" s="19" t="s">
        <v>49</v>
      </c>
      <c r="H506">
        <v>2</v>
      </c>
      <c r="I506">
        <v>4</v>
      </c>
      <c r="J506" s="19" t="s">
        <v>50</v>
      </c>
      <c r="K506">
        <v>1692</v>
      </c>
      <c r="L506">
        <v>4</v>
      </c>
      <c r="M506" s="19" t="s">
        <v>51</v>
      </c>
      <c r="N506">
        <v>3</v>
      </c>
      <c r="O506">
        <v>1</v>
      </c>
      <c r="P506" s="19" t="s">
        <v>52</v>
      </c>
      <c r="Q506">
        <v>2</v>
      </c>
      <c r="R506" s="19" t="s">
        <v>53</v>
      </c>
      <c r="S506">
        <v>63752</v>
      </c>
      <c r="T506" s="19" t="s">
        <v>64</v>
      </c>
      <c r="U506">
        <v>398.45</v>
      </c>
      <c r="V506">
        <v>1</v>
      </c>
      <c r="W506" s="19" t="s">
        <v>55</v>
      </c>
      <c r="X506">
        <v>12</v>
      </c>
      <c r="Y506">
        <v>3</v>
      </c>
      <c r="Z506">
        <v>1</v>
      </c>
      <c r="AA506">
        <v>0</v>
      </c>
      <c r="AB506">
        <v>1</v>
      </c>
      <c r="AC506">
        <v>2</v>
      </c>
      <c r="AD506">
        <v>3</v>
      </c>
      <c r="AE506">
        <v>1</v>
      </c>
      <c r="AF506">
        <v>0</v>
      </c>
      <c r="AG506">
        <v>0</v>
      </c>
      <c r="AH506">
        <v>0</v>
      </c>
      <c r="AI506">
        <v>1</v>
      </c>
      <c r="AJ506" s="19" t="s">
        <v>1561</v>
      </c>
      <c r="AK506" s="19" t="s">
        <v>1562</v>
      </c>
      <c r="AL506">
        <v>1</v>
      </c>
      <c r="AM506" s="19" t="s">
        <v>1565</v>
      </c>
      <c r="AN506">
        <v>0.23262301488507267</v>
      </c>
      <c r="AO506">
        <v>765024</v>
      </c>
    </row>
    <row r="507" spans="1:41" x14ac:dyDescent="0.3">
      <c r="A507" s="19" t="s">
        <v>576</v>
      </c>
      <c r="B507">
        <v>32</v>
      </c>
      <c r="C507" s="19" t="s">
        <v>196</v>
      </c>
      <c r="D507" s="19" t="s">
        <v>55</v>
      </c>
      <c r="E507" s="19" t="s">
        <v>62</v>
      </c>
      <c r="F507">
        <v>585</v>
      </c>
      <c r="G507" s="19" t="s">
        <v>49</v>
      </c>
      <c r="H507">
        <v>10</v>
      </c>
      <c r="I507">
        <v>3</v>
      </c>
      <c r="J507" s="19" t="s">
        <v>50</v>
      </c>
      <c r="K507">
        <v>1720</v>
      </c>
      <c r="L507">
        <v>1</v>
      </c>
      <c r="M507" s="19" t="s">
        <v>51</v>
      </c>
      <c r="N507">
        <v>3</v>
      </c>
      <c r="O507">
        <v>1</v>
      </c>
      <c r="P507" s="19" t="s">
        <v>67</v>
      </c>
      <c r="Q507">
        <v>3</v>
      </c>
      <c r="R507" s="19" t="s">
        <v>113</v>
      </c>
      <c r="S507">
        <v>57573</v>
      </c>
      <c r="T507" s="19" t="s">
        <v>64</v>
      </c>
      <c r="U507">
        <v>359.83</v>
      </c>
      <c r="V507">
        <v>6</v>
      </c>
      <c r="W507" s="19" t="s">
        <v>55</v>
      </c>
      <c r="X507">
        <v>13</v>
      </c>
      <c r="Y507">
        <v>3</v>
      </c>
      <c r="Z507">
        <v>1</v>
      </c>
      <c r="AA507">
        <v>1</v>
      </c>
      <c r="AB507">
        <v>10</v>
      </c>
      <c r="AC507">
        <v>3</v>
      </c>
      <c r="AD507">
        <v>2</v>
      </c>
      <c r="AE507">
        <v>5</v>
      </c>
      <c r="AF507">
        <v>2</v>
      </c>
      <c r="AG507">
        <v>1</v>
      </c>
      <c r="AH507">
        <v>3</v>
      </c>
      <c r="AI507">
        <v>0</v>
      </c>
      <c r="AJ507" s="19" t="s">
        <v>1567</v>
      </c>
      <c r="AK507" s="19" t="s">
        <v>1562</v>
      </c>
      <c r="AL507">
        <v>1</v>
      </c>
      <c r="AM507" s="19" t="s">
        <v>1565</v>
      </c>
      <c r="AN507">
        <v>0.15455183464688504</v>
      </c>
      <c r="AO507">
        <v>690876</v>
      </c>
    </row>
    <row r="508" spans="1:41" x14ac:dyDescent="0.3">
      <c r="A508" s="19" t="s">
        <v>577</v>
      </c>
      <c r="B508">
        <v>32</v>
      </c>
      <c r="C508" s="19" t="s">
        <v>196</v>
      </c>
      <c r="D508" s="19" t="s">
        <v>47</v>
      </c>
      <c r="E508" s="19" t="s">
        <v>48</v>
      </c>
      <c r="F508">
        <v>964</v>
      </c>
      <c r="G508" s="19" t="s">
        <v>57</v>
      </c>
      <c r="H508">
        <v>1</v>
      </c>
      <c r="I508">
        <v>2</v>
      </c>
      <c r="J508" s="19" t="s">
        <v>50</v>
      </c>
      <c r="K508">
        <v>1734</v>
      </c>
      <c r="L508">
        <v>1</v>
      </c>
      <c r="M508" s="19" t="s">
        <v>51</v>
      </c>
      <c r="N508">
        <v>1</v>
      </c>
      <c r="O508">
        <v>2</v>
      </c>
      <c r="P508" s="19" t="s">
        <v>145</v>
      </c>
      <c r="Q508">
        <v>2</v>
      </c>
      <c r="R508" s="19" t="s">
        <v>53</v>
      </c>
      <c r="S508">
        <v>60101</v>
      </c>
      <c r="T508" s="19" t="s">
        <v>64</v>
      </c>
      <c r="U508">
        <v>375.63</v>
      </c>
      <c r="V508">
        <v>6</v>
      </c>
      <c r="W508" s="19" t="s">
        <v>55</v>
      </c>
      <c r="X508">
        <v>15</v>
      </c>
      <c r="Y508">
        <v>3</v>
      </c>
      <c r="Z508">
        <v>2</v>
      </c>
      <c r="AA508">
        <v>0</v>
      </c>
      <c r="AB508">
        <v>10</v>
      </c>
      <c r="AC508">
        <v>2</v>
      </c>
      <c r="AD508">
        <v>3</v>
      </c>
      <c r="AE508">
        <v>0</v>
      </c>
      <c r="AF508">
        <v>0</v>
      </c>
      <c r="AG508">
        <v>0</v>
      </c>
      <c r="AH508">
        <v>0</v>
      </c>
      <c r="AI508">
        <v>1</v>
      </c>
      <c r="AJ508" s="19" t="s">
        <v>1561</v>
      </c>
      <c r="AK508" s="19" t="s">
        <v>1562</v>
      </c>
      <c r="AL508">
        <v>1</v>
      </c>
      <c r="AM508" s="19" t="s">
        <v>1565</v>
      </c>
      <c r="AN508">
        <v>0.22510166001737777</v>
      </c>
      <c r="AO508">
        <v>721212</v>
      </c>
    </row>
    <row r="509" spans="1:41" x14ac:dyDescent="0.3">
      <c r="A509" s="19" t="s">
        <v>578</v>
      </c>
      <c r="B509">
        <v>32</v>
      </c>
      <c r="C509" s="19" t="s">
        <v>196</v>
      </c>
      <c r="D509" s="19" t="s">
        <v>55</v>
      </c>
      <c r="E509" s="19" t="s">
        <v>48</v>
      </c>
      <c r="F509">
        <v>371</v>
      </c>
      <c r="G509" s="19" t="s">
        <v>57</v>
      </c>
      <c r="H509">
        <v>19</v>
      </c>
      <c r="I509">
        <v>3</v>
      </c>
      <c r="J509" s="19" t="s">
        <v>50</v>
      </c>
      <c r="K509">
        <v>1739</v>
      </c>
      <c r="L509">
        <v>4</v>
      </c>
      <c r="M509" s="19" t="s">
        <v>51</v>
      </c>
      <c r="N509">
        <v>1</v>
      </c>
      <c r="O509">
        <v>3</v>
      </c>
      <c r="P509" s="19" t="s">
        <v>145</v>
      </c>
      <c r="Q509">
        <v>3</v>
      </c>
      <c r="R509" s="19" t="s">
        <v>113</v>
      </c>
      <c r="S509">
        <v>27646</v>
      </c>
      <c r="T509" s="19" t="s">
        <v>72</v>
      </c>
      <c r="U509">
        <v>172.79</v>
      </c>
      <c r="V509">
        <v>3</v>
      </c>
      <c r="W509" s="19" t="s">
        <v>55</v>
      </c>
      <c r="X509">
        <v>13</v>
      </c>
      <c r="Y509">
        <v>3</v>
      </c>
      <c r="Z509">
        <v>3</v>
      </c>
      <c r="AA509">
        <v>1</v>
      </c>
      <c r="AB509">
        <v>10</v>
      </c>
      <c r="AC509">
        <v>2</v>
      </c>
      <c r="AD509">
        <v>1</v>
      </c>
      <c r="AE509">
        <v>4</v>
      </c>
      <c r="AF509">
        <v>3</v>
      </c>
      <c r="AG509">
        <v>0</v>
      </c>
      <c r="AH509">
        <v>2</v>
      </c>
      <c r="AI509">
        <v>0</v>
      </c>
      <c r="AJ509" s="19" t="s">
        <v>1567</v>
      </c>
      <c r="AK509" s="19" t="s">
        <v>1562</v>
      </c>
      <c r="AL509">
        <v>1</v>
      </c>
      <c r="AM509" s="19" t="s">
        <v>1565</v>
      </c>
      <c r="AN509">
        <v>-0.43646261305401862</v>
      </c>
      <c r="AO509">
        <v>331752</v>
      </c>
    </row>
    <row r="510" spans="1:41" x14ac:dyDescent="0.3">
      <c r="A510" s="19" t="s">
        <v>579</v>
      </c>
      <c r="B510">
        <v>32</v>
      </c>
      <c r="C510" s="19" t="s">
        <v>196</v>
      </c>
      <c r="D510" s="19" t="s">
        <v>55</v>
      </c>
      <c r="E510" s="19" t="s">
        <v>66</v>
      </c>
      <c r="F510">
        <v>953</v>
      </c>
      <c r="G510" s="19" t="s">
        <v>49</v>
      </c>
      <c r="H510">
        <v>5</v>
      </c>
      <c r="I510">
        <v>4</v>
      </c>
      <c r="J510" s="19" t="s">
        <v>77</v>
      </c>
      <c r="K510">
        <v>1764</v>
      </c>
      <c r="L510">
        <v>2</v>
      </c>
      <c r="M510" s="19" t="s">
        <v>51</v>
      </c>
      <c r="N510">
        <v>3</v>
      </c>
      <c r="O510">
        <v>1</v>
      </c>
      <c r="P510" s="19" t="s">
        <v>67</v>
      </c>
      <c r="Q510">
        <v>2</v>
      </c>
      <c r="R510" s="19" t="s">
        <v>53</v>
      </c>
      <c r="S510">
        <v>24049</v>
      </c>
      <c r="T510" s="19" t="s">
        <v>54</v>
      </c>
      <c r="U510">
        <v>150.31</v>
      </c>
      <c r="V510">
        <v>2</v>
      </c>
      <c r="W510" s="19" t="s">
        <v>55</v>
      </c>
      <c r="X510">
        <v>14</v>
      </c>
      <c r="Y510">
        <v>3</v>
      </c>
      <c r="Z510">
        <v>2</v>
      </c>
      <c r="AA510">
        <v>0</v>
      </c>
      <c r="AB510">
        <v>12</v>
      </c>
      <c r="AC510">
        <v>3</v>
      </c>
      <c r="AD510">
        <v>3</v>
      </c>
      <c r="AE510">
        <v>7</v>
      </c>
      <c r="AF510">
        <v>7</v>
      </c>
      <c r="AG510">
        <v>0</v>
      </c>
      <c r="AH510">
        <v>7</v>
      </c>
      <c r="AI510">
        <v>0</v>
      </c>
      <c r="AJ510" s="19" t="s">
        <v>1569</v>
      </c>
      <c r="AK510" s="19" t="s">
        <v>1562</v>
      </c>
      <c r="AL510">
        <v>1</v>
      </c>
      <c r="AM510" s="19" t="s">
        <v>1565</v>
      </c>
      <c r="AN510">
        <v>-0.51772849996659998</v>
      </c>
      <c r="AO510">
        <v>288588</v>
      </c>
    </row>
    <row r="511" spans="1:41" x14ac:dyDescent="0.3">
      <c r="A511" s="19" t="s">
        <v>580</v>
      </c>
      <c r="B511">
        <v>32</v>
      </c>
      <c r="C511" s="19" t="s">
        <v>196</v>
      </c>
      <c r="D511" s="19" t="s">
        <v>55</v>
      </c>
      <c r="E511" s="19" t="s">
        <v>62</v>
      </c>
      <c r="F511">
        <v>1318</v>
      </c>
      <c r="G511" s="19" t="s">
        <v>57</v>
      </c>
      <c r="H511">
        <v>10</v>
      </c>
      <c r="I511">
        <v>4</v>
      </c>
      <c r="J511" s="19" t="s">
        <v>63</v>
      </c>
      <c r="K511">
        <v>1853</v>
      </c>
      <c r="L511">
        <v>4</v>
      </c>
      <c r="M511" s="19" t="s">
        <v>51</v>
      </c>
      <c r="N511">
        <v>3</v>
      </c>
      <c r="O511">
        <v>2</v>
      </c>
      <c r="P511" s="19" t="s">
        <v>145</v>
      </c>
      <c r="Q511">
        <v>4</v>
      </c>
      <c r="R511" s="19" t="s">
        <v>53</v>
      </c>
      <c r="S511">
        <v>80605</v>
      </c>
      <c r="T511" s="19" t="s">
        <v>64</v>
      </c>
      <c r="U511">
        <v>503.78</v>
      </c>
      <c r="V511">
        <v>8</v>
      </c>
      <c r="W511" s="19" t="s">
        <v>55</v>
      </c>
      <c r="X511">
        <v>13</v>
      </c>
      <c r="Y511">
        <v>3</v>
      </c>
      <c r="Z511">
        <v>3</v>
      </c>
      <c r="AA511">
        <v>0</v>
      </c>
      <c r="AB511">
        <v>4</v>
      </c>
      <c r="AC511">
        <v>2</v>
      </c>
      <c r="AD511">
        <v>4</v>
      </c>
      <c r="AE511">
        <v>0</v>
      </c>
      <c r="AF511">
        <v>0</v>
      </c>
      <c r="AG511">
        <v>0</v>
      </c>
      <c r="AH511">
        <v>0</v>
      </c>
      <c r="AI511">
        <v>0</v>
      </c>
      <c r="AJ511" s="19" t="s">
        <v>1561</v>
      </c>
      <c r="AK511" s="19" t="s">
        <v>1562</v>
      </c>
      <c r="AL511">
        <v>0</v>
      </c>
      <c r="AM511" s="19" t="s">
        <v>1563</v>
      </c>
      <c r="AN511">
        <v>0.64305617719673114</v>
      </c>
      <c r="AO511">
        <v>967260</v>
      </c>
    </row>
    <row r="512" spans="1:41" x14ac:dyDescent="0.3">
      <c r="A512" s="19" t="s">
        <v>581</v>
      </c>
      <c r="B512">
        <v>32</v>
      </c>
      <c r="C512" s="19" t="s">
        <v>196</v>
      </c>
      <c r="D512" s="19" t="s">
        <v>47</v>
      </c>
      <c r="E512" s="19" t="s">
        <v>48</v>
      </c>
      <c r="F512">
        <v>414</v>
      </c>
      <c r="G512" s="19" t="s">
        <v>57</v>
      </c>
      <c r="H512">
        <v>2</v>
      </c>
      <c r="I512">
        <v>4</v>
      </c>
      <c r="J512" s="19" t="s">
        <v>63</v>
      </c>
      <c r="K512">
        <v>1862</v>
      </c>
      <c r="L512">
        <v>3</v>
      </c>
      <c r="M512" s="19" t="s">
        <v>51</v>
      </c>
      <c r="N512">
        <v>2</v>
      </c>
      <c r="O512">
        <v>2</v>
      </c>
      <c r="P512" s="19" t="s">
        <v>145</v>
      </c>
      <c r="Q512">
        <v>2</v>
      </c>
      <c r="R512" s="19" t="s">
        <v>53</v>
      </c>
      <c r="S512">
        <v>99116</v>
      </c>
      <c r="T512" s="19" t="s">
        <v>70</v>
      </c>
      <c r="U512">
        <v>619.48</v>
      </c>
      <c r="V512">
        <v>7</v>
      </c>
      <c r="W512" s="19" t="s">
        <v>47</v>
      </c>
      <c r="X512">
        <v>12</v>
      </c>
      <c r="Y512">
        <v>3</v>
      </c>
      <c r="Z512">
        <v>3</v>
      </c>
      <c r="AA512">
        <v>0</v>
      </c>
      <c r="AB512">
        <v>7</v>
      </c>
      <c r="AC512">
        <v>3</v>
      </c>
      <c r="AD512">
        <v>2</v>
      </c>
      <c r="AE512">
        <v>2</v>
      </c>
      <c r="AF512">
        <v>2</v>
      </c>
      <c r="AG512">
        <v>2</v>
      </c>
      <c r="AH512">
        <v>2</v>
      </c>
      <c r="AI512">
        <v>1</v>
      </c>
      <c r="AJ512" s="19" t="s">
        <v>1566</v>
      </c>
      <c r="AK512" s="19" t="s">
        <v>1562</v>
      </c>
      <c r="AL512">
        <v>3</v>
      </c>
      <c r="AM512" s="19" t="s">
        <v>1568</v>
      </c>
      <c r="AN512">
        <v>1.0203852870049153</v>
      </c>
      <c r="AO512">
        <v>1189392</v>
      </c>
    </row>
    <row r="513" spans="1:41" x14ac:dyDescent="0.3">
      <c r="A513" s="19" t="s">
        <v>582</v>
      </c>
      <c r="B513">
        <v>32</v>
      </c>
      <c r="C513" s="19" t="s">
        <v>196</v>
      </c>
      <c r="D513" s="19" t="s">
        <v>47</v>
      </c>
      <c r="E513" s="19" t="s">
        <v>62</v>
      </c>
      <c r="F513">
        <v>238</v>
      </c>
      <c r="G513" s="19" t="s">
        <v>49</v>
      </c>
      <c r="H513">
        <v>5</v>
      </c>
      <c r="I513">
        <v>2</v>
      </c>
      <c r="J513" s="19" t="s">
        <v>50</v>
      </c>
      <c r="K513">
        <v>1939</v>
      </c>
      <c r="L513">
        <v>1</v>
      </c>
      <c r="M513" s="19" t="s">
        <v>59</v>
      </c>
      <c r="N513">
        <v>4</v>
      </c>
      <c r="O513">
        <v>1</v>
      </c>
      <c r="P513" s="19" t="s">
        <v>67</v>
      </c>
      <c r="Q513">
        <v>3</v>
      </c>
      <c r="R513" s="19" t="s">
        <v>53</v>
      </c>
      <c r="S513">
        <v>98379</v>
      </c>
      <c r="T513" s="19" t="s">
        <v>70</v>
      </c>
      <c r="U513">
        <v>614.87</v>
      </c>
      <c r="V513">
        <v>3</v>
      </c>
      <c r="W513" s="19" t="s">
        <v>47</v>
      </c>
      <c r="X513">
        <v>14</v>
      </c>
      <c r="Y513">
        <v>3</v>
      </c>
      <c r="Z513">
        <v>1</v>
      </c>
      <c r="AA513">
        <v>0</v>
      </c>
      <c r="AB513">
        <v>8</v>
      </c>
      <c r="AC513">
        <v>2</v>
      </c>
      <c r="AD513">
        <v>3</v>
      </c>
      <c r="AE513">
        <v>4</v>
      </c>
      <c r="AF513">
        <v>1</v>
      </c>
      <c r="AG513">
        <v>0</v>
      </c>
      <c r="AH513">
        <v>3</v>
      </c>
      <c r="AI513">
        <v>1</v>
      </c>
      <c r="AJ513" s="19" t="s">
        <v>1567</v>
      </c>
      <c r="AK513" s="19" t="s">
        <v>1562</v>
      </c>
      <c r="AL513">
        <v>1</v>
      </c>
      <c r="AM513" s="19" t="s">
        <v>1565</v>
      </c>
      <c r="AN513">
        <v>0.97286323347273729</v>
      </c>
      <c r="AO513">
        <v>1180548</v>
      </c>
    </row>
    <row r="514" spans="1:41" x14ac:dyDescent="0.3">
      <c r="A514" s="19" t="s">
        <v>583</v>
      </c>
      <c r="B514">
        <v>32</v>
      </c>
      <c r="C514" s="19" t="s">
        <v>196</v>
      </c>
      <c r="D514" s="19" t="s">
        <v>55</v>
      </c>
      <c r="E514" s="19" t="s">
        <v>66</v>
      </c>
      <c r="F514">
        <v>1146</v>
      </c>
      <c r="G514" s="19" t="s">
        <v>49</v>
      </c>
      <c r="H514">
        <v>15</v>
      </c>
      <c r="I514">
        <v>4</v>
      </c>
      <c r="J514" s="19" t="s">
        <v>58</v>
      </c>
      <c r="K514">
        <v>1955</v>
      </c>
      <c r="L514">
        <v>3</v>
      </c>
      <c r="M514" s="19" t="s">
        <v>59</v>
      </c>
      <c r="N514">
        <v>3</v>
      </c>
      <c r="O514">
        <v>2</v>
      </c>
      <c r="P514" s="19" t="s">
        <v>168</v>
      </c>
      <c r="Q514">
        <v>4</v>
      </c>
      <c r="R514" s="19" t="s">
        <v>53</v>
      </c>
      <c r="S514">
        <v>69385</v>
      </c>
      <c r="T514" s="19" t="s">
        <v>64</v>
      </c>
      <c r="U514">
        <v>433.66</v>
      </c>
      <c r="V514">
        <v>5</v>
      </c>
      <c r="W514" s="19" t="s">
        <v>55</v>
      </c>
      <c r="X514">
        <v>18</v>
      </c>
      <c r="Y514">
        <v>3</v>
      </c>
      <c r="Z514">
        <v>2</v>
      </c>
      <c r="AA514">
        <v>1</v>
      </c>
      <c r="AB514">
        <v>9</v>
      </c>
      <c r="AC514">
        <v>6</v>
      </c>
      <c r="AD514">
        <v>3</v>
      </c>
      <c r="AE514">
        <v>5</v>
      </c>
      <c r="AF514">
        <v>1</v>
      </c>
      <c r="AG514">
        <v>1</v>
      </c>
      <c r="AH514">
        <v>2</v>
      </c>
      <c r="AI514">
        <v>0</v>
      </c>
      <c r="AJ514" s="19" t="s">
        <v>1567</v>
      </c>
      <c r="AK514" s="19" t="s">
        <v>1562</v>
      </c>
      <c r="AL514">
        <v>0</v>
      </c>
      <c r="AM514" s="19" t="s">
        <v>1563</v>
      </c>
      <c r="AN514">
        <v>0.4398471499211441</v>
      </c>
      <c r="AO514">
        <v>832620</v>
      </c>
    </row>
    <row r="515" spans="1:41" x14ac:dyDescent="0.3">
      <c r="A515" s="19" t="s">
        <v>584</v>
      </c>
      <c r="B515">
        <v>32</v>
      </c>
      <c r="C515" s="19" t="s">
        <v>196</v>
      </c>
      <c r="D515" s="19" t="s">
        <v>55</v>
      </c>
      <c r="E515" s="19" t="s">
        <v>48</v>
      </c>
      <c r="F515">
        <v>1373</v>
      </c>
      <c r="G515" s="19" t="s">
        <v>49</v>
      </c>
      <c r="H515">
        <v>5</v>
      </c>
      <c r="I515">
        <v>4</v>
      </c>
      <c r="J515" s="19" t="s">
        <v>50</v>
      </c>
      <c r="K515">
        <v>1966</v>
      </c>
      <c r="L515">
        <v>4</v>
      </c>
      <c r="M515" s="19" t="s">
        <v>51</v>
      </c>
      <c r="N515">
        <v>2</v>
      </c>
      <c r="O515">
        <v>2</v>
      </c>
      <c r="P515" s="19" t="s">
        <v>120</v>
      </c>
      <c r="Q515">
        <v>4</v>
      </c>
      <c r="R515" s="19" t="s">
        <v>53</v>
      </c>
      <c r="S515">
        <v>41158</v>
      </c>
      <c r="T515" s="19" t="s">
        <v>72</v>
      </c>
      <c r="U515">
        <v>257.24</v>
      </c>
      <c r="V515">
        <v>8</v>
      </c>
      <c r="W515" s="19" t="s">
        <v>55</v>
      </c>
      <c r="X515">
        <v>24</v>
      </c>
      <c r="Y515">
        <v>4</v>
      </c>
      <c r="Z515">
        <v>2</v>
      </c>
      <c r="AA515">
        <v>0</v>
      </c>
      <c r="AB515">
        <v>8</v>
      </c>
      <c r="AC515">
        <v>1</v>
      </c>
      <c r="AD515">
        <v>3</v>
      </c>
      <c r="AE515">
        <v>1</v>
      </c>
      <c r="AF515">
        <v>0</v>
      </c>
      <c r="AG515">
        <v>0</v>
      </c>
      <c r="AH515">
        <v>0</v>
      </c>
      <c r="AI515">
        <v>0</v>
      </c>
      <c r="AJ515" s="19" t="s">
        <v>1561</v>
      </c>
      <c r="AK515" s="19" t="s">
        <v>1562</v>
      </c>
      <c r="AL515">
        <v>0</v>
      </c>
      <c r="AM515" s="19" t="s">
        <v>1563</v>
      </c>
      <c r="AN515">
        <v>-7.0827674579669916E-2</v>
      </c>
      <c r="AO515">
        <v>493896</v>
      </c>
    </row>
    <row r="516" spans="1:41" x14ac:dyDescent="0.3">
      <c r="A516" s="19" t="s">
        <v>585</v>
      </c>
      <c r="B516">
        <v>32</v>
      </c>
      <c r="C516" s="19" t="s">
        <v>196</v>
      </c>
      <c r="D516" s="19" t="s">
        <v>55</v>
      </c>
      <c r="E516" s="19" t="s">
        <v>48</v>
      </c>
      <c r="F516">
        <v>267</v>
      </c>
      <c r="G516" s="19" t="s">
        <v>49</v>
      </c>
      <c r="H516">
        <v>29</v>
      </c>
      <c r="I516">
        <v>4</v>
      </c>
      <c r="J516" s="19" t="s">
        <v>50</v>
      </c>
      <c r="K516">
        <v>2010</v>
      </c>
      <c r="L516">
        <v>3</v>
      </c>
      <c r="M516" s="19" t="s">
        <v>59</v>
      </c>
      <c r="N516">
        <v>2</v>
      </c>
      <c r="O516">
        <v>1</v>
      </c>
      <c r="P516" s="19" t="s">
        <v>52</v>
      </c>
      <c r="Q516">
        <v>2</v>
      </c>
      <c r="R516" s="19" t="s">
        <v>53</v>
      </c>
      <c r="S516">
        <v>66417</v>
      </c>
      <c r="T516" s="19" t="s">
        <v>64</v>
      </c>
      <c r="U516">
        <v>415.11</v>
      </c>
      <c r="V516">
        <v>1</v>
      </c>
      <c r="W516" s="19" t="s">
        <v>55</v>
      </c>
      <c r="X516">
        <v>13</v>
      </c>
      <c r="Y516">
        <v>3</v>
      </c>
      <c r="Z516">
        <v>3</v>
      </c>
      <c r="AA516">
        <v>0</v>
      </c>
      <c r="AB516">
        <v>6</v>
      </c>
      <c r="AC516">
        <v>3</v>
      </c>
      <c r="AD516">
        <v>3</v>
      </c>
      <c r="AE516">
        <v>6</v>
      </c>
      <c r="AF516">
        <v>2</v>
      </c>
      <c r="AG516">
        <v>4</v>
      </c>
      <c r="AH516">
        <v>1</v>
      </c>
      <c r="AI516">
        <v>0</v>
      </c>
      <c r="AJ516" s="19" t="s">
        <v>1569</v>
      </c>
      <c r="AK516" s="19" t="s">
        <v>1570</v>
      </c>
      <c r="AL516">
        <v>2</v>
      </c>
      <c r="AM516" s="19" t="s">
        <v>1564</v>
      </c>
      <c r="AN516">
        <v>0.28414987419409388</v>
      </c>
      <c r="AO516">
        <v>797004</v>
      </c>
    </row>
    <row r="517" spans="1:41" x14ac:dyDescent="0.3">
      <c r="A517" s="19" t="s">
        <v>586</v>
      </c>
      <c r="B517">
        <v>32</v>
      </c>
      <c r="C517" s="19" t="s">
        <v>196</v>
      </c>
      <c r="D517" s="19" t="s">
        <v>55</v>
      </c>
      <c r="E517" s="19" t="s">
        <v>48</v>
      </c>
      <c r="F517">
        <v>234</v>
      </c>
      <c r="G517" s="19" t="s">
        <v>57</v>
      </c>
      <c r="H517">
        <v>1</v>
      </c>
      <c r="I517">
        <v>4</v>
      </c>
      <c r="J517" s="19" t="s">
        <v>58</v>
      </c>
      <c r="K517">
        <v>2013</v>
      </c>
      <c r="L517">
        <v>2</v>
      </c>
      <c r="M517" s="19" t="s">
        <v>51</v>
      </c>
      <c r="N517">
        <v>2</v>
      </c>
      <c r="O517">
        <v>1</v>
      </c>
      <c r="P517" s="19" t="s">
        <v>60</v>
      </c>
      <c r="Q517">
        <v>2</v>
      </c>
      <c r="R517" s="19" t="s">
        <v>113</v>
      </c>
      <c r="S517">
        <v>24289</v>
      </c>
      <c r="T517" s="19" t="s">
        <v>54</v>
      </c>
      <c r="U517">
        <v>151.81</v>
      </c>
      <c r="V517">
        <v>0</v>
      </c>
      <c r="W517" s="19" t="s">
        <v>55</v>
      </c>
      <c r="X517">
        <v>14</v>
      </c>
      <c r="Y517">
        <v>3</v>
      </c>
      <c r="Z517">
        <v>2</v>
      </c>
      <c r="AA517">
        <v>1</v>
      </c>
      <c r="AB517">
        <v>3</v>
      </c>
      <c r="AC517">
        <v>2</v>
      </c>
      <c r="AD517">
        <v>3</v>
      </c>
      <c r="AE517">
        <v>2</v>
      </c>
      <c r="AF517">
        <v>2</v>
      </c>
      <c r="AG517">
        <v>2</v>
      </c>
      <c r="AH517">
        <v>2</v>
      </c>
      <c r="AI517">
        <v>0</v>
      </c>
      <c r="AJ517" s="19" t="s">
        <v>1566</v>
      </c>
      <c r="AK517" s="19" t="s">
        <v>1562</v>
      </c>
      <c r="AL517">
        <v>1</v>
      </c>
      <c r="AM517" s="19" t="s">
        <v>1565</v>
      </c>
      <c r="AN517">
        <v>-0.50759017060899236</v>
      </c>
      <c r="AO517">
        <v>291468</v>
      </c>
    </row>
    <row r="518" spans="1:41" x14ac:dyDescent="0.3">
      <c r="A518" s="19" t="s">
        <v>587</v>
      </c>
      <c r="B518">
        <v>32</v>
      </c>
      <c r="C518" s="19" t="s">
        <v>196</v>
      </c>
      <c r="D518" s="19" t="s">
        <v>55</v>
      </c>
      <c r="E518" s="19" t="s">
        <v>48</v>
      </c>
      <c r="F518">
        <v>801</v>
      </c>
      <c r="G518" s="19" t="s">
        <v>57</v>
      </c>
      <c r="H518">
        <v>1</v>
      </c>
      <c r="I518">
        <v>4</v>
      </c>
      <c r="J518" s="19" t="s">
        <v>63</v>
      </c>
      <c r="K518">
        <v>2016</v>
      </c>
      <c r="L518">
        <v>3</v>
      </c>
      <c r="M518" s="19" t="s">
        <v>59</v>
      </c>
      <c r="N518">
        <v>3</v>
      </c>
      <c r="O518">
        <v>3</v>
      </c>
      <c r="P518" s="19" t="s">
        <v>145</v>
      </c>
      <c r="Q518">
        <v>4</v>
      </c>
      <c r="R518" s="19" t="s">
        <v>113</v>
      </c>
      <c r="S518">
        <v>10823</v>
      </c>
      <c r="T518" s="19" t="s">
        <v>54</v>
      </c>
      <c r="U518">
        <v>67.64</v>
      </c>
      <c r="V518">
        <v>1</v>
      </c>
      <c r="W518" s="19" t="s">
        <v>55</v>
      </c>
      <c r="X518">
        <v>19</v>
      </c>
      <c r="Y518">
        <v>3</v>
      </c>
      <c r="Z518">
        <v>3</v>
      </c>
      <c r="AA518">
        <v>2</v>
      </c>
      <c r="AB518">
        <v>14</v>
      </c>
      <c r="AC518">
        <v>3</v>
      </c>
      <c r="AD518">
        <v>3</v>
      </c>
      <c r="AE518">
        <v>14</v>
      </c>
      <c r="AF518">
        <v>10</v>
      </c>
      <c r="AG518">
        <v>5</v>
      </c>
      <c r="AH518">
        <v>7</v>
      </c>
      <c r="AI518">
        <v>0</v>
      </c>
      <c r="AJ518" s="19" t="s">
        <v>1571</v>
      </c>
      <c r="AK518" s="19" t="s">
        <v>1570</v>
      </c>
      <c r="AL518">
        <v>1</v>
      </c>
      <c r="AM518" s="19" t="s">
        <v>1565</v>
      </c>
      <c r="AN518">
        <v>-0.77938345008622023</v>
      </c>
      <c r="AO518">
        <v>129876</v>
      </c>
    </row>
    <row r="519" spans="1:41" x14ac:dyDescent="0.3">
      <c r="A519" s="19" t="s">
        <v>588</v>
      </c>
      <c r="B519">
        <v>32</v>
      </c>
      <c r="C519" s="19" t="s">
        <v>196</v>
      </c>
      <c r="D519" s="19" t="s">
        <v>55</v>
      </c>
      <c r="E519" s="19" t="s">
        <v>48</v>
      </c>
      <c r="F519">
        <v>529</v>
      </c>
      <c r="G519" s="19" t="s">
        <v>49</v>
      </c>
      <c r="H519">
        <v>2</v>
      </c>
      <c r="I519">
        <v>3</v>
      </c>
      <c r="J519" s="19" t="s">
        <v>77</v>
      </c>
      <c r="K519">
        <v>2038</v>
      </c>
      <c r="L519">
        <v>4</v>
      </c>
      <c r="M519" s="19" t="s">
        <v>51</v>
      </c>
      <c r="N519">
        <v>3</v>
      </c>
      <c r="O519">
        <v>1</v>
      </c>
      <c r="P519" s="19" t="s">
        <v>67</v>
      </c>
      <c r="Q519">
        <v>1</v>
      </c>
      <c r="R519" s="19" t="s">
        <v>53</v>
      </c>
      <c r="S519">
        <v>61160</v>
      </c>
      <c r="T519" s="19" t="s">
        <v>64</v>
      </c>
      <c r="U519">
        <v>382.25</v>
      </c>
      <c r="V519">
        <v>1</v>
      </c>
      <c r="W519" s="19" t="s">
        <v>55</v>
      </c>
      <c r="X519">
        <v>14</v>
      </c>
      <c r="Y519">
        <v>3</v>
      </c>
      <c r="Z519">
        <v>4</v>
      </c>
      <c r="AA519">
        <v>0</v>
      </c>
      <c r="AB519">
        <v>4</v>
      </c>
      <c r="AC519">
        <v>4</v>
      </c>
      <c r="AD519">
        <v>3</v>
      </c>
      <c r="AE519">
        <v>4</v>
      </c>
      <c r="AF519">
        <v>2</v>
      </c>
      <c r="AG519">
        <v>1</v>
      </c>
      <c r="AH519">
        <v>2</v>
      </c>
      <c r="AI519">
        <v>0</v>
      </c>
      <c r="AJ519" s="19" t="s">
        <v>1567</v>
      </c>
      <c r="AK519" s="19" t="s">
        <v>1562</v>
      </c>
      <c r="AL519">
        <v>1</v>
      </c>
      <c r="AM519" s="19" t="s">
        <v>1565</v>
      </c>
      <c r="AN519">
        <v>0.2264844667987336</v>
      </c>
      <c r="AO519">
        <v>733920</v>
      </c>
    </row>
    <row r="520" spans="1:41" x14ac:dyDescent="0.3">
      <c r="A520" s="19" t="s">
        <v>582</v>
      </c>
      <c r="B520">
        <v>32</v>
      </c>
      <c r="C520" s="19" t="s">
        <v>196</v>
      </c>
      <c r="D520" s="19" t="s">
        <v>47</v>
      </c>
      <c r="E520" s="19" t="s">
        <v>62</v>
      </c>
      <c r="F520">
        <v>238</v>
      </c>
      <c r="G520" s="19" t="s">
        <v>49</v>
      </c>
      <c r="H520">
        <v>5</v>
      </c>
      <c r="I520">
        <v>2</v>
      </c>
      <c r="J520" s="19" t="s">
        <v>50</v>
      </c>
      <c r="K520">
        <v>1939</v>
      </c>
      <c r="L520">
        <v>1</v>
      </c>
      <c r="M520" s="19" t="s">
        <v>59</v>
      </c>
      <c r="N520">
        <v>4</v>
      </c>
      <c r="O520">
        <v>1</v>
      </c>
      <c r="P520" s="19" t="s">
        <v>67</v>
      </c>
      <c r="Q520">
        <v>3</v>
      </c>
      <c r="R520" s="19" t="s">
        <v>53</v>
      </c>
      <c r="S520">
        <v>98379</v>
      </c>
      <c r="T520" s="19" t="s">
        <v>70</v>
      </c>
      <c r="U520">
        <v>614.87</v>
      </c>
      <c r="V520">
        <v>3</v>
      </c>
      <c r="W520" s="19" t="s">
        <v>47</v>
      </c>
      <c r="X520">
        <v>14</v>
      </c>
      <c r="Y520">
        <v>3</v>
      </c>
      <c r="Z520">
        <v>1</v>
      </c>
      <c r="AA520">
        <v>0</v>
      </c>
      <c r="AB520">
        <v>8</v>
      </c>
      <c r="AC520">
        <v>2</v>
      </c>
      <c r="AD520">
        <v>3</v>
      </c>
      <c r="AE520">
        <v>4</v>
      </c>
      <c r="AF520">
        <v>1</v>
      </c>
      <c r="AG520">
        <v>0</v>
      </c>
      <c r="AH520">
        <v>0</v>
      </c>
      <c r="AI520">
        <v>1</v>
      </c>
      <c r="AJ520" s="19" t="s">
        <v>1567</v>
      </c>
      <c r="AK520" s="19" t="s">
        <v>1562</v>
      </c>
      <c r="AL520">
        <v>1</v>
      </c>
      <c r="AM520" s="19" t="s">
        <v>1565</v>
      </c>
      <c r="AN520">
        <v>0.97286323347273729</v>
      </c>
      <c r="AO520">
        <v>1180548</v>
      </c>
    </row>
    <row r="521" spans="1:41" x14ac:dyDescent="0.3">
      <c r="A521" s="19" t="s">
        <v>589</v>
      </c>
      <c r="B521">
        <v>33</v>
      </c>
      <c r="C521" s="19" t="s">
        <v>196</v>
      </c>
      <c r="D521" s="19" t="s">
        <v>55</v>
      </c>
      <c r="E521" s="19" t="s">
        <v>48</v>
      </c>
      <c r="F521">
        <v>924</v>
      </c>
      <c r="G521" s="19" t="s">
        <v>49</v>
      </c>
      <c r="H521">
        <v>2</v>
      </c>
      <c r="I521">
        <v>3</v>
      </c>
      <c r="J521" s="19" t="s">
        <v>58</v>
      </c>
      <c r="K521">
        <v>39</v>
      </c>
      <c r="L521">
        <v>3</v>
      </c>
      <c r="M521" s="19" t="s">
        <v>51</v>
      </c>
      <c r="N521">
        <v>3</v>
      </c>
      <c r="O521">
        <v>1</v>
      </c>
      <c r="P521" s="19" t="s">
        <v>52</v>
      </c>
      <c r="Q521">
        <v>4</v>
      </c>
      <c r="R521" s="19" t="s">
        <v>53</v>
      </c>
      <c r="S521">
        <v>10540</v>
      </c>
      <c r="T521" s="19" t="s">
        <v>54</v>
      </c>
      <c r="U521">
        <v>65.88</v>
      </c>
      <c r="V521">
        <v>4</v>
      </c>
      <c r="W521" s="19" t="s">
        <v>55</v>
      </c>
      <c r="X521">
        <v>11</v>
      </c>
      <c r="Y521">
        <v>3</v>
      </c>
      <c r="Z521">
        <v>4</v>
      </c>
      <c r="AA521">
        <v>0</v>
      </c>
      <c r="AB521">
        <v>7</v>
      </c>
      <c r="AC521">
        <v>3</v>
      </c>
      <c r="AD521">
        <v>3</v>
      </c>
      <c r="AE521">
        <v>1</v>
      </c>
      <c r="AF521">
        <v>1</v>
      </c>
      <c r="AG521">
        <v>0</v>
      </c>
      <c r="AH521">
        <v>1</v>
      </c>
      <c r="AI521">
        <v>0</v>
      </c>
      <c r="AJ521" s="19" t="s">
        <v>1561</v>
      </c>
      <c r="AK521" s="19" t="s">
        <v>1562</v>
      </c>
      <c r="AL521">
        <v>0</v>
      </c>
      <c r="AM521" s="19" t="s">
        <v>1563</v>
      </c>
      <c r="AN521">
        <v>-0.79621272153205125</v>
      </c>
      <c r="AO521">
        <v>126480</v>
      </c>
    </row>
    <row r="522" spans="1:41" x14ac:dyDescent="0.3">
      <c r="A522" s="19" t="s">
        <v>590</v>
      </c>
      <c r="B522">
        <v>33</v>
      </c>
      <c r="C522" s="19" t="s">
        <v>196</v>
      </c>
      <c r="D522" s="19" t="s">
        <v>55</v>
      </c>
      <c r="E522" s="19" t="s">
        <v>62</v>
      </c>
      <c r="F522">
        <v>1141</v>
      </c>
      <c r="G522" s="19" t="s">
        <v>57</v>
      </c>
      <c r="H522">
        <v>1</v>
      </c>
      <c r="I522">
        <v>3</v>
      </c>
      <c r="J522" s="19" t="s">
        <v>50</v>
      </c>
      <c r="K522">
        <v>52</v>
      </c>
      <c r="L522">
        <v>3</v>
      </c>
      <c r="M522" s="19" t="s">
        <v>59</v>
      </c>
      <c r="N522">
        <v>4</v>
      </c>
      <c r="O522">
        <v>2</v>
      </c>
      <c r="P522" s="19" t="s">
        <v>145</v>
      </c>
      <c r="Q522">
        <v>1</v>
      </c>
      <c r="R522" s="19" t="s">
        <v>113</v>
      </c>
      <c r="S522">
        <v>17364</v>
      </c>
      <c r="T522" s="19" t="s">
        <v>54</v>
      </c>
      <c r="U522">
        <v>108.52</v>
      </c>
      <c r="V522">
        <v>2</v>
      </c>
      <c r="W522" s="19" t="s">
        <v>55</v>
      </c>
      <c r="X522">
        <v>19</v>
      </c>
      <c r="Y522">
        <v>3</v>
      </c>
      <c r="Z522">
        <v>1</v>
      </c>
      <c r="AA522">
        <v>2</v>
      </c>
      <c r="AB522">
        <v>10</v>
      </c>
      <c r="AC522">
        <v>3</v>
      </c>
      <c r="AD522">
        <v>3</v>
      </c>
      <c r="AE522">
        <v>5</v>
      </c>
      <c r="AF522">
        <v>3</v>
      </c>
      <c r="AG522">
        <v>1</v>
      </c>
      <c r="AH522">
        <v>3</v>
      </c>
      <c r="AI522">
        <v>0</v>
      </c>
      <c r="AJ522" s="19" t="s">
        <v>1567</v>
      </c>
      <c r="AK522" s="19" t="s">
        <v>1562</v>
      </c>
      <c r="AL522">
        <v>1</v>
      </c>
      <c r="AM522" s="19" t="s">
        <v>1565</v>
      </c>
      <c r="AN522">
        <v>-0.64605139307928738</v>
      </c>
      <c r="AO522">
        <v>208368</v>
      </c>
    </row>
    <row r="523" spans="1:41" x14ac:dyDescent="0.3">
      <c r="A523" s="19" t="s">
        <v>591</v>
      </c>
      <c r="B523">
        <v>33</v>
      </c>
      <c r="C523" s="19" t="s">
        <v>196</v>
      </c>
      <c r="D523" s="19" t="s">
        <v>55</v>
      </c>
      <c r="E523" s="19" t="s">
        <v>62</v>
      </c>
      <c r="F523">
        <v>515</v>
      </c>
      <c r="G523" s="19" t="s">
        <v>49</v>
      </c>
      <c r="H523">
        <v>1</v>
      </c>
      <c r="I523">
        <v>2</v>
      </c>
      <c r="J523" s="19" t="s">
        <v>50</v>
      </c>
      <c r="K523">
        <v>73</v>
      </c>
      <c r="L523">
        <v>1</v>
      </c>
      <c r="M523" s="19" t="s">
        <v>59</v>
      </c>
      <c r="N523">
        <v>3</v>
      </c>
      <c r="O523">
        <v>3</v>
      </c>
      <c r="P523" s="19" t="s">
        <v>257</v>
      </c>
      <c r="Q523">
        <v>4</v>
      </c>
      <c r="R523" s="19" t="s">
        <v>53</v>
      </c>
      <c r="S523">
        <v>5611</v>
      </c>
      <c r="T523" s="19" t="s">
        <v>54</v>
      </c>
      <c r="U523">
        <v>35.07</v>
      </c>
      <c r="V523">
        <v>1</v>
      </c>
      <c r="W523" s="19" t="s">
        <v>47</v>
      </c>
      <c r="X523">
        <v>12</v>
      </c>
      <c r="Y523">
        <v>3</v>
      </c>
      <c r="Z523">
        <v>3</v>
      </c>
      <c r="AA523">
        <v>0</v>
      </c>
      <c r="AB523">
        <v>15</v>
      </c>
      <c r="AC523">
        <v>1</v>
      </c>
      <c r="AD523">
        <v>3</v>
      </c>
      <c r="AE523">
        <v>15</v>
      </c>
      <c r="AF523">
        <v>14</v>
      </c>
      <c r="AG523">
        <v>8</v>
      </c>
      <c r="AH523">
        <v>12</v>
      </c>
      <c r="AI523">
        <v>0</v>
      </c>
      <c r="AJ523" s="19" t="s">
        <v>1571</v>
      </c>
      <c r="AK523" s="19" t="s">
        <v>1570</v>
      </c>
      <c r="AL523">
        <v>2</v>
      </c>
      <c r="AM523" s="19" t="s">
        <v>1564</v>
      </c>
      <c r="AN523">
        <v>-0.88924872799371135</v>
      </c>
      <c r="AO523">
        <v>67332</v>
      </c>
    </row>
    <row r="524" spans="1:41" x14ac:dyDescent="0.3">
      <c r="A524" s="19" t="s">
        <v>592</v>
      </c>
      <c r="B524">
        <v>33</v>
      </c>
      <c r="C524" s="19" t="s">
        <v>196</v>
      </c>
      <c r="D524" s="19" t="s">
        <v>55</v>
      </c>
      <c r="E524" s="19" t="s">
        <v>66</v>
      </c>
      <c r="F524">
        <v>750</v>
      </c>
      <c r="G524" s="19" t="s">
        <v>57</v>
      </c>
      <c r="H524">
        <v>22</v>
      </c>
      <c r="I524">
        <v>2</v>
      </c>
      <c r="J524" s="19" t="s">
        <v>63</v>
      </c>
      <c r="K524">
        <v>160</v>
      </c>
      <c r="L524">
        <v>3</v>
      </c>
      <c r="M524" s="19" t="s">
        <v>51</v>
      </c>
      <c r="N524">
        <v>3</v>
      </c>
      <c r="O524">
        <v>2</v>
      </c>
      <c r="P524" s="19" t="s">
        <v>145</v>
      </c>
      <c r="Q524">
        <v>2</v>
      </c>
      <c r="R524" s="19" t="s">
        <v>113</v>
      </c>
      <c r="S524">
        <v>28663</v>
      </c>
      <c r="T524" s="19" t="s">
        <v>72</v>
      </c>
      <c r="U524">
        <v>179.14</v>
      </c>
      <c r="V524">
        <v>0</v>
      </c>
      <c r="W524" s="19" t="s">
        <v>55</v>
      </c>
      <c r="X524">
        <v>13</v>
      </c>
      <c r="Y524">
        <v>3</v>
      </c>
      <c r="Z524">
        <v>1</v>
      </c>
      <c r="AA524">
        <v>1</v>
      </c>
      <c r="AB524">
        <v>8</v>
      </c>
      <c r="AC524">
        <v>2</v>
      </c>
      <c r="AD524">
        <v>4</v>
      </c>
      <c r="AE524">
        <v>7</v>
      </c>
      <c r="AF524">
        <v>7</v>
      </c>
      <c r="AG524">
        <v>0</v>
      </c>
      <c r="AH524">
        <v>7</v>
      </c>
      <c r="AI524">
        <v>0</v>
      </c>
      <c r="AJ524" s="19" t="s">
        <v>1569</v>
      </c>
      <c r="AK524" s="19" t="s">
        <v>1562</v>
      </c>
      <c r="AL524">
        <v>1</v>
      </c>
      <c r="AM524" s="19" t="s">
        <v>1565</v>
      </c>
      <c r="AN524">
        <v>-0.41573203638744616</v>
      </c>
      <c r="AO524">
        <v>343956</v>
      </c>
    </row>
    <row r="525" spans="1:41" x14ac:dyDescent="0.3">
      <c r="A525" s="19" t="s">
        <v>593</v>
      </c>
      <c r="B525">
        <v>33</v>
      </c>
      <c r="C525" s="19" t="s">
        <v>196</v>
      </c>
      <c r="D525" s="19" t="s">
        <v>55</v>
      </c>
      <c r="E525" s="19" t="s">
        <v>48</v>
      </c>
      <c r="F525">
        <v>134</v>
      </c>
      <c r="G525" s="19" t="s">
        <v>49</v>
      </c>
      <c r="H525">
        <v>2</v>
      </c>
      <c r="I525">
        <v>3</v>
      </c>
      <c r="J525" s="19" t="s">
        <v>50</v>
      </c>
      <c r="K525">
        <v>242</v>
      </c>
      <c r="L525">
        <v>3</v>
      </c>
      <c r="M525" s="19" t="s">
        <v>51</v>
      </c>
      <c r="N525">
        <v>3</v>
      </c>
      <c r="O525">
        <v>1</v>
      </c>
      <c r="P525" s="19" t="s">
        <v>67</v>
      </c>
      <c r="Q525">
        <v>4</v>
      </c>
      <c r="R525" s="19" t="s">
        <v>53</v>
      </c>
      <c r="S525">
        <v>52991</v>
      </c>
      <c r="T525" s="19" t="s">
        <v>64</v>
      </c>
      <c r="U525">
        <v>331.19</v>
      </c>
      <c r="V525">
        <v>0</v>
      </c>
      <c r="W525" s="19" t="s">
        <v>55</v>
      </c>
      <c r="X525">
        <v>14</v>
      </c>
      <c r="Y525">
        <v>3</v>
      </c>
      <c r="Z525">
        <v>1</v>
      </c>
      <c r="AA525">
        <v>0</v>
      </c>
      <c r="AB525">
        <v>4</v>
      </c>
      <c r="AC525">
        <v>2</v>
      </c>
      <c r="AD525">
        <v>4</v>
      </c>
      <c r="AE525">
        <v>3</v>
      </c>
      <c r="AF525">
        <v>1</v>
      </c>
      <c r="AG525">
        <v>0</v>
      </c>
      <c r="AH525">
        <v>2</v>
      </c>
      <c r="AI525">
        <v>0</v>
      </c>
      <c r="AJ525" s="19" t="s">
        <v>1566</v>
      </c>
      <c r="AK525" s="19" t="s">
        <v>1562</v>
      </c>
      <c r="AL525">
        <v>0</v>
      </c>
      <c r="AM525" s="19" t="s">
        <v>1563</v>
      </c>
      <c r="AN525">
        <v>6.2665768151270312E-2</v>
      </c>
      <c r="AO525">
        <v>635892</v>
      </c>
    </row>
    <row r="526" spans="1:41" x14ac:dyDescent="0.3">
      <c r="A526" s="19" t="s">
        <v>594</v>
      </c>
      <c r="B526">
        <v>33</v>
      </c>
      <c r="C526" s="19" t="s">
        <v>196</v>
      </c>
      <c r="D526" s="19" t="s">
        <v>55</v>
      </c>
      <c r="E526" s="19" t="s">
        <v>48</v>
      </c>
      <c r="F526">
        <v>931</v>
      </c>
      <c r="G526" s="19" t="s">
        <v>49</v>
      </c>
      <c r="H526">
        <v>14</v>
      </c>
      <c r="I526">
        <v>3</v>
      </c>
      <c r="J526" s="19" t="s">
        <v>58</v>
      </c>
      <c r="K526">
        <v>252</v>
      </c>
      <c r="L526">
        <v>4</v>
      </c>
      <c r="M526" s="19" t="s">
        <v>59</v>
      </c>
      <c r="N526">
        <v>3</v>
      </c>
      <c r="O526">
        <v>1</v>
      </c>
      <c r="P526" s="19" t="s">
        <v>67</v>
      </c>
      <c r="Q526">
        <v>2</v>
      </c>
      <c r="R526" s="19" t="s">
        <v>113</v>
      </c>
      <c r="S526">
        <v>58679</v>
      </c>
      <c r="T526" s="19" t="s">
        <v>64</v>
      </c>
      <c r="U526">
        <v>366.74</v>
      </c>
      <c r="V526">
        <v>1</v>
      </c>
      <c r="W526" s="19" t="s">
        <v>55</v>
      </c>
      <c r="X526">
        <v>13</v>
      </c>
      <c r="Y526">
        <v>3</v>
      </c>
      <c r="Z526">
        <v>4</v>
      </c>
      <c r="AA526">
        <v>1</v>
      </c>
      <c r="AB526">
        <v>8</v>
      </c>
      <c r="AC526">
        <v>5</v>
      </c>
      <c r="AD526">
        <v>3</v>
      </c>
      <c r="AE526">
        <v>8</v>
      </c>
      <c r="AF526">
        <v>7</v>
      </c>
      <c r="AG526">
        <v>1</v>
      </c>
      <c r="AH526">
        <v>6</v>
      </c>
      <c r="AI526">
        <v>0</v>
      </c>
      <c r="AJ526" s="19" t="s">
        <v>1569</v>
      </c>
      <c r="AK526" s="19" t="s">
        <v>1562</v>
      </c>
      <c r="AL526">
        <v>1</v>
      </c>
      <c r="AM526" s="19" t="s">
        <v>1565</v>
      </c>
      <c r="AN526">
        <v>0.17673123000789551</v>
      </c>
      <c r="AO526">
        <v>704148</v>
      </c>
    </row>
    <row r="527" spans="1:41" x14ac:dyDescent="0.3">
      <c r="A527" s="19" t="s">
        <v>595</v>
      </c>
      <c r="B527">
        <v>33</v>
      </c>
      <c r="C527" s="19" t="s">
        <v>196</v>
      </c>
      <c r="D527" s="19" t="s">
        <v>55</v>
      </c>
      <c r="E527" s="19" t="s">
        <v>48</v>
      </c>
      <c r="F527">
        <v>147</v>
      </c>
      <c r="G527" s="19" t="s">
        <v>49</v>
      </c>
      <c r="H527">
        <v>4</v>
      </c>
      <c r="I527">
        <v>4</v>
      </c>
      <c r="J527" s="19" t="s">
        <v>58</v>
      </c>
      <c r="K527">
        <v>305</v>
      </c>
      <c r="L527">
        <v>3</v>
      </c>
      <c r="M527" s="19" t="s">
        <v>59</v>
      </c>
      <c r="N527">
        <v>2</v>
      </c>
      <c r="O527">
        <v>1</v>
      </c>
      <c r="P527" s="19" t="s">
        <v>67</v>
      </c>
      <c r="Q527">
        <v>2</v>
      </c>
      <c r="R527" s="19" t="s">
        <v>113</v>
      </c>
      <c r="S527">
        <v>31977</v>
      </c>
      <c r="T527" s="19" t="s">
        <v>72</v>
      </c>
      <c r="U527">
        <v>199.86</v>
      </c>
      <c r="V527">
        <v>6</v>
      </c>
      <c r="W527" s="19" t="s">
        <v>55</v>
      </c>
      <c r="X527">
        <v>21</v>
      </c>
      <c r="Y527">
        <v>4</v>
      </c>
      <c r="Z527">
        <v>4</v>
      </c>
      <c r="AA527">
        <v>0</v>
      </c>
      <c r="AB527">
        <v>7</v>
      </c>
      <c r="AC527">
        <v>3</v>
      </c>
      <c r="AD527">
        <v>3</v>
      </c>
      <c r="AE527">
        <v>3</v>
      </c>
      <c r="AF527">
        <v>2</v>
      </c>
      <c r="AG527">
        <v>1</v>
      </c>
      <c r="AH527">
        <v>1</v>
      </c>
      <c r="AI527">
        <v>0</v>
      </c>
      <c r="AJ527" s="19" t="s">
        <v>1566</v>
      </c>
      <c r="AK527" s="19" t="s">
        <v>1562</v>
      </c>
      <c r="AL527">
        <v>1</v>
      </c>
      <c r="AM527" s="19" t="s">
        <v>1565</v>
      </c>
      <c r="AN527">
        <v>-0.3587427437079283</v>
      </c>
      <c r="AO527">
        <v>383724</v>
      </c>
    </row>
    <row r="528" spans="1:41" x14ac:dyDescent="0.3">
      <c r="A528" s="19" t="s">
        <v>596</v>
      </c>
      <c r="B528">
        <v>33</v>
      </c>
      <c r="C528" s="19" t="s">
        <v>196</v>
      </c>
      <c r="D528" s="19" t="s">
        <v>47</v>
      </c>
      <c r="E528" s="19" t="s">
        <v>48</v>
      </c>
      <c r="F528">
        <v>813</v>
      </c>
      <c r="G528" s="19" t="s">
        <v>49</v>
      </c>
      <c r="H528">
        <v>14</v>
      </c>
      <c r="I528">
        <v>3</v>
      </c>
      <c r="J528" s="19" t="s">
        <v>58</v>
      </c>
      <c r="K528">
        <v>325</v>
      </c>
      <c r="L528">
        <v>3</v>
      </c>
      <c r="M528" s="19" t="s">
        <v>51</v>
      </c>
      <c r="N528">
        <v>3</v>
      </c>
      <c r="O528">
        <v>1</v>
      </c>
      <c r="P528" s="19" t="s">
        <v>52</v>
      </c>
      <c r="Q528">
        <v>4</v>
      </c>
      <c r="R528" s="19" t="s">
        <v>113</v>
      </c>
      <c r="S528">
        <v>95704</v>
      </c>
      <c r="T528" s="19" t="s">
        <v>70</v>
      </c>
      <c r="U528">
        <v>598.15</v>
      </c>
      <c r="V528">
        <v>5</v>
      </c>
      <c r="W528" s="19" t="s">
        <v>47</v>
      </c>
      <c r="X528">
        <v>13</v>
      </c>
      <c r="Y528">
        <v>3</v>
      </c>
      <c r="Z528">
        <v>3</v>
      </c>
      <c r="AA528">
        <v>1</v>
      </c>
      <c r="AB528">
        <v>8</v>
      </c>
      <c r="AC528">
        <v>2</v>
      </c>
      <c r="AD528">
        <v>1</v>
      </c>
      <c r="AE528">
        <v>5</v>
      </c>
      <c r="AF528">
        <v>4</v>
      </c>
      <c r="AG528">
        <v>0</v>
      </c>
      <c r="AH528">
        <v>4</v>
      </c>
      <c r="AI528">
        <v>1</v>
      </c>
      <c r="AJ528" s="19" t="s">
        <v>1567</v>
      </c>
      <c r="AK528" s="19" t="s">
        <v>1562</v>
      </c>
      <c r="AL528">
        <v>2</v>
      </c>
      <c r="AM528" s="19" t="s">
        <v>1564</v>
      </c>
      <c r="AN528">
        <v>0.85040395621409515</v>
      </c>
      <c r="AO528">
        <v>1148448</v>
      </c>
    </row>
    <row r="529" spans="1:41" x14ac:dyDescent="0.3">
      <c r="A529" s="19" t="s">
        <v>597</v>
      </c>
      <c r="B529">
        <v>33</v>
      </c>
      <c r="C529" s="19" t="s">
        <v>196</v>
      </c>
      <c r="D529" s="19" t="s">
        <v>47</v>
      </c>
      <c r="E529" s="19" t="s">
        <v>48</v>
      </c>
      <c r="F529">
        <v>465</v>
      </c>
      <c r="G529" s="19" t="s">
        <v>49</v>
      </c>
      <c r="H529">
        <v>2</v>
      </c>
      <c r="I529">
        <v>2</v>
      </c>
      <c r="J529" s="19" t="s">
        <v>50</v>
      </c>
      <c r="K529">
        <v>328</v>
      </c>
      <c r="L529">
        <v>1</v>
      </c>
      <c r="M529" s="19" t="s">
        <v>59</v>
      </c>
      <c r="N529">
        <v>3</v>
      </c>
      <c r="O529">
        <v>1</v>
      </c>
      <c r="P529" s="19" t="s">
        <v>52</v>
      </c>
      <c r="Q529">
        <v>1</v>
      </c>
      <c r="R529" s="19" t="s">
        <v>113</v>
      </c>
      <c r="S529">
        <v>50115</v>
      </c>
      <c r="T529" s="19" t="s">
        <v>64</v>
      </c>
      <c r="U529">
        <v>313.22000000000003</v>
      </c>
      <c r="V529">
        <v>7</v>
      </c>
      <c r="W529" s="19" t="s">
        <v>55</v>
      </c>
      <c r="X529">
        <v>20</v>
      </c>
      <c r="Y529">
        <v>4</v>
      </c>
      <c r="Z529">
        <v>1</v>
      </c>
      <c r="AA529">
        <v>0</v>
      </c>
      <c r="AB529">
        <v>13</v>
      </c>
      <c r="AC529">
        <v>3</v>
      </c>
      <c r="AD529">
        <v>4</v>
      </c>
      <c r="AE529">
        <v>9</v>
      </c>
      <c r="AF529">
        <v>7</v>
      </c>
      <c r="AG529">
        <v>1</v>
      </c>
      <c r="AH529">
        <v>7</v>
      </c>
      <c r="AI529">
        <v>1</v>
      </c>
      <c r="AJ529" s="19" t="s">
        <v>1569</v>
      </c>
      <c r="AK529" s="19" t="s">
        <v>1562</v>
      </c>
      <c r="AL529">
        <v>1</v>
      </c>
      <c r="AM529" s="19" t="s">
        <v>1565</v>
      </c>
      <c r="AN529">
        <v>-3.1043694457186959E-2</v>
      </c>
      <c r="AO529">
        <v>601380</v>
      </c>
    </row>
    <row r="530" spans="1:41" x14ac:dyDescent="0.3">
      <c r="A530" s="19" t="s">
        <v>598</v>
      </c>
      <c r="B530">
        <v>33</v>
      </c>
      <c r="C530" s="19" t="s">
        <v>196</v>
      </c>
      <c r="D530" s="19" t="s">
        <v>55</v>
      </c>
      <c r="E530" s="19" t="s">
        <v>48</v>
      </c>
      <c r="F530">
        <v>832</v>
      </c>
      <c r="G530" s="19" t="s">
        <v>49</v>
      </c>
      <c r="H530">
        <v>5</v>
      </c>
      <c r="I530">
        <v>4</v>
      </c>
      <c r="J530" s="19" t="s">
        <v>50</v>
      </c>
      <c r="K530">
        <v>338</v>
      </c>
      <c r="L530">
        <v>3</v>
      </c>
      <c r="M530" s="19" t="s">
        <v>59</v>
      </c>
      <c r="N530">
        <v>2</v>
      </c>
      <c r="O530">
        <v>1</v>
      </c>
      <c r="P530" s="19" t="s">
        <v>67</v>
      </c>
      <c r="Q530">
        <v>4</v>
      </c>
      <c r="R530" s="19" t="s">
        <v>113</v>
      </c>
      <c r="S530">
        <v>92007</v>
      </c>
      <c r="T530" s="19" t="s">
        <v>70</v>
      </c>
      <c r="U530">
        <v>575.04</v>
      </c>
      <c r="V530">
        <v>1</v>
      </c>
      <c r="W530" s="19" t="s">
        <v>55</v>
      </c>
      <c r="X530">
        <v>13</v>
      </c>
      <c r="Y530">
        <v>3</v>
      </c>
      <c r="Z530">
        <v>3</v>
      </c>
      <c r="AA530">
        <v>1</v>
      </c>
      <c r="AB530">
        <v>2</v>
      </c>
      <c r="AC530">
        <v>2</v>
      </c>
      <c r="AD530">
        <v>2</v>
      </c>
      <c r="AE530">
        <v>2</v>
      </c>
      <c r="AF530">
        <v>2</v>
      </c>
      <c r="AG530">
        <v>0</v>
      </c>
      <c r="AH530">
        <v>2</v>
      </c>
      <c r="AI530">
        <v>0</v>
      </c>
      <c r="AJ530" s="19" t="s">
        <v>1566</v>
      </c>
      <c r="AK530" s="19" t="s">
        <v>1562</v>
      </c>
      <c r="AL530">
        <v>1</v>
      </c>
      <c r="AM530" s="19" t="s">
        <v>1565</v>
      </c>
      <c r="AN530">
        <v>0.84508103886120145</v>
      </c>
      <c r="AO530">
        <v>1104084</v>
      </c>
    </row>
    <row r="531" spans="1:41" x14ac:dyDescent="0.3">
      <c r="A531" s="19" t="s">
        <v>599</v>
      </c>
      <c r="B531">
        <v>33</v>
      </c>
      <c r="C531" s="19" t="s">
        <v>196</v>
      </c>
      <c r="D531" s="19" t="s">
        <v>55</v>
      </c>
      <c r="E531" s="19" t="s">
        <v>62</v>
      </c>
      <c r="F531">
        <v>553</v>
      </c>
      <c r="G531" s="19" t="s">
        <v>49</v>
      </c>
      <c r="H531">
        <v>5</v>
      </c>
      <c r="I531">
        <v>4</v>
      </c>
      <c r="J531" s="19" t="s">
        <v>50</v>
      </c>
      <c r="K531">
        <v>428</v>
      </c>
      <c r="L531">
        <v>4</v>
      </c>
      <c r="M531" s="19" t="s">
        <v>59</v>
      </c>
      <c r="N531">
        <v>3</v>
      </c>
      <c r="O531">
        <v>3</v>
      </c>
      <c r="P531" s="19" t="s">
        <v>444</v>
      </c>
      <c r="Q531">
        <v>2</v>
      </c>
      <c r="R531" s="19" t="s">
        <v>113</v>
      </c>
      <c r="S531">
        <v>89223</v>
      </c>
      <c r="T531" s="19" t="s">
        <v>70</v>
      </c>
      <c r="U531">
        <v>557.64</v>
      </c>
      <c r="V531">
        <v>6</v>
      </c>
      <c r="W531" s="19" t="s">
        <v>55</v>
      </c>
      <c r="X531">
        <v>11</v>
      </c>
      <c r="Y531">
        <v>3</v>
      </c>
      <c r="Z531">
        <v>2</v>
      </c>
      <c r="AA531">
        <v>2</v>
      </c>
      <c r="AB531">
        <v>12</v>
      </c>
      <c r="AC531">
        <v>2</v>
      </c>
      <c r="AD531">
        <v>3</v>
      </c>
      <c r="AE531">
        <v>10</v>
      </c>
      <c r="AF531">
        <v>6</v>
      </c>
      <c r="AG531">
        <v>8</v>
      </c>
      <c r="AH531">
        <v>8</v>
      </c>
      <c r="AI531">
        <v>0</v>
      </c>
      <c r="AJ531" s="19" t="s">
        <v>1569</v>
      </c>
      <c r="AK531" s="19" t="s">
        <v>1570</v>
      </c>
      <c r="AL531">
        <v>2</v>
      </c>
      <c r="AM531" s="19" t="s">
        <v>1564</v>
      </c>
      <c r="AN531">
        <v>0.70930809123876737</v>
      </c>
      <c r="AO531">
        <v>1070676</v>
      </c>
    </row>
    <row r="532" spans="1:41" x14ac:dyDescent="0.3">
      <c r="A532" s="19" t="s">
        <v>600</v>
      </c>
      <c r="B532">
        <v>33</v>
      </c>
      <c r="C532" s="19" t="s">
        <v>196</v>
      </c>
      <c r="D532" s="19" t="s">
        <v>55</v>
      </c>
      <c r="E532" s="19" t="s">
        <v>62</v>
      </c>
      <c r="F532">
        <v>508</v>
      </c>
      <c r="G532" s="19" t="s">
        <v>57</v>
      </c>
      <c r="H532">
        <v>10</v>
      </c>
      <c r="I532">
        <v>3</v>
      </c>
      <c r="J532" s="19" t="s">
        <v>63</v>
      </c>
      <c r="K532">
        <v>446</v>
      </c>
      <c r="L532">
        <v>2</v>
      </c>
      <c r="M532" s="19" t="s">
        <v>51</v>
      </c>
      <c r="N532">
        <v>2</v>
      </c>
      <c r="O532">
        <v>2</v>
      </c>
      <c r="P532" s="19" t="s">
        <v>145</v>
      </c>
      <c r="Q532">
        <v>4</v>
      </c>
      <c r="R532" s="19" t="s">
        <v>53</v>
      </c>
      <c r="S532">
        <v>61890</v>
      </c>
      <c r="T532" s="19" t="s">
        <v>64</v>
      </c>
      <c r="U532">
        <v>386.81</v>
      </c>
      <c r="V532">
        <v>3</v>
      </c>
      <c r="W532" s="19" t="s">
        <v>55</v>
      </c>
      <c r="X532">
        <v>14</v>
      </c>
      <c r="Y532">
        <v>3</v>
      </c>
      <c r="Z532">
        <v>3</v>
      </c>
      <c r="AA532">
        <v>0</v>
      </c>
      <c r="AB532">
        <v>9</v>
      </c>
      <c r="AC532">
        <v>6</v>
      </c>
      <c r="AD532">
        <v>2</v>
      </c>
      <c r="AE532">
        <v>7</v>
      </c>
      <c r="AF532">
        <v>7</v>
      </c>
      <c r="AG532">
        <v>0</v>
      </c>
      <c r="AH532">
        <v>1</v>
      </c>
      <c r="AI532">
        <v>0</v>
      </c>
      <c r="AJ532" s="19" t="s">
        <v>1569</v>
      </c>
      <c r="AK532" s="19" t="s">
        <v>1562</v>
      </c>
      <c r="AL532">
        <v>1</v>
      </c>
      <c r="AM532" s="19" t="s">
        <v>1565</v>
      </c>
      <c r="AN532">
        <v>0.26156872162652056</v>
      </c>
      <c r="AO532">
        <v>742680</v>
      </c>
    </row>
    <row r="533" spans="1:41" x14ac:dyDescent="0.3">
      <c r="A533" s="19" t="s">
        <v>601</v>
      </c>
      <c r="B533">
        <v>33</v>
      </c>
      <c r="C533" s="19" t="s">
        <v>196</v>
      </c>
      <c r="D533" s="19" t="s">
        <v>47</v>
      </c>
      <c r="E533" s="19" t="s">
        <v>48</v>
      </c>
      <c r="F533">
        <v>350</v>
      </c>
      <c r="G533" s="19" t="s">
        <v>57</v>
      </c>
      <c r="H533">
        <v>5</v>
      </c>
      <c r="I533">
        <v>3</v>
      </c>
      <c r="J533" s="19" t="s">
        <v>63</v>
      </c>
      <c r="K533">
        <v>485</v>
      </c>
      <c r="L533">
        <v>4</v>
      </c>
      <c r="M533" s="19" t="s">
        <v>59</v>
      </c>
      <c r="N533">
        <v>3</v>
      </c>
      <c r="O533">
        <v>1</v>
      </c>
      <c r="P533" s="19" t="s">
        <v>60</v>
      </c>
      <c r="Q533">
        <v>3</v>
      </c>
      <c r="R533" s="19" t="s">
        <v>53</v>
      </c>
      <c r="S533">
        <v>67387</v>
      </c>
      <c r="T533" s="19" t="s">
        <v>64</v>
      </c>
      <c r="U533">
        <v>421.17</v>
      </c>
      <c r="V533">
        <v>1</v>
      </c>
      <c r="W533" s="19" t="s">
        <v>47</v>
      </c>
      <c r="X533">
        <v>13</v>
      </c>
      <c r="Y533">
        <v>3</v>
      </c>
      <c r="Z533">
        <v>2</v>
      </c>
      <c r="AA533">
        <v>0</v>
      </c>
      <c r="AB533">
        <v>1</v>
      </c>
      <c r="AC533">
        <v>2</v>
      </c>
      <c r="AD533">
        <v>3</v>
      </c>
      <c r="AE533">
        <v>1</v>
      </c>
      <c r="AF533">
        <v>0</v>
      </c>
      <c r="AG533">
        <v>0</v>
      </c>
      <c r="AH533">
        <v>0</v>
      </c>
      <c r="AI533">
        <v>1</v>
      </c>
      <c r="AJ533" s="19" t="s">
        <v>1561</v>
      </c>
      <c r="AK533" s="19" t="s">
        <v>1562</v>
      </c>
      <c r="AL533">
        <v>1</v>
      </c>
      <c r="AM533" s="19" t="s">
        <v>1565</v>
      </c>
      <c r="AN533">
        <v>0.36613368904326371</v>
      </c>
      <c r="AO533">
        <v>808644</v>
      </c>
    </row>
    <row r="534" spans="1:41" x14ac:dyDescent="0.3">
      <c r="A534" s="19" t="s">
        <v>602</v>
      </c>
      <c r="B534">
        <v>33</v>
      </c>
      <c r="C534" s="19" t="s">
        <v>196</v>
      </c>
      <c r="D534" s="19" t="s">
        <v>47</v>
      </c>
      <c r="E534" s="19" t="s">
        <v>48</v>
      </c>
      <c r="F534">
        <v>1277</v>
      </c>
      <c r="G534" s="19" t="s">
        <v>49</v>
      </c>
      <c r="H534">
        <v>15</v>
      </c>
      <c r="I534">
        <v>1</v>
      </c>
      <c r="J534" s="19" t="s">
        <v>58</v>
      </c>
      <c r="K534">
        <v>582</v>
      </c>
      <c r="L534">
        <v>2</v>
      </c>
      <c r="M534" s="19" t="s">
        <v>51</v>
      </c>
      <c r="N534">
        <v>3</v>
      </c>
      <c r="O534">
        <v>3</v>
      </c>
      <c r="P534" s="19" t="s">
        <v>444</v>
      </c>
      <c r="Q534">
        <v>3</v>
      </c>
      <c r="R534" s="19" t="s">
        <v>113</v>
      </c>
      <c r="S534">
        <v>19071</v>
      </c>
      <c r="T534" s="19" t="s">
        <v>54</v>
      </c>
      <c r="U534">
        <v>119.19</v>
      </c>
      <c r="V534">
        <v>7</v>
      </c>
      <c r="W534" s="19" t="s">
        <v>47</v>
      </c>
      <c r="X534">
        <v>12</v>
      </c>
      <c r="Y534">
        <v>3</v>
      </c>
      <c r="Z534">
        <v>4</v>
      </c>
      <c r="AA534">
        <v>0</v>
      </c>
      <c r="AB534">
        <v>15</v>
      </c>
      <c r="AC534">
        <v>2</v>
      </c>
      <c r="AD534">
        <v>4</v>
      </c>
      <c r="AE534">
        <v>7</v>
      </c>
      <c r="AF534">
        <v>6</v>
      </c>
      <c r="AG534">
        <v>7</v>
      </c>
      <c r="AH534">
        <v>7</v>
      </c>
      <c r="AI534">
        <v>1</v>
      </c>
      <c r="AJ534" s="19" t="s">
        <v>1569</v>
      </c>
      <c r="AK534" s="19" t="s">
        <v>1570</v>
      </c>
      <c r="AL534">
        <v>2</v>
      </c>
      <c r="AM534" s="19" t="s">
        <v>1564</v>
      </c>
      <c r="AN534">
        <v>-0.63464336989325021</v>
      </c>
      <c r="AO534">
        <v>228852</v>
      </c>
    </row>
    <row r="535" spans="1:41" x14ac:dyDescent="0.3">
      <c r="A535" s="19" t="s">
        <v>603</v>
      </c>
      <c r="B535">
        <v>33</v>
      </c>
      <c r="C535" s="19" t="s">
        <v>196</v>
      </c>
      <c r="D535" s="19" t="s">
        <v>47</v>
      </c>
      <c r="E535" s="19" t="s">
        <v>48</v>
      </c>
      <c r="F535">
        <v>587</v>
      </c>
      <c r="G535" s="19" t="s">
        <v>49</v>
      </c>
      <c r="H535">
        <v>10</v>
      </c>
      <c r="I535">
        <v>1</v>
      </c>
      <c r="J535" s="19" t="s">
        <v>58</v>
      </c>
      <c r="K535">
        <v>584</v>
      </c>
      <c r="L535">
        <v>1</v>
      </c>
      <c r="M535" s="19" t="s">
        <v>51</v>
      </c>
      <c r="N535">
        <v>1</v>
      </c>
      <c r="O535">
        <v>1</v>
      </c>
      <c r="P535" s="19" t="s">
        <v>52</v>
      </c>
      <c r="Q535">
        <v>4</v>
      </c>
      <c r="R535" s="19" t="s">
        <v>53</v>
      </c>
      <c r="S535">
        <v>60275</v>
      </c>
      <c r="T535" s="19" t="s">
        <v>64</v>
      </c>
      <c r="U535">
        <v>376.72</v>
      </c>
      <c r="V535">
        <v>7</v>
      </c>
      <c r="W535" s="19" t="s">
        <v>55</v>
      </c>
      <c r="X535">
        <v>13</v>
      </c>
      <c r="Y535">
        <v>3</v>
      </c>
      <c r="Z535">
        <v>1</v>
      </c>
      <c r="AA535">
        <v>3</v>
      </c>
      <c r="AB535">
        <v>8</v>
      </c>
      <c r="AC535">
        <v>2</v>
      </c>
      <c r="AD535">
        <v>3</v>
      </c>
      <c r="AE535">
        <v>4</v>
      </c>
      <c r="AF535">
        <v>3</v>
      </c>
      <c r="AG535">
        <v>1</v>
      </c>
      <c r="AH535">
        <v>3</v>
      </c>
      <c r="AI535">
        <v>1</v>
      </c>
      <c r="AJ535" s="19" t="s">
        <v>1567</v>
      </c>
      <c r="AK535" s="19" t="s">
        <v>1562</v>
      </c>
      <c r="AL535">
        <v>0</v>
      </c>
      <c r="AM535" s="19" t="s">
        <v>1563</v>
      </c>
      <c r="AN535">
        <v>0.16539641457833096</v>
      </c>
      <c r="AO535">
        <v>723300</v>
      </c>
    </row>
    <row r="536" spans="1:41" x14ac:dyDescent="0.3">
      <c r="A536" s="19" t="s">
        <v>604</v>
      </c>
      <c r="B536">
        <v>33</v>
      </c>
      <c r="C536" s="19" t="s">
        <v>196</v>
      </c>
      <c r="D536" s="19" t="s">
        <v>55</v>
      </c>
      <c r="E536" s="19" t="s">
        <v>48</v>
      </c>
      <c r="F536">
        <v>922</v>
      </c>
      <c r="G536" s="19" t="s">
        <v>49</v>
      </c>
      <c r="H536">
        <v>1</v>
      </c>
      <c r="I536">
        <v>5</v>
      </c>
      <c r="J536" s="19" t="s">
        <v>58</v>
      </c>
      <c r="K536">
        <v>612</v>
      </c>
      <c r="L536">
        <v>1</v>
      </c>
      <c r="M536" s="19" t="s">
        <v>59</v>
      </c>
      <c r="N536">
        <v>4</v>
      </c>
      <c r="O536">
        <v>4</v>
      </c>
      <c r="P536" s="19" t="s">
        <v>257</v>
      </c>
      <c r="Q536">
        <v>3</v>
      </c>
      <c r="R536" s="19" t="s">
        <v>53</v>
      </c>
      <c r="S536">
        <v>73369</v>
      </c>
      <c r="T536" s="19" t="s">
        <v>64</v>
      </c>
      <c r="U536">
        <v>458.56</v>
      </c>
      <c r="V536">
        <v>4</v>
      </c>
      <c r="W536" s="19" t="s">
        <v>55</v>
      </c>
      <c r="X536">
        <v>19</v>
      </c>
      <c r="Y536">
        <v>3</v>
      </c>
      <c r="Z536">
        <v>3</v>
      </c>
      <c r="AA536">
        <v>1</v>
      </c>
      <c r="AB536">
        <v>10</v>
      </c>
      <c r="AC536">
        <v>2</v>
      </c>
      <c r="AD536">
        <v>3</v>
      </c>
      <c r="AE536">
        <v>6</v>
      </c>
      <c r="AF536">
        <v>1</v>
      </c>
      <c r="AG536">
        <v>0</v>
      </c>
      <c r="AH536">
        <v>5</v>
      </c>
      <c r="AI536">
        <v>0</v>
      </c>
      <c r="AJ536" s="19" t="s">
        <v>1569</v>
      </c>
      <c r="AK536" s="19" t="s">
        <v>1562</v>
      </c>
      <c r="AL536">
        <v>0</v>
      </c>
      <c r="AM536" s="19" t="s">
        <v>1563</v>
      </c>
      <c r="AN536">
        <v>0.44817502688101746</v>
      </c>
      <c r="AO536">
        <v>880428</v>
      </c>
    </row>
    <row r="537" spans="1:41" x14ac:dyDescent="0.3">
      <c r="A537" s="19" t="s">
        <v>605</v>
      </c>
      <c r="B537">
        <v>33</v>
      </c>
      <c r="C537" s="19" t="s">
        <v>196</v>
      </c>
      <c r="D537" s="19" t="s">
        <v>55</v>
      </c>
      <c r="E537" s="19" t="s">
        <v>48</v>
      </c>
      <c r="F537">
        <v>1216</v>
      </c>
      <c r="G537" s="19" t="s">
        <v>57</v>
      </c>
      <c r="H537">
        <v>8</v>
      </c>
      <c r="I537">
        <v>4</v>
      </c>
      <c r="J537" s="19" t="s">
        <v>63</v>
      </c>
      <c r="K537">
        <v>677</v>
      </c>
      <c r="L537">
        <v>3</v>
      </c>
      <c r="M537" s="19" t="s">
        <v>51</v>
      </c>
      <c r="N537">
        <v>3</v>
      </c>
      <c r="O537">
        <v>2</v>
      </c>
      <c r="P537" s="19" t="s">
        <v>145</v>
      </c>
      <c r="Q537">
        <v>3</v>
      </c>
      <c r="R537" s="19" t="s">
        <v>53</v>
      </c>
      <c r="S537">
        <v>12938</v>
      </c>
      <c r="T537" s="19" t="s">
        <v>54</v>
      </c>
      <c r="U537">
        <v>80.86</v>
      </c>
      <c r="V537">
        <v>0</v>
      </c>
      <c r="W537" s="19" t="s">
        <v>55</v>
      </c>
      <c r="X537">
        <v>12</v>
      </c>
      <c r="Y537">
        <v>3</v>
      </c>
      <c r="Z537">
        <v>4</v>
      </c>
      <c r="AA537">
        <v>0</v>
      </c>
      <c r="AB537">
        <v>6</v>
      </c>
      <c r="AC537">
        <v>3</v>
      </c>
      <c r="AD537">
        <v>3</v>
      </c>
      <c r="AE537">
        <v>5</v>
      </c>
      <c r="AF537">
        <v>0</v>
      </c>
      <c r="AG537">
        <v>1</v>
      </c>
      <c r="AH537">
        <v>2</v>
      </c>
      <c r="AI537">
        <v>0</v>
      </c>
      <c r="AJ537" s="19" t="s">
        <v>1567</v>
      </c>
      <c r="AK537" s="19" t="s">
        <v>1562</v>
      </c>
      <c r="AL537">
        <v>0</v>
      </c>
      <c r="AM537" s="19" t="s">
        <v>1563</v>
      </c>
      <c r="AN537">
        <v>-0.73627118887697651</v>
      </c>
      <c r="AO537">
        <v>155256</v>
      </c>
    </row>
    <row r="538" spans="1:41" x14ac:dyDescent="0.3">
      <c r="A538" s="19" t="s">
        <v>606</v>
      </c>
      <c r="B538">
        <v>33</v>
      </c>
      <c r="C538" s="19" t="s">
        <v>196</v>
      </c>
      <c r="D538" s="19" t="s">
        <v>55</v>
      </c>
      <c r="E538" s="19" t="s">
        <v>62</v>
      </c>
      <c r="F538">
        <v>1296</v>
      </c>
      <c r="G538" s="19" t="s">
        <v>49</v>
      </c>
      <c r="H538">
        <v>6</v>
      </c>
      <c r="I538">
        <v>3</v>
      </c>
      <c r="J538" s="19" t="s">
        <v>50</v>
      </c>
      <c r="K538">
        <v>692</v>
      </c>
      <c r="L538">
        <v>3</v>
      </c>
      <c r="M538" s="19" t="s">
        <v>51</v>
      </c>
      <c r="N538">
        <v>3</v>
      </c>
      <c r="O538">
        <v>2</v>
      </c>
      <c r="P538" s="19" t="s">
        <v>168</v>
      </c>
      <c r="Q538">
        <v>4</v>
      </c>
      <c r="R538" s="19" t="s">
        <v>53</v>
      </c>
      <c r="S538">
        <v>36195</v>
      </c>
      <c r="T538" s="19" t="s">
        <v>72</v>
      </c>
      <c r="U538">
        <v>226.22</v>
      </c>
      <c r="V538">
        <v>3</v>
      </c>
      <c r="W538" s="19" t="s">
        <v>55</v>
      </c>
      <c r="X538">
        <v>23</v>
      </c>
      <c r="Y538">
        <v>4</v>
      </c>
      <c r="Z538">
        <v>3</v>
      </c>
      <c r="AA538">
        <v>1</v>
      </c>
      <c r="AB538">
        <v>15</v>
      </c>
      <c r="AC538">
        <v>2</v>
      </c>
      <c r="AD538">
        <v>1</v>
      </c>
      <c r="AE538">
        <v>13</v>
      </c>
      <c r="AF538">
        <v>11</v>
      </c>
      <c r="AG538">
        <v>4</v>
      </c>
      <c r="AH538">
        <v>7</v>
      </c>
      <c r="AI538">
        <v>0</v>
      </c>
      <c r="AJ538" s="19" t="s">
        <v>1571</v>
      </c>
      <c r="AK538" s="19" t="s">
        <v>1570</v>
      </c>
      <c r="AL538">
        <v>2</v>
      </c>
      <c r="AM538" s="19" t="s">
        <v>1564</v>
      </c>
      <c r="AN538">
        <v>-0.24889720268940244</v>
      </c>
      <c r="AO538">
        <v>434340</v>
      </c>
    </row>
    <row r="539" spans="1:41" x14ac:dyDescent="0.3">
      <c r="A539" s="19" t="s">
        <v>607</v>
      </c>
      <c r="B539">
        <v>33</v>
      </c>
      <c r="C539" s="19" t="s">
        <v>196</v>
      </c>
      <c r="D539" s="19" t="s">
        <v>47</v>
      </c>
      <c r="E539" s="19" t="s">
        <v>62</v>
      </c>
      <c r="F539">
        <v>1076</v>
      </c>
      <c r="G539" s="19" t="s">
        <v>49</v>
      </c>
      <c r="H539">
        <v>3</v>
      </c>
      <c r="I539">
        <v>3</v>
      </c>
      <c r="J539" s="19" t="s">
        <v>50</v>
      </c>
      <c r="K539">
        <v>702</v>
      </c>
      <c r="L539">
        <v>1</v>
      </c>
      <c r="M539" s="19" t="s">
        <v>51</v>
      </c>
      <c r="N539">
        <v>3</v>
      </c>
      <c r="O539">
        <v>1</v>
      </c>
      <c r="P539" s="19" t="s">
        <v>67</v>
      </c>
      <c r="Q539">
        <v>1</v>
      </c>
      <c r="R539" s="19" t="s">
        <v>53</v>
      </c>
      <c r="S539">
        <v>92680</v>
      </c>
      <c r="T539" s="19" t="s">
        <v>70</v>
      </c>
      <c r="U539">
        <v>579.25</v>
      </c>
      <c r="V539">
        <v>1</v>
      </c>
      <c r="W539" s="19" t="s">
        <v>47</v>
      </c>
      <c r="X539">
        <v>11</v>
      </c>
      <c r="Y539">
        <v>3</v>
      </c>
      <c r="Z539">
        <v>1</v>
      </c>
      <c r="AA539">
        <v>0</v>
      </c>
      <c r="AB539">
        <v>10</v>
      </c>
      <c r="AC539">
        <v>3</v>
      </c>
      <c r="AD539">
        <v>3</v>
      </c>
      <c r="AE539">
        <v>10</v>
      </c>
      <c r="AF539">
        <v>8</v>
      </c>
      <c r="AG539">
        <v>9</v>
      </c>
      <c r="AH539">
        <v>7</v>
      </c>
      <c r="AI539">
        <v>1</v>
      </c>
      <c r="AJ539" s="19" t="s">
        <v>1569</v>
      </c>
      <c r="AK539" s="19" t="s">
        <v>1570</v>
      </c>
      <c r="AL539">
        <v>3</v>
      </c>
      <c r="AM539" s="19" t="s">
        <v>1568</v>
      </c>
      <c r="AN539">
        <v>0.8585771808846735</v>
      </c>
      <c r="AO539">
        <v>1112160</v>
      </c>
    </row>
    <row r="540" spans="1:41" x14ac:dyDescent="0.3">
      <c r="A540" s="19" t="s">
        <v>608</v>
      </c>
      <c r="B540">
        <v>33</v>
      </c>
      <c r="C540" s="19" t="s">
        <v>196</v>
      </c>
      <c r="D540" s="19" t="s">
        <v>47</v>
      </c>
      <c r="E540" s="19" t="s">
        <v>48</v>
      </c>
      <c r="F540">
        <v>527</v>
      </c>
      <c r="G540" s="19" t="s">
        <v>49</v>
      </c>
      <c r="H540">
        <v>1</v>
      </c>
      <c r="I540">
        <v>4</v>
      </c>
      <c r="J540" s="19" t="s">
        <v>82</v>
      </c>
      <c r="K540">
        <v>780</v>
      </c>
      <c r="L540">
        <v>4</v>
      </c>
      <c r="M540" s="19" t="s">
        <v>51</v>
      </c>
      <c r="N540">
        <v>3</v>
      </c>
      <c r="O540">
        <v>1</v>
      </c>
      <c r="P540" s="19" t="s">
        <v>67</v>
      </c>
      <c r="Q540">
        <v>4</v>
      </c>
      <c r="R540" s="19" t="s">
        <v>53</v>
      </c>
      <c r="S540">
        <v>5000</v>
      </c>
      <c r="T540" s="19" t="s">
        <v>54</v>
      </c>
      <c r="U540">
        <v>31.25</v>
      </c>
      <c r="V540">
        <v>1</v>
      </c>
      <c r="W540" s="19" t="s">
        <v>47</v>
      </c>
      <c r="X540">
        <v>13</v>
      </c>
      <c r="Y540">
        <v>3</v>
      </c>
      <c r="Z540">
        <v>3</v>
      </c>
      <c r="AA540">
        <v>0</v>
      </c>
      <c r="AB540">
        <v>10</v>
      </c>
      <c r="AC540">
        <v>2</v>
      </c>
      <c r="AD540">
        <v>2</v>
      </c>
      <c r="AE540">
        <v>10</v>
      </c>
      <c r="AF540">
        <v>9</v>
      </c>
      <c r="AG540">
        <v>7</v>
      </c>
      <c r="AH540">
        <v>8</v>
      </c>
      <c r="AI540">
        <v>1</v>
      </c>
      <c r="AJ540" s="19" t="s">
        <v>1569</v>
      </c>
      <c r="AK540" s="19" t="s">
        <v>1570</v>
      </c>
      <c r="AL540">
        <v>3</v>
      </c>
      <c r="AM540" s="19" t="s">
        <v>1568</v>
      </c>
      <c r="AN540">
        <v>-0.89973148570971762</v>
      </c>
      <c r="AO540">
        <v>60000</v>
      </c>
    </row>
    <row r="541" spans="1:41" x14ac:dyDescent="0.3">
      <c r="A541" s="19" t="s">
        <v>609</v>
      </c>
      <c r="B541">
        <v>33</v>
      </c>
      <c r="C541" s="19" t="s">
        <v>196</v>
      </c>
      <c r="D541" s="19" t="s">
        <v>55</v>
      </c>
      <c r="E541" s="19" t="s">
        <v>48</v>
      </c>
      <c r="F541">
        <v>213</v>
      </c>
      <c r="G541" s="19" t="s">
        <v>49</v>
      </c>
      <c r="H541">
        <v>7</v>
      </c>
      <c r="I541">
        <v>3</v>
      </c>
      <c r="J541" s="19" t="s">
        <v>58</v>
      </c>
      <c r="K541">
        <v>817</v>
      </c>
      <c r="L541">
        <v>3</v>
      </c>
      <c r="M541" s="19" t="s">
        <v>51</v>
      </c>
      <c r="N541">
        <v>3</v>
      </c>
      <c r="O541">
        <v>3</v>
      </c>
      <c r="P541" s="19" t="s">
        <v>257</v>
      </c>
      <c r="Q541">
        <v>3</v>
      </c>
      <c r="R541" s="19" t="s">
        <v>113</v>
      </c>
      <c r="S541">
        <v>71588</v>
      </c>
      <c r="T541" s="19" t="s">
        <v>64</v>
      </c>
      <c r="U541">
        <v>447.42</v>
      </c>
      <c r="V541">
        <v>0</v>
      </c>
      <c r="W541" s="19" t="s">
        <v>55</v>
      </c>
      <c r="X541">
        <v>11</v>
      </c>
      <c r="Y541">
        <v>3</v>
      </c>
      <c r="Z541">
        <v>4</v>
      </c>
      <c r="AA541">
        <v>0</v>
      </c>
      <c r="AB541">
        <v>14</v>
      </c>
      <c r="AC541">
        <v>3</v>
      </c>
      <c r="AD541">
        <v>4</v>
      </c>
      <c r="AE541">
        <v>13</v>
      </c>
      <c r="AF541">
        <v>9</v>
      </c>
      <c r="AG541">
        <v>3</v>
      </c>
      <c r="AH541">
        <v>7</v>
      </c>
      <c r="AI541">
        <v>0</v>
      </c>
      <c r="AJ541" s="19" t="s">
        <v>1571</v>
      </c>
      <c r="AK541" s="19" t="s">
        <v>1570</v>
      </c>
      <c r="AL541">
        <v>1</v>
      </c>
      <c r="AM541" s="19" t="s">
        <v>1565</v>
      </c>
      <c r="AN541">
        <v>0.41302121910286743</v>
      </c>
      <c r="AO541">
        <v>859056</v>
      </c>
    </row>
    <row r="542" spans="1:41" x14ac:dyDescent="0.3">
      <c r="A542" s="19" t="s">
        <v>610</v>
      </c>
      <c r="B542">
        <v>33</v>
      </c>
      <c r="C542" s="19" t="s">
        <v>196</v>
      </c>
      <c r="D542" s="19" t="s">
        <v>47</v>
      </c>
      <c r="E542" s="19" t="s">
        <v>48</v>
      </c>
      <c r="F542">
        <v>118</v>
      </c>
      <c r="G542" s="19" t="s">
        <v>57</v>
      </c>
      <c r="H542">
        <v>16</v>
      </c>
      <c r="I542">
        <v>3</v>
      </c>
      <c r="J542" s="19" t="s">
        <v>63</v>
      </c>
      <c r="K542">
        <v>819</v>
      </c>
      <c r="L542">
        <v>1</v>
      </c>
      <c r="M542" s="19" t="s">
        <v>59</v>
      </c>
      <c r="N542">
        <v>3</v>
      </c>
      <c r="O542">
        <v>2</v>
      </c>
      <c r="P542" s="19" t="s">
        <v>145</v>
      </c>
      <c r="Q542">
        <v>1</v>
      </c>
      <c r="R542" s="19" t="s">
        <v>53</v>
      </c>
      <c r="S542">
        <v>94610</v>
      </c>
      <c r="T542" s="19" t="s">
        <v>70</v>
      </c>
      <c r="U542">
        <v>591.30999999999995</v>
      </c>
      <c r="V542">
        <v>5</v>
      </c>
      <c r="W542" s="19" t="s">
        <v>55</v>
      </c>
      <c r="X542">
        <v>15</v>
      </c>
      <c r="Y542">
        <v>3</v>
      </c>
      <c r="Z542">
        <v>3</v>
      </c>
      <c r="AA542">
        <v>0</v>
      </c>
      <c r="AB542">
        <v>6</v>
      </c>
      <c r="AC542">
        <v>3</v>
      </c>
      <c r="AD542">
        <v>3</v>
      </c>
      <c r="AE542">
        <v>3</v>
      </c>
      <c r="AF542">
        <v>2</v>
      </c>
      <c r="AG542">
        <v>0</v>
      </c>
      <c r="AH542">
        <v>2</v>
      </c>
      <c r="AI542">
        <v>1</v>
      </c>
      <c r="AJ542" s="19" t="s">
        <v>1566</v>
      </c>
      <c r="AK542" s="19" t="s">
        <v>1562</v>
      </c>
      <c r="AL542">
        <v>1</v>
      </c>
      <c r="AM542" s="19" t="s">
        <v>1565</v>
      </c>
      <c r="AN542">
        <v>0.92853476737898055</v>
      </c>
      <c r="AO542">
        <v>1135320</v>
      </c>
    </row>
    <row r="543" spans="1:41" x14ac:dyDescent="0.3">
      <c r="A543" s="19" t="s">
        <v>611</v>
      </c>
      <c r="B543">
        <v>33</v>
      </c>
      <c r="C543" s="19" t="s">
        <v>196</v>
      </c>
      <c r="D543" s="19" t="s">
        <v>55</v>
      </c>
      <c r="E543" s="19" t="s">
        <v>48</v>
      </c>
      <c r="F543">
        <v>586</v>
      </c>
      <c r="G543" s="19" t="s">
        <v>57</v>
      </c>
      <c r="H543">
        <v>1</v>
      </c>
      <c r="I543">
        <v>3</v>
      </c>
      <c r="J543" s="19" t="s">
        <v>58</v>
      </c>
      <c r="K543">
        <v>855</v>
      </c>
      <c r="L543">
        <v>1</v>
      </c>
      <c r="M543" s="19" t="s">
        <v>51</v>
      </c>
      <c r="N543">
        <v>4</v>
      </c>
      <c r="O543">
        <v>2</v>
      </c>
      <c r="P543" s="19" t="s">
        <v>145</v>
      </c>
      <c r="Q543">
        <v>1</v>
      </c>
      <c r="R543" s="19" t="s">
        <v>53</v>
      </c>
      <c r="S543">
        <v>98856</v>
      </c>
      <c r="T543" s="19" t="s">
        <v>70</v>
      </c>
      <c r="U543">
        <v>617.85</v>
      </c>
      <c r="V543">
        <v>1</v>
      </c>
      <c r="W543" s="19" t="s">
        <v>55</v>
      </c>
      <c r="X543">
        <v>22</v>
      </c>
      <c r="Y543">
        <v>4</v>
      </c>
      <c r="Z543">
        <v>1</v>
      </c>
      <c r="AA543">
        <v>1</v>
      </c>
      <c r="AB543">
        <v>9</v>
      </c>
      <c r="AC543">
        <v>5</v>
      </c>
      <c r="AD543">
        <v>3</v>
      </c>
      <c r="AE543">
        <v>9</v>
      </c>
      <c r="AF543">
        <v>8</v>
      </c>
      <c r="AG543">
        <v>0</v>
      </c>
      <c r="AH543">
        <v>8</v>
      </c>
      <c r="AI543">
        <v>0</v>
      </c>
      <c r="AJ543" s="19" t="s">
        <v>1569</v>
      </c>
      <c r="AK543" s="19" t="s">
        <v>1562</v>
      </c>
      <c r="AL543">
        <v>1</v>
      </c>
      <c r="AM543" s="19" t="s">
        <v>1565</v>
      </c>
      <c r="AN543">
        <v>1.0150854345631171</v>
      </c>
      <c r="AO543">
        <v>1186272</v>
      </c>
    </row>
    <row r="544" spans="1:41" x14ac:dyDescent="0.3">
      <c r="A544" s="19" t="s">
        <v>612</v>
      </c>
      <c r="B544">
        <v>33</v>
      </c>
      <c r="C544" s="19" t="s">
        <v>196</v>
      </c>
      <c r="D544" s="19" t="s">
        <v>55</v>
      </c>
      <c r="E544" s="19" t="s">
        <v>48</v>
      </c>
      <c r="F544">
        <v>1075</v>
      </c>
      <c r="G544" s="19" t="s">
        <v>406</v>
      </c>
      <c r="H544">
        <v>3</v>
      </c>
      <c r="I544">
        <v>2</v>
      </c>
      <c r="J544" s="19" t="s">
        <v>80</v>
      </c>
      <c r="K544">
        <v>910</v>
      </c>
      <c r="L544">
        <v>4</v>
      </c>
      <c r="M544" s="19" t="s">
        <v>51</v>
      </c>
      <c r="N544">
        <v>3</v>
      </c>
      <c r="O544">
        <v>1</v>
      </c>
      <c r="P544" s="19" t="s">
        <v>80</v>
      </c>
      <c r="Q544">
        <v>2</v>
      </c>
      <c r="R544" s="19" t="s">
        <v>53</v>
      </c>
      <c r="S544">
        <v>39304</v>
      </c>
      <c r="T544" s="19" t="s">
        <v>72</v>
      </c>
      <c r="U544">
        <v>245.65</v>
      </c>
      <c r="V544">
        <v>3</v>
      </c>
      <c r="W544" s="19" t="s">
        <v>47</v>
      </c>
      <c r="X544">
        <v>11</v>
      </c>
      <c r="Y544">
        <v>3</v>
      </c>
      <c r="Z544">
        <v>3</v>
      </c>
      <c r="AA544">
        <v>1</v>
      </c>
      <c r="AB544">
        <v>7</v>
      </c>
      <c r="AC544">
        <v>4</v>
      </c>
      <c r="AD544">
        <v>4</v>
      </c>
      <c r="AE544">
        <v>4</v>
      </c>
      <c r="AF544">
        <v>3</v>
      </c>
      <c r="AG544">
        <v>0</v>
      </c>
      <c r="AH544">
        <v>3</v>
      </c>
      <c r="AI544">
        <v>0</v>
      </c>
      <c r="AJ544" s="19" t="s">
        <v>1567</v>
      </c>
      <c r="AK544" s="19" t="s">
        <v>1562</v>
      </c>
      <c r="AL544">
        <v>2</v>
      </c>
      <c r="AM544" s="19" t="s">
        <v>1564</v>
      </c>
      <c r="AN544">
        <v>-0.22544595992708502</v>
      </c>
      <c r="AO544">
        <v>471648</v>
      </c>
    </row>
    <row r="545" spans="1:41" x14ac:dyDescent="0.3">
      <c r="A545" s="19" t="s">
        <v>613</v>
      </c>
      <c r="B545">
        <v>33</v>
      </c>
      <c r="C545" s="19" t="s">
        <v>196</v>
      </c>
      <c r="D545" s="19" t="s">
        <v>55</v>
      </c>
      <c r="E545" s="19" t="s">
        <v>48</v>
      </c>
      <c r="F545">
        <v>1198</v>
      </c>
      <c r="G545" s="19" t="s">
        <v>49</v>
      </c>
      <c r="H545">
        <v>1</v>
      </c>
      <c r="I545">
        <v>4</v>
      </c>
      <c r="J545" s="19" t="s">
        <v>82</v>
      </c>
      <c r="K545">
        <v>939</v>
      </c>
      <c r="L545">
        <v>3</v>
      </c>
      <c r="M545" s="19" t="s">
        <v>51</v>
      </c>
      <c r="N545">
        <v>2</v>
      </c>
      <c r="O545">
        <v>1</v>
      </c>
      <c r="P545" s="19" t="s">
        <v>67</v>
      </c>
      <c r="Q545">
        <v>1</v>
      </c>
      <c r="R545" s="19" t="s">
        <v>53</v>
      </c>
      <c r="S545">
        <v>70449</v>
      </c>
      <c r="T545" s="19" t="s">
        <v>64</v>
      </c>
      <c r="U545">
        <v>440.31</v>
      </c>
      <c r="V545">
        <v>3</v>
      </c>
      <c r="W545" s="19" t="s">
        <v>47</v>
      </c>
      <c r="X545">
        <v>11</v>
      </c>
      <c r="Y545">
        <v>3</v>
      </c>
      <c r="Z545">
        <v>2</v>
      </c>
      <c r="AA545">
        <v>0</v>
      </c>
      <c r="AB545">
        <v>6</v>
      </c>
      <c r="AC545">
        <v>1</v>
      </c>
      <c r="AD545">
        <v>3</v>
      </c>
      <c r="AE545">
        <v>3</v>
      </c>
      <c r="AF545">
        <v>2</v>
      </c>
      <c r="AG545">
        <v>0</v>
      </c>
      <c r="AH545">
        <v>2</v>
      </c>
      <c r="AI545">
        <v>0</v>
      </c>
      <c r="AJ545" s="19" t="s">
        <v>1566</v>
      </c>
      <c r="AK545" s="19" t="s">
        <v>1562</v>
      </c>
      <c r="AL545">
        <v>2</v>
      </c>
      <c r="AM545" s="19" t="s">
        <v>1564</v>
      </c>
      <c r="AN545">
        <v>0.41276331264722016</v>
      </c>
      <c r="AO545">
        <v>845388</v>
      </c>
    </row>
    <row r="546" spans="1:41" x14ac:dyDescent="0.3">
      <c r="A546" s="19" t="s">
        <v>614</v>
      </c>
      <c r="B546">
        <v>33</v>
      </c>
      <c r="C546" s="19" t="s">
        <v>196</v>
      </c>
      <c r="D546" s="19" t="s">
        <v>55</v>
      </c>
      <c r="E546" s="19" t="s">
        <v>48</v>
      </c>
      <c r="F546">
        <v>1069</v>
      </c>
      <c r="G546" s="19" t="s">
        <v>49</v>
      </c>
      <c r="H546">
        <v>1</v>
      </c>
      <c r="I546">
        <v>3</v>
      </c>
      <c r="J546" s="19" t="s">
        <v>50</v>
      </c>
      <c r="K546">
        <v>969</v>
      </c>
      <c r="L546">
        <v>2</v>
      </c>
      <c r="M546" s="19" t="s">
        <v>59</v>
      </c>
      <c r="N546">
        <v>2</v>
      </c>
      <c r="O546">
        <v>2</v>
      </c>
      <c r="P546" s="19" t="s">
        <v>168</v>
      </c>
      <c r="Q546">
        <v>4</v>
      </c>
      <c r="R546" s="19" t="s">
        <v>53</v>
      </c>
      <c r="S546">
        <v>83986</v>
      </c>
      <c r="T546" s="19" t="s">
        <v>70</v>
      </c>
      <c r="U546">
        <v>524.91</v>
      </c>
      <c r="V546">
        <v>0</v>
      </c>
      <c r="W546" s="19" t="s">
        <v>55</v>
      </c>
      <c r="X546">
        <v>14</v>
      </c>
      <c r="Y546">
        <v>3</v>
      </c>
      <c r="Z546">
        <v>1</v>
      </c>
      <c r="AA546">
        <v>0</v>
      </c>
      <c r="AB546">
        <v>6</v>
      </c>
      <c r="AC546">
        <v>3</v>
      </c>
      <c r="AD546">
        <v>3</v>
      </c>
      <c r="AE546">
        <v>5</v>
      </c>
      <c r="AF546">
        <v>0</v>
      </c>
      <c r="AG546">
        <v>1</v>
      </c>
      <c r="AH546">
        <v>4</v>
      </c>
      <c r="AI546">
        <v>0</v>
      </c>
      <c r="AJ546" s="19" t="s">
        <v>1567</v>
      </c>
      <c r="AK546" s="19" t="s">
        <v>1562</v>
      </c>
      <c r="AL546">
        <v>0</v>
      </c>
      <c r="AM546" s="19" t="s">
        <v>1563</v>
      </c>
      <c r="AN546">
        <v>0.74284071100781457</v>
      </c>
      <c r="AO546">
        <v>1007832</v>
      </c>
    </row>
    <row r="547" spans="1:41" x14ac:dyDescent="0.3">
      <c r="A547" s="19" t="s">
        <v>615</v>
      </c>
      <c r="B547">
        <v>33</v>
      </c>
      <c r="C547" s="19" t="s">
        <v>196</v>
      </c>
      <c r="D547" s="19" t="s">
        <v>55</v>
      </c>
      <c r="E547" s="19" t="s">
        <v>66</v>
      </c>
      <c r="F547">
        <v>722</v>
      </c>
      <c r="G547" s="19" t="s">
        <v>57</v>
      </c>
      <c r="H547">
        <v>17</v>
      </c>
      <c r="I547">
        <v>3</v>
      </c>
      <c r="J547" s="19" t="s">
        <v>50</v>
      </c>
      <c r="K547">
        <v>992</v>
      </c>
      <c r="L547">
        <v>4</v>
      </c>
      <c r="M547" s="19" t="s">
        <v>51</v>
      </c>
      <c r="N547">
        <v>3</v>
      </c>
      <c r="O547">
        <v>4</v>
      </c>
      <c r="P547" s="19" t="s">
        <v>444</v>
      </c>
      <c r="Q547">
        <v>3</v>
      </c>
      <c r="R547" s="19" t="s">
        <v>53</v>
      </c>
      <c r="S547">
        <v>90643</v>
      </c>
      <c r="T547" s="19" t="s">
        <v>70</v>
      </c>
      <c r="U547">
        <v>566.52</v>
      </c>
      <c r="V547">
        <v>1</v>
      </c>
      <c r="W547" s="19" t="s">
        <v>55</v>
      </c>
      <c r="X547">
        <v>11</v>
      </c>
      <c r="Y547">
        <v>3</v>
      </c>
      <c r="Z547">
        <v>4</v>
      </c>
      <c r="AA547">
        <v>0</v>
      </c>
      <c r="AB547">
        <v>10</v>
      </c>
      <c r="AC547">
        <v>2</v>
      </c>
      <c r="AD547">
        <v>3</v>
      </c>
      <c r="AE547">
        <v>10</v>
      </c>
      <c r="AF547">
        <v>8</v>
      </c>
      <c r="AG547">
        <v>6</v>
      </c>
      <c r="AH547">
        <v>0</v>
      </c>
      <c r="AI547">
        <v>0</v>
      </c>
      <c r="AJ547" s="19" t="s">
        <v>1569</v>
      </c>
      <c r="AK547" s="19" t="s">
        <v>1570</v>
      </c>
      <c r="AL547">
        <v>1</v>
      </c>
      <c r="AM547" s="19" t="s">
        <v>1565</v>
      </c>
      <c r="AN547">
        <v>0.73651203517204744</v>
      </c>
      <c r="AO547">
        <v>1087716</v>
      </c>
    </row>
    <row r="548" spans="1:41" x14ac:dyDescent="0.3">
      <c r="A548" s="19" t="s">
        <v>616</v>
      </c>
      <c r="B548">
        <v>33</v>
      </c>
      <c r="C548" s="19" t="s">
        <v>196</v>
      </c>
      <c r="D548" s="19" t="s">
        <v>55</v>
      </c>
      <c r="E548" s="19" t="s">
        <v>48</v>
      </c>
      <c r="F548">
        <v>461</v>
      </c>
      <c r="G548" s="19" t="s">
        <v>49</v>
      </c>
      <c r="H548">
        <v>13</v>
      </c>
      <c r="I548">
        <v>1</v>
      </c>
      <c r="J548" s="19" t="s">
        <v>50</v>
      </c>
      <c r="K548">
        <v>995</v>
      </c>
      <c r="L548">
        <v>2</v>
      </c>
      <c r="M548" s="19" t="s">
        <v>59</v>
      </c>
      <c r="N548">
        <v>3</v>
      </c>
      <c r="O548">
        <v>1</v>
      </c>
      <c r="P548" s="19" t="s">
        <v>67</v>
      </c>
      <c r="Q548">
        <v>4</v>
      </c>
      <c r="R548" s="19" t="s">
        <v>53</v>
      </c>
      <c r="S548">
        <v>21764</v>
      </c>
      <c r="T548" s="19" t="s">
        <v>54</v>
      </c>
      <c r="U548">
        <v>136.02000000000001</v>
      </c>
      <c r="V548">
        <v>3</v>
      </c>
      <c r="W548" s="19" t="s">
        <v>55</v>
      </c>
      <c r="X548">
        <v>18</v>
      </c>
      <c r="Y548">
        <v>3</v>
      </c>
      <c r="Z548">
        <v>1</v>
      </c>
      <c r="AA548">
        <v>0</v>
      </c>
      <c r="AB548">
        <v>5</v>
      </c>
      <c r="AC548">
        <v>4</v>
      </c>
      <c r="AD548">
        <v>3</v>
      </c>
      <c r="AE548">
        <v>3</v>
      </c>
      <c r="AF548">
        <v>2</v>
      </c>
      <c r="AG548">
        <v>0</v>
      </c>
      <c r="AH548">
        <v>2</v>
      </c>
      <c r="AI548">
        <v>0</v>
      </c>
      <c r="AJ548" s="19" t="s">
        <v>1566</v>
      </c>
      <c r="AK548" s="19" t="s">
        <v>1562</v>
      </c>
      <c r="AL548">
        <v>0</v>
      </c>
      <c r="AM548" s="19" t="s">
        <v>1563</v>
      </c>
      <c r="AN548">
        <v>-0.56355121099725902</v>
      </c>
      <c r="AO548">
        <v>261168</v>
      </c>
    </row>
    <row r="549" spans="1:41" x14ac:dyDescent="0.3">
      <c r="A549" s="19" t="s">
        <v>617</v>
      </c>
      <c r="B549">
        <v>33</v>
      </c>
      <c r="C549" s="19" t="s">
        <v>196</v>
      </c>
      <c r="D549" s="19" t="s">
        <v>55</v>
      </c>
      <c r="E549" s="19" t="s">
        <v>62</v>
      </c>
      <c r="F549">
        <v>827</v>
      </c>
      <c r="G549" s="19" t="s">
        <v>49</v>
      </c>
      <c r="H549">
        <v>1</v>
      </c>
      <c r="I549">
        <v>4</v>
      </c>
      <c r="J549" s="19" t="s">
        <v>82</v>
      </c>
      <c r="K549">
        <v>998</v>
      </c>
      <c r="L549">
        <v>3</v>
      </c>
      <c r="M549" s="19" t="s">
        <v>59</v>
      </c>
      <c r="N549">
        <v>4</v>
      </c>
      <c r="O549">
        <v>2</v>
      </c>
      <c r="P549" s="19" t="s">
        <v>168</v>
      </c>
      <c r="Q549">
        <v>2</v>
      </c>
      <c r="R549" s="19" t="s">
        <v>113</v>
      </c>
      <c r="S549">
        <v>87027</v>
      </c>
      <c r="T549" s="19" t="s">
        <v>70</v>
      </c>
      <c r="U549">
        <v>543.91999999999996</v>
      </c>
      <c r="V549">
        <v>1</v>
      </c>
      <c r="W549" s="19" t="s">
        <v>47</v>
      </c>
      <c r="X549">
        <v>13</v>
      </c>
      <c r="Y549">
        <v>3</v>
      </c>
      <c r="Z549">
        <v>1</v>
      </c>
      <c r="AA549">
        <v>1</v>
      </c>
      <c r="AB549">
        <v>6</v>
      </c>
      <c r="AC549">
        <v>2</v>
      </c>
      <c r="AD549">
        <v>3</v>
      </c>
      <c r="AE549">
        <v>6</v>
      </c>
      <c r="AF549">
        <v>5</v>
      </c>
      <c r="AG549">
        <v>1</v>
      </c>
      <c r="AH549">
        <v>2</v>
      </c>
      <c r="AI549">
        <v>0</v>
      </c>
      <c r="AJ549" s="19" t="s">
        <v>1569</v>
      </c>
      <c r="AK549" s="19" t="s">
        <v>1562</v>
      </c>
      <c r="AL549">
        <v>2</v>
      </c>
      <c r="AM549" s="19" t="s">
        <v>1564</v>
      </c>
      <c r="AN549">
        <v>0.8059462119505284</v>
      </c>
      <c r="AO549">
        <v>1044324</v>
      </c>
    </row>
    <row r="550" spans="1:41" x14ac:dyDescent="0.3">
      <c r="A550" s="19" t="s">
        <v>618</v>
      </c>
      <c r="B550">
        <v>33</v>
      </c>
      <c r="C550" s="19" t="s">
        <v>196</v>
      </c>
      <c r="D550" s="19" t="s">
        <v>55</v>
      </c>
      <c r="E550" s="19" t="s">
        <v>66</v>
      </c>
      <c r="F550">
        <v>1038</v>
      </c>
      <c r="G550" s="19" t="s">
        <v>57</v>
      </c>
      <c r="H550">
        <v>8</v>
      </c>
      <c r="I550">
        <v>1</v>
      </c>
      <c r="J550" s="19" t="s">
        <v>50</v>
      </c>
      <c r="K550">
        <v>1044</v>
      </c>
      <c r="L550">
        <v>2</v>
      </c>
      <c r="M550" s="19" t="s">
        <v>59</v>
      </c>
      <c r="N550">
        <v>2</v>
      </c>
      <c r="O550">
        <v>1</v>
      </c>
      <c r="P550" s="19" t="s">
        <v>60</v>
      </c>
      <c r="Q550">
        <v>4</v>
      </c>
      <c r="R550" s="19" t="s">
        <v>53</v>
      </c>
      <c r="S550">
        <v>39494</v>
      </c>
      <c r="T550" s="19" t="s">
        <v>72</v>
      </c>
      <c r="U550">
        <v>246.84</v>
      </c>
      <c r="V550">
        <v>0</v>
      </c>
      <c r="W550" s="19" t="s">
        <v>55</v>
      </c>
      <c r="X550">
        <v>19</v>
      </c>
      <c r="Y550">
        <v>3</v>
      </c>
      <c r="Z550">
        <v>4</v>
      </c>
      <c r="AA550">
        <v>0</v>
      </c>
      <c r="AB550">
        <v>3</v>
      </c>
      <c r="AC550">
        <v>2</v>
      </c>
      <c r="AD550">
        <v>2</v>
      </c>
      <c r="AE550">
        <v>2</v>
      </c>
      <c r="AF550">
        <v>2</v>
      </c>
      <c r="AG550">
        <v>2</v>
      </c>
      <c r="AH550">
        <v>2</v>
      </c>
      <c r="AI550">
        <v>0</v>
      </c>
      <c r="AJ550" s="19" t="s">
        <v>1566</v>
      </c>
      <c r="AK550" s="19" t="s">
        <v>1562</v>
      </c>
      <c r="AL550">
        <v>1</v>
      </c>
      <c r="AM550" s="19" t="s">
        <v>1565</v>
      </c>
      <c r="AN550">
        <v>-0.19933987393600164</v>
      </c>
      <c r="AO550">
        <v>473928</v>
      </c>
    </row>
    <row r="551" spans="1:41" x14ac:dyDescent="0.3">
      <c r="A551" s="19" t="s">
        <v>619</v>
      </c>
      <c r="B551">
        <v>33</v>
      </c>
      <c r="C551" s="19" t="s">
        <v>196</v>
      </c>
      <c r="D551" s="19" t="s">
        <v>55</v>
      </c>
      <c r="E551" s="19" t="s">
        <v>48</v>
      </c>
      <c r="F551">
        <v>654</v>
      </c>
      <c r="G551" s="19" t="s">
        <v>49</v>
      </c>
      <c r="H551">
        <v>5</v>
      </c>
      <c r="I551">
        <v>3</v>
      </c>
      <c r="J551" s="19" t="s">
        <v>50</v>
      </c>
      <c r="K551">
        <v>1099</v>
      </c>
      <c r="L551">
        <v>4</v>
      </c>
      <c r="M551" s="19" t="s">
        <v>51</v>
      </c>
      <c r="N551">
        <v>2</v>
      </c>
      <c r="O551">
        <v>3</v>
      </c>
      <c r="P551" s="19" t="s">
        <v>168</v>
      </c>
      <c r="Q551">
        <v>4</v>
      </c>
      <c r="R551" s="19" t="s">
        <v>53</v>
      </c>
      <c r="S551">
        <v>4373</v>
      </c>
      <c r="T551" s="19" t="s">
        <v>54</v>
      </c>
      <c r="U551">
        <v>27.33</v>
      </c>
      <c r="V551">
        <v>4</v>
      </c>
      <c r="W551" s="19" t="s">
        <v>55</v>
      </c>
      <c r="X551">
        <v>15</v>
      </c>
      <c r="Y551">
        <v>3</v>
      </c>
      <c r="Z551">
        <v>3</v>
      </c>
      <c r="AA551">
        <v>1</v>
      </c>
      <c r="AB551">
        <v>9</v>
      </c>
      <c r="AC551">
        <v>2</v>
      </c>
      <c r="AD551">
        <v>3</v>
      </c>
      <c r="AE551">
        <v>3</v>
      </c>
      <c r="AF551">
        <v>2</v>
      </c>
      <c r="AG551">
        <v>1</v>
      </c>
      <c r="AH551">
        <v>2</v>
      </c>
      <c r="AI551">
        <v>0</v>
      </c>
      <c r="AJ551" s="19" t="s">
        <v>1566</v>
      </c>
      <c r="AK551" s="19" t="s">
        <v>1562</v>
      </c>
      <c r="AL551">
        <v>0</v>
      </c>
      <c r="AM551" s="19" t="s">
        <v>1563</v>
      </c>
      <c r="AN551">
        <v>-0.90925341807876103</v>
      </c>
      <c r="AO551">
        <v>52476</v>
      </c>
    </row>
    <row r="552" spans="1:41" x14ac:dyDescent="0.3">
      <c r="A552" s="19" t="s">
        <v>620</v>
      </c>
      <c r="B552">
        <v>33</v>
      </c>
      <c r="C552" s="19" t="s">
        <v>196</v>
      </c>
      <c r="D552" s="19" t="s">
        <v>47</v>
      </c>
      <c r="E552" s="19" t="s">
        <v>62</v>
      </c>
      <c r="F552">
        <v>827</v>
      </c>
      <c r="G552" s="19" t="s">
        <v>49</v>
      </c>
      <c r="H552">
        <v>29</v>
      </c>
      <c r="I552">
        <v>4</v>
      </c>
      <c r="J552" s="19" t="s">
        <v>58</v>
      </c>
      <c r="K552">
        <v>1101</v>
      </c>
      <c r="L552">
        <v>1</v>
      </c>
      <c r="M552" s="19" t="s">
        <v>59</v>
      </c>
      <c r="N552">
        <v>2</v>
      </c>
      <c r="O552">
        <v>2</v>
      </c>
      <c r="P552" s="19" t="s">
        <v>67</v>
      </c>
      <c r="Q552">
        <v>3</v>
      </c>
      <c r="R552" s="19" t="s">
        <v>53</v>
      </c>
      <c r="S552">
        <v>13161</v>
      </c>
      <c r="T552" s="19" t="s">
        <v>54</v>
      </c>
      <c r="U552">
        <v>82.26</v>
      </c>
      <c r="V552">
        <v>1</v>
      </c>
      <c r="W552" s="19" t="s">
        <v>55</v>
      </c>
      <c r="X552">
        <v>22</v>
      </c>
      <c r="Y552">
        <v>4</v>
      </c>
      <c r="Z552">
        <v>2</v>
      </c>
      <c r="AA552">
        <v>0</v>
      </c>
      <c r="AB552">
        <v>14</v>
      </c>
      <c r="AC552">
        <v>4</v>
      </c>
      <c r="AD552">
        <v>3</v>
      </c>
      <c r="AE552">
        <v>13</v>
      </c>
      <c r="AF552">
        <v>7</v>
      </c>
      <c r="AG552">
        <v>3</v>
      </c>
      <c r="AH552">
        <v>8</v>
      </c>
      <c r="AI552">
        <v>1</v>
      </c>
      <c r="AJ552" s="19" t="s">
        <v>1571</v>
      </c>
      <c r="AK552" s="19" t="s">
        <v>1570</v>
      </c>
      <c r="AL552">
        <v>1</v>
      </c>
      <c r="AM552" s="19" t="s">
        <v>1565</v>
      </c>
      <c r="AN552">
        <v>-0.73607321668511883</v>
      </c>
      <c r="AO552">
        <v>157932</v>
      </c>
    </row>
    <row r="553" spans="1:41" x14ac:dyDescent="0.3">
      <c r="A553" s="19" t="s">
        <v>621</v>
      </c>
      <c r="B553">
        <v>33</v>
      </c>
      <c r="C553" s="19" t="s">
        <v>196</v>
      </c>
      <c r="D553" s="19" t="s">
        <v>47</v>
      </c>
      <c r="E553" s="19" t="s">
        <v>48</v>
      </c>
      <c r="F553">
        <v>1017</v>
      </c>
      <c r="G553" s="19" t="s">
        <v>49</v>
      </c>
      <c r="H553">
        <v>25</v>
      </c>
      <c r="I553">
        <v>3</v>
      </c>
      <c r="J553" s="19" t="s">
        <v>58</v>
      </c>
      <c r="K553">
        <v>1108</v>
      </c>
      <c r="L553">
        <v>1</v>
      </c>
      <c r="M553" s="19" t="s">
        <v>51</v>
      </c>
      <c r="N553">
        <v>2</v>
      </c>
      <c r="O553">
        <v>1</v>
      </c>
      <c r="P553" s="19" t="s">
        <v>67</v>
      </c>
      <c r="Q553">
        <v>2</v>
      </c>
      <c r="R553" s="19" t="s">
        <v>53</v>
      </c>
      <c r="S553">
        <v>98532</v>
      </c>
      <c r="T553" s="19" t="s">
        <v>70</v>
      </c>
      <c r="U553">
        <v>615.83000000000004</v>
      </c>
      <c r="V553">
        <v>4</v>
      </c>
      <c r="W553" s="19" t="s">
        <v>47</v>
      </c>
      <c r="X553">
        <v>20</v>
      </c>
      <c r="Y553">
        <v>4</v>
      </c>
      <c r="Z553">
        <v>2</v>
      </c>
      <c r="AA553">
        <v>0</v>
      </c>
      <c r="AB553">
        <v>5</v>
      </c>
      <c r="AC553">
        <v>0</v>
      </c>
      <c r="AD553">
        <v>3</v>
      </c>
      <c r="AE553">
        <v>2</v>
      </c>
      <c r="AF553">
        <v>2</v>
      </c>
      <c r="AG553">
        <v>2</v>
      </c>
      <c r="AH553">
        <v>2</v>
      </c>
      <c r="AI553">
        <v>1</v>
      </c>
      <c r="AJ553" s="19" t="s">
        <v>1566</v>
      </c>
      <c r="AK553" s="19" t="s">
        <v>1562</v>
      </c>
      <c r="AL553">
        <v>2</v>
      </c>
      <c r="AM553" s="19" t="s">
        <v>1564</v>
      </c>
      <c r="AN553">
        <v>0.97593145001001991</v>
      </c>
      <c r="AO553">
        <v>1182384</v>
      </c>
    </row>
    <row r="554" spans="1:41" x14ac:dyDescent="0.3">
      <c r="A554" s="19" t="s">
        <v>622</v>
      </c>
      <c r="B554">
        <v>33</v>
      </c>
      <c r="C554" s="19" t="s">
        <v>196</v>
      </c>
      <c r="D554" s="19" t="s">
        <v>55</v>
      </c>
      <c r="E554" s="19" t="s">
        <v>62</v>
      </c>
      <c r="F554">
        <v>970</v>
      </c>
      <c r="G554" s="19" t="s">
        <v>57</v>
      </c>
      <c r="H554">
        <v>7</v>
      </c>
      <c r="I554">
        <v>3</v>
      </c>
      <c r="J554" s="19" t="s">
        <v>50</v>
      </c>
      <c r="K554">
        <v>1114</v>
      </c>
      <c r="L554">
        <v>4</v>
      </c>
      <c r="M554" s="19" t="s">
        <v>59</v>
      </c>
      <c r="N554">
        <v>3</v>
      </c>
      <c r="O554">
        <v>2</v>
      </c>
      <c r="P554" s="19" t="s">
        <v>145</v>
      </c>
      <c r="Q554">
        <v>2</v>
      </c>
      <c r="R554" s="19" t="s">
        <v>113</v>
      </c>
      <c r="S554">
        <v>93658</v>
      </c>
      <c r="T554" s="19" t="s">
        <v>70</v>
      </c>
      <c r="U554">
        <v>585.36</v>
      </c>
      <c r="V554">
        <v>0</v>
      </c>
      <c r="W554" s="19" t="s">
        <v>55</v>
      </c>
      <c r="X554">
        <v>17</v>
      </c>
      <c r="Y554">
        <v>3</v>
      </c>
      <c r="Z554">
        <v>3</v>
      </c>
      <c r="AA554">
        <v>1</v>
      </c>
      <c r="AB554">
        <v>4</v>
      </c>
      <c r="AC554">
        <v>3</v>
      </c>
      <c r="AD554">
        <v>3</v>
      </c>
      <c r="AE554">
        <v>3</v>
      </c>
      <c r="AF554">
        <v>2</v>
      </c>
      <c r="AG554">
        <v>0</v>
      </c>
      <c r="AH554">
        <v>2</v>
      </c>
      <c r="AI554">
        <v>0</v>
      </c>
      <c r="AJ554" s="19" t="s">
        <v>1566</v>
      </c>
      <c r="AK554" s="19" t="s">
        <v>1562</v>
      </c>
      <c r="AL554">
        <v>1</v>
      </c>
      <c r="AM554" s="19" t="s">
        <v>1565</v>
      </c>
      <c r="AN554">
        <v>0.90912915382285764</v>
      </c>
      <c r="AO554">
        <v>1123896</v>
      </c>
    </row>
    <row r="555" spans="1:41" x14ac:dyDescent="0.3">
      <c r="A555" s="19" t="s">
        <v>623</v>
      </c>
      <c r="B555">
        <v>33</v>
      </c>
      <c r="C555" s="19" t="s">
        <v>196</v>
      </c>
      <c r="D555" s="19" t="s">
        <v>47</v>
      </c>
      <c r="E555" s="19" t="s">
        <v>48</v>
      </c>
      <c r="F555">
        <v>603</v>
      </c>
      <c r="G555" s="19" t="s">
        <v>57</v>
      </c>
      <c r="H555">
        <v>9</v>
      </c>
      <c r="I555">
        <v>4</v>
      </c>
      <c r="J555" s="19" t="s">
        <v>63</v>
      </c>
      <c r="K555">
        <v>1157</v>
      </c>
      <c r="L555">
        <v>1</v>
      </c>
      <c r="M555" s="19" t="s">
        <v>59</v>
      </c>
      <c r="N555">
        <v>3</v>
      </c>
      <c r="O555">
        <v>2</v>
      </c>
      <c r="P555" s="19" t="s">
        <v>145</v>
      </c>
      <c r="Q555">
        <v>1</v>
      </c>
      <c r="R555" s="19" t="s">
        <v>53</v>
      </c>
      <c r="S555">
        <v>28350</v>
      </c>
      <c r="T555" s="19" t="s">
        <v>72</v>
      </c>
      <c r="U555">
        <v>177.19</v>
      </c>
      <c r="V555">
        <v>0</v>
      </c>
      <c r="W555" s="19" t="s">
        <v>47</v>
      </c>
      <c r="X555">
        <v>17</v>
      </c>
      <c r="Y555">
        <v>3</v>
      </c>
      <c r="Z555">
        <v>1</v>
      </c>
      <c r="AA555">
        <v>0</v>
      </c>
      <c r="AB555">
        <v>6</v>
      </c>
      <c r="AC555">
        <v>3</v>
      </c>
      <c r="AD555">
        <v>3</v>
      </c>
      <c r="AE555">
        <v>5</v>
      </c>
      <c r="AF555">
        <v>2</v>
      </c>
      <c r="AG555">
        <v>0</v>
      </c>
      <c r="AH555">
        <v>3</v>
      </c>
      <c r="AI555">
        <v>1</v>
      </c>
      <c r="AJ555" s="19" t="s">
        <v>1567</v>
      </c>
      <c r="AK555" s="19" t="s">
        <v>1562</v>
      </c>
      <c r="AL555">
        <v>2</v>
      </c>
      <c r="AM555" s="19" t="s">
        <v>1564</v>
      </c>
      <c r="AN555">
        <v>-0.42211224336545716</v>
      </c>
      <c r="AO555">
        <v>340200</v>
      </c>
    </row>
    <row r="556" spans="1:41" x14ac:dyDescent="0.3">
      <c r="A556" s="19" t="s">
        <v>624</v>
      </c>
      <c r="B556">
        <v>33</v>
      </c>
      <c r="C556" s="19" t="s">
        <v>196</v>
      </c>
      <c r="D556" s="19" t="s">
        <v>55</v>
      </c>
      <c r="E556" s="19" t="s">
        <v>48</v>
      </c>
      <c r="F556">
        <v>147</v>
      </c>
      <c r="G556" s="19" t="s">
        <v>406</v>
      </c>
      <c r="H556">
        <v>2</v>
      </c>
      <c r="I556">
        <v>3</v>
      </c>
      <c r="J556" s="19" t="s">
        <v>80</v>
      </c>
      <c r="K556">
        <v>1207</v>
      </c>
      <c r="L556">
        <v>2</v>
      </c>
      <c r="M556" s="19" t="s">
        <v>51</v>
      </c>
      <c r="N556">
        <v>3</v>
      </c>
      <c r="O556">
        <v>1</v>
      </c>
      <c r="P556" s="19" t="s">
        <v>80</v>
      </c>
      <c r="Q556">
        <v>3</v>
      </c>
      <c r="R556" s="19" t="s">
        <v>113</v>
      </c>
      <c r="S556">
        <v>94008</v>
      </c>
      <c r="T556" s="19" t="s">
        <v>70</v>
      </c>
      <c r="U556">
        <v>587.54999999999995</v>
      </c>
      <c r="V556">
        <v>1</v>
      </c>
      <c r="W556" s="19" t="s">
        <v>55</v>
      </c>
      <c r="X556">
        <v>13</v>
      </c>
      <c r="Y556">
        <v>3</v>
      </c>
      <c r="Z556">
        <v>4</v>
      </c>
      <c r="AA556">
        <v>1</v>
      </c>
      <c r="AB556">
        <v>5</v>
      </c>
      <c r="AC556">
        <v>2</v>
      </c>
      <c r="AD556">
        <v>3</v>
      </c>
      <c r="AE556">
        <v>5</v>
      </c>
      <c r="AF556">
        <v>4</v>
      </c>
      <c r="AG556">
        <v>1</v>
      </c>
      <c r="AH556">
        <v>4</v>
      </c>
      <c r="AI556">
        <v>0</v>
      </c>
      <c r="AJ556" s="19" t="s">
        <v>1567</v>
      </c>
      <c r="AK556" s="19" t="s">
        <v>1562</v>
      </c>
      <c r="AL556">
        <v>0</v>
      </c>
      <c r="AM556" s="19" t="s">
        <v>1563</v>
      </c>
      <c r="AN556">
        <v>0.85259200588170647</v>
      </c>
      <c r="AO556">
        <v>1128096</v>
      </c>
    </row>
    <row r="557" spans="1:41" x14ac:dyDescent="0.3">
      <c r="A557" s="19" t="s">
        <v>625</v>
      </c>
      <c r="B557">
        <v>33</v>
      </c>
      <c r="C557" s="19" t="s">
        <v>196</v>
      </c>
      <c r="D557" s="19" t="s">
        <v>55</v>
      </c>
      <c r="E557" s="19" t="s">
        <v>62</v>
      </c>
      <c r="F557">
        <v>1146</v>
      </c>
      <c r="G557" s="19" t="s">
        <v>57</v>
      </c>
      <c r="H557">
        <v>25</v>
      </c>
      <c r="I557">
        <v>3</v>
      </c>
      <c r="J557" s="19" t="s">
        <v>58</v>
      </c>
      <c r="K557">
        <v>1220</v>
      </c>
      <c r="L557">
        <v>2</v>
      </c>
      <c r="M557" s="19" t="s">
        <v>59</v>
      </c>
      <c r="N557">
        <v>3</v>
      </c>
      <c r="O557">
        <v>2</v>
      </c>
      <c r="P557" s="19" t="s">
        <v>145</v>
      </c>
      <c r="Q557">
        <v>3</v>
      </c>
      <c r="R557" s="19" t="s">
        <v>113</v>
      </c>
      <c r="S557">
        <v>95297</v>
      </c>
      <c r="T557" s="19" t="s">
        <v>70</v>
      </c>
      <c r="U557">
        <v>595.61</v>
      </c>
      <c r="V557">
        <v>1</v>
      </c>
      <c r="W557" s="19" t="s">
        <v>55</v>
      </c>
      <c r="X557">
        <v>12</v>
      </c>
      <c r="Y557">
        <v>3</v>
      </c>
      <c r="Z557">
        <v>1</v>
      </c>
      <c r="AA557">
        <v>1</v>
      </c>
      <c r="AB557">
        <v>10</v>
      </c>
      <c r="AC557">
        <v>3</v>
      </c>
      <c r="AD557">
        <v>2</v>
      </c>
      <c r="AE557">
        <v>10</v>
      </c>
      <c r="AF557">
        <v>7</v>
      </c>
      <c r="AG557">
        <v>0</v>
      </c>
      <c r="AH557">
        <v>1</v>
      </c>
      <c r="AI557">
        <v>0</v>
      </c>
      <c r="AJ557" s="19" t="s">
        <v>1569</v>
      </c>
      <c r="AK557" s="19" t="s">
        <v>1562</v>
      </c>
      <c r="AL557">
        <v>1</v>
      </c>
      <c r="AM557" s="19" t="s">
        <v>1565</v>
      </c>
      <c r="AN557">
        <v>0.9425386082540399</v>
      </c>
      <c r="AO557">
        <v>1143564</v>
      </c>
    </row>
    <row r="558" spans="1:41" x14ac:dyDescent="0.3">
      <c r="A558" s="19" t="s">
        <v>626</v>
      </c>
      <c r="B558">
        <v>33</v>
      </c>
      <c r="C558" s="19" t="s">
        <v>196</v>
      </c>
      <c r="D558" s="19" t="s">
        <v>55</v>
      </c>
      <c r="E558" s="19" t="s">
        <v>48</v>
      </c>
      <c r="F558">
        <v>117</v>
      </c>
      <c r="G558" s="19" t="s">
        <v>49</v>
      </c>
      <c r="H558">
        <v>9</v>
      </c>
      <c r="I558">
        <v>3</v>
      </c>
      <c r="J558" s="19" t="s">
        <v>58</v>
      </c>
      <c r="K558">
        <v>1238</v>
      </c>
      <c r="L558">
        <v>1</v>
      </c>
      <c r="M558" s="19" t="s">
        <v>51</v>
      </c>
      <c r="N558">
        <v>3</v>
      </c>
      <c r="O558">
        <v>1</v>
      </c>
      <c r="P558" s="19" t="s">
        <v>67</v>
      </c>
      <c r="Q558">
        <v>4</v>
      </c>
      <c r="R558" s="19" t="s">
        <v>113</v>
      </c>
      <c r="S558">
        <v>26351</v>
      </c>
      <c r="T558" s="19" t="s">
        <v>72</v>
      </c>
      <c r="U558">
        <v>164.69</v>
      </c>
      <c r="V558">
        <v>0</v>
      </c>
      <c r="W558" s="19" t="s">
        <v>55</v>
      </c>
      <c r="X558">
        <v>13</v>
      </c>
      <c r="Y558">
        <v>3</v>
      </c>
      <c r="Z558">
        <v>2</v>
      </c>
      <c r="AA558">
        <v>1</v>
      </c>
      <c r="AB558">
        <v>15</v>
      </c>
      <c r="AC558">
        <v>5</v>
      </c>
      <c r="AD558">
        <v>3</v>
      </c>
      <c r="AE558">
        <v>14</v>
      </c>
      <c r="AF558">
        <v>10</v>
      </c>
      <c r="AG558">
        <v>4</v>
      </c>
      <c r="AH558">
        <v>10</v>
      </c>
      <c r="AI558">
        <v>0</v>
      </c>
      <c r="AJ558" s="19" t="s">
        <v>1571</v>
      </c>
      <c r="AK558" s="19" t="s">
        <v>1570</v>
      </c>
      <c r="AL558">
        <v>1</v>
      </c>
      <c r="AM558" s="19" t="s">
        <v>1565</v>
      </c>
      <c r="AN558">
        <v>-0.47156487598735403</v>
      </c>
      <c r="AO558">
        <v>316212</v>
      </c>
    </row>
    <row r="559" spans="1:41" x14ac:dyDescent="0.3">
      <c r="A559" s="19" t="s">
        <v>627</v>
      </c>
      <c r="B559">
        <v>33</v>
      </c>
      <c r="C559" s="19" t="s">
        <v>196</v>
      </c>
      <c r="D559" s="19" t="s">
        <v>55</v>
      </c>
      <c r="E559" s="19" t="s">
        <v>48</v>
      </c>
      <c r="F559">
        <v>536</v>
      </c>
      <c r="G559" s="19" t="s">
        <v>57</v>
      </c>
      <c r="H559">
        <v>10</v>
      </c>
      <c r="I559">
        <v>5</v>
      </c>
      <c r="J559" s="19" t="s">
        <v>63</v>
      </c>
      <c r="K559">
        <v>1268</v>
      </c>
      <c r="L559">
        <v>4</v>
      </c>
      <c r="M559" s="19" t="s">
        <v>51</v>
      </c>
      <c r="N559">
        <v>4</v>
      </c>
      <c r="O559">
        <v>3</v>
      </c>
      <c r="P559" s="19" t="s">
        <v>145</v>
      </c>
      <c r="Q559">
        <v>3</v>
      </c>
      <c r="R559" s="19" t="s">
        <v>53</v>
      </c>
      <c r="S559">
        <v>89668</v>
      </c>
      <c r="T559" s="19" t="s">
        <v>70</v>
      </c>
      <c r="U559">
        <v>560.41999999999996</v>
      </c>
      <c r="V559">
        <v>0</v>
      </c>
      <c r="W559" s="19" t="s">
        <v>47</v>
      </c>
      <c r="X559">
        <v>14</v>
      </c>
      <c r="Y559">
        <v>3</v>
      </c>
      <c r="Z559">
        <v>4</v>
      </c>
      <c r="AA559">
        <v>2</v>
      </c>
      <c r="AB559">
        <v>10</v>
      </c>
      <c r="AC559">
        <v>3</v>
      </c>
      <c r="AD559">
        <v>3</v>
      </c>
      <c r="AE559">
        <v>9</v>
      </c>
      <c r="AF559">
        <v>8</v>
      </c>
      <c r="AG559">
        <v>0</v>
      </c>
      <c r="AH559">
        <v>8</v>
      </c>
      <c r="AI559">
        <v>0</v>
      </c>
      <c r="AJ559" s="19" t="s">
        <v>1569</v>
      </c>
      <c r="AK559" s="19" t="s">
        <v>1562</v>
      </c>
      <c r="AL559">
        <v>1</v>
      </c>
      <c r="AM559" s="19" t="s">
        <v>1565</v>
      </c>
      <c r="AN559">
        <v>0.82779680288910718</v>
      </c>
      <c r="AO559">
        <v>1076016</v>
      </c>
    </row>
    <row r="560" spans="1:41" x14ac:dyDescent="0.3">
      <c r="A560" s="19" t="s">
        <v>628</v>
      </c>
      <c r="B560">
        <v>33</v>
      </c>
      <c r="C560" s="19" t="s">
        <v>196</v>
      </c>
      <c r="D560" s="19" t="s">
        <v>55</v>
      </c>
      <c r="E560" s="19" t="s">
        <v>62</v>
      </c>
      <c r="F560">
        <v>1111</v>
      </c>
      <c r="G560" s="19" t="s">
        <v>57</v>
      </c>
      <c r="H560">
        <v>5</v>
      </c>
      <c r="I560">
        <v>1</v>
      </c>
      <c r="J560" s="19" t="s">
        <v>50</v>
      </c>
      <c r="K560">
        <v>1395</v>
      </c>
      <c r="L560">
        <v>2</v>
      </c>
      <c r="M560" s="19" t="s">
        <v>51</v>
      </c>
      <c r="N560">
        <v>3</v>
      </c>
      <c r="O560">
        <v>2</v>
      </c>
      <c r="P560" s="19" t="s">
        <v>145</v>
      </c>
      <c r="Q560">
        <v>4</v>
      </c>
      <c r="R560" s="19" t="s">
        <v>113</v>
      </c>
      <c r="S560">
        <v>16305</v>
      </c>
      <c r="T560" s="19" t="s">
        <v>54</v>
      </c>
      <c r="U560">
        <v>101.91</v>
      </c>
      <c r="V560">
        <v>6</v>
      </c>
      <c r="W560" s="19" t="s">
        <v>55</v>
      </c>
      <c r="X560">
        <v>13</v>
      </c>
      <c r="Y560">
        <v>3</v>
      </c>
      <c r="Z560">
        <v>1</v>
      </c>
      <c r="AA560">
        <v>0</v>
      </c>
      <c r="AB560">
        <v>8</v>
      </c>
      <c r="AC560">
        <v>2</v>
      </c>
      <c r="AD560">
        <v>4</v>
      </c>
      <c r="AE560">
        <v>5</v>
      </c>
      <c r="AF560">
        <v>4</v>
      </c>
      <c r="AG560">
        <v>1</v>
      </c>
      <c r="AH560">
        <v>2</v>
      </c>
      <c r="AI560">
        <v>0</v>
      </c>
      <c r="AJ560" s="19" t="s">
        <v>1567</v>
      </c>
      <c r="AK560" s="19" t="s">
        <v>1562</v>
      </c>
      <c r="AL560">
        <v>0</v>
      </c>
      <c r="AM560" s="19" t="s">
        <v>1563</v>
      </c>
      <c r="AN560">
        <v>-0.66763809975568889</v>
      </c>
      <c r="AO560">
        <v>195660</v>
      </c>
    </row>
    <row r="561" spans="1:41" x14ac:dyDescent="0.3">
      <c r="A561" s="19" t="s">
        <v>629</v>
      </c>
      <c r="B561">
        <v>33</v>
      </c>
      <c r="C561" s="19" t="s">
        <v>196</v>
      </c>
      <c r="D561" s="19" t="s">
        <v>55</v>
      </c>
      <c r="E561" s="19" t="s">
        <v>62</v>
      </c>
      <c r="F561">
        <v>430</v>
      </c>
      <c r="G561" s="19" t="s">
        <v>57</v>
      </c>
      <c r="H561">
        <v>7</v>
      </c>
      <c r="I561">
        <v>3</v>
      </c>
      <c r="J561" s="19" t="s">
        <v>58</v>
      </c>
      <c r="K561">
        <v>1477</v>
      </c>
      <c r="L561">
        <v>4</v>
      </c>
      <c r="M561" s="19" t="s">
        <v>51</v>
      </c>
      <c r="N561">
        <v>3</v>
      </c>
      <c r="O561">
        <v>2</v>
      </c>
      <c r="P561" s="19" t="s">
        <v>145</v>
      </c>
      <c r="Q561">
        <v>1</v>
      </c>
      <c r="R561" s="19" t="s">
        <v>113</v>
      </c>
      <c r="S561">
        <v>76353</v>
      </c>
      <c r="T561" s="19" t="s">
        <v>64</v>
      </c>
      <c r="U561">
        <v>477.21</v>
      </c>
      <c r="V561">
        <v>0</v>
      </c>
      <c r="W561" s="19" t="s">
        <v>55</v>
      </c>
      <c r="X561">
        <v>14</v>
      </c>
      <c r="Y561">
        <v>3</v>
      </c>
      <c r="Z561">
        <v>1</v>
      </c>
      <c r="AA561">
        <v>2</v>
      </c>
      <c r="AB561">
        <v>5</v>
      </c>
      <c r="AC561">
        <v>2</v>
      </c>
      <c r="AD561">
        <v>3</v>
      </c>
      <c r="AE561">
        <v>4</v>
      </c>
      <c r="AF561">
        <v>3</v>
      </c>
      <c r="AG561">
        <v>0</v>
      </c>
      <c r="AH561">
        <v>3</v>
      </c>
      <c r="AI561">
        <v>0</v>
      </c>
      <c r="AJ561" s="19" t="s">
        <v>1567</v>
      </c>
      <c r="AK561" s="19" t="s">
        <v>1562</v>
      </c>
      <c r="AL561">
        <v>1</v>
      </c>
      <c r="AM561" s="19" t="s">
        <v>1565</v>
      </c>
      <c r="AN561">
        <v>0.55638320572547617</v>
      </c>
      <c r="AO561">
        <v>916236</v>
      </c>
    </row>
    <row r="562" spans="1:41" x14ac:dyDescent="0.3">
      <c r="A562" s="19" t="s">
        <v>630</v>
      </c>
      <c r="B562">
        <v>33</v>
      </c>
      <c r="C562" s="19" t="s">
        <v>196</v>
      </c>
      <c r="D562" s="19" t="s">
        <v>55</v>
      </c>
      <c r="E562" s="19" t="s">
        <v>48</v>
      </c>
      <c r="F562">
        <v>1099</v>
      </c>
      <c r="G562" s="19" t="s">
        <v>49</v>
      </c>
      <c r="H562">
        <v>4</v>
      </c>
      <c r="I562">
        <v>4</v>
      </c>
      <c r="J562" s="19" t="s">
        <v>58</v>
      </c>
      <c r="K562">
        <v>1502</v>
      </c>
      <c r="L562">
        <v>1</v>
      </c>
      <c r="M562" s="19" t="s">
        <v>59</v>
      </c>
      <c r="N562">
        <v>2</v>
      </c>
      <c r="O562">
        <v>1</v>
      </c>
      <c r="P562" s="19" t="s">
        <v>52</v>
      </c>
      <c r="Q562">
        <v>2</v>
      </c>
      <c r="R562" s="19" t="s">
        <v>113</v>
      </c>
      <c r="S562">
        <v>77797</v>
      </c>
      <c r="T562" s="19" t="s">
        <v>64</v>
      </c>
      <c r="U562">
        <v>486.23</v>
      </c>
      <c r="V562">
        <v>8</v>
      </c>
      <c r="W562" s="19" t="s">
        <v>55</v>
      </c>
      <c r="X562">
        <v>11</v>
      </c>
      <c r="Y562">
        <v>3</v>
      </c>
      <c r="Z562">
        <v>4</v>
      </c>
      <c r="AA562">
        <v>0</v>
      </c>
      <c r="AB562">
        <v>8</v>
      </c>
      <c r="AC562">
        <v>5</v>
      </c>
      <c r="AD562">
        <v>3</v>
      </c>
      <c r="AE562">
        <v>5</v>
      </c>
      <c r="AF562">
        <v>4</v>
      </c>
      <c r="AG562">
        <v>0</v>
      </c>
      <c r="AH562">
        <v>2</v>
      </c>
      <c r="AI562">
        <v>0</v>
      </c>
      <c r="AJ562" s="19" t="s">
        <v>1567</v>
      </c>
      <c r="AK562" s="19" t="s">
        <v>1562</v>
      </c>
      <c r="AL562">
        <v>1</v>
      </c>
      <c r="AM562" s="19" t="s">
        <v>1565</v>
      </c>
      <c r="AN562">
        <v>0.50417826403899479</v>
      </c>
      <c r="AO562">
        <v>933564</v>
      </c>
    </row>
    <row r="563" spans="1:41" x14ac:dyDescent="0.3">
      <c r="A563" s="19" t="s">
        <v>631</v>
      </c>
      <c r="B563">
        <v>33</v>
      </c>
      <c r="C563" s="19" t="s">
        <v>196</v>
      </c>
      <c r="D563" s="19" t="s">
        <v>55</v>
      </c>
      <c r="E563" s="19" t="s">
        <v>48</v>
      </c>
      <c r="F563">
        <v>516</v>
      </c>
      <c r="G563" s="19" t="s">
        <v>49</v>
      </c>
      <c r="H563">
        <v>8</v>
      </c>
      <c r="I563">
        <v>5</v>
      </c>
      <c r="J563" s="19" t="s">
        <v>50</v>
      </c>
      <c r="K563">
        <v>1515</v>
      </c>
      <c r="L563">
        <v>4</v>
      </c>
      <c r="M563" s="19" t="s">
        <v>51</v>
      </c>
      <c r="N563">
        <v>3</v>
      </c>
      <c r="O563">
        <v>2</v>
      </c>
      <c r="P563" s="19" t="s">
        <v>168</v>
      </c>
      <c r="Q563">
        <v>3</v>
      </c>
      <c r="R563" s="19" t="s">
        <v>53</v>
      </c>
      <c r="S563">
        <v>66953</v>
      </c>
      <c r="T563" s="19" t="s">
        <v>64</v>
      </c>
      <c r="U563">
        <v>418.46</v>
      </c>
      <c r="V563">
        <v>2</v>
      </c>
      <c r="W563" s="19" t="s">
        <v>47</v>
      </c>
      <c r="X563">
        <v>17</v>
      </c>
      <c r="Y563">
        <v>3</v>
      </c>
      <c r="Z563">
        <v>1</v>
      </c>
      <c r="AA563">
        <v>0</v>
      </c>
      <c r="AB563">
        <v>14</v>
      </c>
      <c r="AC563">
        <v>6</v>
      </c>
      <c r="AD563">
        <v>3</v>
      </c>
      <c r="AE563">
        <v>0</v>
      </c>
      <c r="AF563">
        <v>0</v>
      </c>
      <c r="AG563">
        <v>0</v>
      </c>
      <c r="AH563">
        <v>0</v>
      </c>
      <c r="AI563">
        <v>0</v>
      </c>
      <c r="AJ563" s="19" t="s">
        <v>1561</v>
      </c>
      <c r="AK563" s="19" t="s">
        <v>1562</v>
      </c>
      <c r="AL563">
        <v>1</v>
      </c>
      <c r="AM563" s="19" t="s">
        <v>1565</v>
      </c>
      <c r="AN563">
        <v>0.38937935041680999</v>
      </c>
      <c r="AO563">
        <v>803436</v>
      </c>
    </row>
    <row r="564" spans="1:41" x14ac:dyDescent="0.3">
      <c r="A564" s="19" t="s">
        <v>632</v>
      </c>
      <c r="B564">
        <v>33</v>
      </c>
      <c r="C564" s="19" t="s">
        <v>196</v>
      </c>
      <c r="D564" s="19" t="s">
        <v>55</v>
      </c>
      <c r="E564" s="19" t="s">
        <v>48</v>
      </c>
      <c r="F564">
        <v>575</v>
      </c>
      <c r="G564" s="19" t="s">
        <v>49</v>
      </c>
      <c r="H564">
        <v>25</v>
      </c>
      <c r="I564">
        <v>3</v>
      </c>
      <c r="J564" s="19" t="s">
        <v>50</v>
      </c>
      <c r="K564">
        <v>1545</v>
      </c>
      <c r="L564">
        <v>4</v>
      </c>
      <c r="M564" s="19" t="s">
        <v>51</v>
      </c>
      <c r="N564">
        <v>2</v>
      </c>
      <c r="O564">
        <v>2</v>
      </c>
      <c r="P564" s="19" t="s">
        <v>120</v>
      </c>
      <c r="Q564">
        <v>2</v>
      </c>
      <c r="R564" s="19" t="s">
        <v>53</v>
      </c>
      <c r="S564">
        <v>58458</v>
      </c>
      <c r="T564" s="19" t="s">
        <v>64</v>
      </c>
      <c r="U564">
        <v>365.36</v>
      </c>
      <c r="V564">
        <v>1</v>
      </c>
      <c r="W564" s="19" t="s">
        <v>55</v>
      </c>
      <c r="X564">
        <v>13</v>
      </c>
      <c r="Y564">
        <v>3</v>
      </c>
      <c r="Z564">
        <v>4</v>
      </c>
      <c r="AA564">
        <v>0</v>
      </c>
      <c r="AB564">
        <v>5</v>
      </c>
      <c r="AC564">
        <v>2</v>
      </c>
      <c r="AD564">
        <v>3</v>
      </c>
      <c r="AE564">
        <v>5</v>
      </c>
      <c r="AF564">
        <v>3</v>
      </c>
      <c r="AG564">
        <v>0</v>
      </c>
      <c r="AH564">
        <v>2</v>
      </c>
      <c r="AI564">
        <v>0</v>
      </c>
      <c r="AJ564" s="19" t="s">
        <v>1567</v>
      </c>
      <c r="AK564" s="19" t="s">
        <v>1562</v>
      </c>
      <c r="AL564">
        <v>1</v>
      </c>
      <c r="AM564" s="19" t="s">
        <v>1565</v>
      </c>
      <c r="AN564">
        <v>0.31973263519659983</v>
      </c>
      <c r="AO564">
        <v>701496</v>
      </c>
    </row>
    <row r="565" spans="1:41" x14ac:dyDescent="0.3">
      <c r="A565" s="19" t="s">
        <v>633</v>
      </c>
      <c r="B565">
        <v>33</v>
      </c>
      <c r="C565" s="19" t="s">
        <v>196</v>
      </c>
      <c r="D565" s="19" t="s">
        <v>55</v>
      </c>
      <c r="E565" s="19" t="s">
        <v>48</v>
      </c>
      <c r="F565">
        <v>589</v>
      </c>
      <c r="G565" s="19" t="s">
        <v>49</v>
      </c>
      <c r="H565">
        <v>28</v>
      </c>
      <c r="I565">
        <v>4</v>
      </c>
      <c r="J565" s="19" t="s">
        <v>50</v>
      </c>
      <c r="K565">
        <v>1549</v>
      </c>
      <c r="L565">
        <v>2</v>
      </c>
      <c r="M565" s="19" t="s">
        <v>51</v>
      </c>
      <c r="N565">
        <v>3</v>
      </c>
      <c r="O565">
        <v>2</v>
      </c>
      <c r="P565" s="19" t="s">
        <v>52</v>
      </c>
      <c r="Q565">
        <v>3</v>
      </c>
      <c r="R565" s="19" t="s">
        <v>113</v>
      </c>
      <c r="S565">
        <v>21358</v>
      </c>
      <c r="T565" s="19" t="s">
        <v>54</v>
      </c>
      <c r="U565">
        <v>133.49</v>
      </c>
      <c r="V565">
        <v>1</v>
      </c>
      <c r="W565" s="19" t="s">
        <v>47</v>
      </c>
      <c r="X565">
        <v>12</v>
      </c>
      <c r="Y565">
        <v>3</v>
      </c>
      <c r="Z565">
        <v>2</v>
      </c>
      <c r="AA565">
        <v>1</v>
      </c>
      <c r="AB565">
        <v>15</v>
      </c>
      <c r="AC565">
        <v>3</v>
      </c>
      <c r="AD565">
        <v>3</v>
      </c>
      <c r="AE565">
        <v>15</v>
      </c>
      <c r="AF565">
        <v>14</v>
      </c>
      <c r="AG565">
        <v>5</v>
      </c>
      <c r="AH565">
        <v>7</v>
      </c>
      <c r="AI565">
        <v>0</v>
      </c>
      <c r="AJ565" s="19" t="s">
        <v>1571</v>
      </c>
      <c r="AK565" s="19" t="s">
        <v>1570</v>
      </c>
      <c r="AL565">
        <v>2</v>
      </c>
      <c r="AM565" s="19" t="s">
        <v>1564</v>
      </c>
      <c r="AN565">
        <v>-0.58705040858458746</v>
      </c>
      <c r="AO565">
        <v>256296</v>
      </c>
    </row>
    <row r="566" spans="1:41" x14ac:dyDescent="0.3">
      <c r="A566" s="19" t="s">
        <v>634</v>
      </c>
      <c r="B566">
        <v>33</v>
      </c>
      <c r="C566" s="19" t="s">
        <v>196</v>
      </c>
      <c r="D566" s="19" t="s">
        <v>55</v>
      </c>
      <c r="E566" s="19" t="s">
        <v>48</v>
      </c>
      <c r="F566">
        <v>1242</v>
      </c>
      <c r="G566" s="19" t="s">
        <v>57</v>
      </c>
      <c r="H566">
        <v>8</v>
      </c>
      <c r="I566">
        <v>4</v>
      </c>
      <c r="J566" s="19" t="s">
        <v>50</v>
      </c>
      <c r="K566">
        <v>1560</v>
      </c>
      <c r="L566">
        <v>1</v>
      </c>
      <c r="M566" s="19" t="s">
        <v>51</v>
      </c>
      <c r="N566">
        <v>3</v>
      </c>
      <c r="O566">
        <v>2</v>
      </c>
      <c r="P566" s="19" t="s">
        <v>145</v>
      </c>
      <c r="Q566">
        <v>1</v>
      </c>
      <c r="R566" s="19" t="s">
        <v>113</v>
      </c>
      <c r="S566">
        <v>4267</v>
      </c>
      <c r="T566" s="19" t="s">
        <v>54</v>
      </c>
      <c r="U566">
        <v>26.67</v>
      </c>
      <c r="V566">
        <v>2</v>
      </c>
      <c r="W566" s="19" t="s">
        <v>55</v>
      </c>
      <c r="X566">
        <v>13</v>
      </c>
      <c r="Y566">
        <v>3</v>
      </c>
      <c r="Z566">
        <v>4</v>
      </c>
      <c r="AA566">
        <v>1</v>
      </c>
      <c r="AB566">
        <v>8</v>
      </c>
      <c r="AC566">
        <v>6</v>
      </c>
      <c r="AD566">
        <v>1</v>
      </c>
      <c r="AE566">
        <v>2</v>
      </c>
      <c r="AF566">
        <v>2</v>
      </c>
      <c r="AG566">
        <v>2</v>
      </c>
      <c r="AH566">
        <v>2</v>
      </c>
      <c r="AI566">
        <v>0</v>
      </c>
      <c r="AJ566" s="19" t="s">
        <v>1566</v>
      </c>
      <c r="AK566" s="19" t="s">
        <v>1562</v>
      </c>
      <c r="AL566">
        <v>2</v>
      </c>
      <c r="AM566" s="19" t="s">
        <v>1564</v>
      </c>
      <c r="AN566">
        <v>-0.91302126781094906</v>
      </c>
      <c r="AO566">
        <v>51204</v>
      </c>
    </row>
    <row r="567" spans="1:41" x14ac:dyDescent="0.3">
      <c r="A567" s="19" t="s">
        <v>635</v>
      </c>
      <c r="B567">
        <v>33</v>
      </c>
      <c r="C567" s="19" t="s">
        <v>196</v>
      </c>
      <c r="D567" s="19" t="s">
        <v>55</v>
      </c>
      <c r="E567" s="19" t="s">
        <v>48</v>
      </c>
      <c r="F567">
        <v>392</v>
      </c>
      <c r="G567" s="19" t="s">
        <v>57</v>
      </c>
      <c r="H567">
        <v>2</v>
      </c>
      <c r="I567">
        <v>4</v>
      </c>
      <c r="J567" s="19" t="s">
        <v>58</v>
      </c>
      <c r="K567">
        <v>1670</v>
      </c>
      <c r="L567">
        <v>4</v>
      </c>
      <c r="M567" s="19" t="s">
        <v>51</v>
      </c>
      <c r="N567">
        <v>3</v>
      </c>
      <c r="O567">
        <v>2</v>
      </c>
      <c r="P567" s="19" t="s">
        <v>145</v>
      </c>
      <c r="Q567">
        <v>4</v>
      </c>
      <c r="R567" s="19" t="s">
        <v>53</v>
      </c>
      <c r="S567">
        <v>83745</v>
      </c>
      <c r="T567" s="19" t="s">
        <v>70</v>
      </c>
      <c r="U567">
        <v>523.41</v>
      </c>
      <c r="V567">
        <v>1</v>
      </c>
      <c r="W567" s="19" t="s">
        <v>55</v>
      </c>
      <c r="X567">
        <v>14</v>
      </c>
      <c r="Y567">
        <v>3</v>
      </c>
      <c r="Z567">
        <v>3</v>
      </c>
      <c r="AA567">
        <v>2</v>
      </c>
      <c r="AB567">
        <v>6</v>
      </c>
      <c r="AC567">
        <v>5</v>
      </c>
      <c r="AD567">
        <v>3</v>
      </c>
      <c r="AE567">
        <v>6</v>
      </c>
      <c r="AF567">
        <v>2</v>
      </c>
      <c r="AG567">
        <v>0</v>
      </c>
      <c r="AH567">
        <v>4</v>
      </c>
      <c r="AI567">
        <v>0</v>
      </c>
      <c r="AJ567" s="19" t="s">
        <v>1569</v>
      </c>
      <c r="AK567" s="19" t="s">
        <v>1562</v>
      </c>
      <c r="AL567">
        <v>0</v>
      </c>
      <c r="AM567" s="19" t="s">
        <v>1563</v>
      </c>
      <c r="AN567">
        <v>0.7070620874553718</v>
      </c>
      <c r="AO567">
        <v>1004940</v>
      </c>
    </row>
    <row r="568" spans="1:41" x14ac:dyDescent="0.3">
      <c r="A568" s="19" t="s">
        <v>636</v>
      </c>
      <c r="B568">
        <v>33</v>
      </c>
      <c r="C568" s="19" t="s">
        <v>196</v>
      </c>
      <c r="D568" s="19" t="s">
        <v>55</v>
      </c>
      <c r="E568" s="19" t="s">
        <v>66</v>
      </c>
      <c r="F568">
        <v>530</v>
      </c>
      <c r="G568" s="19" t="s">
        <v>57</v>
      </c>
      <c r="H568">
        <v>16</v>
      </c>
      <c r="I568">
        <v>3</v>
      </c>
      <c r="J568" s="19" t="s">
        <v>50</v>
      </c>
      <c r="K568">
        <v>1681</v>
      </c>
      <c r="L568">
        <v>3</v>
      </c>
      <c r="M568" s="19" t="s">
        <v>59</v>
      </c>
      <c r="N568">
        <v>3</v>
      </c>
      <c r="O568">
        <v>2</v>
      </c>
      <c r="P568" s="19" t="s">
        <v>145</v>
      </c>
      <c r="Q568">
        <v>4</v>
      </c>
      <c r="R568" s="19" t="s">
        <v>53</v>
      </c>
      <c r="S568">
        <v>90588</v>
      </c>
      <c r="T568" s="19" t="s">
        <v>70</v>
      </c>
      <c r="U568">
        <v>566.16999999999996</v>
      </c>
      <c r="V568">
        <v>1</v>
      </c>
      <c r="W568" s="19" t="s">
        <v>47</v>
      </c>
      <c r="X568">
        <v>25</v>
      </c>
      <c r="Y568">
        <v>4</v>
      </c>
      <c r="Z568">
        <v>3</v>
      </c>
      <c r="AA568">
        <v>1</v>
      </c>
      <c r="AB568">
        <v>7</v>
      </c>
      <c r="AC568">
        <v>2</v>
      </c>
      <c r="AD568">
        <v>3</v>
      </c>
      <c r="AE568">
        <v>6</v>
      </c>
      <c r="AF568">
        <v>5</v>
      </c>
      <c r="AG568">
        <v>1</v>
      </c>
      <c r="AH568">
        <v>2</v>
      </c>
      <c r="AI568">
        <v>0</v>
      </c>
      <c r="AJ568" s="19" t="s">
        <v>1569</v>
      </c>
      <c r="AK568" s="19" t="s">
        <v>1562</v>
      </c>
      <c r="AL568">
        <v>1</v>
      </c>
      <c r="AM568" s="19" t="s">
        <v>1565</v>
      </c>
      <c r="AN568">
        <v>0.84655012691393183</v>
      </c>
      <c r="AO568">
        <v>1087056</v>
      </c>
    </row>
    <row r="569" spans="1:41" x14ac:dyDescent="0.3">
      <c r="A569" s="19" t="s">
        <v>637</v>
      </c>
      <c r="B569">
        <v>33</v>
      </c>
      <c r="C569" s="19" t="s">
        <v>196</v>
      </c>
      <c r="D569" s="19" t="s">
        <v>55</v>
      </c>
      <c r="E569" s="19" t="s">
        <v>48</v>
      </c>
      <c r="F569">
        <v>267</v>
      </c>
      <c r="G569" s="19" t="s">
        <v>49</v>
      </c>
      <c r="H569">
        <v>21</v>
      </c>
      <c r="I569">
        <v>3</v>
      </c>
      <c r="J569" s="19" t="s">
        <v>58</v>
      </c>
      <c r="K569">
        <v>1698</v>
      </c>
      <c r="L569">
        <v>2</v>
      </c>
      <c r="M569" s="19" t="s">
        <v>51</v>
      </c>
      <c r="N569">
        <v>4</v>
      </c>
      <c r="O569">
        <v>1</v>
      </c>
      <c r="P569" s="19" t="s">
        <v>52</v>
      </c>
      <c r="Q569">
        <v>2</v>
      </c>
      <c r="R569" s="19" t="s">
        <v>113</v>
      </c>
      <c r="S569">
        <v>39513</v>
      </c>
      <c r="T569" s="19" t="s">
        <v>72</v>
      </c>
      <c r="U569">
        <v>246.96</v>
      </c>
      <c r="V569">
        <v>1</v>
      </c>
      <c r="W569" s="19" t="s">
        <v>55</v>
      </c>
      <c r="X569">
        <v>18</v>
      </c>
      <c r="Y569">
        <v>3</v>
      </c>
      <c r="Z569">
        <v>4</v>
      </c>
      <c r="AA569">
        <v>3</v>
      </c>
      <c r="AB569">
        <v>14</v>
      </c>
      <c r="AC569">
        <v>6</v>
      </c>
      <c r="AD569">
        <v>3</v>
      </c>
      <c r="AE569">
        <v>14</v>
      </c>
      <c r="AF569">
        <v>11</v>
      </c>
      <c r="AG569">
        <v>2</v>
      </c>
      <c r="AH569">
        <v>13</v>
      </c>
      <c r="AI569">
        <v>0</v>
      </c>
      <c r="AJ569" s="19" t="s">
        <v>1571</v>
      </c>
      <c r="AK569" s="19" t="s">
        <v>1562</v>
      </c>
      <c r="AL569">
        <v>1</v>
      </c>
      <c r="AM569" s="19" t="s">
        <v>1565</v>
      </c>
      <c r="AN569">
        <v>-0.23602972162200594</v>
      </c>
      <c r="AO569">
        <v>474156</v>
      </c>
    </row>
    <row r="570" spans="1:41" x14ac:dyDescent="0.3">
      <c r="A570" s="19" t="s">
        <v>638</v>
      </c>
      <c r="B570">
        <v>33</v>
      </c>
      <c r="C570" s="19" t="s">
        <v>196</v>
      </c>
      <c r="D570" s="19" t="s">
        <v>55</v>
      </c>
      <c r="E570" s="19" t="s">
        <v>66</v>
      </c>
      <c r="F570">
        <v>1283</v>
      </c>
      <c r="G570" s="19" t="s">
        <v>57</v>
      </c>
      <c r="H570">
        <v>2</v>
      </c>
      <c r="I570">
        <v>3</v>
      </c>
      <c r="J570" s="19" t="s">
        <v>63</v>
      </c>
      <c r="K570">
        <v>1756</v>
      </c>
      <c r="L570">
        <v>4</v>
      </c>
      <c r="M570" s="19" t="s">
        <v>59</v>
      </c>
      <c r="N570">
        <v>3</v>
      </c>
      <c r="O570">
        <v>2</v>
      </c>
      <c r="P570" s="19" t="s">
        <v>145</v>
      </c>
      <c r="Q570">
        <v>2</v>
      </c>
      <c r="R570" s="19" t="s">
        <v>53</v>
      </c>
      <c r="S570">
        <v>27092</v>
      </c>
      <c r="T570" s="19" t="s">
        <v>72</v>
      </c>
      <c r="U570">
        <v>169.32</v>
      </c>
      <c r="V570">
        <v>8</v>
      </c>
      <c r="W570" s="19" t="s">
        <v>55</v>
      </c>
      <c r="X570">
        <v>15</v>
      </c>
      <c r="Y570">
        <v>3</v>
      </c>
      <c r="Z570">
        <v>4</v>
      </c>
      <c r="AA570">
        <v>0</v>
      </c>
      <c r="AB570">
        <v>13</v>
      </c>
      <c r="AC570">
        <v>2</v>
      </c>
      <c r="AD570">
        <v>2</v>
      </c>
      <c r="AE570">
        <v>11</v>
      </c>
      <c r="AF570">
        <v>7</v>
      </c>
      <c r="AG570">
        <v>1</v>
      </c>
      <c r="AH570">
        <v>7</v>
      </c>
      <c r="AI570">
        <v>0</v>
      </c>
      <c r="AJ570" s="19" t="s">
        <v>1571</v>
      </c>
      <c r="AK570" s="19" t="s">
        <v>1562</v>
      </c>
      <c r="AL570">
        <v>2</v>
      </c>
      <c r="AM570" s="19" t="s">
        <v>1564</v>
      </c>
      <c r="AN570">
        <v>-0.44775537556461958</v>
      </c>
      <c r="AO570">
        <v>325104</v>
      </c>
    </row>
    <row r="571" spans="1:41" x14ac:dyDescent="0.3">
      <c r="A571" s="19" t="s">
        <v>639</v>
      </c>
      <c r="B571">
        <v>33</v>
      </c>
      <c r="C571" s="19" t="s">
        <v>196</v>
      </c>
      <c r="D571" s="19" t="s">
        <v>47</v>
      </c>
      <c r="E571" s="19" t="s">
        <v>48</v>
      </c>
      <c r="F571">
        <v>211</v>
      </c>
      <c r="G571" s="19" t="s">
        <v>57</v>
      </c>
      <c r="H571">
        <v>16</v>
      </c>
      <c r="I571">
        <v>3</v>
      </c>
      <c r="J571" s="19" t="s">
        <v>50</v>
      </c>
      <c r="K571">
        <v>1758</v>
      </c>
      <c r="L571">
        <v>1</v>
      </c>
      <c r="M571" s="19" t="s">
        <v>59</v>
      </c>
      <c r="N571">
        <v>3</v>
      </c>
      <c r="O571">
        <v>3</v>
      </c>
      <c r="P571" s="19" t="s">
        <v>145</v>
      </c>
      <c r="Q571">
        <v>1</v>
      </c>
      <c r="R571" s="19" t="s">
        <v>53</v>
      </c>
      <c r="S571">
        <v>12338</v>
      </c>
      <c r="T571" s="19" t="s">
        <v>54</v>
      </c>
      <c r="U571">
        <v>77.11</v>
      </c>
      <c r="V571">
        <v>2</v>
      </c>
      <c r="W571" s="19" t="s">
        <v>47</v>
      </c>
      <c r="X571">
        <v>20</v>
      </c>
      <c r="Y571">
        <v>4</v>
      </c>
      <c r="Z571">
        <v>3</v>
      </c>
      <c r="AA571">
        <v>0</v>
      </c>
      <c r="AB571">
        <v>11</v>
      </c>
      <c r="AC571">
        <v>2</v>
      </c>
      <c r="AD571">
        <v>2</v>
      </c>
      <c r="AE571">
        <v>0</v>
      </c>
      <c r="AF571">
        <v>0</v>
      </c>
      <c r="AG571">
        <v>0</v>
      </c>
      <c r="AH571">
        <v>0</v>
      </c>
      <c r="AI571">
        <v>1</v>
      </c>
      <c r="AJ571" s="19" t="s">
        <v>1561</v>
      </c>
      <c r="AK571" s="19" t="s">
        <v>1562</v>
      </c>
      <c r="AL571">
        <v>3</v>
      </c>
      <c r="AM571" s="19" t="s">
        <v>1568</v>
      </c>
      <c r="AN571">
        <v>-0.74850161758881872</v>
      </c>
      <c r="AO571">
        <v>148056</v>
      </c>
    </row>
    <row r="572" spans="1:41" x14ac:dyDescent="0.3">
      <c r="A572" s="19" t="s">
        <v>640</v>
      </c>
      <c r="B572">
        <v>33</v>
      </c>
      <c r="C572" s="19" t="s">
        <v>196</v>
      </c>
      <c r="D572" s="19" t="s">
        <v>55</v>
      </c>
      <c r="E572" s="19" t="s">
        <v>66</v>
      </c>
      <c r="F572">
        <v>775</v>
      </c>
      <c r="G572" s="19" t="s">
        <v>49</v>
      </c>
      <c r="H572">
        <v>4</v>
      </c>
      <c r="I572">
        <v>3</v>
      </c>
      <c r="J572" s="19" t="s">
        <v>77</v>
      </c>
      <c r="K572">
        <v>1771</v>
      </c>
      <c r="L572">
        <v>4</v>
      </c>
      <c r="M572" s="19" t="s">
        <v>51</v>
      </c>
      <c r="N572">
        <v>3</v>
      </c>
      <c r="O572">
        <v>2</v>
      </c>
      <c r="P572" s="19" t="s">
        <v>67</v>
      </c>
      <c r="Q572">
        <v>2</v>
      </c>
      <c r="R572" s="19" t="s">
        <v>53</v>
      </c>
      <c r="S572">
        <v>1412</v>
      </c>
      <c r="T572" s="19" t="s">
        <v>54</v>
      </c>
      <c r="U572">
        <v>8.82</v>
      </c>
      <c r="V572">
        <v>5</v>
      </c>
      <c r="W572" s="19" t="s">
        <v>55</v>
      </c>
      <c r="X572">
        <v>15</v>
      </c>
      <c r="Y572">
        <v>3</v>
      </c>
      <c r="Z572">
        <v>4</v>
      </c>
      <c r="AA572">
        <v>2</v>
      </c>
      <c r="AB572">
        <v>11</v>
      </c>
      <c r="AC572">
        <v>2</v>
      </c>
      <c r="AD572">
        <v>2</v>
      </c>
      <c r="AE572">
        <v>9</v>
      </c>
      <c r="AF572">
        <v>8</v>
      </c>
      <c r="AG572">
        <v>1</v>
      </c>
      <c r="AH572">
        <v>7</v>
      </c>
      <c r="AI572">
        <v>0</v>
      </c>
      <c r="AJ572" s="19" t="s">
        <v>1569</v>
      </c>
      <c r="AK572" s="19" t="s">
        <v>1562</v>
      </c>
      <c r="AL572">
        <v>2</v>
      </c>
      <c r="AM572" s="19" t="s">
        <v>1564</v>
      </c>
      <c r="AN572">
        <v>-0.97168417156442422</v>
      </c>
      <c r="AO572">
        <v>16944</v>
      </c>
    </row>
    <row r="573" spans="1:41" x14ac:dyDescent="0.3">
      <c r="A573" s="19" t="s">
        <v>641</v>
      </c>
      <c r="B573">
        <v>33</v>
      </c>
      <c r="C573" s="19" t="s">
        <v>196</v>
      </c>
      <c r="D573" s="19" t="s">
        <v>55</v>
      </c>
      <c r="E573" s="19" t="s">
        <v>48</v>
      </c>
      <c r="F573">
        <v>867</v>
      </c>
      <c r="G573" s="19" t="s">
        <v>49</v>
      </c>
      <c r="H573">
        <v>8</v>
      </c>
      <c r="I573">
        <v>4</v>
      </c>
      <c r="J573" s="19" t="s">
        <v>50</v>
      </c>
      <c r="K573">
        <v>1798</v>
      </c>
      <c r="L573">
        <v>4</v>
      </c>
      <c r="M573" s="19" t="s">
        <v>51</v>
      </c>
      <c r="N573">
        <v>4</v>
      </c>
      <c r="O573">
        <v>1</v>
      </c>
      <c r="P573" s="19" t="s">
        <v>67</v>
      </c>
      <c r="Q573">
        <v>1</v>
      </c>
      <c r="R573" s="19" t="s">
        <v>113</v>
      </c>
      <c r="S573">
        <v>8543</v>
      </c>
      <c r="T573" s="19" t="s">
        <v>54</v>
      </c>
      <c r="U573">
        <v>53.39</v>
      </c>
      <c r="V573">
        <v>6</v>
      </c>
      <c r="W573" s="19" t="s">
        <v>55</v>
      </c>
      <c r="X573">
        <v>19</v>
      </c>
      <c r="Y573">
        <v>3</v>
      </c>
      <c r="Z573">
        <v>2</v>
      </c>
      <c r="AA573">
        <v>1</v>
      </c>
      <c r="AB573">
        <v>14</v>
      </c>
      <c r="AC573">
        <v>1</v>
      </c>
      <c r="AD573">
        <v>3</v>
      </c>
      <c r="AE573">
        <v>10</v>
      </c>
      <c r="AF573">
        <v>8</v>
      </c>
      <c r="AG573">
        <v>7</v>
      </c>
      <c r="AH573">
        <v>6</v>
      </c>
      <c r="AI573">
        <v>0</v>
      </c>
      <c r="AJ573" s="19" t="s">
        <v>1569</v>
      </c>
      <c r="AK573" s="19" t="s">
        <v>1570</v>
      </c>
      <c r="AL573">
        <v>2</v>
      </c>
      <c r="AM573" s="19" t="s">
        <v>1564</v>
      </c>
      <c r="AN573">
        <v>-0.82868121648362358</v>
      </c>
      <c r="AO573">
        <v>102516</v>
      </c>
    </row>
    <row r="574" spans="1:41" x14ac:dyDescent="0.3">
      <c r="A574" s="19" t="s">
        <v>642</v>
      </c>
      <c r="B574">
        <v>33</v>
      </c>
      <c r="C574" s="19" t="s">
        <v>196</v>
      </c>
      <c r="D574" s="19" t="s">
        <v>55</v>
      </c>
      <c r="E574" s="19" t="s">
        <v>48</v>
      </c>
      <c r="F574">
        <v>217</v>
      </c>
      <c r="G574" s="19" t="s">
        <v>57</v>
      </c>
      <c r="H574">
        <v>10</v>
      </c>
      <c r="I574">
        <v>4</v>
      </c>
      <c r="J574" s="19" t="s">
        <v>63</v>
      </c>
      <c r="K574">
        <v>1924</v>
      </c>
      <c r="L574">
        <v>2</v>
      </c>
      <c r="M574" s="19" t="s">
        <v>51</v>
      </c>
      <c r="N574">
        <v>3</v>
      </c>
      <c r="O574">
        <v>2</v>
      </c>
      <c r="P574" s="19" t="s">
        <v>145</v>
      </c>
      <c r="Q574">
        <v>3</v>
      </c>
      <c r="R574" s="19" t="s">
        <v>53</v>
      </c>
      <c r="S574">
        <v>34496</v>
      </c>
      <c r="T574" s="19" t="s">
        <v>72</v>
      </c>
      <c r="U574">
        <v>215.6</v>
      </c>
      <c r="V574">
        <v>1</v>
      </c>
      <c r="W574" s="19" t="s">
        <v>55</v>
      </c>
      <c r="X574">
        <v>14</v>
      </c>
      <c r="Y574">
        <v>3</v>
      </c>
      <c r="Z574">
        <v>2</v>
      </c>
      <c r="AA574">
        <v>0</v>
      </c>
      <c r="AB574">
        <v>10</v>
      </c>
      <c r="AC574">
        <v>2</v>
      </c>
      <c r="AD574">
        <v>2</v>
      </c>
      <c r="AE574">
        <v>10</v>
      </c>
      <c r="AF574">
        <v>4</v>
      </c>
      <c r="AG574">
        <v>0</v>
      </c>
      <c r="AH574">
        <v>9</v>
      </c>
      <c r="AI574">
        <v>0</v>
      </c>
      <c r="AJ574" s="19" t="s">
        <v>1569</v>
      </c>
      <c r="AK574" s="19" t="s">
        <v>1562</v>
      </c>
      <c r="AL574">
        <v>1</v>
      </c>
      <c r="AM574" s="19" t="s">
        <v>1565</v>
      </c>
      <c r="AN574">
        <v>-0.29683188526048709</v>
      </c>
      <c r="AO574">
        <v>413952</v>
      </c>
    </row>
    <row r="575" spans="1:41" x14ac:dyDescent="0.3">
      <c r="A575" s="19" t="s">
        <v>643</v>
      </c>
      <c r="B575">
        <v>33</v>
      </c>
      <c r="C575" s="19" t="s">
        <v>196</v>
      </c>
      <c r="D575" s="19" t="s">
        <v>55</v>
      </c>
      <c r="E575" s="19" t="s">
        <v>62</v>
      </c>
      <c r="F575">
        <v>1303</v>
      </c>
      <c r="G575" s="19" t="s">
        <v>49</v>
      </c>
      <c r="H575">
        <v>7</v>
      </c>
      <c r="I575">
        <v>2</v>
      </c>
      <c r="J575" s="19" t="s">
        <v>50</v>
      </c>
      <c r="K575">
        <v>1970</v>
      </c>
      <c r="L575">
        <v>4</v>
      </c>
      <c r="M575" s="19" t="s">
        <v>51</v>
      </c>
      <c r="N575">
        <v>3</v>
      </c>
      <c r="O575">
        <v>2</v>
      </c>
      <c r="P575" s="19" t="s">
        <v>168</v>
      </c>
      <c r="Q575">
        <v>3</v>
      </c>
      <c r="R575" s="19" t="s">
        <v>53</v>
      </c>
      <c r="S575">
        <v>61692</v>
      </c>
      <c r="T575" s="19" t="s">
        <v>64</v>
      </c>
      <c r="U575">
        <v>385.58</v>
      </c>
      <c r="V575">
        <v>1</v>
      </c>
      <c r="W575" s="19" t="s">
        <v>55</v>
      </c>
      <c r="X575">
        <v>20</v>
      </c>
      <c r="Y575">
        <v>4</v>
      </c>
      <c r="Z575">
        <v>3</v>
      </c>
      <c r="AA575">
        <v>3</v>
      </c>
      <c r="AB575">
        <v>9</v>
      </c>
      <c r="AC575">
        <v>2</v>
      </c>
      <c r="AD575">
        <v>3</v>
      </c>
      <c r="AE575">
        <v>9</v>
      </c>
      <c r="AF575">
        <v>7</v>
      </c>
      <c r="AG575">
        <v>2</v>
      </c>
      <c r="AH575">
        <v>8</v>
      </c>
      <c r="AI575">
        <v>0</v>
      </c>
      <c r="AJ575" s="19" t="s">
        <v>1569</v>
      </c>
      <c r="AK575" s="19" t="s">
        <v>1562</v>
      </c>
      <c r="AL575">
        <v>0</v>
      </c>
      <c r="AM575" s="19" t="s">
        <v>1563</v>
      </c>
      <c r="AN575">
        <v>0.28020538117655436</v>
      </c>
      <c r="AO575">
        <v>740304</v>
      </c>
    </row>
    <row r="576" spans="1:41" x14ac:dyDescent="0.3">
      <c r="A576" s="19" t="s">
        <v>644</v>
      </c>
      <c r="B576">
        <v>33</v>
      </c>
      <c r="C576" s="19" t="s">
        <v>196</v>
      </c>
      <c r="D576" s="19" t="s">
        <v>55</v>
      </c>
      <c r="E576" s="19" t="s">
        <v>66</v>
      </c>
      <c r="F576">
        <v>1313</v>
      </c>
      <c r="G576" s="19" t="s">
        <v>49</v>
      </c>
      <c r="H576">
        <v>1</v>
      </c>
      <c r="I576">
        <v>2</v>
      </c>
      <c r="J576" s="19" t="s">
        <v>58</v>
      </c>
      <c r="K576">
        <v>1994</v>
      </c>
      <c r="L576">
        <v>2</v>
      </c>
      <c r="M576" s="19" t="s">
        <v>51</v>
      </c>
      <c r="N576">
        <v>2</v>
      </c>
      <c r="O576">
        <v>1</v>
      </c>
      <c r="P576" s="19" t="s">
        <v>52</v>
      </c>
      <c r="Q576">
        <v>3</v>
      </c>
      <c r="R576" s="19" t="s">
        <v>53</v>
      </c>
      <c r="S576">
        <v>90084</v>
      </c>
      <c r="T576" s="19" t="s">
        <v>70</v>
      </c>
      <c r="U576">
        <v>563.02</v>
      </c>
      <c r="V576">
        <v>1</v>
      </c>
      <c r="W576" s="19" t="s">
        <v>55</v>
      </c>
      <c r="X576">
        <v>12</v>
      </c>
      <c r="Y576">
        <v>3</v>
      </c>
      <c r="Z576">
        <v>3</v>
      </c>
      <c r="AA576">
        <v>3</v>
      </c>
      <c r="AB576">
        <v>1</v>
      </c>
      <c r="AC576">
        <v>2</v>
      </c>
      <c r="AD576">
        <v>2</v>
      </c>
      <c r="AE576">
        <v>1</v>
      </c>
      <c r="AF576">
        <v>1</v>
      </c>
      <c r="AG576">
        <v>0</v>
      </c>
      <c r="AH576">
        <v>0</v>
      </c>
      <c r="AI576">
        <v>0</v>
      </c>
      <c r="AJ576" s="19" t="s">
        <v>1561</v>
      </c>
      <c r="AK576" s="19" t="s">
        <v>1562</v>
      </c>
      <c r="AL576">
        <v>1</v>
      </c>
      <c r="AM576" s="19" t="s">
        <v>1565</v>
      </c>
      <c r="AN576">
        <v>0.74174318723972399</v>
      </c>
      <c r="AO576">
        <v>1081008</v>
      </c>
    </row>
    <row r="577" spans="1:41" x14ac:dyDescent="0.3">
      <c r="A577" s="19" t="s">
        <v>645</v>
      </c>
      <c r="B577">
        <v>33</v>
      </c>
      <c r="C577" s="19" t="s">
        <v>196</v>
      </c>
      <c r="D577" s="19" t="s">
        <v>55</v>
      </c>
      <c r="E577" s="19" t="s">
        <v>48</v>
      </c>
      <c r="F577">
        <v>501</v>
      </c>
      <c r="G577" s="19" t="s">
        <v>49</v>
      </c>
      <c r="H577">
        <v>15</v>
      </c>
      <c r="I577">
        <v>2</v>
      </c>
      <c r="J577" s="19" t="s">
        <v>58</v>
      </c>
      <c r="K577">
        <v>2009</v>
      </c>
      <c r="L577">
        <v>2</v>
      </c>
      <c r="M577" s="19" t="s">
        <v>59</v>
      </c>
      <c r="N577">
        <v>3</v>
      </c>
      <c r="O577">
        <v>2</v>
      </c>
      <c r="P577" s="19" t="s">
        <v>168</v>
      </c>
      <c r="Q577">
        <v>4</v>
      </c>
      <c r="R577" s="19" t="s">
        <v>113</v>
      </c>
      <c r="S577">
        <v>93920</v>
      </c>
      <c r="T577" s="19" t="s">
        <v>70</v>
      </c>
      <c r="U577">
        <v>587</v>
      </c>
      <c r="V577">
        <v>0</v>
      </c>
      <c r="W577" s="19" t="s">
        <v>47</v>
      </c>
      <c r="X577">
        <v>13</v>
      </c>
      <c r="Y577">
        <v>3</v>
      </c>
      <c r="Z577">
        <v>1</v>
      </c>
      <c r="AA577">
        <v>1</v>
      </c>
      <c r="AB577">
        <v>10</v>
      </c>
      <c r="AC577">
        <v>6</v>
      </c>
      <c r="AD577">
        <v>3</v>
      </c>
      <c r="AE577">
        <v>9</v>
      </c>
      <c r="AF577">
        <v>7</v>
      </c>
      <c r="AG577">
        <v>8</v>
      </c>
      <c r="AH577">
        <v>1</v>
      </c>
      <c r="AI577">
        <v>0</v>
      </c>
      <c r="AJ577" s="19" t="s">
        <v>1569</v>
      </c>
      <c r="AK577" s="19" t="s">
        <v>1570</v>
      </c>
      <c r="AL577">
        <v>2</v>
      </c>
      <c r="AM577" s="19" t="s">
        <v>1564</v>
      </c>
      <c r="AN577">
        <v>0.94898673085816609</v>
      </c>
      <c r="AO577">
        <v>1127040</v>
      </c>
    </row>
    <row r="578" spans="1:41" x14ac:dyDescent="0.3">
      <c r="A578" s="19" t="s">
        <v>646</v>
      </c>
      <c r="B578">
        <v>34</v>
      </c>
      <c r="C578" s="19" t="s">
        <v>196</v>
      </c>
      <c r="D578" s="19" t="s">
        <v>55</v>
      </c>
      <c r="E578" s="19" t="s">
        <v>48</v>
      </c>
      <c r="F578">
        <v>1346</v>
      </c>
      <c r="G578" s="19" t="s">
        <v>49</v>
      </c>
      <c r="H578">
        <v>19</v>
      </c>
      <c r="I578">
        <v>2</v>
      </c>
      <c r="J578" s="19" t="s">
        <v>58</v>
      </c>
      <c r="K578">
        <v>18</v>
      </c>
      <c r="L578">
        <v>2</v>
      </c>
      <c r="M578" s="19" t="s">
        <v>51</v>
      </c>
      <c r="N578">
        <v>3</v>
      </c>
      <c r="O578">
        <v>1</v>
      </c>
      <c r="P578" s="19" t="s">
        <v>52</v>
      </c>
      <c r="Q578">
        <v>4</v>
      </c>
      <c r="R578" s="19" t="s">
        <v>53</v>
      </c>
      <c r="S578">
        <v>45425</v>
      </c>
      <c r="T578" s="19" t="s">
        <v>72</v>
      </c>
      <c r="U578">
        <v>283.91000000000003</v>
      </c>
      <c r="V578">
        <v>0</v>
      </c>
      <c r="W578" s="19" t="s">
        <v>55</v>
      </c>
      <c r="X578">
        <v>11</v>
      </c>
      <c r="Y578">
        <v>3</v>
      </c>
      <c r="Z578">
        <v>3</v>
      </c>
      <c r="AA578">
        <v>1</v>
      </c>
      <c r="AB578">
        <v>3</v>
      </c>
      <c r="AC578">
        <v>2</v>
      </c>
      <c r="AD578">
        <v>3</v>
      </c>
      <c r="AE578">
        <v>2</v>
      </c>
      <c r="AF578">
        <v>2</v>
      </c>
      <c r="AG578">
        <v>1</v>
      </c>
      <c r="AH578">
        <v>2</v>
      </c>
      <c r="AI578">
        <v>0</v>
      </c>
      <c r="AJ578" s="19" t="s">
        <v>1566</v>
      </c>
      <c r="AK578" s="19" t="s">
        <v>1562</v>
      </c>
      <c r="AL578">
        <v>0</v>
      </c>
      <c r="AM578" s="19" t="s">
        <v>1563</v>
      </c>
      <c r="AN578">
        <v>-0.12172323297850379</v>
      </c>
      <c r="AO578">
        <v>545100</v>
      </c>
    </row>
    <row r="579" spans="1:41" x14ac:dyDescent="0.3">
      <c r="A579" s="19" t="s">
        <v>647</v>
      </c>
      <c r="B579">
        <v>34</v>
      </c>
      <c r="C579" s="19" t="s">
        <v>196</v>
      </c>
      <c r="D579" s="19" t="s">
        <v>55</v>
      </c>
      <c r="E579" s="19" t="s">
        <v>48</v>
      </c>
      <c r="F579">
        <v>419</v>
      </c>
      <c r="G579" s="19" t="s">
        <v>49</v>
      </c>
      <c r="H579">
        <v>7</v>
      </c>
      <c r="I579">
        <v>4</v>
      </c>
      <c r="J579" s="19" t="s">
        <v>50</v>
      </c>
      <c r="K579">
        <v>28</v>
      </c>
      <c r="L579">
        <v>1</v>
      </c>
      <c r="M579" s="19" t="s">
        <v>59</v>
      </c>
      <c r="N579">
        <v>3</v>
      </c>
      <c r="O579">
        <v>3</v>
      </c>
      <c r="P579" s="19" t="s">
        <v>257</v>
      </c>
      <c r="Q579">
        <v>2</v>
      </c>
      <c r="R579" s="19" t="s">
        <v>53</v>
      </c>
      <c r="S579">
        <v>39756</v>
      </c>
      <c r="T579" s="19" t="s">
        <v>72</v>
      </c>
      <c r="U579">
        <v>248.48</v>
      </c>
      <c r="V579">
        <v>0</v>
      </c>
      <c r="W579" s="19" t="s">
        <v>55</v>
      </c>
      <c r="X579">
        <v>11</v>
      </c>
      <c r="Y579">
        <v>3</v>
      </c>
      <c r="Z579">
        <v>3</v>
      </c>
      <c r="AA579">
        <v>0</v>
      </c>
      <c r="AB579">
        <v>13</v>
      </c>
      <c r="AC579">
        <v>4</v>
      </c>
      <c r="AD579">
        <v>3</v>
      </c>
      <c r="AE579">
        <v>12</v>
      </c>
      <c r="AF579">
        <v>6</v>
      </c>
      <c r="AG579">
        <v>2</v>
      </c>
      <c r="AH579">
        <v>6</v>
      </c>
      <c r="AI579">
        <v>0</v>
      </c>
      <c r="AJ579" s="19" t="s">
        <v>1571</v>
      </c>
      <c r="AK579" s="19" t="s">
        <v>1562</v>
      </c>
      <c r="AL579">
        <v>1</v>
      </c>
      <c r="AM579" s="19" t="s">
        <v>1565</v>
      </c>
      <c r="AN579">
        <v>-0.21528647836713422</v>
      </c>
      <c r="AO579">
        <v>477072</v>
      </c>
    </row>
    <row r="580" spans="1:41" x14ac:dyDescent="0.3">
      <c r="A580" s="19" t="s">
        <v>648</v>
      </c>
      <c r="B580">
        <v>34</v>
      </c>
      <c r="C580" s="19" t="s">
        <v>196</v>
      </c>
      <c r="D580" s="19" t="s">
        <v>47</v>
      </c>
      <c r="E580" s="19" t="s">
        <v>48</v>
      </c>
      <c r="F580">
        <v>699</v>
      </c>
      <c r="G580" s="19" t="s">
        <v>49</v>
      </c>
      <c r="H580">
        <v>6</v>
      </c>
      <c r="I580">
        <v>1</v>
      </c>
      <c r="J580" s="19" t="s">
        <v>58</v>
      </c>
      <c r="K580">
        <v>31</v>
      </c>
      <c r="L580">
        <v>2</v>
      </c>
      <c r="M580" s="19" t="s">
        <v>51</v>
      </c>
      <c r="N580">
        <v>3</v>
      </c>
      <c r="O580">
        <v>1</v>
      </c>
      <c r="P580" s="19" t="s">
        <v>67</v>
      </c>
      <c r="Q580">
        <v>1</v>
      </c>
      <c r="R580" s="19" t="s">
        <v>53</v>
      </c>
      <c r="S580">
        <v>19888</v>
      </c>
      <c r="T580" s="19" t="s">
        <v>54</v>
      </c>
      <c r="U580">
        <v>124.3</v>
      </c>
      <c r="V580">
        <v>2</v>
      </c>
      <c r="W580" s="19" t="s">
        <v>55</v>
      </c>
      <c r="X580">
        <v>11</v>
      </c>
      <c r="Y580">
        <v>3</v>
      </c>
      <c r="Z580">
        <v>3</v>
      </c>
      <c r="AA580">
        <v>0</v>
      </c>
      <c r="AB580">
        <v>8</v>
      </c>
      <c r="AC580">
        <v>2</v>
      </c>
      <c r="AD580">
        <v>3</v>
      </c>
      <c r="AE580">
        <v>4</v>
      </c>
      <c r="AF580">
        <v>2</v>
      </c>
      <c r="AG580">
        <v>1</v>
      </c>
      <c r="AH580">
        <v>2</v>
      </c>
      <c r="AI580">
        <v>1</v>
      </c>
      <c r="AJ580" s="19" t="s">
        <v>1567</v>
      </c>
      <c r="AK580" s="19" t="s">
        <v>1562</v>
      </c>
      <c r="AL580">
        <v>1</v>
      </c>
      <c r="AM580" s="19" t="s">
        <v>1565</v>
      </c>
      <c r="AN580">
        <v>-0.6011719575589729</v>
      </c>
      <c r="AO580">
        <v>238656</v>
      </c>
    </row>
    <row r="581" spans="1:41" x14ac:dyDescent="0.3">
      <c r="A581" s="19" t="s">
        <v>649</v>
      </c>
      <c r="B581">
        <v>34</v>
      </c>
      <c r="C581" s="19" t="s">
        <v>196</v>
      </c>
      <c r="D581" s="19" t="s">
        <v>55</v>
      </c>
      <c r="E581" s="19" t="s">
        <v>66</v>
      </c>
      <c r="F581">
        <v>1065</v>
      </c>
      <c r="G581" s="19" t="s">
        <v>57</v>
      </c>
      <c r="H581">
        <v>23</v>
      </c>
      <c r="I581">
        <v>4</v>
      </c>
      <c r="J581" s="19" t="s">
        <v>63</v>
      </c>
      <c r="K581">
        <v>60</v>
      </c>
      <c r="L581">
        <v>2</v>
      </c>
      <c r="M581" s="19" t="s">
        <v>51</v>
      </c>
      <c r="N581">
        <v>3</v>
      </c>
      <c r="O581">
        <v>2</v>
      </c>
      <c r="P581" s="19" t="s">
        <v>145</v>
      </c>
      <c r="Q581">
        <v>3</v>
      </c>
      <c r="R581" s="19" t="s">
        <v>53</v>
      </c>
      <c r="S581">
        <v>36735</v>
      </c>
      <c r="T581" s="19" t="s">
        <v>72</v>
      </c>
      <c r="U581">
        <v>229.59</v>
      </c>
      <c r="V581">
        <v>0</v>
      </c>
      <c r="W581" s="19" t="s">
        <v>55</v>
      </c>
      <c r="X581">
        <v>20</v>
      </c>
      <c r="Y581">
        <v>4</v>
      </c>
      <c r="Z581">
        <v>3</v>
      </c>
      <c r="AA581">
        <v>0</v>
      </c>
      <c r="AB581">
        <v>10</v>
      </c>
      <c r="AC581">
        <v>2</v>
      </c>
      <c r="AD581">
        <v>3</v>
      </c>
      <c r="AE581">
        <v>9</v>
      </c>
      <c r="AF581">
        <v>5</v>
      </c>
      <c r="AG581">
        <v>8</v>
      </c>
      <c r="AH581">
        <v>7</v>
      </c>
      <c r="AI581">
        <v>0</v>
      </c>
      <c r="AJ581" s="19" t="s">
        <v>1569</v>
      </c>
      <c r="AK581" s="19" t="s">
        <v>1570</v>
      </c>
      <c r="AL581">
        <v>1</v>
      </c>
      <c r="AM581" s="19" t="s">
        <v>1565</v>
      </c>
      <c r="AN581">
        <v>-0.25119200211746273</v>
      </c>
      <c r="AO581">
        <v>440820</v>
      </c>
    </row>
    <row r="582" spans="1:41" x14ac:dyDescent="0.3">
      <c r="A582" s="19" t="s">
        <v>650</v>
      </c>
      <c r="B582">
        <v>34</v>
      </c>
      <c r="C582" s="19" t="s">
        <v>196</v>
      </c>
      <c r="D582" s="19" t="s">
        <v>55</v>
      </c>
      <c r="E582" s="19" t="s">
        <v>48</v>
      </c>
      <c r="F582">
        <v>1153</v>
      </c>
      <c r="G582" s="19" t="s">
        <v>49</v>
      </c>
      <c r="H582">
        <v>1</v>
      </c>
      <c r="I582">
        <v>2</v>
      </c>
      <c r="J582" s="19" t="s">
        <v>58</v>
      </c>
      <c r="K582">
        <v>110</v>
      </c>
      <c r="L582">
        <v>1</v>
      </c>
      <c r="M582" s="19" t="s">
        <v>51</v>
      </c>
      <c r="N582">
        <v>3</v>
      </c>
      <c r="O582">
        <v>2</v>
      </c>
      <c r="P582" s="19" t="s">
        <v>120</v>
      </c>
      <c r="Q582">
        <v>2</v>
      </c>
      <c r="R582" s="19" t="s">
        <v>113</v>
      </c>
      <c r="S582">
        <v>48295</v>
      </c>
      <c r="T582" s="19" t="s">
        <v>72</v>
      </c>
      <c r="U582">
        <v>301.83999999999997</v>
      </c>
      <c r="V582">
        <v>1</v>
      </c>
      <c r="W582" s="19" t="s">
        <v>55</v>
      </c>
      <c r="X582">
        <v>15</v>
      </c>
      <c r="Y582">
        <v>3</v>
      </c>
      <c r="Z582">
        <v>3</v>
      </c>
      <c r="AA582">
        <v>0</v>
      </c>
      <c r="AB582">
        <v>5</v>
      </c>
      <c r="AC582">
        <v>2</v>
      </c>
      <c r="AD582">
        <v>3</v>
      </c>
      <c r="AE582">
        <v>5</v>
      </c>
      <c r="AF582">
        <v>2</v>
      </c>
      <c r="AG582">
        <v>1</v>
      </c>
      <c r="AH582">
        <v>3</v>
      </c>
      <c r="AI582">
        <v>0</v>
      </c>
      <c r="AJ582" s="19" t="s">
        <v>1567</v>
      </c>
      <c r="AK582" s="19" t="s">
        <v>1562</v>
      </c>
      <c r="AL582">
        <v>1</v>
      </c>
      <c r="AM582" s="19" t="s">
        <v>1565</v>
      </c>
      <c r="AN582">
        <v>9.0295385008378484E-2</v>
      </c>
      <c r="AO582">
        <v>579540</v>
      </c>
    </row>
    <row r="583" spans="1:41" x14ac:dyDescent="0.3">
      <c r="A583" s="19" t="s">
        <v>651</v>
      </c>
      <c r="B583">
        <v>34</v>
      </c>
      <c r="C583" s="19" t="s">
        <v>196</v>
      </c>
      <c r="D583" s="19" t="s">
        <v>55</v>
      </c>
      <c r="E583" s="19" t="s">
        <v>48</v>
      </c>
      <c r="F583">
        <v>665</v>
      </c>
      <c r="G583" s="19" t="s">
        <v>49</v>
      </c>
      <c r="H583">
        <v>6</v>
      </c>
      <c r="I583">
        <v>4</v>
      </c>
      <c r="J583" s="19" t="s">
        <v>82</v>
      </c>
      <c r="K583">
        <v>138</v>
      </c>
      <c r="L583">
        <v>1</v>
      </c>
      <c r="M583" s="19" t="s">
        <v>59</v>
      </c>
      <c r="N583">
        <v>3</v>
      </c>
      <c r="O583">
        <v>2</v>
      </c>
      <c r="P583" s="19" t="s">
        <v>67</v>
      </c>
      <c r="Q583">
        <v>3</v>
      </c>
      <c r="R583" s="19" t="s">
        <v>53</v>
      </c>
      <c r="S583">
        <v>84042</v>
      </c>
      <c r="T583" s="19" t="s">
        <v>70</v>
      </c>
      <c r="U583">
        <v>525.26</v>
      </c>
      <c r="V583">
        <v>1</v>
      </c>
      <c r="W583" s="19" t="s">
        <v>55</v>
      </c>
      <c r="X583">
        <v>14</v>
      </c>
      <c r="Y583">
        <v>3</v>
      </c>
      <c r="Z583">
        <v>3</v>
      </c>
      <c r="AA583">
        <v>0</v>
      </c>
      <c r="AB583">
        <v>16</v>
      </c>
      <c r="AC583">
        <v>3</v>
      </c>
      <c r="AD583">
        <v>3</v>
      </c>
      <c r="AE583">
        <v>16</v>
      </c>
      <c r="AF583">
        <v>13</v>
      </c>
      <c r="AG583">
        <v>2</v>
      </c>
      <c r="AH583">
        <v>10</v>
      </c>
      <c r="AI583">
        <v>0</v>
      </c>
      <c r="AJ583" s="19" t="s">
        <v>1571</v>
      </c>
      <c r="AK583" s="19" t="s">
        <v>1562</v>
      </c>
      <c r="AL583">
        <v>0</v>
      </c>
      <c r="AM583" s="19" t="s">
        <v>1563</v>
      </c>
      <c r="AN583">
        <v>0.68535329559678171</v>
      </c>
      <c r="AO583">
        <v>1008504</v>
      </c>
    </row>
    <row r="584" spans="1:41" x14ac:dyDescent="0.3">
      <c r="A584" s="19" t="s">
        <v>652</v>
      </c>
      <c r="B584">
        <v>34</v>
      </c>
      <c r="C584" s="19" t="s">
        <v>196</v>
      </c>
      <c r="D584" s="19" t="s">
        <v>47</v>
      </c>
      <c r="E584" s="19" t="s">
        <v>62</v>
      </c>
      <c r="F584">
        <v>658</v>
      </c>
      <c r="G584" s="19" t="s">
        <v>49</v>
      </c>
      <c r="H584">
        <v>7</v>
      </c>
      <c r="I584">
        <v>3</v>
      </c>
      <c r="J584" s="19" t="s">
        <v>50</v>
      </c>
      <c r="K584">
        <v>147</v>
      </c>
      <c r="L584">
        <v>1</v>
      </c>
      <c r="M584" s="19" t="s">
        <v>51</v>
      </c>
      <c r="N584">
        <v>1</v>
      </c>
      <c r="O584">
        <v>2</v>
      </c>
      <c r="P584" s="19" t="s">
        <v>52</v>
      </c>
      <c r="Q584">
        <v>3</v>
      </c>
      <c r="R584" s="19" t="s">
        <v>53</v>
      </c>
      <c r="S584">
        <v>86999</v>
      </c>
      <c r="T584" s="19" t="s">
        <v>70</v>
      </c>
      <c r="U584">
        <v>543.74</v>
      </c>
      <c r="V584">
        <v>1</v>
      </c>
      <c r="W584" s="19" t="s">
        <v>47</v>
      </c>
      <c r="X584">
        <v>24</v>
      </c>
      <c r="Y584">
        <v>4</v>
      </c>
      <c r="Z584">
        <v>4</v>
      </c>
      <c r="AA584">
        <v>0</v>
      </c>
      <c r="AB584">
        <v>9</v>
      </c>
      <c r="AC584">
        <v>3</v>
      </c>
      <c r="AD584">
        <v>3</v>
      </c>
      <c r="AE584">
        <v>9</v>
      </c>
      <c r="AF584">
        <v>7</v>
      </c>
      <c r="AG584">
        <v>0</v>
      </c>
      <c r="AH584">
        <v>6</v>
      </c>
      <c r="AI584">
        <v>1</v>
      </c>
      <c r="AJ584" s="19" t="s">
        <v>1569</v>
      </c>
      <c r="AK584" s="19" t="s">
        <v>1562</v>
      </c>
      <c r="AL584">
        <v>1</v>
      </c>
      <c r="AM584" s="19" t="s">
        <v>1565</v>
      </c>
      <c r="AN584">
        <v>0.68209577224222673</v>
      </c>
      <c r="AO584">
        <v>1043988</v>
      </c>
    </row>
    <row r="585" spans="1:41" x14ac:dyDescent="0.3">
      <c r="A585" s="19" t="s">
        <v>653</v>
      </c>
      <c r="B585">
        <v>34</v>
      </c>
      <c r="C585" s="19" t="s">
        <v>196</v>
      </c>
      <c r="D585" s="19" t="s">
        <v>55</v>
      </c>
      <c r="E585" s="19" t="s">
        <v>48</v>
      </c>
      <c r="F585">
        <v>1031</v>
      </c>
      <c r="G585" s="19" t="s">
        <v>49</v>
      </c>
      <c r="H585">
        <v>6</v>
      </c>
      <c r="I585">
        <v>4</v>
      </c>
      <c r="J585" s="19" t="s">
        <v>50</v>
      </c>
      <c r="K585">
        <v>151</v>
      </c>
      <c r="L585">
        <v>3</v>
      </c>
      <c r="M585" s="19" t="s">
        <v>59</v>
      </c>
      <c r="N585">
        <v>2</v>
      </c>
      <c r="O585">
        <v>2</v>
      </c>
      <c r="P585" s="19" t="s">
        <v>67</v>
      </c>
      <c r="Q585">
        <v>2</v>
      </c>
      <c r="R585" s="19" t="s">
        <v>53</v>
      </c>
      <c r="S585">
        <v>18955</v>
      </c>
      <c r="T585" s="19" t="s">
        <v>54</v>
      </c>
      <c r="U585">
        <v>118.47</v>
      </c>
      <c r="V585">
        <v>6</v>
      </c>
      <c r="W585" s="19" t="s">
        <v>55</v>
      </c>
      <c r="X585">
        <v>15</v>
      </c>
      <c r="Y585">
        <v>3</v>
      </c>
      <c r="Z585">
        <v>3</v>
      </c>
      <c r="AA585">
        <v>1</v>
      </c>
      <c r="AB585">
        <v>12</v>
      </c>
      <c r="AC585">
        <v>3</v>
      </c>
      <c r="AD585">
        <v>3</v>
      </c>
      <c r="AE585">
        <v>1</v>
      </c>
      <c r="AF585">
        <v>0</v>
      </c>
      <c r="AG585">
        <v>0</v>
      </c>
      <c r="AH585">
        <v>0</v>
      </c>
      <c r="AI585">
        <v>0</v>
      </c>
      <c r="AJ585" s="19" t="s">
        <v>1561</v>
      </c>
      <c r="AK585" s="19" t="s">
        <v>1562</v>
      </c>
      <c r="AL585">
        <v>1</v>
      </c>
      <c r="AM585" s="19" t="s">
        <v>1565</v>
      </c>
      <c r="AN585">
        <v>-0.61988206232553966</v>
      </c>
      <c r="AO585">
        <v>227460</v>
      </c>
    </row>
    <row r="586" spans="1:41" x14ac:dyDescent="0.3">
      <c r="A586" s="19" t="s">
        <v>654</v>
      </c>
      <c r="B586">
        <v>34</v>
      </c>
      <c r="C586" s="19" t="s">
        <v>196</v>
      </c>
      <c r="D586" s="19" t="s">
        <v>55</v>
      </c>
      <c r="E586" s="19" t="s">
        <v>48</v>
      </c>
      <c r="F586">
        <v>1354</v>
      </c>
      <c r="G586" s="19" t="s">
        <v>49</v>
      </c>
      <c r="H586">
        <v>5</v>
      </c>
      <c r="I586">
        <v>3</v>
      </c>
      <c r="J586" s="19" t="s">
        <v>58</v>
      </c>
      <c r="K586">
        <v>153</v>
      </c>
      <c r="L586">
        <v>3</v>
      </c>
      <c r="M586" s="19" t="s">
        <v>59</v>
      </c>
      <c r="N586">
        <v>2</v>
      </c>
      <c r="O586">
        <v>3</v>
      </c>
      <c r="P586" s="19" t="s">
        <v>444</v>
      </c>
      <c r="Q586">
        <v>1</v>
      </c>
      <c r="R586" s="19" t="s">
        <v>53</v>
      </c>
      <c r="S586">
        <v>38841</v>
      </c>
      <c r="T586" s="19" t="s">
        <v>72</v>
      </c>
      <c r="U586">
        <v>242.76</v>
      </c>
      <c r="V586">
        <v>2</v>
      </c>
      <c r="W586" s="19" t="s">
        <v>55</v>
      </c>
      <c r="X586">
        <v>12</v>
      </c>
      <c r="Y586">
        <v>3</v>
      </c>
      <c r="Z586">
        <v>4</v>
      </c>
      <c r="AA586">
        <v>0</v>
      </c>
      <c r="AB586">
        <v>14</v>
      </c>
      <c r="AC586">
        <v>6</v>
      </c>
      <c r="AD586">
        <v>3</v>
      </c>
      <c r="AE586">
        <v>11</v>
      </c>
      <c r="AF586">
        <v>10</v>
      </c>
      <c r="AG586">
        <v>5</v>
      </c>
      <c r="AH586">
        <v>8</v>
      </c>
      <c r="AI586">
        <v>0</v>
      </c>
      <c r="AJ586" s="19" t="s">
        <v>1571</v>
      </c>
      <c r="AK586" s="19" t="s">
        <v>1570</v>
      </c>
      <c r="AL586">
        <v>2</v>
      </c>
      <c r="AM586" s="19" t="s">
        <v>1564</v>
      </c>
      <c r="AN586">
        <v>-0.25589550259680838</v>
      </c>
      <c r="AO586">
        <v>466092</v>
      </c>
    </row>
    <row r="587" spans="1:41" x14ac:dyDescent="0.3">
      <c r="A587" s="19" t="s">
        <v>655</v>
      </c>
      <c r="B587">
        <v>34</v>
      </c>
      <c r="C587" s="19" t="s">
        <v>196</v>
      </c>
      <c r="D587" s="19" t="s">
        <v>55</v>
      </c>
      <c r="E587" s="19" t="s">
        <v>62</v>
      </c>
      <c r="F587">
        <v>303</v>
      </c>
      <c r="G587" s="19" t="s">
        <v>57</v>
      </c>
      <c r="H587">
        <v>2</v>
      </c>
      <c r="I587">
        <v>4</v>
      </c>
      <c r="J587" s="19" t="s">
        <v>63</v>
      </c>
      <c r="K587">
        <v>216</v>
      </c>
      <c r="L587">
        <v>3</v>
      </c>
      <c r="M587" s="19" t="s">
        <v>59</v>
      </c>
      <c r="N587">
        <v>3</v>
      </c>
      <c r="O587">
        <v>1</v>
      </c>
      <c r="P587" s="19" t="s">
        <v>60</v>
      </c>
      <c r="Q587">
        <v>3</v>
      </c>
      <c r="R587" s="19" t="s">
        <v>113</v>
      </c>
      <c r="S587">
        <v>71640</v>
      </c>
      <c r="T587" s="19" t="s">
        <v>64</v>
      </c>
      <c r="U587">
        <v>447.75</v>
      </c>
      <c r="V587">
        <v>6</v>
      </c>
      <c r="W587" s="19" t="s">
        <v>55</v>
      </c>
      <c r="X587">
        <v>18</v>
      </c>
      <c r="Y587">
        <v>3</v>
      </c>
      <c r="Z587">
        <v>4</v>
      </c>
      <c r="AA587">
        <v>1</v>
      </c>
      <c r="AB587">
        <v>6</v>
      </c>
      <c r="AC587">
        <v>3</v>
      </c>
      <c r="AD587">
        <v>3</v>
      </c>
      <c r="AE587">
        <v>4</v>
      </c>
      <c r="AF587">
        <v>3</v>
      </c>
      <c r="AG587">
        <v>1</v>
      </c>
      <c r="AH587">
        <v>2</v>
      </c>
      <c r="AI587">
        <v>0</v>
      </c>
      <c r="AJ587" s="19" t="s">
        <v>1567</v>
      </c>
      <c r="AK587" s="19" t="s">
        <v>1562</v>
      </c>
      <c r="AL587">
        <v>0</v>
      </c>
      <c r="AM587" s="19" t="s">
        <v>1563</v>
      </c>
      <c r="AN587">
        <v>0.45235457110510058</v>
      </c>
      <c r="AO587">
        <v>859680</v>
      </c>
    </row>
    <row r="588" spans="1:41" x14ac:dyDescent="0.3">
      <c r="A588" s="19" t="s">
        <v>656</v>
      </c>
      <c r="B588">
        <v>34</v>
      </c>
      <c r="C588" s="19" t="s">
        <v>196</v>
      </c>
      <c r="D588" s="19" t="s">
        <v>55</v>
      </c>
      <c r="E588" s="19" t="s">
        <v>48</v>
      </c>
      <c r="F588">
        <v>629</v>
      </c>
      <c r="G588" s="19" t="s">
        <v>49</v>
      </c>
      <c r="H588">
        <v>27</v>
      </c>
      <c r="I588">
        <v>2</v>
      </c>
      <c r="J588" s="19" t="s">
        <v>58</v>
      </c>
      <c r="K588">
        <v>247</v>
      </c>
      <c r="L588">
        <v>4</v>
      </c>
      <c r="M588" s="19" t="s">
        <v>59</v>
      </c>
      <c r="N588">
        <v>3</v>
      </c>
      <c r="O588">
        <v>1</v>
      </c>
      <c r="P588" s="19" t="s">
        <v>67</v>
      </c>
      <c r="Q588">
        <v>2</v>
      </c>
      <c r="R588" s="19" t="s">
        <v>53</v>
      </c>
      <c r="S588">
        <v>66510</v>
      </c>
      <c r="T588" s="19" t="s">
        <v>64</v>
      </c>
      <c r="U588">
        <v>415.69</v>
      </c>
      <c r="V588">
        <v>2</v>
      </c>
      <c r="W588" s="19" t="s">
        <v>55</v>
      </c>
      <c r="X588">
        <v>15</v>
      </c>
      <c r="Y588">
        <v>3</v>
      </c>
      <c r="Z588">
        <v>4</v>
      </c>
      <c r="AA588">
        <v>0</v>
      </c>
      <c r="AB588">
        <v>9</v>
      </c>
      <c r="AC588">
        <v>3</v>
      </c>
      <c r="AD588">
        <v>3</v>
      </c>
      <c r="AE588">
        <v>3</v>
      </c>
      <c r="AF588">
        <v>2</v>
      </c>
      <c r="AG588">
        <v>1</v>
      </c>
      <c r="AH588">
        <v>2</v>
      </c>
      <c r="AI588">
        <v>0</v>
      </c>
      <c r="AJ588" s="19" t="s">
        <v>1566</v>
      </c>
      <c r="AK588" s="19" t="s">
        <v>1562</v>
      </c>
      <c r="AL588">
        <v>1</v>
      </c>
      <c r="AM588" s="19" t="s">
        <v>1565</v>
      </c>
      <c r="AN588">
        <v>0.3337717770893357</v>
      </c>
      <c r="AO588">
        <v>798120</v>
      </c>
    </row>
    <row r="589" spans="1:41" x14ac:dyDescent="0.3">
      <c r="A589" s="19" t="s">
        <v>657</v>
      </c>
      <c r="B589">
        <v>34</v>
      </c>
      <c r="C589" s="19" t="s">
        <v>196</v>
      </c>
      <c r="D589" s="19" t="s">
        <v>55</v>
      </c>
      <c r="E589" s="19" t="s">
        <v>62</v>
      </c>
      <c r="F589">
        <v>1069</v>
      </c>
      <c r="G589" s="19" t="s">
        <v>49</v>
      </c>
      <c r="H589">
        <v>2</v>
      </c>
      <c r="I589">
        <v>1</v>
      </c>
      <c r="J589" s="19" t="s">
        <v>50</v>
      </c>
      <c r="K589">
        <v>256</v>
      </c>
      <c r="L589">
        <v>4</v>
      </c>
      <c r="M589" s="19" t="s">
        <v>51</v>
      </c>
      <c r="N589">
        <v>2</v>
      </c>
      <c r="O589">
        <v>2</v>
      </c>
      <c r="P589" s="19" t="s">
        <v>120</v>
      </c>
      <c r="Q589">
        <v>3</v>
      </c>
      <c r="R589" s="19" t="s">
        <v>113</v>
      </c>
      <c r="S589">
        <v>35911</v>
      </c>
      <c r="T589" s="19" t="s">
        <v>72</v>
      </c>
      <c r="U589">
        <v>224.44</v>
      </c>
      <c r="V589">
        <v>1</v>
      </c>
      <c r="W589" s="19" t="s">
        <v>55</v>
      </c>
      <c r="X589">
        <v>17</v>
      </c>
      <c r="Y589">
        <v>3</v>
      </c>
      <c r="Z589">
        <v>3</v>
      </c>
      <c r="AA589">
        <v>0</v>
      </c>
      <c r="AB589">
        <v>10</v>
      </c>
      <c r="AC589">
        <v>2</v>
      </c>
      <c r="AD589">
        <v>2</v>
      </c>
      <c r="AE589">
        <v>10</v>
      </c>
      <c r="AF589">
        <v>9</v>
      </c>
      <c r="AG589">
        <v>1</v>
      </c>
      <c r="AH589">
        <v>9</v>
      </c>
      <c r="AI589">
        <v>0</v>
      </c>
      <c r="AJ589" s="19" t="s">
        <v>1569</v>
      </c>
      <c r="AK589" s="19" t="s">
        <v>1562</v>
      </c>
      <c r="AL589">
        <v>1</v>
      </c>
      <c r="AM589" s="19" t="s">
        <v>1565</v>
      </c>
      <c r="AN589">
        <v>-0.18928258471817208</v>
      </c>
      <c r="AO589">
        <v>430932</v>
      </c>
    </row>
    <row r="590" spans="1:41" x14ac:dyDescent="0.3">
      <c r="A590" s="19" t="s">
        <v>658</v>
      </c>
      <c r="B590">
        <v>34</v>
      </c>
      <c r="C590" s="19" t="s">
        <v>196</v>
      </c>
      <c r="D590" s="19" t="s">
        <v>55</v>
      </c>
      <c r="E590" s="19" t="s">
        <v>62</v>
      </c>
      <c r="F590">
        <v>878</v>
      </c>
      <c r="G590" s="19" t="s">
        <v>49</v>
      </c>
      <c r="H590">
        <v>10</v>
      </c>
      <c r="I590">
        <v>4</v>
      </c>
      <c r="J590" s="19" t="s">
        <v>58</v>
      </c>
      <c r="K590">
        <v>277</v>
      </c>
      <c r="L590">
        <v>4</v>
      </c>
      <c r="M590" s="19" t="s">
        <v>51</v>
      </c>
      <c r="N590">
        <v>3</v>
      </c>
      <c r="O590">
        <v>1</v>
      </c>
      <c r="P590" s="19" t="s">
        <v>67</v>
      </c>
      <c r="Q590">
        <v>3</v>
      </c>
      <c r="R590" s="19" t="s">
        <v>53</v>
      </c>
      <c r="S590">
        <v>60031</v>
      </c>
      <c r="T590" s="19" t="s">
        <v>64</v>
      </c>
      <c r="U590">
        <v>375.19</v>
      </c>
      <c r="V590">
        <v>1</v>
      </c>
      <c r="W590" s="19" t="s">
        <v>47</v>
      </c>
      <c r="X590">
        <v>17</v>
      </c>
      <c r="Y590">
        <v>3</v>
      </c>
      <c r="Z590">
        <v>4</v>
      </c>
      <c r="AA590">
        <v>1</v>
      </c>
      <c r="AB590">
        <v>5</v>
      </c>
      <c r="AC590">
        <v>4</v>
      </c>
      <c r="AD590">
        <v>4</v>
      </c>
      <c r="AE590">
        <v>5</v>
      </c>
      <c r="AF590">
        <v>3</v>
      </c>
      <c r="AG590">
        <v>2</v>
      </c>
      <c r="AH590">
        <v>0</v>
      </c>
      <c r="AI590">
        <v>0</v>
      </c>
      <c r="AJ590" s="19" t="s">
        <v>1567</v>
      </c>
      <c r="AK590" s="19" t="s">
        <v>1562</v>
      </c>
      <c r="AL590">
        <v>1</v>
      </c>
      <c r="AM590" s="19" t="s">
        <v>1565</v>
      </c>
      <c r="AN590">
        <v>0.20384383627198785</v>
      </c>
      <c r="AO590">
        <v>720372</v>
      </c>
    </row>
    <row r="591" spans="1:41" x14ac:dyDescent="0.3">
      <c r="A591" s="19" t="s">
        <v>659</v>
      </c>
      <c r="B591">
        <v>34</v>
      </c>
      <c r="C591" s="19" t="s">
        <v>196</v>
      </c>
      <c r="D591" s="19" t="s">
        <v>55</v>
      </c>
      <c r="E591" s="19" t="s">
        <v>48</v>
      </c>
      <c r="F591">
        <v>470</v>
      </c>
      <c r="G591" s="19" t="s">
        <v>49</v>
      </c>
      <c r="H591">
        <v>2</v>
      </c>
      <c r="I591">
        <v>4</v>
      </c>
      <c r="J591" s="19" t="s">
        <v>50</v>
      </c>
      <c r="K591">
        <v>339</v>
      </c>
      <c r="L591">
        <v>4</v>
      </c>
      <c r="M591" s="19" t="s">
        <v>51</v>
      </c>
      <c r="N591">
        <v>2</v>
      </c>
      <c r="O591">
        <v>2</v>
      </c>
      <c r="P591" s="19" t="s">
        <v>120</v>
      </c>
      <c r="Q591">
        <v>1</v>
      </c>
      <c r="R591" s="19" t="s">
        <v>113</v>
      </c>
      <c r="S591">
        <v>89726</v>
      </c>
      <c r="T591" s="19" t="s">
        <v>70</v>
      </c>
      <c r="U591">
        <v>560.79</v>
      </c>
      <c r="V591">
        <v>6</v>
      </c>
      <c r="W591" s="19" t="s">
        <v>55</v>
      </c>
      <c r="X591">
        <v>13</v>
      </c>
      <c r="Y591">
        <v>3</v>
      </c>
      <c r="Z591">
        <v>2</v>
      </c>
      <c r="AA591">
        <v>1</v>
      </c>
      <c r="AB591">
        <v>13</v>
      </c>
      <c r="AC591">
        <v>3</v>
      </c>
      <c r="AD591">
        <v>3</v>
      </c>
      <c r="AE591">
        <v>11</v>
      </c>
      <c r="AF591">
        <v>9</v>
      </c>
      <c r="AG591">
        <v>5</v>
      </c>
      <c r="AH591">
        <v>9</v>
      </c>
      <c r="AI591">
        <v>0</v>
      </c>
      <c r="AJ591" s="19" t="s">
        <v>1571</v>
      </c>
      <c r="AK591" s="19" t="s">
        <v>1570</v>
      </c>
      <c r="AL591">
        <v>2</v>
      </c>
      <c r="AM591" s="19" t="s">
        <v>1564</v>
      </c>
      <c r="AN591">
        <v>1.0256308875714208</v>
      </c>
      <c r="AO591">
        <v>1076712</v>
      </c>
    </row>
    <row r="592" spans="1:41" x14ac:dyDescent="0.3">
      <c r="A592" s="19" t="s">
        <v>660</v>
      </c>
      <c r="B592">
        <v>34</v>
      </c>
      <c r="C592" s="19" t="s">
        <v>196</v>
      </c>
      <c r="D592" s="19" t="s">
        <v>47</v>
      </c>
      <c r="E592" s="19" t="s">
        <v>66</v>
      </c>
      <c r="F592">
        <v>1362</v>
      </c>
      <c r="G592" s="19" t="s">
        <v>57</v>
      </c>
      <c r="H592">
        <v>19</v>
      </c>
      <c r="I592">
        <v>3</v>
      </c>
      <c r="J592" s="19" t="s">
        <v>63</v>
      </c>
      <c r="K592">
        <v>502</v>
      </c>
      <c r="L592">
        <v>1</v>
      </c>
      <c r="M592" s="19" t="s">
        <v>51</v>
      </c>
      <c r="N592">
        <v>4</v>
      </c>
      <c r="O592">
        <v>2</v>
      </c>
      <c r="P592" s="19" t="s">
        <v>145</v>
      </c>
      <c r="Q592">
        <v>4</v>
      </c>
      <c r="R592" s="19" t="s">
        <v>53</v>
      </c>
      <c r="S592">
        <v>8357</v>
      </c>
      <c r="T592" s="19" t="s">
        <v>54</v>
      </c>
      <c r="U592">
        <v>52.23</v>
      </c>
      <c r="V592">
        <v>8</v>
      </c>
      <c r="W592" s="19" t="s">
        <v>47</v>
      </c>
      <c r="X592">
        <v>13</v>
      </c>
      <c r="Y592">
        <v>3</v>
      </c>
      <c r="Z592">
        <v>2</v>
      </c>
      <c r="AA592">
        <v>0</v>
      </c>
      <c r="AB592">
        <v>9</v>
      </c>
      <c r="AC592">
        <v>3</v>
      </c>
      <c r="AD592">
        <v>2</v>
      </c>
      <c r="AE592">
        <v>5</v>
      </c>
      <c r="AF592">
        <v>2</v>
      </c>
      <c r="AG592">
        <v>0</v>
      </c>
      <c r="AH592">
        <v>4</v>
      </c>
      <c r="AI592">
        <v>1</v>
      </c>
      <c r="AJ592" s="19" t="s">
        <v>1567</v>
      </c>
      <c r="AK592" s="19" t="s">
        <v>1562</v>
      </c>
      <c r="AL592">
        <v>2</v>
      </c>
      <c r="AM592" s="19" t="s">
        <v>1564</v>
      </c>
      <c r="AN592">
        <v>-0.82965051209189156</v>
      </c>
      <c r="AO592">
        <v>100284</v>
      </c>
    </row>
    <row r="593" spans="1:41" x14ac:dyDescent="0.3">
      <c r="A593" s="19" t="s">
        <v>661</v>
      </c>
      <c r="B593">
        <v>34</v>
      </c>
      <c r="C593" s="19" t="s">
        <v>196</v>
      </c>
      <c r="D593" s="19" t="s">
        <v>55</v>
      </c>
      <c r="E593" s="19" t="s">
        <v>66</v>
      </c>
      <c r="F593">
        <v>1381</v>
      </c>
      <c r="G593" s="19" t="s">
        <v>57</v>
      </c>
      <c r="H593">
        <v>4</v>
      </c>
      <c r="I593">
        <v>4</v>
      </c>
      <c r="J593" s="19" t="s">
        <v>63</v>
      </c>
      <c r="K593">
        <v>523</v>
      </c>
      <c r="L593">
        <v>3</v>
      </c>
      <c r="M593" s="19" t="s">
        <v>59</v>
      </c>
      <c r="N593">
        <v>3</v>
      </c>
      <c r="O593">
        <v>2</v>
      </c>
      <c r="P593" s="19" t="s">
        <v>145</v>
      </c>
      <c r="Q593">
        <v>3</v>
      </c>
      <c r="R593" s="19" t="s">
        <v>113</v>
      </c>
      <c r="S593">
        <v>33479</v>
      </c>
      <c r="T593" s="19" t="s">
        <v>72</v>
      </c>
      <c r="U593">
        <v>209.24</v>
      </c>
      <c r="V593">
        <v>9</v>
      </c>
      <c r="W593" s="19" t="s">
        <v>55</v>
      </c>
      <c r="X593">
        <v>15</v>
      </c>
      <c r="Y593">
        <v>3</v>
      </c>
      <c r="Z593">
        <v>1</v>
      </c>
      <c r="AA593">
        <v>1</v>
      </c>
      <c r="AB593">
        <v>6</v>
      </c>
      <c r="AC593">
        <v>3</v>
      </c>
      <c r="AD593">
        <v>3</v>
      </c>
      <c r="AE593">
        <v>3</v>
      </c>
      <c r="AF593">
        <v>2</v>
      </c>
      <c r="AG593">
        <v>1</v>
      </c>
      <c r="AH593">
        <v>2</v>
      </c>
      <c r="AI593">
        <v>0</v>
      </c>
      <c r="AJ593" s="19" t="s">
        <v>1566</v>
      </c>
      <c r="AK593" s="19" t="s">
        <v>1562</v>
      </c>
      <c r="AL593">
        <v>0</v>
      </c>
      <c r="AM593" s="19" t="s">
        <v>1563</v>
      </c>
      <c r="AN593">
        <v>-0.31756246192705961</v>
      </c>
      <c r="AO593">
        <v>401748</v>
      </c>
    </row>
    <row r="594" spans="1:41" x14ac:dyDescent="0.3">
      <c r="A594" s="19" t="s">
        <v>662</v>
      </c>
      <c r="B594">
        <v>34</v>
      </c>
      <c r="C594" s="19" t="s">
        <v>196</v>
      </c>
      <c r="D594" s="19" t="s">
        <v>47</v>
      </c>
      <c r="E594" s="19" t="s">
        <v>62</v>
      </c>
      <c r="F594">
        <v>296</v>
      </c>
      <c r="G594" s="19" t="s">
        <v>57</v>
      </c>
      <c r="H594">
        <v>6</v>
      </c>
      <c r="I594">
        <v>2</v>
      </c>
      <c r="J594" s="19" t="s">
        <v>63</v>
      </c>
      <c r="K594">
        <v>555</v>
      </c>
      <c r="L594">
        <v>4</v>
      </c>
      <c r="M594" s="19" t="s">
        <v>59</v>
      </c>
      <c r="N594">
        <v>1</v>
      </c>
      <c r="O594">
        <v>1</v>
      </c>
      <c r="P594" s="19" t="s">
        <v>60</v>
      </c>
      <c r="Q594">
        <v>3</v>
      </c>
      <c r="R594" s="19" t="s">
        <v>53</v>
      </c>
      <c r="S594">
        <v>62476</v>
      </c>
      <c r="T594" s="19" t="s">
        <v>64</v>
      </c>
      <c r="U594">
        <v>390.48</v>
      </c>
      <c r="V594">
        <v>0</v>
      </c>
      <c r="W594" s="19" t="s">
        <v>55</v>
      </c>
      <c r="X594">
        <v>16</v>
      </c>
      <c r="Y594">
        <v>3</v>
      </c>
      <c r="Z594">
        <v>4</v>
      </c>
      <c r="AA594">
        <v>1</v>
      </c>
      <c r="AB594">
        <v>3</v>
      </c>
      <c r="AC594">
        <v>3</v>
      </c>
      <c r="AD594">
        <v>2</v>
      </c>
      <c r="AE594">
        <v>2</v>
      </c>
      <c r="AF594">
        <v>2</v>
      </c>
      <c r="AG594">
        <v>1</v>
      </c>
      <c r="AH594">
        <v>0</v>
      </c>
      <c r="AI594">
        <v>1</v>
      </c>
      <c r="AJ594" s="19" t="s">
        <v>1566</v>
      </c>
      <c r="AK594" s="19" t="s">
        <v>1562</v>
      </c>
      <c r="AL594">
        <v>1</v>
      </c>
      <c r="AM594" s="19" t="s">
        <v>1565</v>
      </c>
      <c r="AN594">
        <v>0.26657320190343753</v>
      </c>
      <c r="AO594">
        <v>749712</v>
      </c>
    </row>
    <row r="595" spans="1:41" x14ac:dyDescent="0.3">
      <c r="A595" s="19" t="s">
        <v>663</v>
      </c>
      <c r="B595">
        <v>34</v>
      </c>
      <c r="C595" s="19" t="s">
        <v>196</v>
      </c>
      <c r="D595" s="19" t="s">
        <v>55</v>
      </c>
      <c r="E595" s="19" t="s">
        <v>48</v>
      </c>
      <c r="F595">
        <v>1303</v>
      </c>
      <c r="G595" s="19" t="s">
        <v>49</v>
      </c>
      <c r="H595">
        <v>2</v>
      </c>
      <c r="I595">
        <v>4</v>
      </c>
      <c r="J595" s="19" t="s">
        <v>50</v>
      </c>
      <c r="K595">
        <v>579</v>
      </c>
      <c r="L595">
        <v>4</v>
      </c>
      <c r="M595" s="19" t="s">
        <v>51</v>
      </c>
      <c r="N595">
        <v>2</v>
      </c>
      <c r="O595">
        <v>1</v>
      </c>
      <c r="P595" s="19" t="s">
        <v>67</v>
      </c>
      <c r="Q595">
        <v>3</v>
      </c>
      <c r="R595" s="19" t="s">
        <v>53</v>
      </c>
      <c r="S595">
        <v>45811</v>
      </c>
      <c r="T595" s="19" t="s">
        <v>72</v>
      </c>
      <c r="U595">
        <v>286.32</v>
      </c>
      <c r="V595">
        <v>3</v>
      </c>
      <c r="W595" s="19" t="s">
        <v>55</v>
      </c>
      <c r="X595">
        <v>12</v>
      </c>
      <c r="Y595">
        <v>3</v>
      </c>
      <c r="Z595">
        <v>3</v>
      </c>
      <c r="AA595">
        <v>1</v>
      </c>
      <c r="AB595">
        <v>14</v>
      </c>
      <c r="AC595">
        <v>3</v>
      </c>
      <c r="AD595">
        <v>3</v>
      </c>
      <c r="AE595">
        <v>7</v>
      </c>
      <c r="AF595">
        <v>3</v>
      </c>
      <c r="AG595">
        <v>5</v>
      </c>
      <c r="AH595">
        <v>7</v>
      </c>
      <c r="AI595">
        <v>0</v>
      </c>
      <c r="AJ595" s="19" t="s">
        <v>1569</v>
      </c>
      <c r="AK595" s="19" t="s">
        <v>1570</v>
      </c>
      <c r="AL595">
        <v>1</v>
      </c>
      <c r="AM595" s="19" t="s">
        <v>1565</v>
      </c>
      <c r="AN595">
        <v>-8.1319818369575123E-2</v>
      </c>
      <c r="AO595">
        <v>549732</v>
      </c>
    </row>
    <row r="596" spans="1:41" x14ac:dyDescent="0.3">
      <c r="A596" s="19" t="s">
        <v>664</v>
      </c>
      <c r="B596">
        <v>34</v>
      </c>
      <c r="C596" s="19" t="s">
        <v>196</v>
      </c>
      <c r="D596" s="19" t="s">
        <v>47</v>
      </c>
      <c r="E596" s="19" t="s">
        <v>62</v>
      </c>
      <c r="F596">
        <v>988</v>
      </c>
      <c r="G596" s="19" t="s">
        <v>80</v>
      </c>
      <c r="H596">
        <v>23</v>
      </c>
      <c r="I596">
        <v>3</v>
      </c>
      <c r="J596" s="19" t="s">
        <v>80</v>
      </c>
      <c r="K596">
        <v>590</v>
      </c>
      <c r="L596">
        <v>2</v>
      </c>
      <c r="M596" s="19" t="s">
        <v>59</v>
      </c>
      <c r="N596">
        <v>3</v>
      </c>
      <c r="O596">
        <v>3</v>
      </c>
      <c r="P596" s="19" t="s">
        <v>80</v>
      </c>
      <c r="Q596">
        <v>1</v>
      </c>
      <c r="R596" s="19" t="s">
        <v>53</v>
      </c>
      <c r="S596">
        <v>37208</v>
      </c>
      <c r="T596" s="19" t="s">
        <v>72</v>
      </c>
      <c r="U596">
        <v>232.55</v>
      </c>
      <c r="V596">
        <v>9</v>
      </c>
      <c r="W596" s="19" t="s">
        <v>47</v>
      </c>
      <c r="X596">
        <v>15</v>
      </c>
      <c r="Y596">
        <v>3</v>
      </c>
      <c r="Z596">
        <v>3</v>
      </c>
      <c r="AA596">
        <v>3</v>
      </c>
      <c r="AB596">
        <v>11</v>
      </c>
      <c r="AC596">
        <v>2</v>
      </c>
      <c r="AD596">
        <v>3</v>
      </c>
      <c r="AE596">
        <v>3</v>
      </c>
      <c r="AF596">
        <v>2</v>
      </c>
      <c r="AG596">
        <v>0</v>
      </c>
      <c r="AH596">
        <v>2</v>
      </c>
      <c r="AI596">
        <v>1</v>
      </c>
      <c r="AJ596" s="19" t="s">
        <v>1566</v>
      </c>
      <c r="AK596" s="19" t="s">
        <v>1562</v>
      </c>
      <c r="AL596">
        <v>2</v>
      </c>
      <c r="AM596" s="19" t="s">
        <v>1564</v>
      </c>
      <c r="AN596">
        <v>-0.2667513046246433</v>
      </c>
      <c r="AO596">
        <v>446496</v>
      </c>
    </row>
    <row r="597" spans="1:41" x14ac:dyDescent="0.3">
      <c r="A597" s="19" t="s">
        <v>665</v>
      </c>
      <c r="B597">
        <v>34</v>
      </c>
      <c r="C597" s="19" t="s">
        <v>196</v>
      </c>
      <c r="D597" s="19" t="s">
        <v>55</v>
      </c>
      <c r="E597" s="19" t="s">
        <v>48</v>
      </c>
      <c r="F597">
        <v>258</v>
      </c>
      <c r="G597" s="19" t="s">
        <v>57</v>
      </c>
      <c r="H597">
        <v>21</v>
      </c>
      <c r="I597">
        <v>4</v>
      </c>
      <c r="J597" s="19" t="s">
        <v>50</v>
      </c>
      <c r="K597">
        <v>621</v>
      </c>
      <c r="L597">
        <v>4</v>
      </c>
      <c r="M597" s="19" t="s">
        <v>51</v>
      </c>
      <c r="N597">
        <v>4</v>
      </c>
      <c r="O597">
        <v>2</v>
      </c>
      <c r="P597" s="19" t="s">
        <v>145</v>
      </c>
      <c r="Q597">
        <v>4</v>
      </c>
      <c r="R597" s="19" t="s">
        <v>53</v>
      </c>
      <c r="S597">
        <v>21150</v>
      </c>
      <c r="T597" s="19" t="s">
        <v>54</v>
      </c>
      <c r="U597">
        <v>132.19</v>
      </c>
      <c r="V597">
        <v>1</v>
      </c>
      <c r="W597" s="19" t="s">
        <v>55</v>
      </c>
      <c r="X597">
        <v>12</v>
      </c>
      <c r="Y597">
        <v>3</v>
      </c>
      <c r="Z597">
        <v>4</v>
      </c>
      <c r="AA597">
        <v>0</v>
      </c>
      <c r="AB597">
        <v>10</v>
      </c>
      <c r="AC597">
        <v>3</v>
      </c>
      <c r="AD597">
        <v>3</v>
      </c>
      <c r="AE597">
        <v>10</v>
      </c>
      <c r="AF597">
        <v>7</v>
      </c>
      <c r="AG597">
        <v>5</v>
      </c>
      <c r="AH597">
        <v>7</v>
      </c>
      <c r="AI597">
        <v>0</v>
      </c>
      <c r="AJ597" s="19" t="s">
        <v>1569</v>
      </c>
      <c r="AK597" s="19" t="s">
        <v>1570</v>
      </c>
      <c r="AL597">
        <v>1</v>
      </c>
      <c r="AM597" s="19" t="s">
        <v>1565</v>
      </c>
      <c r="AN597">
        <v>-0.56887738790756326</v>
      </c>
      <c r="AO597">
        <v>253800</v>
      </c>
    </row>
    <row r="598" spans="1:41" x14ac:dyDescent="0.3">
      <c r="A598" s="19" t="s">
        <v>666</v>
      </c>
      <c r="B598">
        <v>34</v>
      </c>
      <c r="C598" s="19" t="s">
        <v>196</v>
      </c>
      <c r="D598" s="19" t="s">
        <v>55</v>
      </c>
      <c r="E598" s="19" t="s">
        <v>48</v>
      </c>
      <c r="F598">
        <v>254</v>
      </c>
      <c r="G598" s="19" t="s">
        <v>49</v>
      </c>
      <c r="H598">
        <v>1</v>
      </c>
      <c r="I598">
        <v>2</v>
      </c>
      <c r="J598" s="19" t="s">
        <v>50</v>
      </c>
      <c r="K598">
        <v>649</v>
      </c>
      <c r="L598">
        <v>2</v>
      </c>
      <c r="M598" s="19" t="s">
        <v>51</v>
      </c>
      <c r="N598">
        <v>2</v>
      </c>
      <c r="O598">
        <v>1</v>
      </c>
      <c r="P598" s="19" t="s">
        <v>67</v>
      </c>
      <c r="Q598">
        <v>4</v>
      </c>
      <c r="R598" s="19" t="s">
        <v>113</v>
      </c>
      <c r="S598">
        <v>72180</v>
      </c>
      <c r="T598" s="19" t="s">
        <v>64</v>
      </c>
      <c r="U598">
        <v>451.12</v>
      </c>
      <c r="V598">
        <v>1</v>
      </c>
      <c r="W598" s="19" t="s">
        <v>47</v>
      </c>
      <c r="X598">
        <v>13</v>
      </c>
      <c r="Y598">
        <v>3</v>
      </c>
      <c r="Z598">
        <v>4</v>
      </c>
      <c r="AA598">
        <v>1</v>
      </c>
      <c r="AB598">
        <v>6</v>
      </c>
      <c r="AC598">
        <v>3</v>
      </c>
      <c r="AD598">
        <v>3</v>
      </c>
      <c r="AE598">
        <v>6</v>
      </c>
      <c r="AF598">
        <v>5</v>
      </c>
      <c r="AG598">
        <v>1</v>
      </c>
      <c r="AH598">
        <v>3</v>
      </c>
      <c r="AI598">
        <v>0</v>
      </c>
      <c r="AJ598" s="19" t="s">
        <v>1569</v>
      </c>
      <c r="AK598" s="19" t="s">
        <v>1562</v>
      </c>
      <c r="AL598">
        <v>1</v>
      </c>
      <c r="AM598" s="19" t="s">
        <v>1565</v>
      </c>
      <c r="AN598">
        <v>0.44747627229451586</v>
      </c>
      <c r="AO598">
        <v>866160</v>
      </c>
    </row>
    <row r="599" spans="1:41" x14ac:dyDescent="0.3">
      <c r="A599" s="19" t="s">
        <v>667</v>
      </c>
      <c r="B599">
        <v>34</v>
      </c>
      <c r="C599" s="19" t="s">
        <v>196</v>
      </c>
      <c r="D599" s="19" t="s">
        <v>55</v>
      </c>
      <c r="E599" s="19" t="s">
        <v>48</v>
      </c>
      <c r="F599">
        <v>204</v>
      </c>
      <c r="G599" s="19" t="s">
        <v>57</v>
      </c>
      <c r="H599">
        <v>14</v>
      </c>
      <c r="I599">
        <v>3</v>
      </c>
      <c r="J599" s="19" t="s">
        <v>77</v>
      </c>
      <c r="K599">
        <v>666</v>
      </c>
      <c r="L599">
        <v>3</v>
      </c>
      <c r="M599" s="19" t="s">
        <v>59</v>
      </c>
      <c r="N599">
        <v>3</v>
      </c>
      <c r="O599">
        <v>1</v>
      </c>
      <c r="P599" s="19" t="s">
        <v>60</v>
      </c>
      <c r="Q599">
        <v>3</v>
      </c>
      <c r="R599" s="19" t="s">
        <v>53</v>
      </c>
      <c r="S599">
        <v>44286</v>
      </c>
      <c r="T599" s="19" t="s">
        <v>72</v>
      </c>
      <c r="U599">
        <v>276.79000000000002</v>
      </c>
      <c r="V599">
        <v>1</v>
      </c>
      <c r="W599" s="19" t="s">
        <v>47</v>
      </c>
      <c r="X599">
        <v>18</v>
      </c>
      <c r="Y599">
        <v>3</v>
      </c>
      <c r="Z599">
        <v>4</v>
      </c>
      <c r="AA599">
        <v>2</v>
      </c>
      <c r="AB599">
        <v>8</v>
      </c>
      <c r="AC599">
        <v>3</v>
      </c>
      <c r="AD599">
        <v>3</v>
      </c>
      <c r="AE599">
        <v>8</v>
      </c>
      <c r="AF599">
        <v>2</v>
      </c>
      <c r="AG599">
        <v>0</v>
      </c>
      <c r="AH599">
        <v>6</v>
      </c>
      <c r="AI599">
        <v>0</v>
      </c>
      <c r="AJ599" s="19" t="s">
        <v>1569</v>
      </c>
      <c r="AK599" s="19" t="s">
        <v>1562</v>
      </c>
      <c r="AL599">
        <v>1</v>
      </c>
      <c r="AM599" s="19" t="s">
        <v>1565</v>
      </c>
      <c r="AN599">
        <v>-0.10219186856559904</v>
      </c>
      <c r="AO599">
        <v>531432</v>
      </c>
    </row>
    <row r="600" spans="1:41" x14ac:dyDescent="0.3">
      <c r="A600" s="19" t="s">
        <v>668</v>
      </c>
      <c r="B600">
        <v>34</v>
      </c>
      <c r="C600" s="19" t="s">
        <v>196</v>
      </c>
      <c r="D600" s="19" t="s">
        <v>55</v>
      </c>
      <c r="E600" s="19" t="s">
        <v>48</v>
      </c>
      <c r="F600">
        <v>1397</v>
      </c>
      <c r="G600" s="19" t="s">
        <v>49</v>
      </c>
      <c r="H600">
        <v>1</v>
      </c>
      <c r="I600">
        <v>5</v>
      </c>
      <c r="J600" s="19" t="s">
        <v>50</v>
      </c>
      <c r="K600">
        <v>683</v>
      </c>
      <c r="L600">
        <v>2</v>
      </c>
      <c r="M600" s="19" t="s">
        <v>51</v>
      </c>
      <c r="N600">
        <v>3</v>
      </c>
      <c r="O600">
        <v>1</v>
      </c>
      <c r="P600" s="19" t="s">
        <v>67</v>
      </c>
      <c r="Q600">
        <v>4</v>
      </c>
      <c r="R600" s="19" t="s">
        <v>113</v>
      </c>
      <c r="S600">
        <v>69450</v>
      </c>
      <c r="T600" s="19" t="s">
        <v>64</v>
      </c>
      <c r="U600">
        <v>434.06</v>
      </c>
      <c r="V600">
        <v>1</v>
      </c>
      <c r="W600" s="19" t="s">
        <v>55</v>
      </c>
      <c r="X600">
        <v>12</v>
      </c>
      <c r="Y600">
        <v>3</v>
      </c>
      <c r="Z600">
        <v>4</v>
      </c>
      <c r="AA600">
        <v>1</v>
      </c>
      <c r="AB600">
        <v>10</v>
      </c>
      <c r="AC600">
        <v>4</v>
      </c>
      <c r="AD600">
        <v>2</v>
      </c>
      <c r="AE600">
        <v>10</v>
      </c>
      <c r="AF600">
        <v>9</v>
      </c>
      <c r="AG600">
        <v>8</v>
      </c>
      <c r="AH600">
        <v>8</v>
      </c>
      <c r="AI600">
        <v>0</v>
      </c>
      <c r="AJ600" s="19" t="s">
        <v>1569</v>
      </c>
      <c r="AK600" s="19" t="s">
        <v>1570</v>
      </c>
      <c r="AL600">
        <v>2</v>
      </c>
      <c r="AM600" s="19" t="s">
        <v>1564</v>
      </c>
      <c r="AN600">
        <v>0.39272966349202171</v>
      </c>
      <c r="AO600">
        <v>833400</v>
      </c>
    </row>
    <row r="601" spans="1:41" x14ac:dyDescent="0.3">
      <c r="A601" s="19" t="s">
        <v>669</v>
      </c>
      <c r="B601">
        <v>34</v>
      </c>
      <c r="C601" s="19" t="s">
        <v>196</v>
      </c>
      <c r="D601" s="19" t="s">
        <v>55</v>
      </c>
      <c r="E601" s="19" t="s">
        <v>48</v>
      </c>
      <c r="F601">
        <v>1442</v>
      </c>
      <c r="G601" s="19" t="s">
        <v>49</v>
      </c>
      <c r="H601">
        <v>9</v>
      </c>
      <c r="I601">
        <v>3</v>
      </c>
      <c r="J601" s="19" t="s">
        <v>58</v>
      </c>
      <c r="K601">
        <v>717</v>
      </c>
      <c r="L601">
        <v>4</v>
      </c>
      <c r="M601" s="19" t="s">
        <v>59</v>
      </c>
      <c r="N601">
        <v>2</v>
      </c>
      <c r="O601">
        <v>3</v>
      </c>
      <c r="P601" s="19" t="s">
        <v>168</v>
      </c>
      <c r="Q601">
        <v>2</v>
      </c>
      <c r="R601" s="19" t="s">
        <v>53</v>
      </c>
      <c r="S601">
        <v>22352</v>
      </c>
      <c r="T601" s="19" t="s">
        <v>54</v>
      </c>
      <c r="U601">
        <v>139.69999999999999</v>
      </c>
      <c r="V601">
        <v>1</v>
      </c>
      <c r="W601" s="19" t="s">
        <v>55</v>
      </c>
      <c r="X601">
        <v>14</v>
      </c>
      <c r="Y601">
        <v>3</v>
      </c>
      <c r="Z601">
        <v>2</v>
      </c>
      <c r="AA601">
        <v>0</v>
      </c>
      <c r="AB601">
        <v>9</v>
      </c>
      <c r="AC601">
        <v>3</v>
      </c>
      <c r="AD601">
        <v>4</v>
      </c>
      <c r="AE601">
        <v>8</v>
      </c>
      <c r="AF601">
        <v>7</v>
      </c>
      <c r="AG601">
        <v>7</v>
      </c>
      <c r="AH601">
        <v>7</v>
      </c>
      <c r="AI601">
        <v>0</v>
      </c>
      <c r="AJ601" s="19" t="s">
        <v>1569</v>
      </c>
      <c r="AK601" s="19" t="s">
        <v>1570</v>
      </c>
      <c r="AL601">
        <v>2</v>
      </c>
      <c r="AM601" s="19" t="s">
        <v>1564</v>
      </c>
      <c r="AN601">
        <v>-0.5361610795555608</v>
      </c>
      <c r="AO601">
        <v>268224</v>
      </c>
    </row>
    <row r="602" spans="1:41" x14ac:dyDescent="0.3">
      <c r="A602" s="19" t="s">
        <v>670</v>
      </c>
      <c r="B602">
        <v>34</v>
      </c>
      <c r="C602" s="19" t="s">
        <v>196</v>
      </c>
      <c r="D602" s="19" t="s">
        <v>55</v>
      </c>
      <c r="E602" s="19" t="s">
        <v>48</v>
      </c>
      <c r="F602">
        <v>970</v>
      </c>
      <c r="G602" s="19" t="s">
        <v>49</v>
      </c>
      <c r="H602">
        <v>8</v>
      </c>
      <c r="I602">
        <v>2</v>
      </c>
      <c r="J602" s="19" t="s">
        <v>58</v>
      </c>
      <c r="K602">
        <v>757</v>
      </c>
      <c r="L602">
        <v>2</v>
      </c>
      <c r="M602" s="19" t="s">
        <v>59</v>
      </c>
      <c r="N602">
        <v>3</v>
      </c>
      <c r="O602">
        <v>2</v>
      </c>
      <c r="P602" s="19" t="s">
        <v>168</v>
      </c>
      <c r="Q602">
        <v>3</v>
      </c>
      <c r="R602" s="19" t="s">
        <v>53</v>
      </c>
      <c r="S602">
        <v>56069</v>
      </c>
      <c r="T602" s="19" t="s">
        <v>64</v>
      </c>
      <c r="U602">
        <v>350.43</v>
      </c>
      <c r="V602">
        <v>3</v>
      </c>
      <c r="W602" s="19" t="s">
        <v>55</v>
      </c>
      <c r="X602">
        <v>11</v>
      </c>
      <c r="Y602">
        <v>3</v>
      </c>
      <c r="Z602">
        <v>4</v>
      </c>
      <c r="AA602">
        <v>0</v>
      </c>
      <c r="AB602">
        <v>10</v>
      </c>
      <c r="AC602">
        <v>2</v>
      </c>
      <c r="AD602">
        <v>3</v>
      </c>
      <c r="AE602">
        <v>5</v>
      </c>
      <c r="AF602">
        <v>1</v>
      </c>
      <c r="AG602">
        <v>4</v>
      </c>
      <c r="AH602">
        <v>3</v>
      </c>
      <c r="AI602">
        <v>0</v>
      </c>
      <c r="AJ602" s="19" t="s">
        <v>1567</v>
      </c>
      <c r="AK602" s="19" t="s">
        <v>1570</v>
      </c>
      <c r="AL602">
        <v>1</v>
      </c>
      <c r="AM602" s="19" t="s">
        <v>1565</v>
      </c>
      <c r="AN602">
        <v>0.1635193463850779</v>
      </c>
      <c r="AO602">
        <v>672828</v>
      </c>
    </row>
    <row r="603" spans="1:41" x14ac:dyDescent="0.3">
      <c r="A603" s="19" t="s">
        <v>671</v>
      </c>
      <c r="B603">
        <v>34</v>
      </c>
      <c r="C603" s="19" t="s">
        <v>196</v>
      </c>
      <c r="D603" s="19" t="s">
        <v>55</v>
      </c>
      <c r="E603" s="19" t="s">
        <v>48</v>
      </c>
      <c r="F603">
        <v>167</v>
      </c>
      <c r="G603" s="19" t="s">
        <v>49</v>
      </c>
      <c r="H603">
        <v>8</v>
      </c>
      <c r="I603">
        <v>5</v>
      </c>
      <c r="J603" s="19" t="s">
        <v>50</v>
      </c>
      <c r="K603">
        <v>775</v>
      </c>
      <c r="L603">
        <v>2</v>
      </c>
      <c r="M603" s="19" t="s">
        <v>59</v>
      </c>
      <c r="N603">
        <v>3</v>
      </c>
      <c r="O603">
        <v>2</v>
      </c>
      <c r="P603" s="19" t="s">
        <v>120</v>
      </c>
      <c r="Q603">
        <v>1</v>
      </c>
      <c r="R603" s="19" t="s">
        <v>53</v>
      </c>
      <c r="S603">
        <v>15397</v>
      </c>
      <c r="T603" s="19" t="s">
        <v>54</v>
      </c>
      <c r="U603">
        <v>96.23</v>
      </c>
      <c r="V603">
        <v>3</v>
      </c>
      <c r="W603" s="19" t="s">
        <v>55</v>
      </c>
      <c r="X603">
        <v>14</v>
      </c>
      <c r="Y603">
        <v>3</v>
      </c>
      <c r="Z603">
        <v>3</v>
      </c>
      <c r="AA603">
        <v>1</v>
      </c>
      <c r="AB603">
        <v>7</v>
      </c>
      <c r="AC603">
        <v>3</v>
      </c>
      <c r="AD603">
        <v>3</v>
      </c>
      <c r="AE603">
        <v>0</v>
      </c>
      <c r="AF603">
        <v>0</v>
      </c>
      <c r="AG603">
        <v>0</v>
      </c>
      <c r="AH603">
        <v>0</v>
      </c>
      <c r="AI603">
        <v>0</v>
      </c>
      <c r="AJ603" s="19" t="s">
        <v>1561</v>
      </c>
      <c r="AK603" s="19" t="s">
        <v>1562</v>
      </c>
      <c r="AL603">
        <v>1</v>
      </c>
      <c r="AM603" s="19" t="s">
        <v>1565</v>
      </c>
      <c r="AN603">
        <v>-0.6524013242991199</v>
      </c>
      <c r="AO603">
        <v>184764</v>
      </c>
    </row>
    <row r="604" spans="1:41" x14ac:dyDescent="0.3">
      <c r="A604" s="19" t="s">
        <v>672</v>
      </c>
      <c r="B604">
        <v>34</v>
      </c>
      <c r="C604" s="19" t="s">
        <v>196</v>
      </c>
      <c r="D604" s="19" t="s">
        <v>55</v>
      </c>
      <c r="E604" s="19" t="s">
        <v>48</v>
      </c>
      <c r="F604">
        <v>304</v>
      </c>
      <c r="G604" s="19" t="s">
        <v>57</v>
      </c>
      <c r="H604">
        <v>2</v>
      </c>
      <c r="I604">
        <v>3</v>
      </c>
      <c r="J604" s="19" t="s">
        <v>82</v>
      </c>
      <c r="K604">
        <v>786</v>
      </c>
      <c r="L604">
        <v>4</v>
      </c>
      <c r="M604" s="19" t="s">
        <v>51</v>
      </c>
      <c r="N604">
        <v>3</v>
      </c>
      <c r="O604">
        <v>2</v>
      </c>
      <c r="P604" s="19" t="s">
        <v>145</v>
      </c>
      <c r="Q604">
        <v>4</v>
      </c>
      <c r="R604" s="19" t="s">
        <v>53</v>
      </c>
      <c r="S604">
        <v>42555</v>
      </c>
      <c r="T604" s="19" t="s">
        <v>72</v>
      </c>
      <c r="U604">
        <v>265.97000000000003</v>
      </c>
      <c r="V604">
        <v>1</v>
      </c>
      <c r="W604" s="19" t="s">
        <v>55</v>
      </c>
      <c r="X604">
        <v>22</v>
      </c>
      <c r="Y604">
        <v>4</v>
      </c>
      <c r="Z604">
        <v>3</v>
      </c>
      <c r="AA604">
        <v>0</v>
      </c>
      <c r="AB604">
        <v>6</v>
      </c>
      <c r="AC604">
        <v>5</v>
      </c>
      <c r="AD604">
        <v>3</v>
      </c>
      <c r="AE604">
        <v>6</v>
      </c>
      <c r="AF604">
        <v>5</v>
      </c>
      <c r="AG604">
        <v>1</v>
      </c>
      <c r="AH604">
        <v>4</v>
      </c>
      <c r="AI604">
        <v>0</v>
      </c>
      <c r="AJ604" s="19" t="s">
        <v>1569</v>
      </c>
      <c r="AK604" s="19" t="s">
        <v>1562</v>
      </c>
      <c r="AL604">
        <v>0</v>
      </c>
      <c r="AM604" s="19" t="s">
        <v>1563</v>
      </c>
      <c r="AN604">
        <v>-0.13255684361259359</v>
      </c>
      <c r="AO604">
        <v>510660</v>
      </c>
    </row>
    <row r="605" spans="1:41" x14ac:dyDescent="0.3">
      <c r="A605" s="19" t="s">
        <v>673</v>
      </c>
      <c r="B605">
        <v>34</v>
      </c>
      <c r="C605" s="19" t="s">
        <v>196</v>
      </c>
      <c r="D605" s="19" t="s">
        <v>55</v>
      </c>
      <c r="E605" s="19" t="s">
        <v>48</v>
      </c>
      <c r="F605">
        <v>182</v>
      </c>
      <c r="G605" s="19" t="s">
        <v>49</v>
      </c>
      <c r="H605">
        <v>1</v>
      </c>
      <c r="I605">
        <v>4</v>
      </c>
      <c r="J605" s="19" t="s">
        <v>50</v>
      </c>
      <c r="K605">
        <v>797</v>
      </c>
      <c r="L605">
        <v>2</v>
      </c>
      <c r="M605" s="19" t="s">
        <v>59</v>
      </c>
      <c r="N605">
        <v>4</v>
      </c>
      <c r="O605">
        <v>1</v>
      </c>
      <c r="P605" s="19" t="s">
        <v>67</v>
      </c>
      <c r="Q605">
        <v>4</v>
      </c>
      <c r="R605" s="19" t="s">
        <v>53</v>
      </c>
      <c r="S605">
        <v>47959</v>
      </c>
      <c r="T605" s="19" t="s">
        <v>72</v>
      </c>
      <c r="U605">
        <v>299.74</v>
      </c>
      <c r="V605">
        <v>2</v>
      </c>
      <c r="W605" s="19" t="s">
        <v>55</v>
      </c>
      <c r="X605">
        <v>16</v>
      </c>
      <c r="Y605">
        <v>3</v>
      </c>
      <c r="Z605">
        <v>3</v>
      </c>
      <c r="AA605">
        <v>0</v>
      </c>
      <c r="AB605">
        <v>10</v>
      </c>
      <c r="AC605">
        <v>2</v>
      </c>
      <c r="AD605">
        <v>3</v>
      </c>
      <c r="AE605">
        <v>4</v>
      </c>
      <c r="AF605">
        <v>2</v>
      </c>
      <c r="AG605">
        <v>1</v>
      </c>
      <c r="AH605">
        <v>3</v>
      </c>
      <c r="AI605">
        <v>0</v>
      </c>
      <c r="AJ605" s="19" t="s">
        <v>1567</v>
      </c>
      <c r="AK605" s="19" t="s">
        <v>1562</v>
      </c>
      <c r="AL605">
        <v>0</v>
      </c>
      <c r="AM605" s="19" t="s">
        <v>1563</v>
      </c>
      <c r="AN605">
        <v>-3.8244464630469835E-2</v>
      </c>
      <c r="AO605">
        <v>575508</v>
      </c>
    </row>
    <row r="606" spans="1:41" x14ac:dyDescent="0.3">
      <c r="A606" s="19" t="s">
        <v>674</v>
      </c>
      <c r="B606">
        <v>34</v>
      </c>
      <c r="C606" s="19" t="s">
        <v>196</v>
      </c>
      <c r="D606" s="19" t="s">
        <v>55</v>
      </c>
      <c r="E606" s="19" t="s">
        <v>48</v>
      </c>
      <c r="F606">
        <v>121</v>
      </c>
      <c r="G606" s="19" t="s">
        <v>49</v>
      </c>
      <c r="H606">
        <v>2</v>
      </c>
      <c r="I606">
        <v>4</v>
      </c>
      <c r="J606" s="19" t="s">
        <v>58</v>
      </c>
      <c r="K606">
        <v>804</v>
      </c>
      <c r="L606">
        <v>3</v>
      </c>
      <c r="M606" s="19" t="s">
        <v>59</v>
      </c>
      <c r="N606">
        <v>2</v>
      </c>
      <c r="O606">
        <v>1</v>
      </c>
      <c r="P606" s="19" t="s">
        <v>67</v>
      </c>
      <c r="Q606">
        <v>1</v>
      </c>
      <c r="R606" s="19" t="s">
        <v>53</v>
      </c>
      <c r="S606">
        <v>1728</v>
      </c>
      <c r="T606" s="19" t="s">
        <v>54</v>
      </c>
      <c r="U606">
        <v>10.8</v>
      </c>
      <c r="V606">
        <v>1</v>
      </c>
      <c r="W606" s="19" t="s">
        <v>55</v>
      </c>
      <c r="X606">
        <v>11</v>
      </c>
      <c r="Y606">
        <v>3</v>
      </c>
      <c r="Z606">
        <v>3</v>
      </c>
      <c r="AA606">
        <v>0</v>
      </c>
      <c r="AB606">
        <v>6</v>
      </c>
      <c r="AC606">
        <v>3</v>
      </c>
      <c r="AD606">
        <v>3</v>
      </c>
      <c r="AE606">
        <v>6</v>
      </c>
      <c r="AF606">
        <v>5</v>
      </c>
      <c r="AG606">
        <v>1</v>
      </c>
      <c r="AH606">
        <v>3</v>
      </c>
      <c r="AI606">
        <v>0</v>
      </c>
      <c r="AJ606" s="19" t="s">
        <v>1569</v>
      </c>
      <c r="AK606" s="19" t="s">
        <v>1562</v>
      </c>
      <c r="AL606">
        <v>1</v>
      </c>
      <c r="AM606" s="19" t="s">
        <v>1565</v>
      </c>
      <c r="AN606">
        <v>-0.96534720146127839</v>
      </c>
      <c r="AO606">
        <v>20736</v>
      </c>
    </row>
    <row r="607" spans="1:41" x14ac:dyDescent="0.3">
      <c r="A607" s="19" t="s">
        <v>675</v>
      </c>
      <c r="B607">
        <v>34</v>
      </c>
      <c r="C607" s="19" t="s">
        <v>196</v>
      </c>
      <c r="D607" s="19" t="s">
        <v>55</v>
      </c>
      <c r="E607" s="19" t="s">
        <v>48</v>
      </c>
      <c r="F607">
        <v>1111</v>
      </c>
      <c r="G607" s="19" t="s">
        <v>57</v>
      </c>
      <c r="H607">
        <v>8</v>
      </c>
      <c r="I607">
        <v>2</v>
      </c>
      <c r="J607" s="19" t="s">
        <v>50</v>
      </c>
      <c r="K607">
        <v>808</v>
      </c>
      <c r="L607">
        <v>3</v>
      </c>
      <c r="M607" s="19" t="s">
        <v>59</v>
      </c>
      <c r="N607">
        <v>3</v>
      </c>
      <c r="O607">
        <v>2</v>
      </c>
      <c r="P607" s="19" t="s">
        <v>145</v>
      </c>
      <c r="Q607">
        <v>1</v>
      </c>
      <c r="R607" s="19" t="s">
        <v>113</v>
      </c>
      <c r="S607">
        <v>51517</v>
      </c>
      <c r="T607" s="19" t="s">
        <v>64</v>
      </c>
      <c r="U607">
        <v>321.98</v>
      </c>
      <c r="V607">
        <v>5</v>
      </c>
      <c r="W607" s="19" t="s">
        <v>55</v>
      </c>
      <c r="X607">
        <v>17</v>
      </c>
      <c r="Y607">
        <v>3</v>
      </c>
      <c r="Z607">
        <v>2</v>
      </c>
      <c r="AA607">
        <v>1</v>
      </c>
      <c r="AB607">
        <v>6</v>
      </c>
      <c r="AC607">
        <v>1</v>
      </c>
      <c r="AD607">
        <v>3</v>
      </c>
      <c r="AE607">
        <v>3</v>
      </c>
      <c r="AF607">
        <v>2</v>
      </c>
      <c r="AG607">
        <v>1</v>
      </c>
      <c r="AH607">
        <v>2</v>
      </c>
      <c r="AI607">
        <v>0</v>
      </c>
      <c r="AJ607" s="19" t="s">
        <v>1566</v>
      </c>
      <c r="AK607" s="19" t="s">
        <v>1562</v>
      </c>
      <c r="AL607">
        <v>1</v>
      </c>
      <c r="AM607" s="19" t="s">
        <v>1565</v>
      </c>
      <c r="AN607">
        <v>5.0124993246622375E-2</v>
      </c>
      <c r="AO607">
        <v>618204</v>
      </c>
    </row>
    <row r="608" spans="1:41" x14ac:dyDescent="0.3">
      <c r="A608" s="19" t="s">
        <v>676</v>
      </c>
      <c r="B608">
        <v>34</v>
      </c>
      <c r="C608" s="19" t="s">
        <v>196</v>
      </c>
      <c r="D608" s="19" t="s">
        <v>55</v>
      </c>
      <c r="E608" s="19" t="s">
        <v>62</v>
      </c>
      <c r="F608">
        <v>702</v>
      </c>
      <c r="G608" s="19" t="s">
        <v>49</v>
      </c>
      <c r="H608">
        <v>16</v>
      </c>
      <c r="I608">
        <v>4</v>
      </c>
      <c r="J608" s="19" t="s">
        <v>50</v>
      </c>
      <c r="K608">
        <v>838</v>
      </c>
      <c r="L608">
        <v>3</v>
      </c>
      <c r="M608" s="19" t="s">
        <v>59</v>
      </c>
      <c r="N608">
        <v>2</v>
      </c>
      <c r="O608">
        <v>1</v>
      </c>
      <c r="P608" s="19" t="s">
        <v>67</v>
      </c>
      <c r="Q608">
        <v>4</v>
      </c>
      <c r="R608" s="19" t="s">
        <v>53</v>
      </c>
      <c r="S608">
        <v>67234</v>
      </c>
      <c r="T608" s="19" t="s">
        <v>64</v>
      </c>
      <c r="U608">
        <v>420.21</v>
      </c>
      <c r="V608">
        <v>1</v>
      </c>
      <c r="W608" s="19" t="s">
        <v>55</v>
      </c>
      <c r="X608">
        <v>16</v>
      </c>
      <c r="Y608">
        <v>3</v>
      </c>
      <c r="Z608">
        <v>3</v>
      </c>
      <c r="AA608">
        <v>0</v>
      </c>
      <c r="AB608">
        <v>6</v>
      </c>
      <c r="AC608">
        <v>3</v>
      </c>
      <c r="AD608">
        <v>3</v>
      </c>
      <c r="AE608">
        <v>5</v>
      </c>
      <c r="AF608">
        <v>2</v>
      </c>
      <c r="AG608">
        <v>1</v>
      </c>
      <c r="AH608">
        <v>3</v>
      </c>
      <c r="AI608">
        <v>0</v>
      </c>
      <c r="AJ608" s="19" t="s">
        <v>1567</v>
      </c>
      <c r="AK608" s="19" t="s">
        <v>1562</v>
      </c>
      <c r="AL608">
        <v>0</v>
      </c>
      <c r="AM608" s="19" t="s">
        <v>1563</v>
      </c>
      <c r="AN608">
        <v>0.34829065795856862</v>
      </c>
      <c r="AO608">
        <v>806808</v>
      </c>
    </row>
    <row r="609" spans="1:41" x14ac:dyDescent="0.3">
      <c r="A609" s="19" t="s">
        <v>677</v>
      </c>
      <c r="B609">
        <v>34</v>
      </c>
      <c r="C609" s="19" t="s">
        <v>196</v>
      </c>
      <c r="D609" s="19" t="s">
        <v>55</v>
      </c>
      <c r="E609" s="19" t="s">
        <v>48</v>
      </c>
      <c r="F609">
        <v>829</v>
      </c>
      <c r="G609" s="19" t="s">
        <v>406</v>
      </c>
      <c r="H609">
        <v>3</v>
      </c>
      <c r="I609">
        <v>2</v>
      </c>
      <c r="J609" s="19" t="s">
        <v>80</v>
      </c>
      <c r="K609">
        <v>847</v>
      </c>
      <c r="L609">
        <v>3</v>
      </c>
      <c r="M609" s="19" t="s">
        <v>51</v>
      </c>
      <c r="N609">
        <v>3</v>
      </c>
      <c r="O609">
        <v>1</v>
      </c>
      <c r="P609" s="19" t="s">
        <v>80</v>
      </c>
      <c r="Q609">
        <v>4</v>
      </c>
      <c r="R609" s="19" t="s">
        <v>113</v>
      </c>
      <c r="S609">
        <v>40954</v>
      </c>
      <c r="T609" s="19" t="s">
        <v>72</v>
      </c>
      <c r="U609">
        <v>255.96</v>
      </c>
      <c r="V609">
        <v>0</v>
      </c>
      <c r="W609" s="19" t="s">
        <v>55</v>
      </c>
      <c r="X609">
        <v>19</v>
      </c>
      <c r="Y609">
        <v>3</v>
      </c>
      <c r="Z609">
        <v>3</v>
      </c>
      <c r="AA609">
        <v>1</v>
      </c>
      <c r="AB609">
        <v>4</v>
      </c>
      <c r="AC609">
        <v>1</v>
      </c>
      <c r="AD609">
        <v>1</v>
      </c>
      <c r="AE609">
        <v>3</v>
      </c>
      <c r="AF609">
        <v>2</v>
      </c>
      <c r="AG609">
        <v>0</v>
      </c>
      <c r="AH609">
        <v>2</v>
      </c>
      <c r="AI609">
        <v>0</v>
      </c>
      <c r="AJ609" s="19" t="s">
        <v>1566</v>
      </c>
      <c r="AK609" s="19" t="s">
        <v>1562</v>
      </c>
      <c r="AL609">
        <v>1</v>
      </c>
      <c r="AM609" s="19" t="s">
        <v>1565</v>
      </c>
      <c r="AN609">
        <v>-0.19292982502681255</v>
      </c>
      <c r="AO609">
        <v>491448</v>
      </c>
    </row>
    <row r="610" spans="1:41" x14ac:dyDescent="0.3">
      <c r="A610" s="19" t="s">
        <v>678</v>
      </c>
      <c r="B610">
        <v>34</v>
      </c>
      <c r="C610" s="19" t="s">
        <v>196</v>
      </c>
      <c r="D610" s="19" t="s">
        <v>55</v>
      </c>
      <c r="E610" s="19" t="s">
        <v>48</v>
      </c>
      <c r="F610">
        <v>546</v>
      </c>
      <c r="G610" s="19" t="s">
        <v>49</v>
      </c>
      <c r="H610">
        <v>10</v>
      </c>
      <c r="I610">
        <v>3</v>
      </c>
      <c r="J610" s="19" t="s">
        <v>50</v>
      </c>
      <c r="K610">
        <v>934</v>
      </c>
      <c r="L610">
        <v>2</v>
      </c>
      <c r="M610" s="19" t="s">
        <v>51</v>
      </c>
      <c r="N610">
        <v>3</v>
      </c>
      <c r="O610">
        <v>1</v>
      </c>
      <c r="P610" s="19" t="s">
        <v>52</v>
      </c>
      <c r="Q610">
        <v>2</v>
      </c>
      <c r="R610" s="19" t="s">
        <v>53</v>
      </c>
      <c r="S610">
        <v>48280</v>
      </c>
      <c r="T610" s="19" t="s">
        <v>72</v>
      </c>
      <c r="U610">
        <v>301.75</v>
      </c>
      <c r="V610">
        <v>1</v>
      </c>
      <c r="W610" s="19" t="s">
        <v>55</v>
      </c>
      <c r="X610">
        <v>14</v>
      </c>
      <c r="Y610">
        <v>3</v>
      </c>
      <c r="Z610">
        <v>2</v>
      </c>
      <c r="AA610">
        <v>2</v>
      </c>
      <c r="AB610">
        <v>1</v>
      </c>
      <c r="AC610">
        <v>3</v>
      </c>
      <c r="AD610">
        <v>3</v>
      </c>
      <c r="AE610">
        <v>1</v>
      </c>
      <c r="AF610">
        <v>0</v>
      </c>
      <c r="AG610">
        <v>1</v>
      </c>
      <c r="AH610">
        <v>0</v>
      </c>
      <c r="AI610">
        <v>0</v>
      </c>
      <c r="AJ610" s="19" t="s">
        <v>1561</v>
      </c>
      <c r="AK610" s="19" t="s">
        <v>1562</v>
      </c>
      <c r="AL610">
        <v>1</v>
      </c>
      <c r="AM610" s="19" t="s">
        <v>1565</v>
      </c>
      <c r="AN610">
        <v>-6.6522788953267215E-2</v>
      </c>
      <c r="AO610">
        <v>579360</v>
      </c>
    </row>
    <row r="611" spans="1:41" x14ac:dyDescent="0.3">
      <c r="A611" s="19" t="s">
        <v>679</v>
      </c>
      <c r="B611">
        <v>34</v>
      </c>
      <c r="C611" s="19" t="s">
        <v>196</v>
      </c>
      <c r="D611" s="19" t="s">
        <v>55</v>
      </c>
      <c r="E611" s="19" t="s">
        <v>48</v>
      </c>
      <c r="F611">
        <v>216</v>
      </c>
      <c r="G611" s="19" t="s">
        <v>57</v>
      </c>
      <c r="H611">
        <v>1</v>
      </c>
      <c r="I611">
        <v>4</v>
      </c>
      <c r="J611" s="19" t="s">
        <v>63</v>
      </c>
      <c r="K611">
        <v>1047</v>
      </c>
      <c r="L611">
        <v>2</v>
      </c>
      <c r="M611" s="19" t="s">
        <v>51</v>
      </c>
      <c r="N611">
        <v>4</v>
      </c>
      <c r="O611">
        <v>2</v>
      </c>
      <c r="P611" s="19" t="s">
        <v>145</v>
      </c>
      <c r="Q611">
        <v>4</v>
      </c>
      <c r="R611" s="19" t="s">
        <v>53</v>
      </c>
      <c r="S611">
        <v>80459</v>
      </c>
      <c r="T611" s="19" t="s">
        <v>64</v>
      </c>
      <c r="U611">
        <v>502.87</v>
      </c>
      <c r="V611">
        <v>0</v>
      </c>
      <c r="W611" s="19" t="s">
        <v>55</v>
      </c>
      <c r="X611">
        <v>11</v>
      </c>
      <c r="Y611">
        <v>3</v>
      </c>
      <c r="Z611">
        <v>4</v>
      </c>
      <c r="AA611">
        <v>1</v>
      </c>
      <c r="AB611">
        <v>16</v>
      </c>
      <c r="AC611">
        <v>2</v>
      </c>
      <c r="AD611">
        <v>2</v>
      </c>
      <c r="AE611">
        <v>15</v>
      </c>
      <c r="AF611">
        <v>1</v>
      </c>
      <c r="AG611">
        <v>0</v>
      </c>
      <c r="AH611">
        <v>9</v>
      </c>
      <c r="AI611">
        <v>0</v>
      </c>
      <c r="AJ611" s="19" t="s">
        <v>1571</v>
      </c>
      <c r="AK611" s="19" t="s">
        <v>1562</v>
      </c>
      <c r="AL611">
        <v>1</v>
      </c>
      <c r="AM611" s="19" t="s">
        <v>1565</v>
      </c>
      <c r="AN611">
        <v>0.64008010621018285</v>
      </c>
      <c r="AO611">
        <v>965508</v>
      </c>
    </row>
    <row r="612" spans="1:41" x14ac:dyDescent="0.3">
      <c r="A612" s="19" t="s">
        <v>680</v>
      </c>
      <c r="B612">
        <v>34</v>
      </c>
      <c r="C612" s="19" t="s">
        <v>196</v>
      </c>
      <c r="D612" s="19" t="s">
        <v>55</v>
      </c>
      <c r="E612" s="19" t="s">
        <v>48</v>
      </c>
      <c r="F612">
        <v>1333</v>
      </c>
      <c r="G612" s="19" t="s">
        <v>57</v>
      </c>
      <c r="H612">
        <v>10</v>
      </c>
      <c r="I612">
        <v>4</v>
      </c>
      <c r="J612" s="19" t="s">
        <v>50</v>
      </c>
      <c r="K612">
        <v>1055</v>
      </c>
      <c r="L612">
        <v>3</v>
      </c>
      <c r="M612" s="19" t="s">
        <v>59</v>
      </c>
      <c r="N612">
        <v>3</v>
      </c>
      <c r="O612">
        <v>1</v>
      </c>
      <c r="P612" s="19" t="s">
        <v>60</v>
      </c>
      <c r="Q612">
        <v>3</v>
      </c>
      <c r="R612" s="19" t="s">
        <v>113</v>
      </c>
      <c r="S612">
        <v>17779</v>
      </c>
      <c r="T612" s="19" t="s">
        <v>54</v>
      </c>
      <c r="U612">
        <v>111.12</v>
      </c>
      <c r="V612">
        <v>1</v>
      </c>
      <c r="W612" s="19" t="s">
        <v>47</v>
      </c>
      <c r="X612">
        <v>19</v>
      </c>
      <c r="Y612">
        <v>3</v>
      </c>
      <c r="Z612">
        <v>4</v>
      </c>
      <c r="AA612">
        <v>1</v>
      </c>
      <c r="AB612">
        <v>1</v>
      </c>
      <c r="AC612">
        <v>2</v>
      </c>
      <c r="AD612">
        <v>3</v>
      </c>
      <c r="AE612">
        <v>1</v>
      </c>
      <c r="AF612">
        <v>1</v>
      </c>
      <c r="AG612">
        <v>0</v>
      </c>
      <c r="AH612">
        <v>0</v>
      </c>
      <c r="AI612">
        <v>0</v>
      </c>
      <c r="AJ612" s="19" t="s">
        <v>1561</v>
      </c>
      <c r="AK612" s="19" t="s">
        <v>1562</v>
      </c>
      <c r="AL612">
        <v>1</v>
      </c>
      <c r="AM612" s="19" t="s">
        <v>1565</v>
      </c>
      <c r="AN612">
        <v>-0.63956711446569536</v>
      </c>
      <c r="AO612">
        <v>213348</v>
      </c>
    </row>
    <row r="613" spans="1:41" x14ac:dyDescent="0.3">
      <c r="A613" s="19" t="s">
        <v>681</v>
      </c>
      <c r="B613">
        <v>34</v>
      </c>
      <c r="C613" s="19" t="s">
        <v>196</v>
      </c>
      <c r="D613" s="19" t="s">
        <v>55</v>
      </c>
      <c r="E613" s="19" t="s">
        <v>62</v>
      </c>
      <c r="F613">
        <v>618</v>
      </c>
      <c r="G613" s="19" t="s">
        <v>49</v>
      </c>
      <c r="H613">
        <v>3</v>
      </c>
      <c r="I613">
        <v>1</v>
      </c>
      <c r="J613" s="19" t="s">
        <v>50</v>
      </c>
      <c r="K613">
        <v>1103</v>
      </c>
      <c r="L613">
        <v>1</v>
      </c>
      <c r="M613" s="19" t="s">
        <v>51</v>
      </c>
      <c r="N613">
        <v>3</v>
      </c>
      <c r="O613">
        <v>2</v>
      </c>
      <c r="P613" s="19" t="s">
        <v>168</v>
      </c>
      <c r="Q613">
        <v>4</v>
      </c>
      <c r="R613" s="19" t="s">
        <v>53</v>
      </c>
      <c r="S613">
        <v>64932</v>
      </c>
      <c r="T613" s="19" t="s">
        <v>64</v>
      </c>
      <c r="U613">
        <v>405.82</v>
      </c>
      <c r="V613">
        <v>0</v>
      </c>
      <c r="W613" s="19" t="s">
        <v>55</v>
      </c>
      <c r="X613">
        <v>17</v>
      </c>
      <c r="Y613">
        <v>3</v>
      </c>
      <c r="Z613">
        <v>3</v>
      </c>
      <c r="AA613">
        <v>0</v>
      </c>
      <c r="AB613">
        <v>7</v>
      </c>
      <c r="AC613">
        <v>1</v>
      </c>
      <c r="AD613">
        <v>2</v>
      </c>
      <c r="AE613">
        <v>6</v>
      </c>
      <c r="AF613">
        <v>2</v>
      </c>
      <c r="AG613">
        <v>0</v>
      </c>
      <c r="AH613">
        <v>4</v>
      </c>
      <c r="AI613">
        <v>0</v>
      </c>
      <c r="AJ613" s="19" t="s">
        <v>1569</v>
      </c>
      <c r="AK613" s="19" t="s">
        <v>1562</v>
      </c>
      <c r="AL613">
        <v>1</v>
      </c>
      <c r="AM613" s="19" t="s">
        <v>1565</v>
      </c>
      <c r="AN613">
        <v>0.34744044301620997</v>
      </c>
      <c r="AO613">
        <v>779184</v>
      </c>
    </row>
    <row r="614" spans="1:41" x14ac:dyDescent="0.3">
      <c r="A614" s="19" t="s">
        <v>682</v>
      </c>
      <c r="B614">
        <v>34</v>
      </c>
      <c r="C614" s="19" t="s">
        <v>196</v>
      </c>
      <c r="D614" s="19" t="s">
        <v>55</v>
      </c>
      <c r="E614" s="19" t="s">
        <v>66</v>
      </c>
      <c r="F614">
        <v>697</v>
      </c>
      <c r="G614" s="19" t="s">
        <v>49</v>
      </c>
      <c r="H614">
        <v>3</v>
      </c>
      <c r="I614">
        <v>4</v>
      </c>
      <c r="J614" s="19" t="s">
        <v>50</v>
      </c>
      <c r="K614">
        <v>1115</v>
      </c>
      <c r="L614">
        <v>3</v>
      </c>
      <c r="M614" s="19" t="s">
        <v>51</v>
      </c>
      <c r="N614">
        <v>2</v>
      </c>
      <c r="O614">
        <v>1</v>
      </c>
      <c r="P614" s="19" t="s">
        <v>67</v>
      </c>
      <c r="Q614">
        <v>4</v>
      </c>
      <c r="R614" s="19" t="s">
        <v>113</v>
      </c>
      <c r="S614">
        <v>73936</v>
      </c>
      <c r="T614" s="19" t="s">
        <v>64</v>
      </c>
      <c r="U614">
        <v>462.1</v>
      </c>
      <c r="V614">
        <v>3</v>
      </c>
      <c r="W614" s="19" t="s">
        <v>55</v>
      </c>
      <c r="X614">
        <v>17</v>
      </c>
      <c r="Y614">
        <v>3</v>
      </c>
      <c r="Z614">
        <v>4</v>
      </c>
      <c r="AA614">
        <v>3</v>
      </c>
      <c r="AB614">
        <v>6</v>
      </c>
      <c r="AC614">
        <v>2</v>
      </c>
      <c r="AD614">
        <v>3</v>
      </c>
      <c r="AE614">
        <v>0</v>
      </c>
      <c r="AF614">
        <v>0</v>
      </c>
      <c r="AG614">
        <v>0</v>
      </c>
      <c r="AH614">
        <v>0</v>
      </c>
      <c r="AI614">
        <v>0</v>
      </c>
      <c r="AJ614" s="19" t="s">
        <v>1561</v>
      </c>
      <c r="AK614" s="19" t="s">
        <v>1562</v>
      </c>
      <c r="AL614">
        <v>0</v>
      </c>
      <c r="AM614" s="19" t="s">
        <v>1563</v>
      </c>
      <c r="AN614">
        <v>0.48269057451326303</v>
      </c>
      <c r="AO614">
        <v>887232</v>
      </c>
    </row>
    <row r="615" spans="1:41" x14ac:dyDescent="0.3">
      <c r="A615" s="19" t="s">
        <v>683</v>
      </c>
      <c r="B615">
        <v>34</v>
      </c>
      <c r="C615" s="19" t="s">
        <v>196</v>
      </c>
      <c r="D615" s="19" t="s">
        <v>55</v>
      </c>
      <c r="E615" s="19" t="s">
        <v>62</v>
      </c>
      <c r="F615">
        <v>1003</v>
      </c>
      <c r="G615" s="19" t="s">
        <v>49</v>
      </c>
      <c r="H615">
        <v>2</v>
      </c>
      <c r="I615">
        <v>2</v>
      </c>
      <c r="J615" s="19" t="s">
        <v>50</v>
      </c>
      <c r="K615">
        <v>1140</v>
      </c>
      <c r="L615">
        <v>4</v>
      </c>
      <c r="M615" s="19" t="s">
        <v>51</v>
      </c>
      <c r="N615">
        <v>3</v>
      </c>
      <c r="O615">
        <v>2</v>
      </c>
      <c r="P615" s="19" t="s">
        <v>120</v>
      </c>
      <c r="Q615">
        <v>3</v>
      </c>
      <c r="R615" s="19" t="s">
        <v>53</v>
      </c>
      <c r="S615">
        <v>25466</v>
      </c>
      <c r="T615" s="19" t="s">
        <v>72</v>
      </c>
      <c r="U615">
        <v>159.16</v>
      </c>
      <c r="V615">
        <v>2</v>
      </c>
      <c r="W615" s="19" t="s">
        <v>55</v>
      </c>
      <c r="X615">
        <v>11</v>
      </c>
      <c r="Y615">
        <v>3</v>
      </c>
      <c r="Z615">
        <v>4</v>
      </c>
      <c r="AA615">
        <v>0</v>
      </c>
      <c r="AB615">
        <v>5</v>
      </c>
      <c r="AC615">
        <v>3</v>
      </c>
      <c r="AD615">
        <v>2</v>
      </c>
      <c r="AE615">
        <v>3</v>
      </c>
      <c r="AF615">
        <v>2</v>
      </c>
      <c r="AG615">
        <v>0</v>
      </c>
      <c r="AH615">
        <v>2</v>
      </c>
      <c r="AI615">
        <v>0</v>
      </c>
      <c r="AJ615" s="19" t="s">
        <v>1566</v>
      </c>
      <c r="AK615" s="19" t="s">
        <v>1562</v>
      </c>
      <c r="AL615">
        <v>1</v>
      </c>
      <c r="AM615" s="19" t="s">
        <v>1565</v>
      </c>
      <c r="AN615">
        <v>-0.42508619371315115</v>
      </c>
      <c r="AO615">
        <v>305592</v>
      </c>
    </row>
    <row r="616" spans="1:41" x14ac:dyDescent="0.3">
      <c r="A616" s="19" t="s">
        <v>684</v>
      </c>
      <c r="B616">
        <v>34</v>
      </c>
      <c r="C616" s="19" t="s">
        <v>196</v>
      </c>
      <c r="D616" s="19" t="s">
        <v>55</v>
      </c>
      <c r="E616" s="19" t="s">
        <v>48</v>
      </c>
      <c r="F616">
        <v>1400</v>
      </c>
      <c r="G616" s="19" t="s">
        <v>57</v>
      </c>
      <c r="H616">
        <v>9</v>
      </c>
      <c r="I616">
        <v>1</v>
      </c>
      <c r="J616" s="19" t="s">
        <v>50</v>
      </c>
      <c r="K616">
        <v>1163</v>
      </c>
      <c r="L616">
        <v>2</v>
      </c>
      <c r="M616" s="19" t="s">
        <v>59</v>
      </c>
      <c r="N616">
        <v>3</v>
      </c>
      <c r="O616">
        <v>2</v>
      </c>
      <c r="P616" s="19" t="s">
        <v>145</v>
      </c>
      <c r="Q616">
        <v>3</v>
      </c>
      <c r="R616" s="19" t="s">
        <v>113</v>
      </c>
      <c r="S616">
        <v>37939</v>
      </c>
      <c r="T616" s="19" t="s">
        <v>72</v>
      </c>
      <c r="U616">
        <v>237.12</v>
      </c>
      <c r="V616">
        <v>1</v>
      </c>
      <c r="W616" s="19" t="s">
        <v>55</v>
      </c>
      <c r="X616">
        <v>20</v>
      </c>
      <c r="Y616">
        <v>4</v>
      </c>
      <c r="Z616">
        <v>1</v>
      </c>
      <c r="AA616">
        <v>0</v>
      </c>
      <c r="AB616">
        <v>6</v>
      </c>
      <c r="AC616">
        <v>3</v>
      </c>
      <c r="AD616">
        <v>2</v>
      </c>
      <c r="AE616">
        <v>6</v>
      </c>
      <c r="AF616">
        <v>5</v>
      </c>
      <c r="AG616">
        <v>1</v>
      </c>
      <c r="AH616">
        <v>3</v>
      </c>
      <c r="AI616">
        <v>0</v>
      </c>
      <c r="AJ616" s="19" t="s">
        <v>1569</v>
      </c>
      <c r="AK616" s="19" t="s">
        <v>1562</v>
      </c>
      <c r="AL616">
        <v>1</v>
      </c>
      <c r="AM616" s="19" t="s">
        <v>1565</v>
      </c>
      <c r="AN616">
        <v>-0.2266496085023661</v>
      </c>
      <c r="AO616">
        <v>455268</v>
      </c>
    </row>
    <row r="617" spans="1:41" x14ac:dyDescent="0.3">
      <c r="A617" s="19" t="s">
        <v>685</v>
      </c>
      <c r="B617">
        <v>34</v>
      </c>
      <c r="C617" s="19" t="s">
        <v>196</v>
      </c>
      <c r="D617" s="19" t="s">
        <v>55</v>
      </c>
      <c r="E617" s="19" t="s">
        <v>62</v>
      </c>
      <c r="F617">
        <v>669</v>
      </c>
      <c r="G617" s="19" t="s">
        <v>49</v>
      </c>
      <c r="H617">
        <v>1</v>
      </c>
      <c r="I617">
        <v>3</v>
      </c>
      <c r="J617" s="19" t="s">
        <v>58</v>
      </c>
      <c r="K617">
        <v>1184</v>
      </c>
      <c r="L617">
        <v>4</v>
      </c>
      <c r="M617" s="19" t="s">
        <v>51</v>
      </c>
      <c r="N617">
        <v>2</v>
      </c>
      <c r="O617">
        <v>2</v>
      </c>
      <c r="P617" s="19" t="s">
        <v>168</v>
      </c>
      <c r="Q617">
        <v>1</v>
      </c>
      <c r="R617" s="19" t="s">
        <v>53</v>
      </c>
      <c r="S617">
        <v>70896</v>
      </c>
      <c r="T617" s="19" t="s">
        <v>64</v>
      </c>
      <c r="U617">
        <v>443.1</v>
      </c>
      <c r="V617">
        <v>0</v>
      </c>
      <c r="W617" s="19" t="s">
        <v>55</v>
      </c>
      <c r="X617">
        <v>20</v>
      </c>
      <c r="Y617">
        <v>4</v>
      </c>
      <c r="Z617">
        <v>3</v>
      </c>
      <c r="AA617">
        <v>0</v>
      </c>
      <c r="AB617">
        <v>14</v>
      </c>
      <c r="AC617">
        <v>3</v>
      </c>
      <c r="AD617">
        <v>3</v>
      </c>
      <c r="AE617">
        <v>13</v>
      </c>
      <c r="AF617">
        <v>9</v>
      </c>
      <c r="AG617">
        <v>4</v>
      </c>
      <c r="AH617">
        <v>9</v>
      </c>
      <c r="AI617">
        <v>0</v>
      </c>
      <c r="AJ617" s="19" t="s">
        <v>1571</v>
      </c>
      <c r="AK617" s="19" t="s">
        <v>1570</v>
      </c>
      <c r="AL617">
        <v>2</v>
      </c>
      <c r="AM617" s="19" t="s">
        <v>1564</v>
      </c>
      <c r="AN617">
        <v>0.47120276055068722</v>
      </c>
      <c r="AO617">
        <v>850752</v>
      </c>
    </row>
    <row r="618" spans="1:41" x14ac:dyDescent="0.3">
      <c r="A618" s="19" t="s">
        <v>686</v>
      </c>
      <c r="B618">
        <v>34</v>
      </c>
      <c r="C618" s="19" t="s">
        <v>196</v>
      </c>
      <c r="D618" s="19" t="s">
        <v>55</v>
      </c>
      <c r="E618" s="19" t="s">
        <v>48</v>
      </c>
      <c r="F618">
        <v>1320</v>
      </c>
      <c r="G618" s="19" t="s">
        <v>49</v>
      </c>
      <c r="H618">
        <v>20</v>
      </c>
      <c r="I618">
        <v>3</v>
      </c>
      <c r="J618" s="19" t="s">
        <v>77</v>
      </c>
      <c r="K618">
        <v>1265</v>
      </c>
      <c r="L618">
        <v>3</v>
      </c>
      <c r="M618" s="19" t="s">
        <v>59</v>
      </c>
      <c r="N618">
        <v>4</v>
      </c>
      <c r="O618">
        <v>1</v>
      </c>
      <c r="P618" s="19" t="s">
        <v>67</v>
      </c>
      <c r="Q618">
        <v>3</v>
      </c>
      <c r="R618" s="19" t="s">
        <v>113</v>
      </c>
      <c r="S618">
        <v>36270</v>
      </c>
      <c r="T618" s="19" t="s">
        <v>72</v>
      </c>
      <c r="U618">
        <v>226.69</v>
      </c>
      <c r="V618">
        <v>0</v>
      </c>
      <c r="W618" s="19" t="s">
        <v>55</v>
      </c>
      <c r="X618">
        <v>17</v>
      </c>
      <c r="Y618">
        <v>3</v>
      </c>
      <c r="Z618">
        <v>4</v>
      </c>
      <c r="AA618">
        <v>0</v>
      </c>
      <c r="AB618">
        <v>2</v>
      </c>
      <c r="AC618">
        <v>5</v>
      </c>
      <c r="AD618">
        <v>2</v>
      </c>
      <c r="AE618">
        <v>1</v>
      </c>
      <c r="AF618">
        <v>0</v>
      </c>
      <c r="AG618">
        <v>0</v>
      </c>
      <c r="AH618">
        <v>0</v>
      </c>
      <c r="AI618">
        <v>0</v>
      </c>
      <c r="AJ618" s="19" t="s">
        <v>1561</v>
      </c>
      <c r="AK618" s="19" t="s">
        <v>1562</v>
      </c>
      <c r="AL618">
        <v>1</v>
      </c>
      <c r="AM618" s="19" t="s">
        <v>1565</v>
      </c>
      <c r="AN618">
        <v>-0.27265219733829188</v>
      </c>
      <c r="AO618">
        <v>435240</v>
      </c>
    </row>
    <row r="619" spans="1:41" x14ac:dyDescent="0.3">
      <c r="A619" s="19" t="s">
        <v>687</v>
      </c>
      <c r="B619">
        <v>34</v>
      </c>
      <c r="C619" s="19" t="s">
        <v>196</v>
      </c>
      <c r="D619" s="19" t="s">
        <v>55</v>
      </c>
      <c r="E619" s="19" t="s">
        <v>48</v>
      </c>
      <c r="F619">
        <v>131</v>
      </c>
      <c r="G619" s="19" t="s">
        <v>57</v>
      </c>
      <c r="H619">
        <v>2</v>
      </c>
      <c r="I619">
        <v>3</v>
      </c>
      <c r="J619" s="19" t="s">
        <v>63</v>
      </c>
      <c r="K619">
        <v>1281</v>
      </c>
      <c r="L619">
        <v>3</v>
      </c>
      <c r="M619" s="19" t="s">
        <v>59</v>
      </c>
      <c r="N619">
        <v>3</v>
      </c>
      <c r="O619">
        <v>2</v>
      </c>
      <c r="P619" s="19" t="s">
        <v>145</v>
      </c>
      <c r="Q619">
        <v>1</v>
      </c>
      <c r="R619" s="19" t="s">
        <v>53</v>
      </c>
      <c r="S619">
        <v>60163</v>
      </c>
      <c r="T619" s="19" t="s">
        <v>64</v>
      </c>
      <c r="U619">
        <v>376.02</v>
      </c>
      <c r="V619">
        <v>0</v>
      </c>
      <c r="W619" s="19" t="s">
        <v>47</v>
      </c>
      <c r="X619">
        <v>12</v>
      </c>
      <c r="Y619">
        <v>3</v>
      </c>
      <c r="Z619">
        <v>4</v>
      </c>
      <c r="AA619">
        <v>0</v>
      </c>
      <c r="AB619">
        <v>4</v>
      </c>
      <c r="AC619">
        <v>3</v>
      </c>
      <c r="AD619">
        <v>3</v>
      </c>
      <c r="AE619">
        <v>3</v>
      </c>
      <c r="AF619">
        <v>2</v>
      </c>
      <c r="AG619">
        <v>0</v>
      </c>
      <c r="AH619">
        <v>2</v>
      </c>
      <c r="AI619">
        <v>0</v>
      </c>
      <c r="AJ619" s="19" t="s">
        <v>1566</v>
      </c>
      <c r="AK619" s="19" t="s">
        <v>1562</v>
      </c>
      <c r="AL619">
        <v>2</v>
      </c>
      <c r="AM619" s="19" t="s">
        <v>1564</v>
      </c>
      <c r="AN619">
        <v>0.22636547098426815</v>
      </c>
      <c r="AO619">
        <v>721956</v>
      </c>
    </row>
    <row r="620" spans="1:41" x14ac:dyDescent="0.3">
      <c r="A620" s="19" t="s">
        <v>688</v>
      </c>
      <c r="B620">
        <v>34</v>
      </c>
      <c r="C620" s="19" t="s">
        <v>196</v>
      </c>
      <c r="D620" s="19" t="s">
        <v>55</v>
      </c>
      <c r="E620" s="19" t="s">
        <v>62</v>
      </c>
      <c r="F620">
        <v>135</v>
      </c>
      <c r="G620" s="19" t="s">
        <v>49</v>
      </c>
      <c r="H620">
        <v>19</v>
      </c>
      <c r="I620">
        <v>3</v>
      </c>
      <c r="J620" s="19" t="s">
        <v>58</v>
      </c>
      <c r="K620">
        <v>1285</v>
      </c>
      <c r="L620">
        <v>3</v>
      </c>
      <c r="M620" s="19" t="s">
        <v>59</v>
      </c>
      <c r="N620">
        <v>3</v>
      </c>
      <c r="O620">
        <v>2</v>
      </c>
      <c r="P620" s="19" t="s">
        <v>52</v>
      </c>
      <c r="Q620">
        <v>2</v>
      </c>
      <c r="R620" s="19" t="s">
        <v>53</v>
      </c>
      <c r="S620">
        <v>83637</v>
      </c>
      <c r="T620" s="19" t="s">
        <v>70</v>
      </c>
      <c r="U620">
        <v>522.73</v>
      </c>
      <c r="V620">
        <v>4</v>
      </c>
      <c r="W620" s="19" t="s">
        <v>55</v>
      </c>
      <c r="X620">
        <v>13</v>
      </c>
      <c r="Y620">
        <v>3</v>
      </c>
      <c r="Z620">
        <v>3</v>
      </c>
      <c r="AA620">
        <v>2</v>
      </c>
      <c r="AB620">
        <v>15</v>
      </c>
      <c r="AC620">
        <v>2</v>
      </c>
      <c r="AD620">
        <v>4</v>
      </c>
      <c r="AE620">
        <v>11</v>
      </c>
      <c r="AF620">
        <v>8</v>
      </c>
      <c r="AG620">
        <v>5</v>
      </c>
      <c r="AH620">
        <v>10</v>
      </c>
      <c r="AI620">
        <v>0</v>
      </c>
      <c r="AJ620" s="19" t="s">
        <v>1571</v>
      </c>
      <c r="AK620" s="19" t="s">
        <v>1570</v>
      </c>
      <c r="AL620">
        <v>2</v>
      </c>
      <c r="AM620" s="19" t="s">
        <v>1564</v>
      </c>
      <c r="AN620">
        <v>0.61709265742161534</v>
      </c>
      <c r="AO620">
        <v>1003644</v>
      </c>
    </row>
    <row r="621" spans="1:41" x14ac:dyDescent="0.3">
      <c r="A621" s="19" t="s">
        <v>689</v>
      </c>
      <c r="B621">
        <v>34</v>
      </c>
      <c r="C621" s="19" t="s">
        <v>196</v>
      </c>
      <c r="D621" s="19" t="s">
        <v>55</v>
      </c>
      <c r="E621" s="19" t="s">
        <v>62</v>
      </c>
      <c r="F621">
        <v>648</v>
      </c>
      <c r="G621" s="19" t="s">
        <v>80</v>
      </c>
      <c r="H621">
        <v>11</v>
      </c>
      <c r="I621">
        <v>3</v>
      </c>
      <c r="J621" s="19" t="s">
        <v>50</v>
      </c>
      <c r="K621">
        <v>1289</v>
      </c>
      <c r="L621">
        <v>3</v>
      </c>
      <c r="M621" s="19" t="s">
        <v>51</v>
      </c>
      <c r="N621">
        <v>2</v>
      </c>
      <c r="O621">
        <v>2</v>
      </c>
      <c r="P621" s="19" t="s">
        <v>80</v>
      </c>
      <c r="Q621">
        <v>2</v>
      </c>
      <c r="R621" s="19" t="s">
        <v>113</v>
      </c>
      <c r="S621">
        <v>52934</v>
      </c>
      <c r="T621" s="19" t="s">
        <v>64</v>
      </c>
      <c r="U621">
        <v>330.84</v>
      </c>
      <c r="V621">
        <v>4</v>
      </c>
      <c r="W621" s="19" t="s">
        <v>55</v>
      </c>
      <c r="X621">
        <v>11</v>
      </c>
      <c r="Y621">
        <v>3</v>
      </c>
      <c r="Z621">
        <v>4</v>
      </c>
      <c r="AA621">
        <v>2</v>
      </c>
      <c r="AB621">
        <v>14</v>
      </c>
      <c r="AC621">
        <v>5</v>
      </c>
      <c r="AD621">
        <v>4</v>
      </c>
      <c r="AE621">
        <v>10</v>
      </c>
      <c r="AF621">
        <v>9</v>
      </c>
      <c r="AG621">
        <v>1</v>
      </c>
      <c r="AH621">
        <v>8</v>
      </c>
      <c r="AI621">
        <v>0</v>
      </c>
      <c r="AJ621" s="19" t="s">
        <v>1569</v>
      </c>
      <c r="AK621" s="19" t="s">
        <v>1562</v>
      </c>
      <c r="AL621">
        <v>1</v>
      </c>
      <c r="AM621" s="19" t="s">
        <v>1565</v>
      </c>
      <c r="AN621">
        <v>4.3157021097590106E-2</v>
      </c>
      <c r="AO621">
        <v>635208</v>
      </c>
    </row>
    <row r="622" spans="1:41" x14ac:dyDescent="0.3">
      <c r="A622" s="19" t="s">
        <v>690</v>
      </c>
      <c r="B622">
        <v>34</v>
      </c>
      <c r="C622" s="19" t="s">
        <v>196</v>
      </c>
      <c r="D622" s="19" t="s">
        <v>55</v>
      </c>
      <c r="E622" s="19" t="s">
        <v>48</v>
      </c>
      <c r="F622">
        <v>943</v>
      </c>
      <c r="G622" s="19" t="s">
        <v>49</v>
      </c>
      <c r="H622">
        <v>9</v>
      </c>
      <c r="I622">
        <v>3</v>
      </c>
      <c r="J622" s="19" t="s">
        <v>50</v>
      </c>
      <c r="K622">
        <v>1344</v>
      </c>
      <c r="L622">
        <v>4</v>
      </c>
      <c r="M622" s="19" t="s">
        <v>51</v>
      </c>
      <c r="N622">
        <v>3</v>
      </c>
      <c r="O622">
        <v>3</v>
      </c>
      <c r="P622" s="19" t="s">
        <v>168</v>
      </c>
      <c r="Q622">
        <v>4</v>
      </c>
      <c r="R622" s="19" t="s">
        <v>53</v>
      </c>
      <c r="S622">
        <v>65895</v>
      </c>
      <c r="T622" s="19" t="s">
        <v>64</v>
      </c>
      <c r="U622">
        <v>411.84</v>
      </c>
      <c r="V622">
        <v>0</v>
      </c>
      <c r="W622" s="19" t="s">
        <v>55</v>
      </c>
      <c r="X622">
        <v>11</v>
      </c>
      <c r="Y622">
        <v>3</v>
      </c>
      <c r="Z622">
        <v>4</v>
      </c>
      <c r="AA622">
        <v>1</v>
      </c>
      <c r="AB622">
        <v>10</v>
      </c>
      <c r="AC622">
        <v>0</v>
      </c>
      <c r="AD622">
        <v>2</v>
      </c>
      <c r="AE622">
        <v>9</v>
      </c>
      <c r="AF622">
        <v>7</v>
      </c>
      <c r="AG622">
        <v>1</v>
      </c>
      <c r="AH622">
        <v>6</v>
      </c>
      <c r="AI622">
        <v>0</v>
      </c>
      <c r="AJ622" s="19" t="s">
        <v>1569</v>
      </c>
      <c r="AK622" s="19" t="s">
        <v>1562</v>
      </c>
      <c r="AL622">
        <v>1</v>
      </c>
      <c r="AM622" s="19" t="s">
        <v>1565</v>
      </c>
      <c r="AN622">
        <v>0.36742419750744099</v>
      </c>
      <c r="AO622">
        <v>790740</v>
      </c>
    </row>
    <row r="623" spans="1:41" x14ac:dyDescent="0.3">
      <c r="A623" s="19" t="s">
        <v>691</v>
      </c>
      <c r="B623">
        <v>34</v>
      </c>
      <c r="C623" s="19" t="s">
        <v>196</v>
      </c>
      <c r="D623" s="19" t="s">
        <v>55</v>
      </c>
      <c r="E623" s="19" t="s">
        <v>48</v>
      </c>
      <c r="F623">
        <v>507</v>
      </c>
      <c r="G623" s="19" t="s">
        <v>57</v>
      </c>
      <c r="H623">
        <v>15</v>
      </c>
      <c r="I623">
        <v>2</v>
      </c>
      <c r="J623" s="19" t="s">
        <v>58</v>
      </c>
      <c r="K623">
        <v>1356</v>
      </c>
      <c r="L623">
        <v>3</v>
      </c>
      <c r="M623" s="19" t="s">
        <v>59</v>
      </c>
      <c r="N623">
        <v>3</v>
      </c>
      <c r="O623">
        <v>2</v>
      </c>
      <c r="P623" s="19" t="s">
        <v>145</v>
      </c>
      <c r="Q623">
        <v>1</v>
      </c>
      <c r="R623" s="19" t="s">
        <v>53</v>
      </c>
      <c r="S623">
        <v>33307</v>
      </c>
      <c r="T623" s="19" t="s">
        <v>72</v>
      </c>
      <c r="U623">
        <v>208.17</v>
      </c>
      <c r="V623">
        <v>1</v>
      </c>
      <c r="W623" s="19" t="s">
        <v>55</v>
      </c>
      <c r="X623">
        <v>12</v>
      </c>
      <c r="Y623">
        <v>3</v>
      </c>
      <c r="Z623">
        <v>4</v>
      </c>
      <c r="AA623">
        <v>0</v>
      </c>
      <c r="AB623">
        <v>10</v>
      </c>
      <c r="AC623">
        <v>6</v>
      </c>
      <c r="AD623">
        <v>4</v>
      </c>
      <c r="AE623">
        <v>10</v>
      </c>
      <c r="AF623">
        <v>8</v>
      </c>
      <c r="AG623">
        <v>9</v>
      </c>
      <c r="AH623">
        <v>6</v>
      </c>
      <c r="AI623">
        <v>0</v>
      </c>
      <c r="AJ623" s="19" t="s">
        <v>1569</v>
      </c>
      <c r="AK623" s="19" t="s">
        <v>1570</v>
      </c>
      <c r="AL623">
        <v>2</v>
      </c>
      <c r="AM623" s="19" t="s">
        <v>1564</v>
      </c>
      <c r="AN623">
        <v>-0.3210685181577877</v>
      </c>
      <c r="AO623">
        <v>399684</v>
      </c>
    </row>
    <row r="624" spans="1:41" x14ac:dyDescent="0.3">
      <c r="A624" s="19" t="s">
        <v>692</v>
      </c>
      <c r="B624">
        <v>34</v>
      </c>
      <c r="C624" s="19" t="s">
        <v>196</v>
      </c>
      <c r="D624" s="19" t="s">
        <v>55</v>
      </c>
      <c r="E624" s="19" t="s">
        <v>66</v>
      </c>
      <c r="F624">
        <v>999</v>
      </c>
      <c r="G624" s="19" t="s">
        <v>49</v>
      </c>
      <c r="H624">
        <v>26</v>
      </c>
      <c r="I624">
        <v>1</v>
      </c>
      <c r="J624" s="19" t="s">
        <v>77</v>
      </c>
      <c r="K624">
        <v>1374</v>
      </c>
      <c r="L624">
        <v>1</v>
      </c>
      <c r="M624" s="19" t="s">
        <v>59</v>
      </c>
      <c r="N624">
        <v>2</v>
      </c>
      <c r="O624">
        <v>1</v>
      </c>
      <c r="P624" s="19" t="s">
        <v>67</v>
      </c>
      <c r="Q624">
        <v>3</v>
      </c>
      <c r="R624" s="19" t="s">
        <v>53</v>
      </c>
      <c r="S624">
        <v>55098</v>
      </c>
      <c r="T624" s="19" t="s">
        <v>64</v>
      </c>
      <c r="U624">
        <v>344.36</v>
      </c>
      <c r="V624">
        <v>1</v>
      </c>
      <c r="W624" s="19" t="s">
        <v>55</v>
      </c>
      <c r="X624">
        <v>20</v>
      </c>
      <c r="Y624">
        <v>4</v>
      </c>
      <c r="Z624">
        <v>3</v>
      </c>
      <c r="AA624">
        <v>3</v>
      </c>
      <c r="AB624">
        <v>5</v>
      </c>
      <c r="AC624">
        <v>2</v>
      </c>
      <c r="AD624">
        <v>3</v>
      </c>
      <c r="AE624">
        <v>5</v>
      </c>
      <c r="AF624">
        <v>4</v>
      </c>
      <c r="AG624">
        <v>0</v>
      </c>
      <c r="AH624">
        <v>0</v>
      </c>
      <c r="AI624">
        <v>0</v>
      </c>
      <c r="AJ624" s="19" t="s">
        <v>1567</v>
      </c>
      <c r="AK624" s="19" t="s">
        <v>1562</v>
      </c>
      <c r="AL624">
        <v>0</v>
      </c>
      <c r="AM624" s="19" t="s">
        <v>1563</v>
      </c>
      <c r="AN624">
        <v>0.1049189200731953</v>
      </c>
      <c r="AO624">
        <v>661176</v>
      </c>
    </row>
    <row r="625" spans="1:41" x14ac:dyDescent="0.3">
      <c r="A625" s="19" t="s">
        <v>693</v>
      </c>
      <c r="B625">
        <v>34</v>
      </c>
      <c r="C625" s="19" t="s">
        <v>196</v>
      </c>
      <c r="D625" s="19" t="s">
        <v>55</v>
      </c>
      <c r="E625" s="19" t="s">
        <v>48</v>
      </c>
      <c r="F625">
        <v>285</v>
      </c>
      <c r="G625" s="19" t="s">
        <v>49</v>
      </c>
      <c r="H625">
        <v>29</v>
      </c>
      <c r="I625">
        <v>3</v>
      </c>
      <c r="J625" s="19" t="s">
        <v>58</v>
      </c>
      <c r="K625">
        <v>1377</v>
      </c>
      <c r="L625">
        <v>2</v>
      </c>
      <c r="M625" s="19" t="s">
        <v>51</v>
      </c>
      <c r="N625">
        <v>3</v>
      </c>
      <c r="O625">
        <v>2</v>
      </c>
      <c r="P625" s="19" t="s">
        <v>52</v>
      </c>
      <c r="Q625">
        <v>3</v>
      </c>
      <c r="R625" s="19" t="s">
        <v>113</v>
      </c>
      <c r="S625">
        <v>61921</v>
      </c>
      <c r="T625" s="19" t="s">
        <v>64</v>
      </c>
      <c r="U625">
        <v>387.01</v>
      </c>
      <c r="V625">
        <v>4</v>
      </c>
      <c r="W625" s="19" t="s">
        <v>55</v>
      </c>
      <c r="X625">
        <v>13</v>
      </c>
      <c r="Y625">
        <v>3</v>
      </c>
      <c r="Z625">
        <v>1</v>
      </c>
      <c r="AA625">
        <v>2</v>
      </c>
      <c r="AB625">
        <v>10</v>
      </c>
      <c r="AC625">
        <v>1</v>
      </c>
      <c r="AD625">
        <v>3</v>
      </c>
      <c r="AE625">
        <v>8</v>
      </c>
      <c r="AF625">
        <v>7</v>
      </c>
      <c r="AG625">
        <v>7</v>
      </c>
      <c r="AH625">
        <v>7</v>
      </c>
      <c r="AI625">
        <v>0</v>
      </c>
      <c r="AJ625" s="19" t="s">
        <v>1569</v>
      </c>
      <c r="AK625" s="19" t="s">
        <v>1570</v>
      </c>
      <c r="AL625">
        <v>1</v>
      </c>
      <c r="AM625" s="19" t="s">
        <v>1565</v>
      </c>
      <c r="AN625">
        <v>0.19722125901459694</v>
      </c>
      <c r="AO625">
        <v>743052</v>
      </c>
    </row>
    <row r="626" spans="1:41" x14ac:dyDescent="0.3">
      <c r="A626" s="19" t="s">
        <v>694</v>
      </c>
      <c r="B626">
        <v>34</v>
      </c>
      <c r="C626" s="19" t="s">
        <v>196</v>
      </c>
      <c r="D626" s="19" t="s">
        <v>55</v>
      </c>
      <c r="E626" s="19" t="s">
        <v>48</v>
      </c>
      <c r="F626">
        <v>404</v>
      </c>
      <c r="G626" s="19" t="s">
        <v>49</v>
      </c>
      <c r="H626">
        <v>2</v>
      </c>
      <c r="I626">
        <v>4</v>
      </c>
      <c r="J626" s="19" t="s">
        <v>77</v>
      </c>
      <c r="K626">
        <v>1383</v>
      </c>
      <c r="L626">
        <v>3</v>
      </c>
      <c r="M626" s="19" t="s">
        <v>59</v>
      </c>
      <c r="N626">
        <v>3</v>
      </c>
      <c r="O626">
        <v>2</v>
      </c>
      <c r="P626" s="19" t="s">
        <v>168</v>
      </c>
      <c r="Q626">
        <v>4</v>
      </c>
      <c r="R626" s="19" t="s">
        <v>53</v>
      </c>
      <c r="S626">
        <v>6486</v>
      </c>
      <c r="T626" s="19" t="s">
        <v>54</v>
      </c>
      <c r="U626">
        <v>40.54</v>
      </c>
      <c r="V626">
        <v>1</v>
      </c>
      <c r="W626" s="19" t="s">
        <v>55</v>
      </c>
      <c r="X626">
        <v>11</v>
      </c>
      <c r="Y626">
        <v>3</v>
      </c>
      <c r="Z626">
        <v>4</v>
      </c>
      <c r="AA626">
        <v>0</v>
      </c>
      <c r="AB626">
        <v>14</v>
      </c>
      <c r="AC626">
        <v>2</v>
      </c>
      <c r="AD626">
        <v>4</v>
      </c>
      <c r="AE626">
        <v>14</v>
      </c>
      <c r="AF626">
        <v>11</v>
      </c>
      <c r="AG626">
        <v>4</v>
      </c>
      <c r="AH626">
        <v>11</v>
      </c>
      <c r="AI626">
        <v>0</v>
      </c>
      <c r="AJ626" s="19" t="s">
        <v>1571</v>
      </c>
      <c r="AK626" s="19" t="s">
        <v>1570</v>
      </c>
      <c r="AL626">
        <v>1</v>
      </c>
      <c r="AM626" s="19" t="s">
        <v>1565</v>
      </c>
      <c r="AN626">
        <v>-0.86540536694691161</v>
      </c>
      <c r="AO626">
        <v>77832</v>
      </c>
    </row>
    <row r="627" spans="1:41" x14ac:dyDescent="0.3">
      <c r="A627" s="19" t="s">
        <v>695</v>
      </c>
      <c r="B627">
        <v>34</v>
      </c>
      <c r="C627" s="19" t="s">
        <v>196</v>
      </c>
      <c r="D627" s="19" t="s">
        <v>55</v>
      </c>
      <c r="E627" s="19" t="s">
        <v>62</v>
      </c>
      <c r="F627">
        <v>560</v>
      </c>
      <c r="G627" s="19" t="s">
        <v>49</v>
      </c>
      <c r="H627">
        <v>1</v>
      </c>
      <c r="I627">
        <v>4</v>
      </c>
      <c r="J627" s="19" t="s">
        <v>82</v>
      </c>
      <c r="K627">
        <v>1431</v>
      </c>
      <c r="L627">
        <v>4</v>
      </c>
      <c r="M627" s="19" t="s">
        <v>51</v>
      </c>
      <c r="N627">
        <v>3</v>
      </c>
      <c r="O627">
        <v>1</v>
      </c>
      <c r="P627" s="19" t="s">
        <v>67</v>
      </c>
      <c r="Q627">
        <v>1</v>
      </c>
      <c r="R627" s="19" t="s">
        <v>53</v>
      </c>
      <c r="S627">
        <v>9335</v>
      </c>
      <c r="T627" s="19" t="s">
        <v>54</v>
      </c>
      <c r="U627">
        <v>58.34</v>
      </c>
      <c r="V627">
        <v>5</v>
      </c>
      <c r="W627" s="19" t="s">
        <v>55</v>
      </c>
      <c r="X627">
        <v>14</v>
      </c>
      <c r="Y627">
        <v>3</v>
      </c>
      <c r="Z627">
        <v>3</v>
      </c>
      <c r="AA627">
        <v>2</v>
      </c>
      <c r="AB627">
        <v>10</v>
      </c>
      <c r="AC627">
        <v>2</v>
      </c>
      <c r="AD627">
        <v>3</v>
      </c>
      <c r="AE627">
        <v>4</v>
      </c>
      <c r="AF627">
        <v>3</v>
      </c>
      <c r="AG627">
        <v>1</v>
      </c>
      <c r="AH627">
        <v>3</v>
      </c>
      <c r="AI627">
        <v>0</v>
      </c>
      <c r="AJ627" s="19" t="s">
        <v>1567</v>
      </c>
      <c r="AK627" s="19" t="s">
        <v>1562</v>
      </c>
      <c r="AL627">
        <v>1</v>
      </c>
      <c r="AM627" s="19" t="s">
        <v>1565</v>
      </c>
      <c r="AN627">
        <v>-0.81279868382004283</v>
      </c>
      <c r="AO627">
        <v>112020</v>
      </c>
    </row>
    <row r="628" spans="1:41" x14ac:dyDescent="0.3">
      <c r="A628" s="19" t="s">
        <v>696</v>
      </c>
      <c r="B628">
        <v>34</v>
      </c>
      <c r="C628" s="19" t="s">
        <v>196</v>
      </c>
      <c r="D628" s="19" t="s">
        <v>55</v>
      </c>
      <c r="E628" s="19" t="s">
        <v>48</v>
      </c>
      <c r="F628">
        <v>401</v>
      </c>
      <c r="G628" s="19" t="s">
        <v>49</v>
      </c>
      <c r="H628">
        <v>1</v>
      </c>
      <c r="I628">
        <v>3</v>
      </c>
      <c r="J628" s="19" t="s">
        <v>50</v>
      </c>
      <c r="K628">
        <v>1447</v>
      </c>
      <c r="L628">
        <v>4</v>
      </c>
      <c r="M628" s="19" t="s">
        <v>59</v>
      </c>
      <c r="N628">
        <v>2</v>
      </c>
      <c r="O628">
        <v>1</v>
      </c>
      <c r="P628" s="19" t="s">
        <v>52</v>
      </c>
      <c r="Q628">
        <v>2</v>
      </c>
      <c r="R628" s="19" t="s">
        <v>113</v>
      </c>
      <c r="S628">
        <v>87900</v>
      </c>
      <c r="T628" s="19" t="s">
        <v>70</v>
      </c>
      <c r="U628">
        <v>549.38</v>
      </c>
      <c r="V628">
        <v>5</v>
      </c>
      <c r="W628" s="19" t="s">
        <v>55</v>
      </c>
      <c r="X628">
        <v>17</v>
      </c>
      <c r="Y628">
        <v>3</v>
      </c>
      <c r="Z628">
        <v>1</v>
      </c>
      <c r="AA628">
        <v>1</v>
      </c>
      <c r="AB628">
        <v>7</v>
      </c>
      <c r="AC628">
        <v>2</v>
      </c>
      <c r="AD628">
        <v>2</v>
      </c>
      <c r="AE628">
        <v>5</v>
      </c>
      <c r="AF628">
        <v>4</v>
      </c>
      <c r="AG628">
        <v>0</v>
      </c>
      <c r="AH628">
        <v>2</v>
      </c>
      <c r="AI628">
        <v>0</v>
      </c>
      <c r="AJ628" s="19" t="s">
        <v>1567</v>
      </c>
      <c r="AK628" s="19" t="s">
        <v>1562</v>
      </c>
      <c r="AL628">
        <v>2</v>
      </c>
      <c r="AM628" s="19" t="s">
        <v>1564</v>
      </c>
      <c r="AN628">
        <v>0.69951629765964818</v>
      </c>
      <c r="AO628">
        <v>1054800</v>
      </c>
    </row>
    <row r="629" spans="1:41" x14ac:dyDescent="0.3">
      <c r="A629" s="19" t="s">
        <v>697</v>
      </c>
      <c r="B629">
        <v>34</v>
      </c>
      <c r="C629" s="19" t="s">
        <v>196</v>
      </c>
      <c r="D629" s="19" t="s">
        <v>47</v>
      </c>
      <c r="E629" s="19" t="s">
        <v>48</v>
      </c>
      <c r="F629">
        <v>1107</v>
      </c>
      <c r="G629" s="19" t="s">
        <v>406</v>
      </c>
      <c r="H629">
        <v>9</v>
      </c>
      <c r="I629">
        <v>4</v>
      </c>
      <c r="J629" s="19" t="s">
        <v>77</v>
      </c>
      <c r="K629">
        <v>1467</v>
      </c>
      <c r="L629">
        <v>1</v>
      </c>
      <c r="M629" s="19" t="s">
        <v>59</v>
      </c>
      <c r="N629">
        <v>3</v>
      </c>
      <c r="O629">
        <v>1</v>
      </c>
      <c r="P629" s="19" t="s">
        <v>80</v>
      </c>
      <c r="Q629">
        <v>3</v>
      </c>
      <c r="R629" s="19" t="s">
        <v>113</v>
      </c>
      <c r="S629">
        <v>90112</v>
      </c>
      <c r="T629" s="19" t="s">
        <v>70</v>
      </c>
      <c r="U629">
        <v>563.20000000000005</v>
      </c>
      <c r="V629">
        <v>1</v>
      </c>
      <c r="W629" s="19" t="s">
        <v>55</v>
      </c>
      <c r="X629">
        <v>15</v>
      </c>
      <c r="Y629">
        <v>3</v>
      </c>
      <c r="Z629">
        <v>4</v>
      </c>
      <c r="AA629">
        <v>0</v>
      </c>
      <c r="AB629">
        <v>2</v>
      </c>
      <c r="AC629">
        <v>0</v>
      </c>
      <c r="AD629">
        <v>3</v>
      </c>
      <c r="AE629">
        <v>2</v>
      </c>
      <c r="AF629">
        <v>2</v>
      </c>
      <c r="AG629">
        <v>2</v>
      </c>
      <c r="AH629">
        <v>2</v>
      </c>
      <c r="AI629">
        <v>1</v>
      </c>
      <c r="AJ629" s="19" t="s">
        <v>1566</v>
      </c>
      <c r="AK629" s="19" t="s">
        <v>1562</v>
      </c>
      <c r="AL629">
        <v>0</v>
      </c>
      <c r="AM629" s="19" t="s">
        <v>1563</v>
      </c>
      <c r="AN629">
        <v>0.77581451402021462</v>
      </c>
      <c r="AO629">
        <v>1081344</v>
      </c>
    </row>
    <row r="630" spans="1:41" x14ac:dyDescent="0.3">
      <c r="A630" s="19" t="s">
        <v>698</v>
      </c>
      <c r="B630">
        <v>34</v>
      </c>
      <c r="C630" s="19" t="s">
        <v>196</v>
      </c>
      <c r="D630" s="19" t="s">
        <v>55</v>
      </c>
      <c r="E630" s="19" t="s">
        <v>48</v>
      </c>
      <c r="F630">
        <v>1326</v>
      </c>
      <c r="G630" s="19" t="s">
        <v>57</v>
      </c>
      <c r="H630">
        <v>3</v>
      </c>
      <c r="I630">
        <v>3</v>
      </c>
      <c r="J630" s="19" t="s">
        <v>82</v>
      </c>
      <c r="K630">
        <v>1478</v>
      </c>
      <c r="L630">
        <v>4</v>
      </c>
      <c r="M630" s="19" t="s">
        <v>51</v>
      </c>
      <c r="N630">
        <v>1</v>
      </c>
      <c r="O630">
        <v>2</v>
      </c>
      <c r="P630" s="19" t="s">
        <v>145</v>
      </c>
      <c r="Q630">
        <v>1</v>
      </c>
      <c r="R630" s="19" t="s">
        <v>53</v>
      </c>
      <c r="S630">
        <v>98203</v>
      </c>
      <c r="T630" s="19" t="s">
        <v>70</v>
      </c>
      <c r="U630">
        <v>613.77</v>
      </c>
      <c r="V630">
        <v>3</v>
      </c>
      <c r="W630" s="19" t="s">
        <v>55</v>
      </c>
      <c r="X630">
        <v>18</v>
      </c>
      <c r="Y630">
        <v>3</v>
      </c>
      <c r="Z630">
        <v>4</v>
      </c>
      <c r="AA630">
        <v>0</v>
      </c>
      <c r="AB630">
        <v>15</v>
      </c>
      <c r="AC630">
        <v>2</v>
      </c>
      <c r="AD630">
        <v>3</v>
      </c>
      <c r="AE630">
        <v>13</v>
      </c>
      <c r="AF630">
        <v>9</v>
      </c>
      <c r="AG630">
        <v>3</v>
      </c>
      <c r="AH630">
        <v>12</v>
      </c>
      <c r="AI630">
        <v>0</v>
      </c>
      <c r="AJ630" s="19" t="s">
        <v>1571</v>
      </c>
      <c r="AK630" s="19" t="s">
        <v>1570</v>
      </c>
      <c r="AL630">
        <v>2</v>
      </c>
      <c r="AM630" s="19" t="s">
        <v>1564</v>
      </c>
      <c r="AN630">
        <v>1.0017746513150623</v>
      </c>
      <c r="AO630">
        <v>1178436</v>
      </c>
    </row>
    <row r="631" spans="1:41" x14ac:dyDescent="0.3">
      <c r="A631" s="19" t="s">
        <v>699</v>
      </c>
      <c r="B631">
        <v>34</v>
      </c>
      <c r="C631" s="19" t="s">
        <v>196</v>
      </c>
      <c r="D631" s="19" t="s">
        <v>55</v>
      </c>
      <c r="E631" s="19" t="s">
        <v>62</v>
      </c>
      <c r="F631">
        <v>829</v>
      </c>
      <c r="G631" s="19" t="s">
        <v>49</v>
      </c>
      <c r="H631">
        <v>15</v>
      </c>
      <c r="I631">
        <v>3</v>
      </c>
      <c r="J631" s="19" t="s">
        <v>58</v>
      </c>
      <c r="K631">
        <v>1485</v>
      </c>
      <c r="L631">
        <v>2</v>
      </c>
      <c r="M631" s="19" t="s">
        <v>51</v>
      </c>
      <c r="N631">
        <v>3</v>
      </c>
      <c r="O631">
        <v>4</v>
      </c>
      <c r="P631" s="19" t="s">
        <v>257</v>
      </c>
      <c r="Q631">
        <v>1</v>
      </c>
      <c r="R631" s="19" t="s">
        <v>53</v>
      </c>
      <c r="S631">
        <v>12130</v>
      </c>
      <c r="T631" s="19" t="s">
        <v>54</v>
      </c>
      <c r="U631">
        <v>75.81</v>
      </c>
      <c r="V631">
        <v>7</v>
      </c>
      <c r="W631" s="19" t="s">
        <v>55</v>
      </c>
      <c r="X631">
        <v>14</v>
      </c>
      <c r="Y631">
        <v>3</v>
      </c>
      <c r="Z631">
        <v>4</v>
      </c>
      <c r="AA631">
        <v>2</v>
      </c>
      <c r="AB631">
        <v>16</v>
      </c>
      <c r="AC631">
        <v>3</v>
      </c>
      <c r="AD631">
        <v>2</v>
      </c>
      <c r="AE631">
        <v>14</v>
      </c>
      <c r="AF631">
        <v>8</v>
      </c>
      <c r="AG631">
        <v>6</v>
      </c>
      <c r="AH631">
        <v>9</v>
      </c>
      <c r="AI631">
        <v>0</v>
      </c>
      <c r="AJ631" s="19" t="s">
        <v>1571</v>
      </c>
      <c r="AK631" s="19" t="s">
        <v>1570</v>
      </c>
      <c r="AL631">
        <v>3</v>
      </c>
      <c r="AM631" s="19" t="s">
        <v>1568</v>
      </c>
      <c r="AN631">
        <v>-0.76057513287537326</v>
      </c>
      <c r="AO631">
        <v>145560</v>
      </c>
    </row>
    <row r="632" spans="1:41" x14ac:dyDescent="0.3">
      <c r="A632" s="19" t="s">
        <v>700</v>
      </c>
      <c r="B632">
        <v>34</v>
      </c>
      <c r="C632" s="19" t="s">
        <v>196</v>
      </c>
      <c r="D632" s="19" t="s">
        <v>47</v>
      </c>
      <c r="E632" s="19" t="s">
        <v>48</v>
      </c>
      <c r="F632">
        <v>790</v>
      </c>
      <c r="G632" s="19" t="s">
        <v>57</v>
      </c>
      <c r="H632">
        <v>24</v>
      </c>
      <c r="I632">
        <v>4</v>
      </c>
      <c r="J632" s="19" t="s">
        <v>58</v>
      </c>
      <c r="K632">
        <v>1489</v>
      </c>
      <c r="L632">
        <v>1</v>
      </c>
      <c r="M632" s="19" t="s">
        <v>59</v>
      </c>
      <c r="N632">
        <v>2</v>
      </c>
      <c r="O632">
        <v>2</v>
      </c>
      <c r="P632" s="19" t="s">
        <v>145</v>
      </c>
      <c r="Q632">
        <v>2</v>
      </c>
      <c r="R632" s="19" t="s">
        <v>53</v>
      </c>
      <c r="S632">
        <v>88508</v>
      </c>
      <c r="T632" s="19" t="s">
        <v>70</v>
      </c>
      <c r="U632">
        <v>553.16999999999996</v>
      </c>
      <c r="V632">
        <v>0</v>
      </c>
      <c r="W632" s="19" t="s">
        <v>47</v>
      </c>
      <c r="X632">
        <v>23</v>
      </c>
      <c r="Y632">
        <v>4</v>
      </c>
      <c r="Z632">
        <v>3</v>
      </c>
      <c r="AA632">
        <v>0</v>
      </c>
      <c r="AB632">
        <v>16</v>
      </c>
      <c r="AC632">
        <v>2</v>
      </c>
      <c r="AD632">
        <v>4</v>
      </c>
      <c r="AE632">
        <v>15</v>
      </c>
      <c r="AF632">
        <v>9</v>
      </c>
      <c r="AG632">
        <v>10</v>
      </c>
      <c r="AH632">
        <v>10</v>
      </c>
      <c r="AI632">
        <v>1</v>
      </c>
      <c r="AJ632" s="19" t="s">
        <v>1571</v>
      </c>
      <c r="AK632" s="19" t="s">
        <v>1570</v>
      </c>
      <c r="AL632">
        <v>3</v>
      </c>
      <c r="AM632" s="19" t="s">
        <v>1568</v>
      </c>
      <c r="AN632">
        <v>0.80415130737954565</v>
      </c>
      <c r="AO632">
        <v>1062096</v>
      </c>
    </row>
    <row r="633" spans="1:41" x14ac:dyDescent="0.3">
      <c r="A633" s="19" t="s">
        <v>701</v>
      </c>
      <c r="B633">
        <v>34</v>
      </c>
      <c r="C633" s="19" t="s">
        <v>196</v>
      </c>
      <c r="D633" s="19" t="s">
        <v>55</v>
      </c>
      <c r="E633" s="19" t="s">
        <v>48</v>
      </c>
      <c r="F633">
        <v>971</v>
      </c>
      <c r="G633" s="19" t="s">
        <v>57</v>
      </c>
      <c r="H633">
        <v>1</v>
      </c>
      <c r="I633">
        <v>3</v>
      </c>
      <c r="J633" s="19" t="s">
        <v>77</v>
      </c>
      <c r="K633">
        <v>1535</v>
      </c>
      <c r="L633">
        <v>4</v>
      </c>
      <c r="M633" s="19" t="s">
        <v>51</v>
      </c>
      <c r="N633">
        <v>2</v>
      </c>
      <c r="O633">
        <v>3</v>
      </c>
      <c r="P633" s="19" t="s">
        <v>145</v>
      </c>
      <c r="Q633">
        <v>3</v>
      </c>
      <c r="R633" s="19" t="s">
        <v>113</v>
      </c>
      <c r="S633">
        <v>61566</v>
      </c>
      <c r="T633" s="19" t="s">
        <v>64</v>
      </c>
      <c r="U633">
        <v>384.79</v>
      </c>
      <c r="V633">
        <v>1</v>
      </c>
      <c r="W633" s="19" t="s">
        <v>47</v>
      </c>
      <c r="X633">
        <v>14</v>
      </c>
      <c r="Y633">
        <v>3</v>
      </c>
      <c r="Z633">
        <v>4</v>
      </c>
      <c r="AA633">
        <v>0</v>
      </c>
      <c r="AB633">
        <v>10</v>
      </c>
      <c r="AC633">
        <v>3</v>
      </c>
      <c r="AD633">
        <v>3</v>
      </c>
      <c r="AE633">
        <v>10</v>
      </c>
      <c r="AF633">
        <v>9</v>
      </c>
      <c r="AG633">
        <v>8</v>
      </c>
      <c r="AH633">
        <v>6</v>
      </c>
      <c r="AI633">
        <v>0</v>
      </c>
      <c r="AJ633" s="19" t="s">
        <v>1569</v>
      </c>
      <c r="AK633" s="19" t="s">
        <v>1570</v>
      </c>
      <c r="AL633">
        <v>2</v>
      </c>
      <c r="AM633" s="19" t="s">
        <v>1564</v>
      </c>
      <c r="AN633">
        <v>0.25496429012212579</v>
      </c>
      <c r="AO633">
        <v>738792</v>
      </c>
    </row>
    <row r="634" spans="1:41" x14ac:dyDescent="0.3">
      <c r="A634" s="19" t="s">
        <v>702</v>
      </c>
      <c r="B634">
        <v>34</v>
      </c>
      <c r="C634" s="19" t="s">
        <v>196</v>
      </c>
      <c r="D634" s="19" t="s">
        <v>55</v>
      </c>
      <c r="E634" s="19" t="s">
        <v>48</v>
      </c>
      <c r="F634">
        <v>1440</v>
      </c>
      <c r="G634" s="19" t="s">
        <v>57</v>
      </c>
      <c r="H634">
        <v>7</v>
      </c>
      <c r="I634">
        <v>2</v>
      </c>
      <c r="J634" s="19" t="s">
        <v>77</v>
      </c>
      <c r="K634">
        <v>1541</v>
      </c>
      <c r="L634">
        <v>2</v>
      </c>
      <c r="M634" s="19" t="s">
        <v>51</v>
      </c>
      <c r="N634">
        <v>3</v>
      </c>
      <c r="O634">
        <v>1</v>
      </c>
      <c r="P634" s="19" t="s">
        <v>60</v>
      </c>
      <c r="Q634">
        <v>3</v>
      </c>
      <c r="R634" s="19" t="s">
        <v>113</v>
      </c>
      <c r="S634">
        <v>67703</v>
      </c>
      <c r="T634" s="19" t="s">
        <v>64</v>
      </c>
      <c r="U634">
        <v>423.14</v>
      </c>
      <c r="V634">
        <v>0</v>
      </c>
      <c r="W634" s="19" t="s">
        <v>47</v>
      </c>
      <c r="X634">
        <v>25</v>
      </c>
      <c r="Y634">
        <v>4</v>
      </c>
      <c r="Z634">
        <v>2</v>
      </c>
      <c r="AA634">
        <v>1</v>
      </c>
      <c r="AB634">
        <v>12</v>
      </c>
      <c r="AC634">
        <v>4</v>
      </c>
      <c r="AD634">
        <v>3</v>
      </c>
      <c r="AE634">
        <v>11</v>
      </c>
      <c r="AF634">
        <v>10</v>
      </c>
      <c r="AG634">
        <v>5</v>
      </c>
      <c r="AH634">
        <v>7</v>
      </c>
      <c r="AI634">
        <v>0</v>
      </c>
      <c r="AJ634" s="19" t="s">
        <v>1571</v>
      </c>
      <c r="AK634" s="19" t="s">
        <v>1570</v>
      </c>
      <c r="AL634">
        <v>2</v>
      </c>
      <c r="AM634" s="19" t="s">
        <v>1564</v>
      </c>
      <c r="AN634">
        <v>0.3725399431536659</v>
      </c>
      <c r="AO634">
        <v>812436</v>
      </c>
    </row>
    <row r="635" spans="1:41" x14ac:dyDescent="0.3">
      <c r="A635" s="19" t="s">
        <v>703</v>
      </c>
      <c r="B635">
        <v>34</v>
      </c>
      <c r="C635" s="19" t="s">
        <v>196</v>
      </c>
      <c r="D635" s="19" t="s">
        <v>55</v>
      </c>
      <c r="E635" s="19" t="s">
        <v>48</v>
      </c>
      <c r="F635">
        <v>479</v>
      </c>
      <c r="G635" s="19" t="s">
        <v>49</v>
      </c>
      <c r="H635">
        <v>7</v>
      </c>
      <c r="I635">
        <v>4</v>
      </c>
      <c r="J635" s="19" t="s">
        <v>58</v>
      </c>
      <c r="K635">
        <v>1577</v>
      </c>
      <c r="L635">
        <v>1</v>
      </c>
      <c r="M635" s="19" t="s">
        <v>51</v>
      </c>
      <c r="N635">
        <v>3</v>
      </c>
      <c r="O635">
        <v>1</v>
      </c>
      <c r="P635" s="19" t="s">
        <v>67</v>
      </c>
      <c r="Q635">
        <v>4</v>
      </c>
      <c r="R635" s="19" t="s">
        <v>53</v>
      </c>
      <c r="S635">
        <v>28192</v>
      </c>
      <c r="T635" s="19" t="s">
        <v>72</v>
      </c>
      <c r="U635">
        <v>176.2</v>
      </c>
      <c r="V635">
        <v>1</v>
      </c>
      <c r="W635" s="19" t="s">
        <v>55</v>
      </c>
      <c r="X635">
        <v>13</v>
      </c>
      <c r="Y635">
        <v>3</v>
      </c>
      <c r="Z635">
        <v>3</v>
      </c>
      <c r="AA635">
        <v>0</v>
      </c>
      <c r="AB635">
        <v>1</v>
      </c>
      <c r="AC635">
        <v>4</v>
      </c>
      <c r="AD635">
        <v>1</v>
      </c>
      <c r="AE635">
        <v>1</v>
      </c>
      <c r="AF635">
        <v>0</v>
      </c>
      <c r="AG635">
        <v>0</v>
      </c>
      <c r="AH635">
        <v>0</v>
      </c>
      <c r="AI635">
        <v>0</v>
      </c>
      <c r="AJ635" s="19" t="s">
        <v>1561</v>
      </c>
      <c r="AK635" s="19" t="s">
        <v>1562</v>
      </c>
      <c r="AL635">
        <v>1</v>
      </c>
      <c r="AM635" s="19" t="s">
        <v>1565</v>
      </c>
      <c r="AN635">
        <v>-0.43464600902567202</v>
      </c>
      <c r="AO635">
        <v>338304</v>
      </c>
    </row>
    <row r="636" spans="1:41" x14ac:dyDescent="0.3">
      <c r="A636" s="19" t="s">
        <v>704</v>
      </c>
      <c r="B636">
        <v>34</v>
      </c>
      <c r="C636" s="19" t="s">
        <v>196</v>
      </c>
      <c r="D636" s="19" t="s">
        <v>55</v>
      </c>
      <c r="E636" s="19" t="s">
        <v>48</v>
      </c>
      <c r="F636">
        <v>1351</v>
      </c>
      <c r="G636" s="19" t="s">
        <v>49</v>
      </c>
      <c r="H636">
        <v>1</v>
      </c>
      <c r="I636">
        <v>4</v>
      </c>
      <c r="J636" s="19" t="s">
        <v>50</v>
      </c>
      <c r="K636">
        <v>1580</v>
      </c>
      <c r="L636">
        <v>2</v>
      </c>
      <c r="M636" s="19" t="s">
        <v>51</v>
      </c>
      <c r="N636">
        <v>3</v>
      </c>
      <c r="O636">
        <v>2</v>
      </c>
      <c r="P636" s="19" t="s">
        <v>67</v>
      </c>
      <c r="Q636">
        <v>4</v>
      </c>
      <c r="R636" s="19" t="s">
        <v>113</v>
      </c>
      <c r="S636">
        <v>2062</v>
      </c>
      <c r="T636" s="19" t="s">
        <v>54</v>
      </c>
      <c r="U636">
        <v>12.89</v>
      </c>
      <c r="V636">
        <v>9</v>
      </c>
      <c r="W636" s="19" t="s">
        <v>55</v>
      </c>
      <c r="X636">
        <v>17</v>
      </c>
      <c r="Y636">
        <v>3</v>
      </c>
      <c r="Z636">
        <v>2</v>
      </c>
      <c r="AA636">
        <v>1</v>
      </c>
      <c r="AB636">
        <v>9</v>
      </c>
      <c r="AC636">
        <v>3</v>
      </c>
      <c r="AD636">
        <v>2</v>
      </c>
      <c r="AE636">
        <v>2</v>
      </c>
      <c r="AF636">
        <v>2</v>
      </c>
      <c r="AG636">
        <v>2</v>
      </c>
      <c r="AH636">
        <v>1</v>
      </c>
      <c r="AI636">
        <v>0</v>
      </c>
      <c r="AJ636" s="19" t="s">
        <v>1566</v>
      </c>
      <c r="AK636" s="19" t="s">
        <v>1562</v>
      </c>
      <c r="AL636">
        <v>1</v>
      </c>
      <c r="AM636" s="19" t="s">
        <v>1565</v>
      </c>
      <c r="AN636">
        <v>-0.95864926470668754</v>
      </c>
      <c r="AO636">
        <v>24744</v>
      </c>
    </row>
    <row r="637" spans="1:41" x14ac:dyDescent="0.3">
      <c r="A637" s="19" t="s">
        <v>705</v>
      </c>
      <c r="B637">
        <v>34</v>
      </c>
      <c r="C637" s="19" t="s">
        <v>196</v>
      </c>
      <c r="D637" s="19" t="s">
        <v>55</v>
      </c>
      <c r="E637" s="19" t="s">
        <v>62</v>
      </c>
      <c r="F637">
        <v>653</v>
      </c>
      <c r="G637" s="19" t="s">
        <v>49</v>
      </c>
      <c r="H637">
        <v>10</v>
      </c>
      <c r="I637">
        <v>4</v>
      </c>
      <c r="J637" s="19" t="s">
        <v>77</v>
      </c>
      <c r="K637">
        <v>1597</v>
      </c>
      <c r="L637">
        <v>4</v>
      </c>
      <c r="M637" s="19" t="s">
        <v>51</v>
      </c>
      <c r="N637">
        <v>2</v>
      </c>
      <c r="O637">
        <v>2</v>
      </c>
      <c r="P637" s="19" t="s">
        <v>168</v>
      </c>
      <c r="Q637">
        <v>3</v>
      </c>
      <c r="R637" s="19" t="s">
        <v>113</v>
      </c>
      <c r="S637">
        <v>85076</v>
      </c>
      <c r="T637" s="19" t="s">
        <v>70</v>
      </c>
      <c r="U637">
        <v>531.72</v>
      </c>
      <c r="V637">
        <v>1</v>
      </c>
      <c r="W637" s="19" t="s">
        <v>55</v>
      </c>
      <c r="X637">
        <v>14</v>
      </c>
      <c r="Y637">
        <v>3</v>
      </c>
      <c r="Z637">
        <v>2</v>
      </c>
      <c r="AA637">
        <v>1</v>
      </c>
      <c r="AB637">
        <v>8</v>
      </c>
      <c r="AC637">
        <v>3</v>
      </c>
      <c r="AD637">
        <v>2</v>
      </c>
      <c r="AE637">
        <v>8</v>
      </c>
      <c r="AF637">
        <v>2</v>
      </c>
      <c r="AG637">
        <v>7</v>
      </c>
      <c r="AH637">
        <v>7</v>
      </c>
      <c r="AI637">
        <v>0</v>
      </c>
      <c r="AJ637" s="19" t="s">
        <v>1569</v>
      </c>
      <c r="AK637" s="19" t="s">
        <v>1570</v>
      </c>
      <c r="AL637">
        <v>2</v>
      </c>
      <c r="AM637" s="19" t="s">
        <v>1564</v>
      </c>
      <c r="AN637">
        <v>0.76545991391066159</v>
      </c>
      <c r="AO637">
        <v>1020912</v>
      </c>
    </row>
    <row r="638" spans="1:41" x14ac:dyDescent="0.3">
      <c r="A638" s="19" t="s">
        <v>705</v>
      </c>
      <c r="B638">
        <v>34</v>
      </c>
      <c r="C638" s="19" t="s">
        <v>196</v>
      </c>
      <c r="D638" s="19" t="s">
        <v>55</v>
      </c>
      <c r="E638" s="19" t="s">
        <v>62</v>
      </c>
      <c r="F638">
        <v>653</v>
      </c>
      <c r="G638" s="19" t="s">
        <v>49</v>
      </c>
      <c r="H638">
        <v>10</v>
      </c>
      <c r="I638">
        <v>4</v>
      </c>
      <c r="J638" s="19" t="s">
        <v>77</v>
      </c>
      <c r="K638">
        <v>1597</v>
      </c>
      <c r="L638">
        <v>4</v>
      </c>
      <c r="M638" s="19" t="s">
        <v>51</v>
      </c>
      <c r="N638">
        <v>2</v>
      </c>
      <c r="O638">
        <v>2</v>
      </c>
      <c r="P638" s="19" t="s">
        <v>168</v>
      </c>
      <c r="Q638">
        <v>3</v>
      </c>
      <c r="R638" s="19" t="s">
        <v>113</v>
      </c>
      <c r="S638">
        <v>85076</v>
      </c>
      <c r="T638" s="19" t="s">
        <v>70</v>
      </c>
      <c r="U638">
        <v>531.72</v>
      </c>
      <c r="V638">
        <v>1</v>
      </c>
      <c r="W638" s="19" t="s">
        <v>55</v>
      </c>
      <c r="X638">
        <v>14</v>
      </c>
      <c r="Y638">
        <v>3</v>
      </c>
      <c r="Z638">
        <v>2</v>
      </c>
      <c r="AA638">
        <v>1</v>
      </c>
      <c r="AB638">
        <v>8</v>
      </c>
      <c r="AC638">
        <v>3</v>
      </c>
      <c r="AD638">
        <v>2</v>
      </c>
      <c r="AE638">
        <v>8</v>
      </c>
      <c r="AF638">
        <v>2</v>
      </c>
      <c r="AG638">
        <v>7</v>
      </c>
      <c r="AH638">
        <v>2</v>
      </c>
      <c r="AI638">
        <v>0</v>
      </c>
      <c r="AJ638" s="19" t="s">
        <v>1569</v>
      </c>
      <c r="AK638" s="19" t="s">
        <v>1570</v>
      </c>
      <c r="AL638">
        <v>2</v>
      </c>
      <c r="AM638" s="19" t="s">
        <v>1564</v>
      </c>
      <c r="AN638">
        <v>0.76545991391066159</v>
      </c>
      <c r="AO638">
        <v>1020912</v>
      </c>
    </row>
    <row r="639" spans="1:41" x14ac:dyDescent="0.3">
      <c r="A639" s="19" t="s">
        <v>706</v>
      </c>
      <c r="B639">
        <v>34</v>
      </c>
      <c r="C639" s="19" t="s">
        <v>196</v>
      </c>
      <c r="D639" s="19" t="s">
        <v>55</v>
      </c>
      <c r="E639" s="19" t="s">
        <v>48</v>
      </c>
      <c r="F639">
        <v>1130</v>
      </c>
      <c r="G639" s="19" t="s">
        <v>49</v>
      </c>
      <c r="H639">
        <v>3</v>
      </c>
      <c r="I639">
        <v>3</v>
      </c>
      <c r="J639" s="19" t="s">
        <v>50</v>
      </c>
      <c r="K639">
        <v>1658</v>
      </c>
      <c r="L639">
        <v>4</v>
      </c>
      <c r="M639" s="19" t="s">
        <v>59</v>
      </c>
      <c r="N639">
        <v>3</v>
      </c>
      <c r="O639">
        <v>2</v>
      </c>
      <c r="P639" s="19" t="s">
        <v>67</v>
      </c>
      <c r="Q639">
        <v>2</v>
      </c>
      <c r="R639" s="19" t="s">
        <v>53</v>
      </c>
      <c r="S639">
        <v>22545</v>
      </c>
      <c r="T639" s="19" t="s">
        <v>54</v>
      </c>
      <c r="U639">
        <v>140.91</v>
      </c>
      <c r="V639">
        <v>1</v>
      </c>
      <c r="W639" s="19" t="s">
        <v>55</v>
      </c>
      <c r="X639">
        <v>12</v>
      </c>
      <c r="Y639">
        <v>3</v>
      </c>
      <c r="Z639">
        <v>3</v>
      </c>
      <c r="AA639">
        <v>1</v>
      </c>
      <c r="AB639">
        <v>11</v>
      </c>
      <c r="AC639">
        <v>2</v>
      </c>
      <c r="AD639">
        <v>3</v>
      </c>
      <c r="AE639">
        <v>11</v>
      </c>
      <c r="AF639">
        <v>8</v>
      </c>
      <c r="AG639">
        <v>7</v>
      </c>
      <c r="AH639">
        <v>9</v>
      </c>
      <c r="AI639">
        <v>0</v>
      </c>
      <c r="AJ639" s="19" t="s">
        <v>1571</v>
      </c>
      <c r="AK639" s="19" t="s">
        <v>1570</v>
      </c>
      <c r="AL639">
        <v>2</v>
      </c>
      <c r="AM639" s="19" t="s">
        <v>1564</v>
      </c>
      <c r="AN639">
        <v>-0.54788926906511692</v>
      </c>
      <c r="AO639">
        <v>270540</v>
      </c>
    </row>
    <row r="640" spans="1:41" x14ac:dyDescent="0.3">
      <c r="A640" s="19" t="s">
        <v>707</v>
      </c>
      <c r="B640">
        <v>34</v>
      </c>
      <c r="C640" s="19" t="s">
        <v>196</v>
      </c>
      <c r="D640" s="19" t="s">
        <v>55</v>
      </c>
      <c r="E640" s="19" t="s">
        <v>48</v>
      </c>
      <c r="F640">
        <v>1157</v>
      </c>
      <c r="G640" s="19" t="s">
        <v>49</v>
      </c>
      <c r="H640">
        <v>5</v>
      </c>
      <c r="I640">
        <v>2</v>
      </c>
      <c r="J640" s="19" t="s">
        <v>58</v>
      </c>
      <c r="K640">
        <v>1696</v>
      </c>
      <c r="L640">
        <v>2</v>
      </c>
      <c r="M640" s="19" t="s">
        <v>51</v>
      </c>
      <c r="N640">
        <v>2</v>
      </c>
      <c r="O640">
        <v>2</v>
      </c>
      <c r="P640" s="19" t="s">
        <v>52</v>
      </c>
      <c r="Q640">
        <v>4</v>
      </c>
      <c r="R640" s="19" t="s">
        <v>113</v>
      </c>
      <c r="S640">
        <v>22689</v>
      </c>
      <c r="T640" s="19" t="s">
        <v>54</v>
      </c>
      <c r="U640">
        <v>141.81</v>
      </c>
      <c r="V640">
        <v>1</v>
      </c>
      <c r="W640" s="19" t="s">
        <v>55</v>
      </c>
      <c r="X640">
        <v>14</v>
      </c>
      <c r="Y640">
        <v>3</v>
      </c>
      <c r="Z640">
        <v>3</v>
      </c>
      <c r="AA640">
        <v>1</v>
      </c>
      <c r="AB640">
        <v>15</v>
      </c>
      <c r="AC640">
        <v>3</v>
      </c>
      <c r="AD640">
        <v>4</v>
      </c>
      <c r="AE640">
        <v>15</v>
      </c>
      <c r="AF640">
        <v>10</v>
      </c>
      <c r="AG640">
        <v>4</v>
      </c>
      <c r="AH640">
        <v>13</v>
      </c>
      <c r="AI640">
        <v>0</v>
      </c>
      <c r="AJ640" s="19" t="s">
        <v>1571</v>
      </c>
      <c r="AK640" s="19" t="s">
        <v>1570</v>
      </c>
      <c r="AL640">
        <v>1</v>
      </c>
      <c r="AM640" s="19" t="s">
        <v>1565</v>
      </c>
      <c r="AN640">
        <v>-0.56131598091467849</v>
      </c>
      <c r="AO640">
        <v>272268</v>
      </c>
    </row>
    <row r="641" spans="1:41" x14ac:dyDescent="0.3">
      <c r="A641" s="19" t="s">
        <v>708</v>
      </c>
      <c r="B641">
        <v>34</v>
      </c>
      <c r="C641" s="19" t="s">
        <v>196</v>
      </c>
      <c r="D641" s="19" t="s">
        <v>55</v>
      </c>
      <c r="E641" s="19" t="s">
        <v>48</v>
      </c>
      <c r="F641">
        <v>678</v>
      </c>
      <c r="G641" s="19" t="s">
        <v>49</v>
      </c>
      <c r="H641">
        <v>19</v>
      </c>
      <c r="I641">
        <v>3</v>
      </c>
      <c r="J641" s="19" t="s">
        <v>50</v>
      </c>
      <c r="K641">
        <v>1701</v>
      </c>
      <c r="L641">
        <v>2</v>
      </c>
      <c r="M641" s="19" t="s">
        <v>59</v>
      </c>
      <c r="N641">
        <v>2</v>
      </c>
      <c r="O641">
        <v>1</v>
      </c>
      <c r="P641" s="19" t="s">
        <v>67</v>
      </c>
      <c r="Q641">
        <v>4</v>
      </c>
      <c r="R641" s="19" t="s">
        <v>113</v>
      </c>
      <c r="S641">
        <v>12174</v>
      </c>
      <c r="T641" s="19" t="s">
        <v>54</v>
      </c>
      <c r="U641">
        <v>76.09</v>
      </c>
      <c r="V641">
        <v>1</v>
      </c>
      <c r="W641" s="19" t="s">
        <v>55</v>
      </c>
      <c r="X641">
        <v>12</v>
      </c>
      <c r="Y641">
        <v>3</v>
      </c>
      <c r="Z641">
        <v>2</v>
      </c>
      <c r="AA641">
        <v>0</v>
      </c>
      <c r="AB641">
        <v>10</v>
      </c>
      <c r="AC641">
        <v>3</v>
      </c>
      <c r="AD641">
        <v>3</v>
      </c>
      <c r="AE641">
        <v>10</v>
      </c>
      <c r="AF641">
        <v>9</v>
      </c>
      <c r="AG641">
        <v>8</v>
      </c>
      <c r="AH641">
        <v>7</v>
      </c>
      <c r="AI641">
        <v>0</v>
      </c>
      <c r="AJ641" s="19" t="s">
        <v>1569</v>
      </c>
      <c r="AK641" s="19" t="s">
        <v>1570</v>
      </c>
      <c r="AL641">
        <v>1</v>
      </c>
      <c r="AM641" s="19" t="s">
        <v>1565</v>
      </c>
      <c r="AN641">
        <v>-0.75586622140602056</v>
      </c>
      <c r="AO641">
        <v>146088</v>
      </c>
    </row>
    <row r="642" spans="1:41" x14ac:dyDescent="0.3">
      <c r="A642" s="19" t="s">
        <v>709</v>
      </c>
      <c r="B642">
        <v>34</v>
      </c>
      <c r="C642" s="19" t="s">
        <v>196</v>
      </c>
      <c r="D642" s="19" t="s">
        <v>55</v>
      </c>
      <c r="E642" s="19" t="s">
        <v>48</v>
      </c>
      <c r="F642">
        <v>181</v>
      </c>
      <c r="G642" s="19" t="s">
        <v>49</v>
      </c>
      <c r="H642">
        <v>2</v>
      </c>
      <c r="I642">
        <v>4</v>
      </c>
      <c r="J642" s="19" t="s">
        <v>58</v>
      </c>
      <c r="K642">
        <v>1755</v>
      </c>
      <c r="L642">
        <v>4</v>
      </c>
      <c r="M642" s="19" t="s">
        <v>51</v>
      </c>
      <c r="N642">
        <v>4</v>
      </c>
      <c r="O642">
        <v>1</v>
      </c>
      <c r="P642" s="19" t="s">
        <v>67</v>
      </c>
      <c r="Q642">
        <v>4</v>
      </c>
      <c r="R642" s="19" t="s">
        <v>113</v>
      </c>
      <c r="S642">
        <v>89461</v>
      </c>
      <c r="T642" s="19" t="s">
        <v>70</v>
      </c>
      <c r="U642">
        <v>559.13</v>
      </c>
      <c r="V642">
        <v>0</v>
      </c>
      <c r="W642" s="19" t="s">
        <v>47</v>
      </c>
      <c r="X642">
        <v>14</v>
      </c>
      <c r="Y642">
        <v>3</v>
      </c>
      <c r="Z642">
        <v>1</v>
      </c>
      <c r="AA642">
        <v>3</v>
      </c>
      <c r="AB642">
        <v>6</v>
      </c>
      <c r="AC642">
        <v>3</v>
      </c>
      <c r="AD642">
        <v>3</v>
      </c>
      <c r="AE642">
        <v>5</v>
      </c>
      <c r="AF642">
        <v>0</v>
      </c>
      <c r="AG642">
        <v>1</v>
      </c>
      <c r="AH642">
        <v>2</v>
      </c>
      <c r="AI642">
        <v>0</v>
      </c>
      <c r="AJ642" s="19" t="s">
        <v>1567</v>
      </c>
      <c r="AK642" s="19" t="s">
        <v>1562</v>
      </c>
      <c r="AL642">
        <v>1</v>
      </c>
      <c r="AM642" s="19" t="s">
        <v>1565</v>
      </c>
      <c r="AN642">
        <v>0.79402431138458973</v>
      </c>
      <c r="AO642">
        <v>1073532</v>
      </c>
    </row>
    <row r="643" spans="1:41" x14ac:dyDescent="0.3">
      <c r="A643" s="19" t="s">
        <v>710</v>
      </c>
      <c r="B643">
        <v>34</v>
      </c>
      <c r="C643" s="19" t="s">
        <v>196</v>
      </c>
      <c r="D643" s="19" t="s">
        <v>55</v>
      </c>
      <c r="E643" s="19" t="s">
        <v>66</v>
      </c>
      <c r="F643">
        <v>1375</v>
      </c>
      <c r="G643" s="19" t="s">
        <v>63</v>
      </c>
      <c r="H643">
        <v>10</v>
      </c>
      <c r="I643">
        <v>3</v>
      </c>
      <c r="J643" s="19" t="s">
        <v>50</v>
      </c>
      <c r="K643">
        <v>1774</v>
      </c>
      <c r="L643">
        <v>4</v>
      </c>
      <c r="M643" s="19" t="s">
        <v>51</v>
      </c>
      <c r="N643">
        <v>3</v>
      </c>
      <c r="O643">
        <v>2</v>
      </c>
      <c r="P643" s="19" t="s">
        <v>145</v>
      </c>
      <c r="Q643">
        <v>3</v>
      </c>
      <c r="R643" s="19" t="s">
        <v>53</v>
      </c>
      <c r="S643">
        <v>10348</v>
      </c>
      <c r="T643" s="19" t="s">
        <v>54</v>
      </c>
      <c r="U643">
        <v>64.680000000000007</v>
      </c>
      <c r="V643">
        <v>1</v>
      </c>
      <c r="W643" s="19" t="s">
        <v>47</v>
      </c>
      <c r="X643">
        <v>14</v>
      </c>
      <c r="Y643">
        <v>3</v>
      </c>
      <c r="Z643">
        <v>3</v>
      </c>
      <c r="AA643">
        <v>1</v>
      </c>
      <c r="AB643">
        <v>15</v>
      </c>
      <c r="AC643">
        <v>3</v>
      </c>
      <c r="AD643">
        <v>3</v>
      </c>
      <c r="AE643">
        <v>15</v>
      </c>
      <c r="AF643">
        <v>14</v>
      </c>
      <c r="AG643">
        <v>0</v>
      </c>
      <c r="AH643">
        <v>7</v>
      </c>
      <c r="AI643">
        <v>0</v>
      </c>
      <c r="AJ643" s="19" t="s">
        <v>1571</v>
      </c>
      <c r="AK643" s="19" t="s">
        <v>1562</v>
      </c>
      <c r="AL643">
        <v>1</v>
      </c>
      <c r="AM643" s="19" t="s">
        <v>1565</v>
      </c>
      <c r="AN643">
        <v>-0.78906587281642859</v>
      </c>
      <c r="AO643">
        <v>124176</v>
      </c>
    </row>
    <row r="644" spans="1:41" x14ac:dyDescent="0.3">
      <c r="A644" s="19" t="s">
        <v>711</v>
      </c>
      <c r="B644">
        <v>34</v>
      </c>
      <c r="C644" s="19" t="s">
        <v>196</v>
      </c>
      <c r="D644" s="19" t="s">
        <v>55</v>
      </c>
      <c r="E644" s="19" t="s">
        <v>48</v>
      </c>
      <c r="F644">
        <v>511</v>
      </c>
      <c r="G644" s="19" t="s">
        <v>63</v>
      </c>
      <c r="H644">
        <v>3</v>
      </c>
      <c r="I644">
        <v>2</v>
      </c>
      <c r="J644" s="19" t="s">
        <v>50</v>
      </c>
      <c r="K644">
        <v>1779</v>
      </c>
      <c r="L644">
        <v>4</v>
      </c>
      <c r="M644" s="19" t="s">
        <v>59</v>
      </c>
      <c r="N644">
        <v>1</v>
      </c>
      <c r="O644">
        <v>2</v>
      </c>
      <c r="P644" s="19" t="s">
        <v>145</v>
      </c>
      <c r="Q644">
        <v>4</v>
      </c>
      <c r="R644" s="19" t="s">
        <v>53</v>
      </c>
      <c r="S644">
        <v>24714</v>
      </c>
      <c r="T644" s="19" t="s">
        <v>54</v>
      </c>
      <c r="U644">
        <v>154.46</v>
      </c>
      <c r="V644">
        <v>5</v>
      </c>
      <c r="W644" s="19" t="s">
        <v>55</v>
      </c>
      <c r="X644">
        <v>12</v>
      </c>
      <c r="Y644">
        <v>3</v>
      </c>
      <c r="Z644">
        <v>1</v>
      </c>
      <c r="AA644">
        <v>0</v>
      </c>
      <c r="AB644">
        <v>6</v>
      </c>
      <c r="AC644">
        <v>3</v>
      </c>
      <c r="AD644">
        <v>3</v>
      </c>
      <c r="AE644">
        <v>2</v>
      </c>
      <c r="AF644">
        <v>2</v>
      </c>
      <c r="AG644">
        <v>2</v>
      </c>
      <c r="AH644">
        <v>2</v>
      </c>
      <c r="AI644">
        <v>0</v>
      </c>
      <c r="AJ644" s="19" t="s">
        <v>1566</v>
      </c>
      <c r="AK644" s="19" t="s">
        <v>1562</v>
      </c>
      <c r="AL644">
        <v>0</v>
      </c>
      <c r="AM644" s="19" t="s">
        <v>1563</v>
      </c>
      <c r="AN644">
        <v>-0.49622864135922073</v>
      </c>
      <c r="AO644">
        <v>296568</v>
      </c>
    </row>
    <row r="645" spans="1:41" x14ac:dyDescent="0.3">
      <c r="A645" s="19" t="s">
        <v>712</v>
      </c>
      <c r="B645">
        <v>34</v>
      </c>
      <c r="C645" s="19" t="s">
        <v>196</v>
      </c>
      <c r="D645" s="19" t="s">
        <v>47</v>
      </c>
      <c r="E645" s="19" t="s">
        <v>62</v>
      </c>
      <c r="F645">
        <v>234</v>
      </c>
      <c r="G645" s="19" t="s">
        <v>49</v>
      </c>
      <c r="H645">
        <v>9</v>
      </c>
      <c r="I645">
        <v>4</v>
      </c>
      <c r="J645" s="19" t="s">
        <v>50</v>
      </c>
      <c r="K645">
        <v>1807</v>
      </c>
      <c r="L645">
        <v>4</v>
      </c>
      <c r="M645" s="19" t="s">
        <v>51</v>
      </c>
      <c r="N645">
        <v>3</v>
      </c>
      <c r="O645">
        <v>2</v>
      </c>
      <c r="P645" s="19" t="s">
        <v>52</v>
      </c>
      <c r="Q645">
        <v>1</v>
      </c>
      <c r="R645" s="19" t="s">
        <v>113</v>
      </c>
      <c r="S645">
        <v>39102</v>
      </c>
      <c r="T645" s="19" t="s">
        <v>72</v>
      </c>
      <c r="U645">
        <v>244.39</v>
      </c>
      <c r="V645">
        <v>4</v>
      </c>
      <c r="W645" s="19" t="s">
        <v>55</v>
      </c>
      <c r="X645">
        <v>17</v>
      </c>
      <c r="Y645">
        <v>3</v>
      </c>
      <c r="Z645">
        <v>3</v>
      </c>
      <c r="AA645">
        <v>1</v>
      </c>
      <c r="AB645">
        <v>11</v>
      </c>
      <c r="AC645">
        <v>3</v>
      </c>
      <c r="AD645">
        <v>2</v>
      </c>
      <c r="AE645">
        <v>7</v>
      </c>
      <c r="AF645">
        <v>1</v>
      </c>
      <c r="AG645">
        <v>0</v>
      </c>
      <c r="AH645">
        <v>7</v>
      </c>
      <c r="AI645">
        <v>1</v>
      </c>
      <c r="AJ645" s="19" t="s">
        <v>1569</v>
      </c>
      <c r="AK645" s="19" t="s">
        <v>1562</v>
      </c>
      <c r="AL645">
        <v>2</v>
      </c>
      <c r="AM645" s="19" t="s">
        <v>1564</v>
      </c>
      <c r="AN645">
        <v>-0.24397626540287187</v>
      </c>
      <c r="AO645">
        <v>469224</v>
      </c>
    </row>
    <row r="646" spans="1:41" x14ac:dyDescent="0.3">
      <c r="A646" s="19" t="s">
        <v>713</v>
      </c>
      <c r="B646">
        <v>34</v>
      </c>
      <c r="C646" s="19" t="s">
        <v>196</v>
      </c>
      <c r="D646" s="19" t="s">
        <v>55</v>
      </c>
      <c r="E646" s="19" t="s">
        <v>48</v>
      </c>
      <c r="F646">
        <v>810</v>
      </c>
      <c r="G646" s="19" t="s">
        <v>63</v>
      </c>
      <c r="H646">
        <v>8</v>
      </c>
      <c r="I646">
        <v>2</v>
      </c>
      <c r="J646" s="19" t="s">
        <v>77</v>
      </c>
      <c r="K646">
        <v>1823</v>
      </c>
      <c r="L646">
        <v>2</v>
      </c>
      <c r="M646" s="19" t="s">
        <v>51</v>
      </c>
      <c r="N646">
        <v>4</v>
      </c>
      <c r="O646">
        <v>2</v>
      </c>
      <c r="P646" s="19" t="s">
        <v>145</v>
      </c>
      <c r="Q646">
        <v>3</v>
      </c>
      <c r="R646" s="19" t="s">
        <v>113</v>
      </c>
      <c r="S646">
        <v>75460</v>
      </c>
      <c r="T646" s="19" t="s">
        <v>64</v>
      </c>
      <c r="U646">
        <v>471.62</v>
      </c>
      <c r="V646">
        <v>1</v>
      </c>
      <c r="W646" s="19" t="s">
        <v>55</v>
      </c>
      <c r="X646">
        <v>21</v>
      </c>
      <c r="Y646">
        <v>4</v>
      </c>
      <c r="Z646">
        <v>3</v>
      </c>
      <c r="AA646">
        <v>2</v>
      </c>
      <c r="AB646">
        <v>10</v>
      </c>
      <c r="AC646">
        <v>5</v>
      </c>
      <c r="AD646">
        <v>3</v>
      </c>
      <c r="AE646">
        <v>10</v>
      </c>
      <c r="AF646">
        <v>8</v>
      </c>
      <c r="AG646">
        <v>4</v>
      </c>
      <c r="AH646">
        <v>8</v>
      </c>
      <c r="AI646">
        <v>0</v>
      </c>
      <c r="AJ646" s="19" t="s">
        <v>1569</v>
      </c>
      <c r="AK646" s="19" t="s">
        <v>1570</v>
      </c>
      <c r="AL646">
        <v>1</v>
      </c>
      <c r="AM646" s="19" t="s">
        <v>1565</v>
      </c>
      <c r="AN646">
        <v>0.53818025099268441</v>
      </c>
      <c r="AO646">
        <v>905520</v>
      </c>
    </row>
    <row r="647" spans="1:41" x14ac:dyDescent="0.3">
      <c r="A647" s="19" t="s">
        <v>714</v>
      </c>
      <c r="B647">
        <v>34</v>
      </c>
      <c r="C647" s="19" t="s">
        <v>196</v>
      </c>
      <c r="D647" s="19" t="s">
        <v>55</v>
      </c>
      <c r="E647" s="19" t="s">
        <v>48</v>
      </c>
      <c r="F647">
        <v>1480</v>
      </c>
      <c r="G647" s="19" t="s">
        <v>63</v>
      </c>
      <c r="H647">
        <v>4</v>
      </c>
      <c r="I647">
        <v>3</v>
      </c>
      <c r="J647" s="19" t="s">
        <v>50</v>
      </c>
      <c r="K647">
        <v>1882</v>
      </c>
      <c r="L647">
        <v>3</v>
      </c>
      <c r="M647" s="19" t="s">
        <v>51</v>
      </c>
      <c r="N647">
        <v>3</v>
      </c>
      <c r="O647">
        <v>3</v>
      </c>
      <c r="P647" s="19" t="s">
        <v>145</v>
      </c>
      <c r="Q647">
        <v>4</v>
      </c>
      <c r="R647" s="19" t="s">
        <v>113</v>
      </c>
      <c r="S647">
        <v>90930</v>
      </c>
      <c r="T647" s="19" t="s">
        <v>70</v>
      </c>
      <c r="U647">
        <v>568.30999999999995</v>
      </c>
      <c r="V647">
        <v>2</v>
      </c>
      <c r="W647" s="19" t="s">
        <v>47</v>
      </c>
      <c r="X647">
        <v>13</v>
      </c>
      <c r="Y647">
        <v>3</v>
      </c>
      <c r="Z647">
        <v>4</v>
      </c>
      <c r="AA647">
        <v>3</v>
      </c>
      <c r="AB647">
        <v>9</v>
      </c>
      <c r="AC647">
        <v>3</v>
      </c>
      <c r="AD647">
        <v>3</v>
      </c>
      <c r="AE647">
        <v>5</v>
      </c>
      <c r="AF647">
        <v>3</v>
      </c>
      <c r="AG647">
        <v>1</v>
      </c>
      <c r="AH647">
        <v>0</v>
      </c>
      <c r="AI647">
        <v>0</v>
      </c>
      <c r="AJ647" s="19" t="s">
        <v>1567</v>
      </c>
      <c r="AK647" s="19" t="s">
        <v>1562</v>
      </c>
      <c r="AL647">
        <v>1</v>
      </c>
      <c r="AM647" s="19" t="s">
        <v>1565</v>
      </c>
      <c r="AN647">
        <v>0.85352147127968192</v>
      </c>
      <c r="AO647">
        <v>1091160</v>
      </c>
    </row>
    <row r="648" spans="1:41" x14ac:dyDescent="0.3">
      <c r="A648" s="19" t="s">
        <v>715</v>
      </c>
      <c r="B648">
        <v>34</v>
      </c>
      <c r="C648" s="19" t="s">
        <v>196</v>
      </c>
      <c r="D648" s="19" t="s">
        <v>47</v>
      </c>
      <c r="E648" s="19" t="s">
        <v>66</v>
      </c>
      <c r="F648">
        <v>967</v>
      </c>
      <c r="G648" s="19" t="s">
        <v>49</v>
      </c>
      <c r="H648">
        <v>16</v>
      </c>
      <c r="I648">
        <v>4</v>
      </c>
      <c r="J648" s="19" t="s">
        <v>77</v>
      </c>
      <c r="K648">
        <v>1905</v>
      </c>
      <c r="L648">
        <v>4</v>
      </c>
      <c r="M648" s="19" t="s">
        <v>51</v>
      </c>
      <c r="N648">
        <v>1</v>
      </c>
      <c r="O648">
        <v>1</v>
      </c>
      <c r="P648" s="19" t="s">
        <v>67</v>
      </c>
      <c r="Q648">
        <v>1</v>
      </c>
      <c r="R648" s="19" t="s">
        <v>113</v>
      </c>
      <c r="S648">
        <v>7801</v>
      </c>
      <c r="T648" s="19" t="s">
        <v>54</v>
      </c>
      <c r="U648">
        <v>48.76</v>
      </c>
      <c r="V648">
        <v>1</v>
      </c>
      <c r="W648" s="19" t="s">
        <v>47</v>
      </c>
      <c r="X648">
        <v>23</v>
      </c>
      <c r="Y648">
        <v>4</v>
      </c>
      <c r="Z648">
        <v>2</v>
      </c>
      <c r="AA648">
        <v>1</v>
      </c>
      <c r="AB648">
        <v>5</v>
      </c>
      <c r="AC648">
        <v>2</v>
      </c>
      <c r="AD648">
        <v>3</v>
      </c>
      <c r="AE648">
        <v>5</v>
      </c>
      <c r="AF648">
        <v>2</v>
      </c>
      <c r="AG648">
        <v>3</v>
      </c>
      <c r="AH648">
        <v>0</v>
      </c>
      <c r="AI648">
        <v>1</v>
      </c>
      <c r="AJ648" s="19" t="s">
        <v>1567</v>
      </c>
      <c r="AK648" s="19" t="s">
        <v>1570</v>
      </c>
      <c r="AL648">
        <v>3</v>
      </c>
      <c r="AM648" s="19" t="s">
        <v>1568</v>
      </c>
      <c r="AN648">
        <v>-0.84356106400430153</v>
      </c>
      <c r="AO648">
        <v>93612</v>
      </c>
    </row>
    <row r="649" spans="1:41" x14ac:dyDescent="0.3">
      <c r="A649" s="19" t="s">
        <v>716</v>
      </c>
      <c r="B649">
        <v>34</v>
      </c>
      <c r="C649" s="19" t="s">
        <v>196</v>
      </c>
      <c r="D649" s="19" t="s">
        <v>55</v>
      </c>
      <c r="E649" s="19" t="s">
        <v>48</v>
      </c>
      <c r="F649">
        <v>735</v>
      </c>
      <c r="G649" s="19" t="s">
        <v>63</v>
      </c>
      <c r="H649">
        <v>3</v>
      </c>
      <c r="I649">
        <v>1</v>
      </c>
      <c r="J649" s="19" t="s">
        <v>58</v>
      </c>
      <c r="K649">
        <v>1915</v>
      </c>
      <c r="L649">
        <v>4</v>
      </c>
      <c r="M649" s="19" t="s">
        <v>59</v>
      </c>
      <c r="N649">
        <v>2</v>
      </c>
      <c r="O649">
        <v>2</v>
      </c>
      <c r="P649" s="19" t="s">
        <v>145</v>
      </c>
      <c r="Q649">
        <v>4</v>
      </c>
      <c r="R649" s="19" t="s">
        <v>113</v>
      </c>
      <c r="S649">
        <v>73267</v>
      </c>
      <c r="T649" s="19" t="s">
        <v>64</v>
      </c>
      <c r="U649">
        <v>457.92</v>
      </c>
      <c r="V649">
        <v>3</v>
      </c>
      <c r="W649" s="19" t="s">
        <v>47</v>
      </c>
      <c r="X649">
        <v>12</v>
      </c>
      <c r="Y649">
        <v>3</v>
      </c>
      <c r="Z649">
        <v>3</v>
      </c>
      <c r="AA649">
        <v>0</v>
      </c>
      <c r="AB649">
        <v>9</v>
      </c>
      <c r="AC649">
        <v>3</v>
      </c>
      <c r="AD649">
        <v>2</v>
      </c>
      <c r="AE649">
        <v>4</v>
      </c>
      <c r="AF649">
        <v>2</v>
      </c>
      <c r="AG649">
        <v>0</v>
      </c>
      <c r="AH649">
        <v>1</v>
      </c>
      <c r="AI649">
        <v>0</v>
      </c>
      <c r="AJ649" s="19" t="s">
        <v>1567</v>
      </c>
      <c r="AK649" s="19" t="s">
        <v>1562</v>
      </c>
      <c r="AL649">
        <v>2</v>
      </c>
      <c r="AM649" s="19" t="s">
        <v>1564</v>
      </c>
      <c r="AN649">
        <v>0.49347803405090129</v>
      </c>
      <c r="AO649">
        <v>879204</v>
      </c>
    </row>
    <row r="650" spans="1:41" x14ac:dyDescent="0.3">
      <c r="A650" s="19" t="s">
        <v>717</v>
      </c>
      <c r="B650">
        <v>34</v>
      </c>
      <c r="C650" s="19" t="s">
        <v>196</v>
      </c>
      <c r="D650" s="19" t="s">
        <v>55</v>
      </c>
      <c r="E650" s="19" t="s">
        <v>62</v>
      </c>
      <c r="F650">
        <v>735</v>
      </c>
      <c r="G650" s="19" t="s">
        <v>49</v>
      </c>
      <c r="H650">
        <v>22</v>
      </c>
      <c r="I650">
        <v>4</v>
      </c>
      <c r="J650" s="19" t="s">
        <v>82</v>
      </c>
      <c r="K650">
        <v>1932</v>
      </c>
      <c r="L650">
        <v>3</v>
      </c>
      <c r="M650" s="19" t="s">
        <v>51</v>
      </c>
      <c r="N650">
        <v>2</v>
      </c>
      <c r="O650">
        <v>2</v>
      </c>
      <c r="P650" s="19" t="s">
        <v>67</v>
      </c>
      <c r="Q650">
        <v>4</v>
      </c>
      <c r="R650" s="19" t="s">
        <v>113</v>
      </c>
      <c r="S650">
        <v>49136</v>
      </c>
      <c r="T650" s="19" t="s">
        <v>72</v>
      </c>
      <c r="U650">
        <v>307.10000000000002</v>
      </c>
      <c r="V650">
        <v>1</v>
      </c>
      <c r="W650" s="19" t="s">
        <v>47</v>
      </c>
      <c r="X650">
        <v>15</v>
      </c>
      <c r="Y650">
        <v>3</v>
      </c>
      <c r="Z650">
        <v>2</v>
      </c>
      <c r="AA650">
        <v>0</v>
      </c>
      <c r="AB650">
        <v>16</v>
      </c>
      <c r="AC650">
        <v>3</v>
      </c>
      <c r="AD650">
        <v>3</v>
      </c>
      <c r="AE650">
        <v>15</v>
      </c>
      <c r="AF650">
        <v>10</v>
      </c>
      <c r="AG650">
        <v>6</v>
      </c>
      <c r="AH650">
        <v>11</v>
      </c>
      <c r="AI650">
        <v>0</v>
      </c>
      <c r="AJ650" s="19" t="s">
        <v>1571</v>
      </c>
      <c r="AK650" s="19" t="s">
        <v>1570</v>
      </c>
      <c r="AL650">
        <v>2</v>
      </c>
      <c r="AM650" s="19" t="s">
        <v>1564</v>
      </c>
      <c r="AN650">
        <v>-1.464125636653737E-2</v>
      </c>
      <c r="AO650">
        <v>589632</v>
      </c>
    </row>
    <row r="651" spans="1:41" x14ac:dyDescent="0.3">
      <c r="A651" s="19" t="s">
        <v>718</v>
      </c>
      <c r="B651">
        <v>34</v>
      </c>
      <c r="C651" s="19" t="s">
        <v>196</v>
      </c>
      <c r="D651" s="19" t="s">
        <v>55</v>
      </c>
      <c r="E651" s="19" t="s">
        <v>48</v>
      </c>
      <c r="F651">
        <v>937</v>
      </c>
      <c r="G651" s="19" t="s">
        <v>63</v>
      </c>
      <c r="H651">
        <v>1</v>
      </c>
      <c r="I651">
        <v>3</v>
      </c>
      <c r="J651" s="19" t="s">
        <v>63</v>
      </c>
      <c r="K651">
        <v>1950</v>
      </c>
      <c r="L651">
        <v>1</v>
      </c>
      <c r="M651" s="19" t="s">
        <v>51</v>
      </c>
      <c r="N651">
        <v>3</v>
      </c>
      <c r="O651">
        <v>3</v>
      </c>
      <c r="P651" s="19" t="s">
        <v>145</v>
      </c>
      <c r="Q651">
        <v>4</v>
      </c>
      <c r="R651" s="19" t="s">
        <v>53</v>
      </c>
      <c r="S651">
        <v>24625</v>
      </c>
      <c r="T651" s="19" t="s">
        <v>54</v>
      </c>
      <c r="U651">
        <v>153.91</v>
      </c>
      <c r="V651">
        <v>1</v>
      </c>
      <c r="W651" s="19" t="s">
        <v>55</v>
      </c>
      <c r="X651">
        <v>21</v>
      </c>
      <c r="Y651">
        <v>4</v>
      </c>
      <c r="Z651">
        <v>1</v>
      </c>
      <c r="AA651">
        <v>0</v>
      </c>
      <c r="AB651">
        <v>14</v>
      </c>
      <c r="AC651">
        <v>3</v>
      </c>
      <c r="AD651">
        <v>2</v>
      </c>
      <c r="AE651">
        <v>14</v>
      </c>
      <c r="AF651">
        <v>8</v>
      </c>
      <c r="AG651">
        <v>2</v>
      </c>
      <c r="AH651">
        <v>1</v>
      </c>
      <c r="AI651">
        <v>0</v>
      </c>
      <c r="AJ651" s="19" t="s">
        <v>1571</v>
      </c>
      <c r="AK651" s="19" t="s">
        <v>1562</v>
      </c>
      <c r="AL651">
        <v>1</v>
      </c>
      <c r="AM651" s="19" t="s">
        <v>1565</v>
      </c>
      <c r="AN651">
        <v>-0.498042821618144</v>
      </c>
      <c r="AO651">
        <v>295500</v>
      </c>
    </row>
    <row r="652" spans="1:41" x14ac:dyDescent="0.3">
      <c r="A652" s="19" t="s">
        <v>719</v>
      </c>
      <c r="B652">
        <v>34</v>
      </c>
      <c r="C652" s="19" t="s">
        <v>196</v>
      </c>
      <c r="D652" s="19" t="s">
        <v>55</v>
      </c>
      <c r="E652" s="19" t="s">
        <v>48</v>
      </c>
      <c r="F652">
        <v>1239</v>
      </c>
      <c r="G652" s="19" t="s">
        <v>63</v>
      </c>
      <c r="H652">
        <v>13</v>
      </c>
      <c r="I652">
        <v>4</v>
      </c>
      <c r="J652" s="19" t="s">
        <v>58</v>
      </c>
      <c r="K652">
        <v>1951</v>
      </c>
      <c r="L652">
        <v>4</v>
      </c>
      <c r="M652" s="19" t="s">
        <v>51</v>
      </c>
      <c r="N652">
        <v>3</v>
      </c>
      <c r="O652">
        <v>3</v>
      </c>
      <c r="P652" s="19" t="s">
        <v>145</v>
      </c>
      <c r="Q652">
        <v>3</v>
      </c>
      <c r="R652" s="19" t="s">
        <v>53</v>
      </c>
      <c r="S652">
        <v>83873</v>
      </c>
      <c r="T652" s="19" t="s">
        <v>70</v>
      </c>
      <c r="U652">
        <v>524.21</v>
      </c>
      <c r="V652">
        <v>1</v>
      </c>
      <c r="W652" s="19" t="s">
        <v>55</v>
      </c>
      <c r="X652">
        <v>18</v>
      </c>
      <c r="Y652">
        <v>3</v>
      </c>
      <c r="Z652">
        <v>3</v>
      </c>
      <c r="AA652">
        <v>1</v>
      </c>
      <c r="AB652">
        <v>9</v>
      </c>
      <c r="AC652">
        <v>2</v>
      </c>
      <c r="AD652">
        <v>2</v>
      </c>
      <c r="AE652">
        <v>8</v>
      </c>
      <c r="AF652">
        <v>7</v>
      </c>
      <c r="AG652">
        <v>1</v>
      </c>
      <c r="AH652">
        <v>1</v>
      </c>
      <c r="AI652">
        <v>0</v>
      </c>
      <c r="AJ652" s="19" t="s">
        <v>1569</v>
      </c>
      <c r="AK652" s="19" t="s">
        <v>1562</v>
      </c>
      <c r="AL652">
        <v>1</v>
      </c>
      <c r="AM652" s="19" t="s">
        <v>1565</v>
      </c>
      <c r="AN652">
        <v>0.70967124558056482</v>
      </c>
      <c r="AO652">
        <v>1006476</v>
      </c>
    </row>
    <row r="653" spans="1:41" x14ac:dyDescent="0.3">
      <c r="A653" s="19" t="s">
        <v>720</v>
      </c>
      <c r="B653">
        <v>34</v>
      </c>
      <c r="C653" s="19" t="s">
        <v>196</v>
      </c>
      <c r="D653" s="19" t="s">
        <v>55</v>
      </c>
      <c r="E653" s="19" t="s">
        <v>48</v>
      </c>
      <c r="F653">
        <v>704</v>
      </c>
      <c r="G653" s="19" t="s">
        <v>63</v>
      </c>
      <c r="H653">
        <v>28</v>
      </c>
      <c r="I653">
        <v>3</v>
      </c>
      <c r="J653" s="19" t="s">
        <v>63</v>
      </c>
      <c r="K653">
        <v>2035</v>
      </c>
      <c r="L653">
        <v>4</v>
      </c>
      <c r="M653" s="19" t="s">
        <v>59</v>
      </c>
      <c r="N653">
        <v>2</v>
      </c>
      <c r="O653">
        <v>2</v>
      </c>
      <c r="P653" s="19" t="s">
        <v>145</v>
      </c>
      <c r="Q653">
        <v>3</v>
      </c>
      <c r="R653" s="19" t="s">
        <v>113</v>
      </c>
      <c r="S653">
        <v>73592</v>
      </c>
      <c r="T653" s="19" t="s">
        <v>64</v>
      </c>
      <c r="U653">
        <v>459.95</v>
      </c>
      <c r="V653">
        <v>1</v>
      </c>
      <c r="W653" s="19" t="s">
        <v>55</v>
      </c>
      <c r="X653">
        <v>21</v>
      </c>
      <c r="Y653">
        <v>4</v>
      </c>
      <c r="Z653">
        <v>4</v>
      </c>
      <c r="AA653">
        <v>2</v>
      </c>
      <c r="AB653">
        <v>8</v>
      </c>
      <c r="AC653">
        <v>2</v>
      </c>
      <c r="AD653">
        <v>3</v>
      </c>
      <c r="AE653">
        <v>8</v>
      </c>
      <c r="AF653">
        <v>7</v>
      </c>
      <c r="AG653">
        <v>1</v>
      </c>
      <c r="AH653">
        <v>7</v>
      </c>
      <c r="AI653">
        <v>0</v>
      </c>
      <c r="AJ653" s="19" t="s">
        <v>1569</v>
      </c>
      <c r="AK653" s="19" t="s">
        <v>1562</v>
      </c>
      <c r="AL653">
        <v>0</v>
      </c>
      <c r="AM653" s="19" t="s">
        <v>1563</v>
      </c>
      <c r="AN653">
        <v>0.5001028496031491</v>
      </c>
      <c r="AO653">
        <v>883104</v>
      </c>
    </row>
    <row r="654" spans="1:41" x14ac:dyDescent="0.3">
      <c r="A654" s="19" t="s">
        <v>721</v>
      </c>
      <c r="B654">
        <v>34</v>
      </c>
      <c r="C654" s="19" t="s">
        <v>196</v>
      </c>
      <c r="D654" s="19" t="s">
        <v>55</v>
      </c>
      <c r="E654" s="19" t="s">
        <v>48</v>
      </c>
      <c r="F654">
        <v>628</v>
      </c>
      <c r="G654" s="19" t="s">
        <v>49</v>
      </c>
      <c r="H654">
        <v>8</v>
      </c>
      <c r="I654">
        <v>3</v>
      </c>
      <c r="J654" s="19" t="s">
        <v>58</v>
      </c>
      <c r="K654">
        <v>2068</v>
      </c>
      <c r="L654">
        <v>2</v>
      </c>
      <c r="M654" s="19" t="s">
        <v>51</v>
      </c>
      <c r="N654">
        <v>4</v>
      </c>
      <c r="O654">
        <v>2</v>
      </c>
      <c r="P654" s="19" t="s">
        <v>52</v>
      </c>
      <c r="Q654">
        <v>3</v>
      </c>
      <c r="R654" s="19" t="s">
        <v>113</v>
      </c>
      <c r="S654">
        <v>78052</v>
      </c>
      <c r="T654" s="19" t="s">
        <v>64</v>
      </c>
      <c r="U654">
        <v>487.82</v>
      </c>
      <c r="V654">
        <v>2</v>
      </c>
      <c r="W654" s="19" t="s">
        <v>55</v>
      </c>
      <c r="X654">
        <v>12</v>
      </c>
      <c r="Y654">
        <v>3</v>
      </c>
      <c r="Z654">
        <v>1</v>
      </c>
      <c r="AA654">
        <v>0</v>
      </c>
      <c r="AB654">
        <v>6</v>
      </c>
      <c r="AC654">
        <v>3</v>
      </c>
      <c r="AD654">
        <v>4</v>
      </c>
      <c r="AE654">
        <v>4</v>
      </c>
      <c r="AF654">
        <v>3</v>
      </c>
      <c r="AG654">
        <v>1</v>
      </c>
      <c r="AH654">
        <v>2</v>
      </c>
      <c r="AI654">
        <v>0</v>
      </c>
      <c r="AJ654" s="19" t="s">
        <v>1567</v>
      </c>
      <c r="AK654" s="19" t="s">
        <v>1562</v>
      </c>
      <c r="AL654">
        <v>0</v>
      </c>
      <c r="AM654" s="19" t="s">
        <v>1563</v>
      </c>
      <c r="AN654">
        <v>0.50910860142128389</v>
      </c>
      <c r="AO654">
        <v>936624</v>
      </c>
    </row>
    <row r="655" spans="1:41" x14ac:dyDescent="0.3">
      <c r="A655" s="19" t="s">
        <v>721</v>
      </c>
      <c r="B655">
        <v>34</v>
      </c>
      <c r="C655" s="19" t="s">
        <v>196</v>
      </c>
      <c r="D655" s="19" t="s">
        <v>55</v>
      </c>
      <c r="E655" s="19" t="s">
        <v>48</v>
      </c>
      <c r="F655">
        <v>628</v>
      </c>
      <c r="G655" s="19" t="s">
        <v>49</v>
      </c>
      <c r="H655">
        <v>8</v>
      </c>
      <c r="I655">
        <v>3</v>
      </c>
      <c r="J655" s="19" t="s">
        <v>58</v>
      </c>
      <c r="K655">
        <v>2068</v>
      </c>
      <c r="L655">
        <v>2</v>
      </c>
      <c r="M655" s="19" t="s">
        <v>51</v>
      </c>
      <c r="N655">
        <v>4</v>
      </c>
      <c r="O655">
        <v>2</v>
      </c>
      <c r="P655" s="19" t="s">
        <v>52</v>
      </c>
      <c r="Q655">
        <v>3</v>
      </c>
      <c r="R655" s="19" t="s">
        <v>113</v>
      </c>
      <c r="S655">
        <v>45261</v>
      </c>
      <c r="T655" s="19" t="s">
        <v>72</v>
      </c>
      <c r="U655">
        <v>282.88</v>
      </c>
      <c r="V655">
        <v>2</v>
      </c>
      <c r="W655" s="19" t="s">
        <v>55</v>
      </c>
      <c r="X655">
        <v>12</v>
      </c>
      <c r="Y655">
        <v>3</v>
      </c>
      <c r="Z655">
        <v>1</v>
      </c>
      <c r="AA655">
        <v>0</v>
      </c>
      <c r="AB655">
        <v>6</v>
      </c>
      <c r="AC655">
        <v>3</v>
      </c>
      <c r="AD655">
        <v>4</v>
      </c>
      <c r="AE655">
        <v>4</v>
      </c>
      <c r="AF655">
        <v>3</v>
      </c>
      <c r="AG655">
        <v>1</v>
      </c>
      <c r="AH655">
        <v>2</v>
      </c>
      <c r="AI655">
        <v>0</v>
      </c>
      <c r="AJ655" s="19" t="s">
        <v>1567</v>
      </c>
      <c r="AK655" s="19" t="s">
        <v>1562</v>
      </c>
      <c r="AL655">
        <v>0</v>
      </c>
      <c r="AM655" s="19" t="s">
        <v>1563</v>
      </c>
      <c r="AN655">
        <v>-0.12489411662828971</v>
      </c>
      <c r="AO655">
        <v>543132</v>
      </c>
    </row>
    <row r="656" spans="1:41" x14ac:dyDescent="0.3">
      <c r="A656" s="19" t="s">
        <v>722</v>
      </c>
      <c r="B656">
        <v>35</v>
      </c>
      <c r="C656" s="19" t="s">
        <v>196</v>
      </c>
      <c r="D656" s="19" t="s">
        <v>55</v>
      </c>
      <c r="E656" s="19" t="s">
        <v>48</v>
      </c>
      <c r="F656">
        <v>809</v>
      </c>
      <c r="G656" s="19" t="s">
        <v>49</v>
      </c>
      <c r="H656">
        <v>16</v>
      </c>
      <c r="I656">
        <v>3</v>
      </c>
      <c r="J656" s="19" t="s">
        <v>58</v>
      </c>
      <c r="K656">
        <v>14</v>
      </c>
      <c r="L656">
        <v>1</v>
      </c>
      <c r="M656" s="19" t="s">
        <v>51</v>
      </c>
      <c r="N656">
        <v>4</v>
      </c>
      <c r="O656">
        <v>1</v>
      </c>
      <c r="P656" s="19" t="s">
        <v>52</v>
      </c>
      <c r="Q656">
        <v>2</v>
      </c>
      <c r="R656" s="19" t="s">
        <v>113</v>
      </c>
      <c r="S656">
        <v>2542</v>
      </c>
      <c r="T656" s="19" t="s">
        <v>54</v>
      </c>
      <c r="U656">
        <v>15.89</v>
      </c>
      <c r="V656">
        <v>0</v>
      </c>
      <c r="W656" s="19" t="s">
        <v>55</v>
      </c>
      <c r="X656">
        <v>13</v>
      </c>
      <c r="Y656">
        <v>3</v>
      </c>
      <c r="Z656">
        <v>3</v>
      </c>
      <c r="AA656">
        <v>1</v>
      </c>
      <c r="AB656">
        <v>6</v>
      </c>
      <c r="AC656">
        <v>5</v>
      </c>
      <c r="AD656">
        <v>3</v>
      </c>
      <c r="AE656">
        <v>5</v>
      </c>
      <c r="AF656">
        <v>4</v>
      </c>
      <c r="AG656">
        <v>0</v>
      </c>
      <c r="AH656">
        <v>3</v>
      </c>
      <c r="AI656">
        <v>0</v>
      </c>
      <c r="AJ656" s="19" t="s">
        <v>1567</v>
      </c>
      <c r="AK656" s="19" t="s">
        <v>1562</v>
      </c>
      <c r="AL656">
        <v>1</v>
      </c>
      <c r="AM656" s="19" t="s">
        <v>1565</v>
      </c>
      <c r="AN656">
        <v>-0.95085130342831825</v>
      </c>
      <c r="AO656">
        <v>30504</v>
      </c>
    </row>
    <row r="657" spans="1:41" x14ac:dyDescent="0.3">
      <c r="A657" s="19" t="s">
        <v>723</v>
      </c>
      <c r="B657">
        <v>35</v>
      </c>
      <c r="C657" s="19" t="s">
        <v>196</v>
      </c>
      <c r="D657" s="19" t="s">
        <v>55</v>
      </c>
      <c r="E657" s="19" t="s">
        <v>48</v>
      </c>
      <c r="F657">
        <v>890</v>
      </c>
      <c r="G657" s="19" t="s">
        <v>63</v>
      </c>
      <c r="H657">
        <v>2</v>
      </c>
      <c r="I657">
        <v>3</v>
      </c>
      <c r="J657" s="19" t="s">
        <v>63</v>
      </c>
      <c r="K657">
        <v>49</v>
      </c>
      <c r="L657">
        <v>4</v>
      </c>
      <c r="M657" s="19" t="s">
        <v>59</v>
      </c>
      <c r="N657">
        <v>3</v>
      </c>
      <c r="O657">
        <v>1</v>
      </c>
      <c r="P657" s="19" t="s">
        <v>60</v>
      </c>
      <c r="Q657">
        <v>4</v>
      </c>
      <c r="R657" s="19" t="s">
        <v>113</v>
      </c>
      <c r="S657">
        <v>22677</v>
      </c>
      <c r="T657" s="19" t="s">
        <v>54</v>
      </c>
      <c r="U657">
        <v>141.72999999999999</v>
      </c>
      <c r="V657">
        <v>1</v>
      </c>
      <c r="W657" s="19" t="s">
        <v>55</v>
      </c>
      <c r="X657">
        <v>13</v>
      </c>
      <c r="Y657">
        <v>3</v>
      </c>
      <c r="Z657">
        <v>1</v>
      </c>
      <c r="AA657">
        <v>0</v>
      </c>
      <c r="AB657">
        <v>2</v>
      </c>
      <c r="AC657">
        <v>3</v>
      </c>
      <c r="AD657">
        <v>3</v>
      </c>
      <c r="AE657">
        <v>2</v>
      </c>
      <c r="AF657">
        <v>2</v>
      </c>
      <c r="AG657">
        <v>2</v>
      </c>
      <c r="AH657">
        <v>2</v>
      </c>
      <c r="AI657">
        <v>0</v>
      </c>
      <c r="AJ657" s="19" t="s">
        <v>1566</v>
      </c>
      <c r="AK657" s="19" t="s">
        <v>1562</v>
      </c>
      <c r="AL657">
        <v>0</v>
      </c>
      <c r="AM657" s="19" t="s">
        <v>1563</v>
      </c>
      <c r="AN657">
        <v>-0.54027017575446168</v>
      </c>
      <c r="AO657">
        <v>272124</v>
      </c>
    </row>
    <row r="658" spans="1:41" x14ac:dyDescent="0.3">
      <c r="A658" s="19" t="s">
        <v>724</v>
      </c>
      <c r="B658">
        <v>35</v>
      </c>
      <c r="C658" s="19" t="s">
        <v>196</v>
      </c>
      <c r="D658" s="19" t="s">
        <v>55</v>
      </c>
      <c r="E658" s="19" t="s">
        <v>48</v>
      </c>
      <c r="F658">
        <v>464</v>
      </c>
      <c r="G658" s="19" t="s">
        <v>49</v>
      </c>
      <c r="H658">
        <v>4</v>
      </c>
      <c r="I658">
        <v>2</v>
      </c>
      <c r="J658" s="19" t="s">
        <v>82</v>
      </c>
      <c r="K658">
        <v>53</v>
      </c>
      <c r="L658">
        <v>3</v>
      </c>
      <c r="M658" s="19" t="s">
        <v>51</v>
      </c>
      <c r="N658">
        <v>3</v>
      </c>
      <c r="O658">
        <v>1</v>
      </c>
      <c r="P658" s="19" t="s">
        <v>52</v>
      </c>
      <c r="Q658">
        <v>4</v>
      </c>
      <c r="R658" s="19" t="s">
        <v>53</v>
      </c>
      <c r="S658">
        <v>47732</v>
      </c>
      <c r="T658" s="19" t="s">
        <v>72</v>
      </c>
      <c r="U658">
        <v>298.32</v>
      </c>
      <c r="V658">
        <v>1</v>
      </c>
      <c r="W658" s="19" t="s">
        <v>55</v>
      </c>
      <c r="X658">
        <v>12</v>
      </c>
      <c r="Y658">
        <v>3</v>
      </c>
      <c r="Z658">
        <v>3</v>
      </c>
      <c r="AA658">
        <v>1</v>
      </c>
      <c r="AB658">
        <v>1</v>
      </c>
      <c r="AC658">
        <v>3</v>
      </c>
      <c r="AD658">
        <v>3</v>
      </c>
      <c r="AE658">
        <v>1</v>
      </c>
      <c r="AF658">
        <v>0</v>
      </c>
      <c r="AG658">
        <v>0</v>
      </c>
      <c r="AH658">
        <v>0</v>
      </c>
      <c r="AI658">
        <v>0</v>
      </c>
      <c r="AJ658" s="19" t="s">
        <v>1561</v>
      </c>
      <c r="AK658" s="19" t="s">
        <v>1562</v>
      </c>
      <c r="AL658">
        <v>0</v>
      </c>
      <c r="AM658" s="19" t="s">
        <v>1563</v>
      </c>
      <c r="AN658">
        <v>-7.7118180661088456E-2</v>
      </c>
      <c r="AO658">
        <v>572784</v>
      </c>
    </row>
    <row r="659" spans="1:41" x14ac:dyDescent="0.3">
      <c r="A659" s="19" t="s">
        <v>725</v>
      </c>
      <c r="B659">
        <v>35</v>
      </c>
      <c r="C659" s="19" t="s">
        <v>196</v>
      </c>
      <c r="D659" s="19" t="s">
        <v>55</v>
      </c>
      <c r="E659" s="19" t="s">
        <v>48</v>
      </c>
      <c r="F659">
        <v>1229</v>
      </c>
      <c r="G659" s="19" t="s">
        <v>49</v>
      </c>
      <c r="H659">
        <v>8</v>
      </c>
      <c r="I659">
        <v>1</v>
      </c>
      <c r="J659" s="19" t="s">
        <v>50</v>
      </c>
      <c r="K659">
        <v>63</v>
      </c>
      <c r="L659">
        <v>4</v>
      </c>
      <c r="M659" s="19" t="s">
        <v>51</v>
      </c>
      <c r="N659">
        <v>4</v>
      </c>
      <c r="O659">
        <v>1</v>
      </c>
      <c r="P659" s="19" t="s">
        <v>52</v>
      </c>
      <c r="Q659">
        <v>4</v>
      </c>
      <c r="R659" s="19" t="s">
        <v>113</v>
      </c>
      <c r="S659">
        <v>51343</v>
      </c>
      <c r="T659" s="19" t="s">
        <v>64</v>
      </c>
      <c r="U659">
        <v>320.89</v>
      </c>
      <c r="V659">
        <v>1</v>
      </c>
      <c r="W659" s="19" t="s">
        <v>55</v>
      </c>
      <c r="X659">
        <v>19</v>
      </c>
      <c r="Y659">
        <v>3</v>
      </c>
      <c r="Z659">
        <v>4</v>
      </c>
      <c r="AA659">
        <v>0</v>
      </c>
      <c r="AB659">
        <v>1</v>
      </c>
      <c r="AC659">
        <v>2</v>
      </c>
      <c r="AD659">
        <v>3</v>
      </c>
      <c r="AE659">
        <v>1</v>
      </c>
      <c r="AF659">
        <v>0</v>
      </c>
      <c r="AG659">
        <v>0</v>
      </c>
      <c r="AH659">
        <v>1</v>
      </c>
      <c r="AI659">
        <v>0</v>
      </c>
      <c r="AJ659" s="19" t="s">
        <v>1561</v>
      </c>
      <c r="AK659" s="19" t="s">
        <v>1562</v>
      </c>
      <c r="AL659">
        <v>0</v>
      </c>
      <c r="AM659" s="19" t="s">
        <v>1563</v>
      </c>
      <c r="AN659">
        <v>-7.3007363965948337E-3</v>
      </c>
      <c r="AO659">
        <v>616116</v>
      </c>
    </row>
    <row r="660" spans="1:41" x14ac:dyDescent="0.3">
      <c r="A660" s="19" t="s">
        <v>726</v>
      </c>
      <c r="B660">
        <v>35</v>
      </c>
      <c r="C660" s="19" t="s">
        <v>196</v>
      </c>
      <c r="D660" s="19" t="s">
        <v>55</v>
      </c>
      <c r="E660" s="19" t="s">
        <v>66</v>
      </c>
      <c r="F660">
        <v>1097</v>
      </c>
      <c r="G660" s="19" t="s">
        <v>49</v>
      </c>
      <c r="H660">
        <v>11</v>
      </c>
      <c r="I660">
        <v>2</v>
      </c>
      <c r="J660" s="19" t="s">
        <v>58</v>
      </c>
      <c r="K660">
        <v>70</v>
      </c>
      <c r="L660">
        <v>3</v>
      </c>
      <c r="M660" s="19" t="s">
        <v>51</v>
      </c>
      <c r="N660">
        <v>2</v>
      </c>
      <c r="O660">
        <v>3</v>
      </c>
      <c r="P660" s="19" t="s">
        <v>168</v>
      </c>
      <c r="Q660">
        <v>1</v>
      </c>
      <c r="R660" s="19" t="s">
        <v>113</v>
      </c>
      <c r="S660">
        <v>40081</v>
      </c>
      <c r="T660" s="19" t="s">
        <v>72</v>
      </c>
      <c r="U660">
        <v>250.51</v>
      </c>
      <c r="V660">
        <v>2</v>
      </c>
      <c r="W660" s="19" t="s">
        <v>47</v>
      </c>
      <c r="X660">
        <v>13</v>
      </c>
      <c r="Y660">
        <v>3</v>
      </c>
      <c r="Z660">
        <v>3</v>
      </c>
      <c r="AA660">
        <v>1</v>
      </c>
      <c r="AB660">
        <v>10</v>
      </c>
      <c r="AC660">
        <v>3</v>
      </c>
      <c r="AD660">
        <v>3</v>
      </c>
      <c r="AE660">
        <v>4</v>
      </c>
      <c r="AF660">
        <v>0</v>
      </c>
      <c r="AG660">
        <v>2</v>
      </c>
      <c r="AH660">
        <v>3</v>
      </c>
      <c r="AI660">
        <v>0</v>
      </c>
      <c r="AJ660" s="19" t="s">
        <v>1567</v>
      </c>
      <c r="AK660" s="19" t="s">
        <v>1562</v>
      </c>
      <c r="AL660">
        <v>2</v>
      </c>
      <c r="AM660" s="19" t="s">
        <v>1564</v>
      </c>
      <c r="AN660">
        <v>-0.16825663160640805</v>
      </c>
      <c r="AO660">
        <v>480972</v>
      </c>
    </row>
    <row r="661" spans="1:41" x14ac:dyDescent="0.3">
      <c r="A661" s="19" t="s">
        <v>727</v>
      </c>
      <c r="B661">
        <v>35</v>
      </c>
      <c r="C661" s="19" t="s">
        <v>196</v>
      </c>
      <c r="D661" s="19" t="s">
        <v>55</v>
      </c>
      <c r="E661" s="19" t="s">
        <v>62</v>
      </c>
      <c r="F661">
        <v>853</v>
      </c>
      <c r="G661" s="19" t="s">
        <v>63</v>
      </c>
      <c r="H661">
        <v>18</v>
      </c>
      <c r="I661">
        <v>5</v>
      </c>
      <c r="J661" s="19" t="s">
        <v>50</v>
      </c>
      <c r="K661">
        <v>74</v>
      </c>
      <c r="L661">
        <v>2</v>
      </c>
      <c r="M661" s="19" t="s">
        <v>51</v>
      </c>
      <c r="N661">
        <v>3</v>
      </c>
      <c r="O661">
        <v>3</v>
      </c>
      <c r="P661" s="19" t="s">
        <v>145</v>
      </c>
      <c r="Q661">
        <v>1</v>
      </c>
      <c r="R661" s="19" t="s">
        <v>113</v>
      </c>
      <c r="S661">
        <v>63856</v>
      </c>
      <c r="T661" s="19" t="s">
        <v>64</v>
      </c>
      <c r="U661">
        <v>399.1</v>
      </c>
      <c r="V661">
        <v>1</v>
      </c>
      <c r="W661" s="19" t="s">
        <v>55</v>
      </c>
      <c r="X661">
        <v>22</v>
      </c>
      <c r="Y661">
        <v>4</v>
      </c>
      <c r="Z661">
        <v>4</v>
      </c>
      <c r="AA661">
        <v>1</v>
      </c>
      <c r="AB661">
        <v>9</v>
      </c>
      <c r="AC661">
        <v>3</v>
      </c>
      <c r="AD661">
        <v>2</v>
      </c>
      <c r="AE661">
        <v>9</v>
      </c>
      <c r="AF661">
        <v>8</v>
      </c>
      <c r="AG661">
        <v>1</v>
      </c>
      <c r="AH661">
        <v>8</v>
      </c>
      <c r="AI661">
        <v>0</v>
      </c>
      <c r="AJ661" s="19" t="s">
        <v>1569</v>
      </c>
      <c r="AK661" s="19" t="s">
        <v>1562</v>
      </c>
      <c r="AL661">
        <v>2</v>
      </c>
      <c r="AM661" s="19" t="s">
        <v>1564</v>
      </c>
      <c r="AN661">
        <v>0.30164375970565677</v>
      </c>
      <c r="AO661">
        <v>766272</v>
      </c>
    </row>
    <row r="662" spans="1:41" x14ac:dyDescent="0.3">
      <c r="A662" s="19" t="s">
        <v>728</v>
      </c>
      <c r="B662">
        <v>35</v>
      </c>
      <c r="C662" s="19" t="s">
        <v>196</v>
      </c>
      <c r="D662" s="19" t="s">
        <v>55</v>
      </c>
      <c r="E662" s="19" t="s">
        <v>48</v>
      </c>
      <c r="F662">
        <v>1142</v>
      </c>
      <c r="G662" s="19" t="s">
        <v>49</v>
      </c>
      <c r="H662">
        <v>23</v>
      </c>
      <c r="I662">
        <v>4</v>
      </c>
      <c r="J662" s="19" t="s">
        <v>58</v>
      </c>
      <c r="K662">
        <v>75</v>
      </c>
      <c r="L662">
        <v>3</v>
      </c>
      <c r="M662" s="19" t="s">
        <v>59</v>
      </c>
      <c r="N662">
        <v>3</v>
      </c>
      <c r="O662">
        <v>1</v>
      </c>
      <c r="P662" s="19" t="s">
        <v>52</v>
      </c>
      <c r="Q662">
        <v>1</v>
      </c>
      <c r="R662" s="19" t="s">
        <v>113</v>
      </c>
      <c r="S662">
        <v>94105</v>
      </c>
      <c r="T662" s="19" t="s">
        <v>70</v>
      </c>
      <c r="U662">
        <v>588.16</v>
      </c>
      <c r="V662">
        <v>3</v>
      </c>
      <c r="W662" s="19" t="s">
        <v>47</v>
      </c>
      <c r="X662">
        <v>15</v>
      </c>
      <c r="Y662">
        <v>3</v>
      </c>
      <c r="Z662">
        <v>3</v>
      </c>
      <c r="AA662">
        <v>1</v>
      </c>
      <c r="AB662">
        <v>4</v>
      </c>
      <c r="AC662">
        <v>3</v>
      </c>
      <c r="AD662">
        <v>3</v>
      </c>
      <c r="AE662">
        <v>2</v>
      </c>
      <c r="AF662">
        <v>2</v>
      </c>
      <c r="AG662">
        <v>2</v>
      </c>
      <c r="AH662">
        <v>2</v>
      </c>
      <c r="AI662">
        <v>0</v>
      </c>
      <c r="AJ662" s="19" t="s">
        <v>1566</v>
      </c>
      <c r="AK662" s="19" t="s">
        <v>1562</v>
      </c>
      <c r="AL662">
        <v>2</v>
      </c>
      <c r="AM662" s="19" t="s">
        <v>1564</v>
      </c>
      <c r="AN662">
        <v>0.81948784062868241</v>
      </c>
      <c r="AO662">
        <v>1129260</v>
      </c>
    </row>
    <row r="663" spans="1:41" x14ac:dyDescent="0.3">
      <c r="A663" s="19" t="s">
        <v>729</v>
      </c>
      <c r="B663">
        <v>35</v>
      </c>
      <c r="C663" s="19" t="s">
        <v>196</v>
      </c>
      <c r="D663" s="19" t="s">
        <v>55</v>
      </c>
      <c r="E663" s="19" t="s">
        <v>62</v>
      </c>
      <c r="F663">
        <v>664</v>
      </c>
      <c r="G663" s="19" t="s">
        <v>49</v>
      </c>
      <c r="H663">
        <v>1</v>
      </c>
      <c r="I663">
        <v>3</v>
      </c>
      <c r="J663" s="19" t="s">
        <v>58</v>
      </c>
      <c r="K663">
        <v>88</v>
      </c>
      <c r="L663">
        <v>2</v>
      </c>
      <c r="M663" s="19" t="s">
        <v>51</v>
      </c>
      <c r="N663">
        <v>3</v>
      </c>
      <c r="O663">
        <v>1</v>
      </c>
      <c r="P663" s="19" t="s">
        <v>67</v>
      </c>
      <c r="Q663">
        <v>1</v>
      </c>
      <c r="R663" s="19" t="s">
        <v>113</v>
      </c>
      <c r="S663">
        <v>89858</v>
      </c>
      <c r="T663" s="19" t="s">
        <v>70</v>
      </c>
      <c r="U663">
        <v>561.61</v>
      </c>
      <c r="V663">
        <v>4</v>
      </c>
      <c r="W663" s="19" t="s">
        <v>55</v>
      </c>
      <c r="X663">
        <v>13</v>
      </c>
      <c r="Y663">
        <v>3</v>
      </c>
      <c r="Z663">
        <v>4</v>
      </c>
      <c r="AA663">
        <v>1</v>
      </c>
      <c r="AB663">
        <v>5</v>
      </c>
      <c r="AC663">
        <v>2</v>
      </c>
      <c r="AD663">
        <v>2</v>
      </c>
      <c r="AE663">
        <v>3</v>
      </c>
      <c r="AF663">
        <v>2</v>
      </c>
      <c r="AG663">
        <v>1</v>
      </c>
      <c r="AH663">
        <v>2</v>
      </c>
      <c r="AI663">
        <v>0</v>
      </c>
      <c r="AJ663" s="19" t="s">
        <v>1566</v>
      </c>
      <c r="AK663" s="19" t="s">
        <v>1562</v>
      </c>
      <c r="AL663">
        <v>2</v>
      </c>
      <c r="AM663" s="19" t="s">
        <v>1564</v>
      </c>
      <c r="AN663">
        <v>0.80198563141923818</v>
      </c>
      <c r="AO663">
        <v>1078296</v>
      </c>
    </row>
    <row r="664" spans="1:41" x14ac:dyDescent="0.3">
      <c r="A664" s="19" t="s">
        <v>730</v>
      </c>
      <c r="B664">
        <v>35</v>
      </c>
      <c r="C664" s="19" t="s">
        <v>196</v>
      </c>
      <c r="D664" s="19" t="s">
        <v>55</v>
      </c>
      <c r="E664" s="19" t="s">
        <v>48</v>
      </c>
      <c r="F664">
        <v>776</v>
      </c>
      <c r="G664" s="19" t="s">
        <v>63</v>
      </c>
      <c r="H664">
        <v>1</v>
      </c>
      <c r="I664">
        <v>4</v>
      </c>
      <c r="J664" s="19" t="s">
        <v>63</v>
      </c>
      <c r="K664">
        <v>100</v>
      </c>
      <c r="L664">
        <v>3</v>
      </c>
      <c r="M664" s="19" t="s">
        <v>51</v>
      </c>
      <c r="N664">
        <v>2</v>
      </c>
      <c r="O664">
        <v>2</v>
      </c>
      <c r="P664" s="19" t="s">
        <v>145</v>
      </c>
      <c r="Q664">
        <v>1</v>
      </c>
      <c r="R664" s="19" t="s">
        <v>53</v>
      </c>
      <c r="S664">
        <v>20065</v>
      </c>
      <c r="T664" s="19" t="s">
        <v>54</v>
      </c>
      <c r="U664">
        <v>125.41</v>
      </c>
      <c r="V664">
        <v>0</v>
      </c>
      <c r="W664" s="19" t="s">
        <v>55</v>
      </c>
      <c r="X664">
        <v>14</v>
      </c>
      <c r="Y664">
        <v>3</v>
      </c>
      <c r="Z664">
        <v>2</v>
      </c>
      <c r="AA664">
        <v>0</v>
      </c>
      <c r="AB664">
        <v>16</v>
      </c>
      <c r="AC664">
        <v>2</v>
      </c>
      <c r="AD664">
        <v>3</v>
      </c>
      <c r="AE664">
        <v>15</v>
      </c>
      <c r="AF664">
        <v>13</v>
      </c>
      <c r="AG664">
        <v>2</v>
      </c>
      <c r="AH664">
        <v>13</v>
      </c>
      <c r="AI664">
        <v>0</v>
      </c>
      <c r="AJ664" s="19" t="s">
        <v>1571</v>
      </c>
      <c r="AK664" s="19" t="s">
        <v>1562</v>
      </c>
      <c r="AL664">
        <v>1</v>
      </c>
      <c r="AM664" s="19" t="s">
        <v>1565</v>
      </c>
      <c r="AN664">
        <v>-0.59099407982814456</v>
      </c>
      <c r="AO664">
        <v>240780</v>
      </c>
    </row>
    <row r="665" spans="1:41" x14ac:dyDescent="0.3">
      <c r="A665" s="19" t="s">
        <v>731</v>
      </c>
      <c r="B665">
        <v>35</v>
      </c>
      <c r="C665" s="19" t="s">
        <v>196</v>
      </c>
      <c r="D665" s="19" t="s">
        <v>55</v>
      </c>
      <c r="E665" s="19" t="s">
        <v>48</v>
      </c>
      <c r="F665">
        <v>1214</v>
      </c>
      <c r="G665" s="19" t="s">
        <v>49</v>
      </c>
      <c r="H665">
        <v>1</v>
      </c>
      <c r="I665">
        <v>3</v>
      </c>
      <c r="J665" s="19" t="s">
        <v>58</v>
      </c>
      <c r="K665">
        <v>105</v>
      </c>
      <c r="L665">
        <v>2</v>
      </c>
      <c r="M665" s="19" t="s">
        <v>51</v>
      </c>
      <c r="N665">
        <v>2</v>
      </c>
      <c r="O665">
        <v>1</v>
      </c>
      <c r="P665" s="19" t="s">
        <v>67</v>
      </c>
      <c r="Q665">
        <v>3</v>
      </c>
      <c r="R665" s="19" t="s">
        <v>53</v>
      </c>
      <c r="S665">
        <v>84460</v>
      </c>
      <c r="T665" s="19" t="s">
        <v>70</v>
      </c>
      <c r="U665">
        <v>527.88</v>
      </c>
      <c r="V665">
        <v>1</v>
      </c>
      <c r="W665" s="19" t="s">
        <v>55</v>
      </c>
      <c r="X665">
        <v>18</v>
      </c>
      <c r="Y665">
        <v>3</v>
      </c>
      <c r="Z665">
        <v>1</v>
      </c>
      <c r="AA665">
        <v>0</v>
      </c>
      <c r="AB665">
        <v>6</v>
      </c>
      <c r="AC665">
        <v>3</v>
      </c>
      <c r="AD665">
        <v>3</v>
      </c>
      <c r="AE665">
        <v>6</v>
      </c>
      <c r="AF665">
        <v>4</v>
      </c>
      <c r="AG665">
        <v>0</v>
      </c>
      <c r="AH665">
        <v>4</v>
      </c>
      <c r="AI665">
        <v>0</v>
      </c>
      <c r="AJ665" s="19" t="s">
        <v>1569</v>
      </c>
      <c r="AK665" s="19" t="s">
        <v>1562</v>
      </c>
      <c r="AL665">
        <v>0</v>
      </c>
      <c r="AM665" s="19" t="s">
        <v>1563</v>
      </c>
      <c r="AN665">
        <v>0.69373574339144928</v>
      </c>
      <c r="AO665">
        <v>1013520</v>
      </c>
    </row>
    <row r="666" spans="1:41" x14ac:dyDescent="0.3">
      <c r="A666" s="19" t="s">
        <v>732</v>
      </c>
      <c r="B666">
        <v>35</v>
      </c>
      <c r="C666" s="19" t="s">
        <v>196</v>
      </c>
      <c r="D666" s="19" t="s">
        <v>55</v>
      </c>
      <c r="E666" s="19" t="s">
        <v>48</v>
      </c>
      <c r="F666">
        <v>662</v>
      </c>
      <c r="G666" s="19" t="s">
        <v>63</v>
      </c>
      <c r="H666">
        <v>1</v>
      </c>
      <c r="I666">
        <v>5</v>
      </c>
      <c r="J666" s="19" t="s">
        <v>63</v>
      </c>
      <c r="K666">
        <v>204</v>
      </c>
      <c r="L666">
        <v>3</v>
      </c>
      <c r="M666" s="19" t="s">
        <v>51</v>
      </c>
      <c r="N666">
        <v>3</v>
      </c>
      <c r="O666">
        <v>3</v>
      </c>
      <c r="P666" s="19" t="s">
        <v>145</v>
      </c>
      <c r="Q666">
        <v>2</v>
      </c>
      <c r="R666" s="19" t="s">
        <v>113</v>
      </c>
      <c r="S666">
        <v>89092</v>
      </c>
      <c r="T666" s="19" t="s">
        <v>70</v>
      </c>
      <c r="U666">
        <v>556.83000000000004</v>
      </c>
      <c r="V666">
        <v>1</v>
      </c>
      <c r="W666" s="19" t="s">
        <v>55</v>
      </c>
      <c r="X666">
        <v>13</v>
      </c>
      <c r="Y666">
        <v>3</v>
      </c>
      <c r="Z666">
        <v>1</v>
      </c>
      <c r="AA666">
        <v>2</v>
      </c>
      <c r="AB666">
        <v>10</v>
      </c>
      <c r="AC666">
        <v>3</v>
      </c>
      <c r="AD666">
        <v>3</v>
      </c>
      <c r="AE666">
        <v>10</v>
      </c>
      <c r="AF666">
        <v>8</v>
      </c>
      <c r="AG666">
        <v>0</v>
      </c>
      <c r="AH666">
        <v>6</v>
      </c>
      <c r="AI666">
        <v>0</v>
      </c>
      <c r="AJ666" s="19" t="s">
        <v>1569</v>
      </c>
      <c r="AK666" s="19" t="s">
        <v>1562</v>
      </c>
      <c r="AL666">
        <v>1</v>
      </c>
      <c r="AM666" s="19" t="s">
        <v>1565</v>
      </c>
      <c r="AN666">
        <v>0.81605559132573868</v>
      </c>
      <c r="AO666">
        <v>1069104</v>
      </c>
    </row>
    <row r="667" spans="1:41" x14ac:dyDescent="0.3">
      <c r="A667" s="19" t="s">
        <v>733</v>
      </c>
      <c r="B667">
        <v>35</v>
      </c>
      <c r="C667" s="19" t="s">
        <v>196</v>
      </c>
      <c r="D667" s="19" t="s">
        <v>47</v>
      </c>
      <c r="E667" s="19" t="s">
        <v>48</v>
      </c>
      <c r="F667">
        <v>556</v>
      </c>
      <c r="G667" s="19" t="s">
        <v>49</v>
      </c>
      <c r="H667">
        <v>23</v>
      </c>
      <c r="I667">
        <v>2</v>
      </c>
      <c r="J667" s="19" t="s">
        <v>50</v>
      </c>
      <c r="K667">
        <v>261</v>
      </c>
      <c r="L667">
        <v>2</v>
      </c>
      <c r="M667" s="19" t="s">
        <v>51</v>
      </c>
      <c r="N667">
        <v>2</v>
      </c>
      <c r="O667">
        <v>2</v>
      </c>
      <c r="P667" s="19" t="s">
        <v>120</v>
      </c>
      <c r="Q667">
        <v>3</v>
      </c>
      <c r="R667" s="19" t="s">
        <v>113</v>
      </c>
      <c r="S667">
        <v>55693</v>
      </c>
      <c r="T667" s="19" t="s">
        <v>64</v>
      </c>
      <c r="U667">
        <v>348.08</v>
      </c>
      <c r="V667">
        <v>3</v>
      </c>
      <c r="W667" s="19" t="s">
        <v>47</v>
      </c>
      <c r="X667">
        <v>13</v>
      </c>
      <c r="Y667">
        <v>3</v>
      </c>
      <c r="Z667">
        <v>1</v>
      </c>
      <c r="AA667">
        <v>0</v>
      </c>
      <c r="AB667">
        <v>8</v>
      </c>
      <c r="AC667">
        <v>1</v>
      </c>
      <c r="AD667">
        <v>3</v>
      </c>
      <c r="AE667">
        <v>1</v>
      </c>
      <c r="AF667">
        <v>0</v>
      </c>
      <c r="AG667">
        <v>0</v>
      </c>
      <c r="AH667">
        <v>1</v>
      </c>
      <c r="AI667">
        <v>1</v>
      </c>
      <c r="AJ667" s="19" t="s">
        <v>1561</v>
      </c>
      <c r="AK667" s="19" t="s">
        <v>1562</v>
      </c>
      <c r="AL667">
        <v>1</v>
      </c>
      <c r="AM667" s="19" t="s">
        <v>1565</v>
      </c>
      <c r="AN667">
        <v>0.25731071285374518</v>
      </c>
      <c r="AO667">
        <v>668316</v>
      </c>
    </row>
    <row r="668" spans="1:41" x14ac:dyDescent="0.3">
      <c r="A668" s="19" t="s">
        <v>734</v>
      </c>
      <c r="B668">
        <v>35</v>
      </c>
      <c r="C668" s="19" t="s">
        <v>196</v>
      </c>
      <c r="D668" s="19" t="s">
        <v>55</v>
      </c>
      <c r="E668" s="19" t="s">
        <v>62</v>
      </c>
      <c r="F668">
        <v>138</v>
      </c>
      <c r="G668" s="19" t="s">
        <v>735</v>
      </c>
      <c r="H668">
        <v>2</v>
      </c>
      <c r="I668">
        <v>3</v>
      </c>
      <c r="J668" s="19" t="s">
        <v>58</v>
      </c>
      <c r="K668">
        <v>269</v>
      </c>
      <c r="L668">
        <v>2</v>
      </c>
      <c r="M668" s="19" t="s">
        <v>59</v>
      </c>
      <c r="N668">
        <v>3</v>
      </c>
      <c r="O668">
        <v>2</v>
      </c>
      <c r="P668" s="19" t="s">
        <v>52</v>
      </c>
      <c r="Q668">
        <v>2</v>
      </c>
      <c r="R668" s="19" t="s">
        <v>53</v>
      </c>
      <c r="S668">
        <v>27962</v>
      </c>
      <c r="T668" s="19" t="s">
        <v>72</v>
      </c>
      <c r="U668">
        <v>174.76</v>
      </c>
      <c r="V668">
        <v>5</v>
      </c>
      <c r="W668" s="19" t="s">
        <v>55</v>
      </c>
      <c r="X668">
        <v>11</v>
      </c>
      <c r="Y668">
        <v>3</v>
      </c>
      <c r="Z668">
        <v>4</v>
      </c>
      <c r="AA668">
        <v>0</v>
      </c>
      <c r="AB668">
        <v>10</v>
      </c>
      <c r="AC668">
        <v>5</v>
      </c>
      <c r="AD668">
        <v>3</v>
      </c>
      <c r="AE668">
        <v>6</v>
      </c>
      <c r="AF668">
        <v>2</v>
      </c>
      <c r="AG668">
        <v>1</v>
      </c>
      <c r="AH668">
        <v>2</v>
      </c>
      <c r="AI668">
        <v>0</v>
      </c>
      <c r="AJ668" s="19" t="s">
        <v>1569</v>
      </c>
      <c r="AK668" s="19" t="s">
        <v>1562</v>
      </c>
      <c r="AL668">
        <v>1</v>
      </c>
      <c r="AM668" s="19" t="s">
        <v>1565</v>
      </c>
      <c r="AN668">
        <v>-0.45936433771150076</v>
      </c>
      <c r="AO668">
        <v>335544</v>
      </c>
    </row>
    <row r="669" spans="1:41" x14ac:dyDescent="0.3">
      <c r="A669" s="19" t="s">
        <v>736</v>
      </c>
      <c r="B669">
        <v>35</v>
      </c>
      <c r="C669" s="19" t="s">
        <v>196</v>
      </c>
      <c r="D669" s="19" t="s">
        <v>55</v>
      </c>
      <c r="E669" s="19" t="s">
        <v>62</v>
      </c>
      <c r="F669">
        <v>944</v>
      </c>
      <c r="G669" s="19" t="s">
        <v>63</v>
      </c>
      <c r="H669">
        <v>1</v>
      </c>
      <c r="I669">
        <v>3</v>
      </c>
      <c r="J669" s="19" t="s">
        <v>63</v>
      </c>
      <c r="K669">
        <v>314</v>
      </c>
      <c r="L669">
        <v>3</v>
      </c>
      <c r="M669" s="19" t="s">
        <v>59</v>
      </c>
      <c r="N669">
        <v>3</v>
      </c>
      <c r="O669">
        <v>3</v>
      </c>
      <c r="P669" s="19" t="s">
        <v>145</v>
      </c>
      <c r="Q669">
        <v>3</v>
      </c>
      <c r="R669" s="19" t="s">
        <v>53</v>
      </c>
      <c r="S669">
        <v>29295</v>
      </c>
      <c r="T669" s="19" t="s">
        <v>72</v>
      </c>
      <c r="U669">
        <v>183.09</v>
      </c>
      <c r="V669">
        <v>1</v>
      </c>
      <c r="W669" s="19" t="s">
        <v>55</v>
      </c>
      <c r="X669">
        <v>14</v>
      </c>
      <c r="Y669">
        <v>3</v>
      </c>
      <c r="Z669">
        <v>1</v>
      </c>
      <c r="AA669">
        <v>0</v>
      </c>
      <c r="AB669">
        <v>10</v>
      </c>
      <c r="AC669">
        <v>3</v>
      </c>
      <c r="AD669">
        <v>4</v>
      </c>
      <c r="AE669">
        <v>10</v>
      </c>
      <c r="AF669">
        <v>7</v>
      </c>
      <c r="AG669">
        <v>0</v>
      </c>
      <c r="AH669">
        <v>8</v>
      </c>
      <c r="AI669">
        <v>0</v>
      </c>
      <c r="AJ669" s="19" t="s">
        <v>1569</v>
      </c>
      <c r="AK669" s="19" t="s">
        <v>1562</v>
      </c>
      <c r="AL669">
        <v>0</v>
      </c>
      <c r="AM669" s="19" t="s">
        <v>1563</v>
      </c>
      <c r="AN669">
        <v>-0.40284931814430569</v>
      </c>
      <c r="AO669">
        <v>351540</v>
      </c>
    </row>
    <row r="670" spans="1:41" x14ac:dyDescent="0.3">
      <c r="A670" s="19" t="s">
        <v>737</v>
      </c>
      <c r="B670">
        <v>35</v>
      </c>
      <c r="C670" s="19" t="s">
        <v>196</v>
      </c>
      <c r="D670" s="19" t="s">
        <v>55</v>
      </c>
      <c r="E670" s="19" t="s">
        <v>48</v>
      </c>
      <c r="F670">
        <v>1315</v>
      </c>
      <c r="G670" s="19" t="s">
        <v>735</v>
      </c>
      <c r="H670">
        <v>22</v>
      </c>
      <c r="I670">
        <v>3</v>
      </c>
      <c r="J670" s="19" t="s">
        <v>50</v>
      </c>
      <c r="K670">
        <v>381</v>
      </c>
      <c r="L670">
        <v>2</v>
      </c>
      <c r="M670" s="19" t="s">
        <v>59</v>
      </c>
      <c r="N670">
        <v>4</v>
      </c>
      <c r="O670">
        <v>3</v>
      </c>
      <c r="P670" s="19" t="s">
        <v>444</v>
      </c>
      <c r="Q670">
        <v>2</v>
      </c>
      <c r="R670" s="19" t="s">
        <v>53</v>
      </c>
      <c r="S670">
        <v>14807</v>
      </c>
      <c r="T670" s="19" t="s">
        <v>54</v>
      </c>
      <c r="U670">
        <v>92.54</v>
      </c>
      <c r="V670">
        <v>7</v>
      </c>
      <c r="W670" s="19" t="s">
        <v>55</v>
      </c>
      <c r="X670">
        <v>18</v>
      </c>
      <c r="Y670">
        <v>3</v>
      </c>
      <c r="Z670">
        <v>2</v>
      </c>
      <c r="AA670">
        <v>1</v>
      </c>
      <c r="AB670">
        <v>10</v>
      </c>
      <c r="AC670">
        <v>6</v>
      </c>
      <c r="AD670">
        <v>2</v>
      </c>
      <c r="AE670">
        <v>7</v>
      </c>
      <c r="AF670">
        <v>7</v>
      </c>
      <c r="AG670">
        <v>6</v>
      </c>
      <c r="AH670">
        <v>2</v>
      </c>
      <c r="AI670">
        <v>0</v>
      </c>
      <c r="AJ670" s="19" t="s">
        <v>1569</v>
      </c>
      <c r="AK670" s="19" t="s">
        <v>1570</v>
      </c>
      <c r="AL670">
        <v>3</v>
      </c>
      <c r="AM670" s="19" t="s">
        <v>1568</v>
      </c>
      <c r="AN670">
        <v>-0.71633183252107158</v>
      </c>
      <c r="AO670">
        <v>177684</v>
      </c>
    </row>
    <row r="671" spans="1:41" x14ac:dyDescent="0.3">
      <c r="A671" s="19" t="s">
        <v>738</v>
      </c>
      <c r="B671">
        <v>35</v>
      </c>
      <c r="C671" s="19" t="s">
        <v>196</v>
      </c>
      <c r="D671" s="19" t="s">
        <v>55</v>
      </c>
      <c r="E671" s="19" t="s">
        <v>48</v>
      </c>
      <c r="F671">
        <v>1232</v>
      </c>
      <c r="G671" s="19" t="s">
        <v>63</v>
      </c>
      <c r="H671">
        <v>16</v>
      </c>
      <c r="I671">
        <v>3</v>
      </c>
      <c r="J671" s="19" t="s">
        <v>63</v>
      </c>
      <c r="K671">
        <v>406</v>
      </c>
      <c r="L671">
        <v>3</v>
      </c>
      <c r="M671" s="19" t="s">
        <v>51</v>
      </c>
      <c r="N671">
        <v>3</v>
      </c>
      <c r="O671">
        <v>3</v>
      </c>
      <c r="P671" s="19" t="s">
        <v>145</v>
      </c>
      <c r="Q671">
        <v>2</v>
      </c>
      <c r="R671" s="19" t="s">
        <v>113</v>
      </c>
      <c r="S671">
        <v>43348</v>
      </c>
      <c r="T671" s="19" t="s">
        <v>72</v>
      </c>
      <c r="U671">
        <v>270.92</v>
      </c>
      <c r="V671">
        <v>0</v>
      </c>
      <c r="W671" s="19" t="s">
        <v>55</v>
      </c>
      <c r="X671">
        <v>15</v>
      </c>
      <c r="Y671">
        <v>3</v>
      </c>
      <c r="Z671">
        <v>3</v>
      </c>
      <c r="AA671">
        <v>2</v>
      </c>
      <c r="AB671">
        <v>12</v>
      </c>
      <c r="AC671">
        <v>3</v>
      </c>
      <c r="AD671">
        <v>2</v>
      </c>
      <c r="AE671">
        <v>11</v>
      </c>
      <c r="AF671">
        <v>9</v>
      </c>
      <c r="AG671">
        <v>6</v>
      </c>
      <c r="AH671">
        <v>9</v>
      </c>
      <c r="AI671">
        <v>0</v>
      </c>
      <c r="AJ671" s="19" t="s">
        <v>1571</v>
      </c>
      <c r="AK671" s="19" t="s">
        <v>1570</v>
      </c>
      <c r="AL671">
        <v>3</v>
      </c>
      <c r="AM671" s="19" t="s">
        <v>1568</v>
      </c>
      <c r="AN671">
        <v>-0.11639229366510886</v>
      </c>
      <c r="AO671">
        <v>520176</v>
      </c>
    </row>
    <row r="672" spans="1:41" x14ac:dyDescent="0.3">
      <c r="A672" s="19" t="s">
        <v>739</v>
      </c>
      <c r="B672">
        <v>35</v>
      </c>
      <c r="C672" s="19" t="s">
        <v>196</v>
      </c>
      <c r="D672" s="19" t="s">
        <v>55</v>
      </c>
      <c r="E672" s="19" t="s">
        <v>48</v>
      </c>
      <c r="F672">
        <v>1296</v>
      </c>
      <c r="G672" s="19" t="s">
        <v>735</v>
      </c>
      <c r="H672">
        <v>5</v>
      </c>
      <c r="I672">
        <v>4</v>
      </c>
      <c r="J672" s="19" t="s">
        <v>77</v>
      </c>
      <c r="K672">
        <v>464</v>
      </c>
      <c r="L672">
        <v>3</v>
      </c>
      <c r="M672" s="19" t="s">
        <v>51</v>
      </c>
      <c r="N672">
        <v>3</v>
      </c>
      <c r="O672">
        <v>3</v>
      </c>
      <c r="P672" s="19" t="s">
        <v>120</v>
      </c>
      <c r="Q672">
        <v>2</v>
      </c>
      <c r="R672" s="19" t="s">
        <v>53</v>
      </c>
      <c r="S672">
        <v>27432</v>
      </c>
      <c r="T672" s="19" t="s">
        <v>72</v>
      </c>
      <c r="U672">
        <v>171.45</v>
      </c>
      <c r="V672">
        <v>0</v>
      </c>
      <c r="W672" s="19" t="s">
        <v>55</v>
      </c>
      <c r="X672">
        <v>13</v>
      </c>
      <c r="Y672">
        <v>3</v>
      </c>
      <c r="Z672">
        <v>4</v>
      </c>
      <c r="AA672">
        <v>0</v>
      </c>
      <c r="AB672">
        <v>17</v>
      </c>
      <c r="AC672">
        <v>5</v>
      </c>
      <c r="AD672">
        <v>3</v>
      </c>
      <c r="AE672">
        <v>16</v>
      </c>
      <c r="AF672">
        <v>6</v>
      </c>
      <c r="AG672">
        <v>0</v>
      </c>
      <c r="AH672">
        <v>13</v>
      </c>
      <c r="AI672">
        <v>0</v>
      </c>
      <c r="AJ672" s="19" t="s">
        <v>1571</v>
      </c>
      <c r="AK672" s="19" t="s">
        <v>1562</v>
      </c>
      <c r="AL672">
        <v>1</v>
      </c>
      <c r="AM672" s="19" t="s">
        <v>1565</v>
      </c>
      <c r="AN672">
        <v>-0.38070228798944322</v>
      </c>
      <c r="AO672">
        <v>329184</v>
      </c>
    </row>
    <row r="673" spans="1:41" x14ac:dyDescent="0.3">
      <c r="A673" s="19" t="s">
        <v>740</v>
      </c>
      <c r="B673">
        <v>35</v>
      </c>
      <c r="C673" s="19" t="s">
        <v>196</v>
      </c>
      <c r="D673" s="19" t="s">
        <v>55</v>
      </c>
      <c r="E673" s="19" t="s">
        <v>48</v>
      </c>
      <c r="F673">
        <v>755</v>
      </c>
      <c r="G673" s="19" t="s">
        <v>735</v>
      </c>
      <c r="H673">
        <v>9</v>
      </c>
      <c r="I673">
        <v>4</v>
      </c>
      <c r="J673" s="19" t="s">
        <v>50</v>
      </c>
      <c r="K673">
        <v>496</v>
      </c>
      <c r="L673">
        <v>3</v>
      </c>
      <c r="M673" s="19" t="s">
        <v>51</v>
      </c>
      <c r="N673">
        <v>2</v>
      </c>
      <c r="O673">
        <v>2</v>
      </c>
      <c r="P673" s="19" t="s">
        <v>168</v>
      </c>
      <c r="Q673">
        <v>2</v>
      </c>
      <c r="R673" s="19" t="s">
        <v>53</v>
      </c>
      <c r="S673">
        <v>84285</v>
      </c>
      <c r="T673" s="19" t="s">
        <v>70</v>
      </c>
      <c r="U673">
        <v>526.78</v>
      </c>
      <c r="V673">
        <v>9</v>
      </c>
      <c r="W673" s="19" t="s">
        <v>55</v>
      </c>
      <c r="X673">
        <v>19</v>
      </c>
      <c r="Y673">
        <v>3</v>
      </c>
      <c r="Z673">
        <v>3</v>
      </c>
      <c r="AA673">
        <v>0</v>
      </c>
      <c r="AB673">
        <v>10</v>
      </c>
      <c r="AC673">
        <v>5</v>
      </c>
      <c r="AD673">
        <v>3</v>
      </c>
      <c r="AE673">
        <v>1</v>
      </c>
      <c r="AF673">
        <v>1</v>
      </c>
      <c r="AG673">
        <v>0</v>
      </c>
      <c r="AH673">
        <v>0</v>
      </c>
      <c r="AI673">
        <v>0</v>
      </c>
      <c r="AJ673" s="19" t="s">
        <v>1561</v>
      </c>
      <c r="AK673" s="19" t="s">
        <v>1562</v>
      </c>
      <c r="AL673">
        <v>1</v>
      </c>
      <c r="AM673" s="19" t="s">
        <v>1565</v>
      </c>
      <c r="AN673">
        <v>0.74904542813437536</v>
      </c>
      <c r="AO673">
        <v>1011420</v>
      </c>
    </row>
    <row r="674" spans="1:41" x14ac:dyDescent="0.3">
      <c r="A674" s="19" t="s">
        <v>741</v>
      </c>
      <c r="B674">
        <v>35</v>
      </c>
      <c r="C674" s="19" t="s">
        <v>196</v>
      </c>
      <c r="D674" s="19" t="s">
        <v>55</v>
      </c>
      <c r="E674" s="19" t="s">
        <v>48</v>
      </c>
      <c r="F674">
        <v>144</v>
      </c>
      <c r="G674" s="19" t="s">
        <v>735</v>
      </c>
      <c r="H674">
        <v>22</v>
      </c>
      <c r="I674">
        <v>3</v>
      </c>
      <c r="J674" s="19" t="s">
        <v>50</v>
      </c>
      <c r="K674">
        <v>577</v>
      </c>
      <c r="L674">
        <v>4</v>
      </c>
      <c r="M674" s="19" t="s">
        <v>51</v>
      </c>
      <c r="N674">
        <v>1</v>
      </c>
      <c r="O674">
        <v>1</v>
      </c>
      <c r="P674" s="19" t="s">
        <v>52</v>
      </c>
      <c r="Q674">
        <v>3</v>
      </c>
      <c r="R674" s="19" t="s">
        <v>53</v>
      </c>
      <c r="S674">
        <v>92792</v>
      </c>
      <c r="T674" s="19" t="s">
        <v>70</v>
      </c>
      <c r="U674">
        <v>579.95000000000005</v>
      </c>
      <c r="V674">
        <v>0</v>
      </c>
      <c r="W674" s="19" t="s">
        <v>55</v>
      </c>
      <c r="X674">
        <v>15</v>
      </c>
      <c r="Y674">
        <v>3</v>
      </c>
      <c r="Z674">
        <v>3</v>
      </c>
      <c r="AA674">
        <v>0</v>
      </c>
      <c r="AB674">
        <v>6</v>
      </c>
      <c r="AC674">
        <v>2</v>
      </c>
      <c r="AD674">
        <v>3</v>
      </c>
      <c r="AE674">
        <v>5</v>
      </c>
      <c r="AF674">
        <v>4</v>
      </c>
      <c r="AG674">
        <v>4</v>
      </c>
      <c r="AH674">
        <v>3</v>
      </c>
      <c r="AI674">
        <v>0</v>
      </c>
      <c r="AJ674" s="19" t="s">
        <v>1567</v>
      </c>
      <c r="AK674" s="19" t="s">
        <v>1570</v>
      </c>
      <c r="AL674">
        <v>1</v>
      </c>
      <c r="AM674" s="19" t="s">
        <v>1565</v>
      </c>
      <c r="AN674">
        <v>0.79410143677399392</v>
      </c>
      <c r="AO674">
        <v>1113504</v>
      </c>
    </row>
    <row r="675" spans="1:41" x14ac:dyDescent="0.3">
      <c r="A675" s="19" t="s">
        <v>742</v>
      </c>
      <c r="B675">
        <v>35</v>
      </c>
      <c r="C675" s="19" t="s">
        <v>196</v>
      </c>
      <c r="D675" s="19" t="s">
        <v>55</v>
      </c>
      <c r="E675" s="19" t="s">
        <v>48</v>
      </c>
      <c r="F675">
        <v>1276</v>
      </c>
      <c r="G675" s="19" t="s">
        <v>735</v>
      </c>
      <c r="H675">
        <v>16</v>
      </c>
      <c r="I675">
        <v>3</v>
      </c>
      <c r="J675" s="19" t="s">
        <v>50</v>
      </c>
      <c r="K675">
        <v>586</v>
      </c>
      <c r="L675">
        <v>4</v>
      </c>
      <c r="M675" s="19" t="s">
        <v>51</v>
      </c>
      <c r="N675">
        <v>3</v>
      </c>
      <c r="O675">
        <v>3</v>
      </c>
      <c r="P675" s="19" t="s">
        <v>168</v>
      </c>
      <c r="Q675">
        <v>3</v>
      </c>
      <c r="R675" s="19" t="s">
        <v>113</v>
      </c>
      <c r="S675">
        <v>58854</v>
      </c>
      <c r="T675" s="19" t="s">
        <v>64</v>
      </c>
      <c r="U675">
        <v>367.84</v>
      </c>
      <c r="V675">
        <v>4</v>
      </c>
      <c r="W675" s="19" t="s">
        <v>47</v>
      </c>
      <c r="X675">
        <v>12</v>
      </c>
      <c r="Y675">
        <v>3</v>
      </c>
      <c r="Z675">
        <v>3</v>
      </c>
      <c r="AA675">
        <v>0</v>
      </c>
      <c r="AB675">
        <v>10</v>
      </c>
      <c r="AC675">
        <v>2</v>
      </c>
      <c r="AD675">
        <v>3</v>
      </c>
      <c r="AE675">
        <v>8</v>
      </c>
      <c r="AF675">
        <v>7</v>
      </c>
      <c r="AG675">
        <v>0</v>
      </c>
      <c r="AH675">
        <v>0</v>
      </c>
      <c r="AI675">
        <v>0</v>
      </c>
      <c r="AJ675" s="19" t="s">
        <v>1569</v>
      </c>
      <c r="AK675" s="19" t="s">
        <v>1562</v>
      </c>
      <c r="AL675">
        <v>1</v>
      </c>
      <c r="AM675" s="19" t="s">
        <v>1565</v>
      </c>
      <c r="AN675">
        <v>0.22131244737996708</v>
      </c>
      <c r="AO675">
        <v>706248</v>
      </c>
    </row>
    <row r="676" spans="1:41" x14ac:dyDescent="0.3">
      <c r="A676" s="19" t="s">
        <v>743</v>
      </c>
      <c r="B676">
        <v>35</v>
      </c>
      <c r="C676" s="19" t="s">
        <v>196</v>
      </c>
      <c r="D676" s="19" t="s">
        <v>55</v>
      </c>
      <c r="E676" s="19" t="s">
        <v>48</v>
      </c>
      <c r="F676">
        <v>619</v>
      </c>
      <c r="G676" s="19" t="s">
        <v>63</v>
      </c>
      <c r="H676">
        <v>1</v>
      </c>
      <c r="I676">
        <v>3</v>
      </c>
      <c r="J676" s="19" t="s">
        <v>63</v>
      </c>
      <c r="K676">
        <v>600</v>
      </c>
      <c r="L676">
        <v>2</v>
      </c>
      <c r="M676" s="19" t="s">
        <v>51</v>
      </c>
      <c r="N676">
        <v>3</v>
      </c>
      <c r="O676">
        <v>2</v>
      </c>
      <c r="P676" s="19" t="s">
        <v>145</v>
      </c>
      <c r="Q676">
        <v>3</v>
      </c>
      <c r="R676" s="19" t="s">
        <v>113</v>
      </c>
      <c r="S676">
        <v>41262</v>
      </c>
      <c r="T676" s="19" t="s">
        <v>72</v>
      </c>
      <c r="U676">
        <v>257.89</v>
      </c>
      <c r="V676">
        <v>9</v>
      </c>
      <c r="W676" s="19" t="s">
        <v>55</v>
      </c>
      <c r="X676">
        <v>11</v>
      </c>
      <c r="Y676">
        <v>3</v>
      </c>
      <c r="Z676">
        <v>3</v>
      </c>
      <c r="AA676">
        <v>0</v>
      </c>
      <c r="AB676">
        <v>15</v>
      </c>
      <c r="AC676">
        <v>2</v>
      </c>
      <c r="AD676">
        <v>3</v>
      </c>
      <c r="AE676">
        <v>11</v>
      </c>
      <c r="AF676">
        <v>9</v>
      </c>
      <c r="AG676">
        <v>6</v>
      </c>
      <c r="AH676">
        <v>9</v>
      </c>
      <c r="AI676">
        <v>0</v>
      </c>
      <c r="AJ676" s="19" t="s">
        <v>1571</v>
      </c>
      <c r="AK676" s="19" t="s">
        <v>1570</v>
      </c>
      <c r="AL676">
        <v>1</v>
      </c>
      <c r="AM676" s="19" t="s">
        <v>1565</v>
      </c>
      <c r="AN676">
        <v>-0.1589134174866135</v>
      </c>
      <c r="AO676">
        <v>495144</v>
      </c>
    </row>
    <row r="677" spans="1:41" x14ac:dyDescent="0.3">
      <c r="A677" s="19" t="s">
        <v>744</v>
      </c>
      <c r="B677">
        <v>35</v>
      </c>
      <c r="C677" s="19" t="s">
        <v>196</v>
      </c>
      <c r="D677" s="19" t="s">
        <v>55</v>
      </c>
      <c r="E677" s="19" t="s">
        <v>48</v>
      </c>
      <c r="F677">
        <v>195</v>
      </c>
      <c r="G677" s="19" t="s">
        <v>63</v>
      </c>
      <c r="H677">
        <v>1</v>
      </c>
      <c r="I677">
        <v>3</v>
      </c>
      <c r="J677" s="19" t="s">
        <v>58</v>
      </c>
      <c r="K677">
        <v>620</v>
      </c>
      <c r="L677">
        <v>1</v>
      </c>
      <c r="M677" s="19" t="s">
        <v>59</v>
      </c>
      <c r="N677">
        <v>3</v>
      </c>
      <c r="O677">
        <v>2</v>
      </c>
      <c r="P677" s="19" t="s">
        <v>145</v>
      </c>
      <c r="Q677">
        <v>3</v>
      </c>
      <c r="R677" s="19" t="s">
        <v>53</v>
      </c>
      <c r="S677">
        <v>38080</v>
      </c>
      <c r="T677" s="19" t="s">
        <v>72</v>
      </c>
      <c r="U677">
        <v>238</v>
      </c>
      <c r="V677">
        <v>1</v>
      </c>
      <c r="W677" s="19" t="s">
        <v>55</v>
      </c>
      <c r="X677">
        <v>16</v>
      </c>
      <c r="Y677">
        <v>3</v>
      </c>
      <c r="Z677">
        <v>4</v>
      </c>
      <c r="AA677">
        <v>0</v>
      </c>
      <c r="AB677">
        <v>5</v>
      </c>
      <c r="AC677">
        <v>3</v>
      </c>
      <c r="AD677">
        <v>3</v>
      </c>
      <c r="AE677">
        <v>5</v>
      </c>
      <c r="AF677">
        <v>4</v>
      </c>
      <c r="AG677">
        <v>0</v>
      </c>
      <c r="AH677">
        <v>3</v>
      </c>
      <c r="AI677">
        <v>0</v>
      </c>
      <c r="AJ677" s="19" t="s">
        <v>1567</v>
      </c>
      <c r="AK677" s="19" t="s">
        <v>1562</v>
      </c>
      <c r="AL677">
        <v>0</v>
      </c>
      <c r="AM677" s="19" t="s">
        <v>1563</v>
      </c>
      <c r="AN677">
        <v>-0.22377545775508317</v>
      </c>
      <c r="AO677">
        <v>456960</v>
      </c>
    </row>
    <row r="678" spans="1:41" x14ac:dyDescent="0.3">
      <c r="A678" s="19" t="s">
        <v>745</v>
      </c>
      <c r="B678">
        <v>35</v>
      </c>
      <c r="C678" s="19" t="s">
        <v>196</v>
      </c>
      <c r="D678" s="19" t="s">
        <v>55</v>
      </c>
      <c r="E678" s="19" t="s">
        <v>48</v>
      </c>
      <c r="F678">
        <v>538</v>
      </c>
      <c r="G678" s="19" t="s">
        <v>735</v>
      </c>
      <c r="H678">
        <v>25</v>
      </c>
      <c r="I678">
        <v>2</v>
      </c>
      <c r="J678" s="19" t="s">
        <v>82</v>
      </c>
      <c r="K678">
        <v>652</v>
      </c>
      <c r="L678">
        <v>1</v>
      </c>
      <c r="M678" s="19" t="s">
        <v>51</v>
      </c>
      <c r="N678">
        <v>2</v>
      </c>
      <c r="O678">
        <v>2</v>
      </c>
      <c r="P678" s="19" t="s">
        <v>52</v>
      </c>
      <c r="Q678">
        <v>4</v>
      </c>
      <c r="R678" s="19" t="s">
        <v>53</v>
      </c>
      <c r="S678">
        <v>2324</v>
      </c>
      <c r="T678" s="19" t="s">
        <v>54</v>
      </c>
      <c r="U678">
        <v>14.52</v>
      </c>
      <c r="V678">
        <v>4</v>
      </c>
      <c r="W678" s="19" t="s">
        <v>55</v>
      </c>
      <c r="X678">
        <v>14</v>
      </c>
      <c r="Y678">
        <v>3</v>
      </c>
      <c r="Z678">
        <v>4</v>
      </c>
      <c r="AA678">
        <v>0</v>
      </c>
      <c r="AB678">
        <v>9</v>
      </c>
      <c r="AC678">
        <v>3</v>
      </c>
      <c r="AD678">
        <v>3</v>
      </c>
      <c r="AE678">
        <v>3</v>
      </c>
      <c r="AF678">
        <v>2</v>
      </c>
      <c r="AG678">
        <v>0</v>
      </c>
      <c r="AH678">
        <v>2</v>
      </c>
      <c r="AI678">
        <v>0</v>
      </c>
      <c r="AJ678" s="19" t="s">
        <v>1566</v>
      </c>
      <c r="AK678" s="19" t="s">
        <v>1562</v>
      </c>
      <c r="AL678">
        <v>0</v>
      </c>
      <c r="AM678" s="19" t="s">
        <v>1563</v>
      </c>
      <c r="AN678">
        <v>-0.95506625852376537</v>
      </c>
      <c r="AO678">
        <v>27888</v>
      </c>
    </row>
    <row r="679" spans="1:41" x14ac:dyDescent="0.3">
      <c r="A679" s="19" t="s">
        <v>746</v>
      </c>
      <c r="B679">
        <v>35</v>
      </c>
      <c r="C679" s="19" t="s">
        <v>196</v>
      </c>
      <c r="D679" s="19" t="s">
        <v>55</v>
      </c>
      <c r="E679" s="19" t="s">
        <v>48</v>
      </c>
      <c r="F679">
        <v>1017</v>
      </c>
      <c r="G679" s="19" t="s">
        <v>735</v>
      </c>
      <c r="H679">
        <v>6</v>
      </c>
      <c r="I679">
        <v>4</v>
      </c>
      <c r="J679" s="19" t="s">
        <v>50</v>
      </c>
      <c r="K679">
        <v>691</v>
      </c>
      <c r="L679">
        <v>2</v>
      </c>
      <c r="M679" s="19" t="s">
        <v>51</v>
      </c>
      <c r="N679">
        <v>1</v>
      </c>
      <c r="O679">
        <v>2</v>
      </c>
      <c r="P679" s="19" t="s">
        <v>67</v>
      </c>
      <c r="Q679">
        <v>4</v>
      </c>
      <c r="R679" s="19" t="s">
        <v>53</v>
      </c>
      <c r="S679">
        <v>92267</v>
      </c>
      <c r="T679" s="19" t="s">
        <v>70</v>
      </c>
      <c r="U679">
        <v>576.66999999999996</v>
      </c>
      <c r="V679">
        <v>1</v>
      </c>
      <c r="W679" s="19" t="s">
        <v>55</v>
      </c>
      <c r="X679">
        <v>13</v>
      </c>
      <c r="Y679">
        <v>3</v>
      </c>
      <c r="Z679">
        <v>2</v>
      </c>
      <c r="AA679">
        <v>0</v>
      </c>
      <c r="AB679">
        <v>17</v>
      </c>
      <c r="AC679">
        <v>3</v>
      </c>
      <c r="AD679">
        <v>3</v>
      </c>
      <c r="AE679">
        <v>17</v>
      </c>
      <c r="AF679">
        <v>11</v>
      </c>
      <c r="AG679">
        <v>11</v>
      </c>
      <c r="AH679">
        <v>8</v>
      </c>
      <c r="AI679">
        <v>0</v>
      </c>
      <c r="AJ679" s="19" t="s">
        <v>1571</v>
      </c>
      <c r="AK679" s="19" t="s">
        <v>1570</v>
      </c>
      <c r="AL679">
        <v>1</v>
      </c>
      <c r="AM679" s="19" t="s">
        <v>1565</v>
      </c>
      <c r="AN679">
        <v>0.85029500160429616</v>
      </c>
      <c r="AO679">
        <v>1107204</v>
      </c>
    </row>
    <row r="680" spans="1:41" x14ac:dyDescent="0.3">
      <c r="A680" s="19" t="s">
        <v>747</v>
      </c>
      <c r="B680">
        <v>35</v>
      </c>
      <c r="C680" s="19" t="s">
        <v>196</v>
      </c>
      <c r="D680" s="19" t="s">
        <v>55</v>
      </c>
      <c r="E680" s="19" t="s">
        <v>66</v>
      </c>
      <c r="F680">
        <v>727</v>
      </c>
      <c r="G680" s="19" t="s">
        <v>735</v>
      </c>
      <c r="H680">
        <v>3</v>
      </c>
      <c r="I680">
        <v>3</v>
      </c>
      <c r="J680" s="19" t="s">
        <v>50</v>
      </c>
      <c r="K680">
        <v>704</v>
      </c>
      <c r="L680">
        <v>3</v>
      </c>
      <c r="M680" s="19" t="s">
        <v>51</v>
      </c>
      <c r="N680">
        <v>2</v>
      </c>
      <c r="O680">
        <v>1</v>
      </c>
      <c r="P680" s="19" t="s">
        <v>52</v>
      </c>
      <c r="Q680">
        <v>3</v>
      </c>
      <c r="R680" s="19" t="s">
        <v>113</v>
      </c>
      <c r="S680">
        <v>36909</v>
      </c>
      <c r="T680" s="19" t="s">
        <v>72</v>
      </c>
      <c r="U680">
        <v>230.68</v>
      </c>
      <c r="V680">
        <v>1</v>
      </c>
      <c r="W680" s="19" t="s">
        <v>55</v>
      </c>
      <c r="X680">
        <v>18</v>
      </c>
      <c r="Y680">
        <v>3</v>
      </c>
      <c r="Z680">
        <v>3</v>
      </c>
      <c r="AA680">
        <v>2</v>
      </c>
      <c r="AB680">
        <v>1</v>
      </c>
      <c r="AC680">
        <v>3</v>
      </c>
      <c r="AD680">
        <v>3</v>
      </c>
      <c r="AE680">
        <v>1</v>
      </c>
      <c r="AF680">
        <v>0</v>
      </c>
      <c r="AG680">
        <v>0</v>
      </c>
      <c r="AH680">
        <v>0</v>
      </c>
      <c r="AI680">
        <v>0</v>
      </c>
      <c r="AJ680" s="19" t="s">
        <v>1561</v>
      </c>
      <c r="AK680" s="19" t="s">
        <v>1562</v>
      </c>
      <c r="AL680">
        <v>0</v>
      </c>
      <c r="AM680" s="19" t="s">
        <v>1563</v>
      </c>
      <c r="AN680">
        <v>-0.28637716689055798</v>
      </c>
      <c r="AO680">
        <v>442908</v>
      </c>
    </row>
    <row r="681" spans="1:41" x14ac:dyDescent="0.3">
      <c r="A681" s="19" t="s">
        <v>748</v>
      </c>
      <c r="B681">
        <v>35</v>
      </c>
      <c r="C681" s="19" t="s">
        <v>196</v>
      </c>
      <c r="D681" s="19" t="s">
        <v>55</v>
      </c>
      <c r="E681" s="19" t="s">
        <v>66</v>
      </c>
      <c r="F681">
        <v>1225</v>
      </c>
      <c r="G681" s="19" t="s">
        <v>735</v>
      </c>
      <c r="H681">
        <v>2</v>
      </c>
      <c r="I681">
        <v>4</v>
      </c>
      <c r="J681" s="19" t="s">
        <v>50</v>
      </c>
      <c r="K681">
        <v>771</v>
      </c>
      <c r="L681">
        <v>4</v>
      </c>
      <c r="M681" s="19" t="s">
        <v>59</v>
      </c>
      <c r="N681">
        <v>3</v>
      </c>
      <c r="O681">
        <v>2</v>
      </c>
      <c r="P681" s="19" t="s">
        <v>168</v>
      </c>
      <c r="Q681">
        <v>1</v>
      </c>
      <c r="R681" s="19" t="s">
        <v>53</v>
      </c>
      <c r="S681">
        <v>90339</v>
      </c>
      <c r="T681" s="19" t="s">
        <v>70</v>
      </c>
      <c r="U681">
        <v>564.62</v>
      </c>
      <c r="V681">
        <v>2</v>
      </c>
      <c r="W681" s="19" t="s">
        <v>55</v>
      </c>
      <c r="X681">
        <v>11</v>
      </c>
      <c r="Y681">
        <v>3</v>
      </c>
      <c r="Z681">
        <v>1</v>
      </c>
      <c r="AA681">
        <v>1</v>
      </c>
      <c r="AB681">
        <v>16</v>
      </c>
      <c r="AC681">
        <v>2</v>
      </c>
      <c r="AD681">
        <v>4</v>
      </c>
      <c r="AE681">
        <v>1</v>
      </c>
      <c r="AF681">
        <v>0</v>
      </c>
      <c r="AG681">
        <v>0</v>
      </c>
      <c r="AH681">
        <v>0</v>
      </c>
      <c r="AI681">
        <v>0</v>
      </c>
      <c r="AJ681" s="19" t="s">
        <v>1561</v>
      </c>
      <c r="AK681" s="19" t="s">
        <v>1562</v>
      </c>
      <c r="AL681">
        <v>1</v>
      </c>
      <c r="AM681" s="19" t="s">
        <v>1565</v>
      </c>
      <c r="AN681">
        <v>0.87467538627550967</v>
      </c>
      <c r="AO681">
        <v>1084068</v>
      </c>
    </row>
    <row r="682" spans="1:41" x14ac:dyDescent="0.3">
      <c r="A682" s="19" t="s">
        <v>749</v>
      </c>
      <c r="B682">
        <v>35</v>
      </c>
      <c r="C682" s="19" t="s">
        <v>196</v>
      </c>
      <c r="D682" s="19" t="s">
        <v>55</v>
      </c>
      <c r="E682" s="19" t="s">
        <v>48</v>
      </c>
      <c r="F682">
        <v>384</v>
      </c>
      <c r="G682" s="19" t="s">
        <v>63</v>
      </c>
      <c r="H682">
        <v>8</v>
      </c>
      <c r="I682">
        <v>4</v>
      </c>
      <c r="J682" s="19" t="s">
        <v>50</v>
      </c>
      <c r="K682">
        <v>805</v>
      </c>
      <c r="L682">
        <v>1</v>
      </c>
      <c r="M682" s="19" t="s">
        <v>59</v>
      </c>
      <c r="N682">
        <v>3</v>
      </c>
      <c r="O682">
        <v>1</v>
      </c>
      <c r="P682" s="19" t="s">
        <v>60</v>
      </c>
      <c r="Q682">
        <v>4</v>
      </c>
      <c r="R682" s="19" t="s">
        <v>113</v>
      </c>
      <c r="S682">
        <v>20870</v>
      </c>
      <c r="T682" s="19" t="s">
        <v>54</v>
      </c>
      <c r="U682">
        <v>130.44</v>
      </c>
      <c r="V682">
        <v>1</v>
      </c>
      <c r="W682" s="19" t="s">
        <v>55</v>
      </c>
      <c r="X682">
        <v>16</v>
      </c>
      <c r="Y682">
        <v>3</v>
      </c>
      <c r="Z682">
        <v>2</v>
      </c>
      <c r="AA682">
        <v>1</v>
      </c>
      <c r="AB682">
        <v>3</v>
      </c>
      <c r="AC682">
        <v>1</v>
      </c>
      <c r="AD682">
        <v>2</v>
      </c>
      <c r="AE682">
        <v>3</v>
      </c>
      <c r="AF682">
        <v>2</v>
      </c>
      <c r="AG682">
        <v>0</v>
      </c>
      <c r="AH682">
        <v>2</v>
      </c>
      <c r="AI682">
        <v>0</v>
      </c>
      <c r="AJ682" s="19" t="s">
        <v>1566</v>
      </c>
      <c r="AK682" s="19" t="s">
        <v>1562</v>
      </c>
      <c r="AL682">
        <v>1</v>
      </c>
      <c r="AM682" s="19" t="s">
        <v>1565</v>
      </c>
      <c r="AN682">
        <v>-0.5769034073288184</v>
      </c>
      <c r="AO682">
        <v>250440</v>
      </c>
    </row>
    <row r="683" spans="1:41" x14ac:dyDescent="0.3">
      <c r="A683" s="19" t="s">
        <v>750</v>
      </c>
      <c r="B683">
        <v>35</v>
      </c>
      <c r="C683" s="19" t="s">
        <v>196</v>
      </c>
      <c r="D683" s="19" t="s">
        <v>55</v>
      </c>
      <c r="E683" s="19" t="s">
        <v>48</v>
      </c>
      <c r="F683">
        <v>1258</v>
      </c>
      <c r="G683" s="19" t="s">
        <v>735</v>
      </c>
      <c r="H683">
        <v>1</v>
      </c>
      <c r="I683">
        <v>4</v>
      </c>
      <c r="J683" s="19" t="s">
        <v>50</v>
      </c>
      <c r="K683">
        <v>826</v>
      </c>
      <c r="L683">
        <v>4</v>
      </c>
      <c r="M683" s="19" t="s">
        <v>59</v>
      </c>
      <c r="N683">
        <v>4</v>
      </c>
      <c r="O683">
        <v>1</v>
      </c>
      <c r="P683" s="19" t="s">
        <v>67</v>
      </c>
      <c r="Q683">
        <v>3</v>
      </c>
      <c r="R683" s="19" t="s">
        <v>53</v>
      </c>
      <c r="S683">
        <v>35578</v>
      </c>
      <c r="T683" s="19" t="s">
        <v>72</v>
      </c>
      <c r="U683">
        <v>222.36</v>
      </c>
      <c r="V683">
        <v>3</v>
      </c>
      <c r="W683" s="19" t="s">
        <v>55</v>
      </c>
      <c r="X683">
        <v>13</v>
      </c>
      <c r="Y683">
        <v>3</v>
      </c>
      <c r="Z683">
        <v>3</v>
      </c>
      <c r="AA683">
        <v>0</v>
      </c>
      <c r="AB683">
        <v>7</v>
      </c>
      <c r="AC683">
        <v>0</v>
      </c>
      <c r="AD683">
        <v>3</v>
      </c>
      <c r="AE683">
        <v>2</v>
      </c>
      <c r="AF683">
        <v>2</v>
      </c>
      <c r="AG683">
        <v>2</v>
      </c>
      <c r="AH683">
        <v>2</v>
      </c>
      <c r="AI683">
        <v>0</v>
      </c>
      <c r="AJ683" s="19" t="s">
        <v>1566</v>
      </c>
      <c r="AK683" s="19" t="s">
        <v>1562</v>
      </c>
      <c r="AL683">
        <v>0</v>
      </c>
      <c r="AM683" s="19" t="s">
        <v>1563</v>
      </c>
      <c r="AN683">
        <v>-0.28652935971606697</v>
      </c>
      <c r="AO683">
        <v>426936</v>
      </c>
    </row>
    <row r="684" spans="1:41" x14ac:dyDescent="0.3">
      <c r="A684" s="19" t="s">
        <v>751</v>
      </c>
      <c r="B684">
        <v>35</v>
      </c>
      <c r="C684" s="19" t="s">
        <v>196</v>
      </c>
      <c r="D684" s="19" t="s">
        <v>55</v>
      </c>
      <c r="E684" s="19" t="s">
        <v>48</v>
      </c>
      <c r="F684">
        <v>950</v>
      </c>
      <c r="G684" s="19" t="s">
        <v>735</v>
      </c>
      <c r="H684">
        <v>7</v>
      </c>
      <c r="I684">
        <v>3</v>
      </c>
      <c r="J684" s="19" t="s">
        <v>82</v>
      </c>
      <c r="K684">
        <v>845</v>
      </c>
      <c r="L684">
        <v>3</v>
      </c>
      <c r="M684" s="19" t="s">
        <v>51</v>
      </c>
      <c r="N684">
        <v>3</v>
      </c>
      <c r="O684">
        <v>3</v>
      </c>
      <c r="P684" s="19" t="s">
        <v>120</v>
      </c>
      <c r="Q684">
        <v>3</v>
      </c>
      <c r="R684" s="19" t="s">
        <v>53</v>
      </c>
      <c r="S684">
        <v>73124</v>
      </c>
      <c r="T684" s="19" t="s">
        <v>64</v>
      </c>
      <c r="U684">
        <v>457.02</v>
      </c>
      <c r="V684">
        <v>3</v>
      </c>
      <c r="W684" s="19" t="s">
        <v>55</v>
      </c>
      <c r="X684">
        <v>21</v>
      </c>
      <c r="Y684">
        <v>4</v>
      </c>
      <c r="Z684">
        <v>2</v>
      </c>
      <c r="AA684">
        <v>0</v>
      </c>
      <c r="AB684">
        <v>17</v>
      </c>
      <c r="AC684">
        <v>3</v>
      </c>
      <c r="AD684">
        <v>4</v>
      </c>
      <c r="AE684">
        <v>8</v>
      </c>
      <c r="AF684">
        <v>5</v>
      </c>
      <c r="AG684">
        <v>1</v>
      </c>
      <c r="AH684">
        <v>6</v>
      </c>
      <c r="AI684">
        <v>0</v>
      </c>
      <c r="AJ684" s="19" t="s">
        <v>1569</v>
      </c>
      <c r="AK684" s="19" t="s">
        <v>1562</v>
      </c>
      <c r="AL684">
        <v>0</v>
      </c>
      <c r="AM684" s="19" t="s">
        <v>1563</v>
      </c>
      <c r="AN684">
        <v>0.65082844462889877</v>
      </c>
      <c r="AO684">
        <v>877488</v>
      </c>
    </row>
    <row r="685" spans="1:41" x14ac:dyDescent="0.3">
      <c r="A685" s="19" t="s">
        <v>752</v>
      </c>
      <c r="B685">
        <v>35</v>
      </c>
      <c r="C685" s="19" t="s">
        <v>196</v>
      </c>
      <c r="D685" s="19" t="s">
        <v>55</v>
      </c>
      <c r="E685" s="19" t="s">
        <v>48</v>
      </c>
      <c r="F685">
        <v>1343</v>
      </c>
      <c r="G685" s="19" t="s">
        <v>735</v>
      </c>
      <c r="H685">
        <v>27</v>
      </c>
      <c r="I685">
        <v>1</v>
      </c>
      <c r="J685" s="19" t="s">
        <v>58</v>
      </c>
      <c r="K685">
        <v>856</v>
      </c>
      <c r="L685">
        <v>3</v>
      </c>
      <c r="M685" s="19" t="s">
        <v>59</v>
      </c>
      <c r="N685">
        <v>2</v>
      </c>
      <c r="O685">
        <v>1</v>
      </c>
      <c r="P685" s="19" t="s">
        <v>67</v>
      </c>
      <c r="Q685">
        <v>1</v>
      </c>
      <c r="R685" s="19" t="s">
        <v>53</v>
      </c>
      <c r="S685">
        <v>27790</v>
      </c>
      <c r="T685" s="19" t="s">
        <v>72</v>
      </c>
      <c r="U685">
        <v>173.69</v>
      </c>
      <c r="V685">
        <v>1</v>
      </c>
      <c r="W685" s="19" t="s">
        <v>55</v>
      </c>
      <c r="X685">
        <v>11</v>
      </c>
      <c r="Y685">
        <v>3</v>
      </c>
      <c r="Z685">
        <v>4</v>
      </c>
      <c r="AA685">
        <v>0</v>
      </c>
      <c r="AB685">
        <v>6</v>
      </c>
      <c r="AC685">
        <v>3</v>
      </c>
      <c r="AD685">
        <v>2</v>
      </c>
      <c r="AE685">
        <v>6</v>
      </c>
      <c r="AF685">
        <v>5</v>
      </c>
      <c r="AG685">
        <v>1</v>
      </c>
      <c r="AH685">
        <v>1</v>
      </c>
      <c r="AI685">
        <v>0</v>
      </c>
      <c r="AJ685" s="19" t="s">
        <v>1569</v>
      </c>
      <c r="AK685" s="19" t="s">
        <v>1562</v>
      </c>
      <c r="AL685">
        <v>2</v>
      </c>
      <c r="AM685" s="19" t="s">
        <v>1564</v>
      </c>
      <c r="AN685">
        <v>-0.44270759757461076</v>
      </c>
      <c r="AO685">
        <v>333480</v>
      </c>
    </row>
    <row r="686" spans="1:41" x14ac:dyDescent="0.3">
      <c r="A686" s="19" t="s">
        <v>753</v>
      </c>
      <c r="B686">
        <v>35</v>
      </c>
      <c r="C686" s="19" t="s">
        <v>196</v>
      </c>
      <c r="D686" s="19" t="s">
        <v>55</v>
      </c>
      <c r="E686" s="19" t="s">
        <v>48</v>
      </c>
      <c r="F686">
        <v>607</v>
      </c>
      <c r="G686" s="19" t="s">
        <v>735</v>
      </c>
      <c r="H686">
        <v>9</v>
      </c>
      <c r="I686">
        <v>3</v>
      </c>
      <c r="J686" s="19" t="s">
        <v>50</v>
      </c>
      <c r="K686">
        <v>880</v>
      </c>
      <c r="L686">
        <v>4</v>
      </c>
      <c r="M686" s="19" t="s">
        <v>59</v>
      </c>
      <c r="N686">
        <v>2</v>
      </c>
      <c r="O686">
        <v>3</v>
      </c>
      <c r="P686" s="19" t="s">
        <v>120</v>
      </c>
      <c r="Q686">
        <v>3</v>
      </c>
      <c r="R686" s="19" t="s">
        <v>113</v>
      </c>
      <c r="S686">
        <v>26289</v>
      </c>
      <c r="T686" s="19" t="s">
        <v>72</v>
      </c>
      <c r="U686">
        <v>164.31</v>
      </c>
      <c r="V686">
        <v>1</v>
      </c>
      <c r="W686" s="19" t="s">
        <v>47</v>
      </c>
      <c r="X686">
        <v>20</v>
      </c>
      <c r="Y686">
        <v>4</v>
      </c>
      <c r="Z686">
        <v>2</v>
      </c>
      <c r="AA686">
        <v>1</v>
      </c>
      <c r="AB686">
        <v>17</v>
      </c>
      <c r="AC686">
        <v>2</v>
      </c>
      <c r="AD686">
        <v>3</v>
      </c>
      <c r="AE686">
        <v>17</v>
      </c>
      <c r="AF686">
        <v>14</v>
      </c>
      <c r="AG686">
        <v>5</v>
      </c>
      <c r="AH686">
        <v>15</v>
      </c>
      <c r="AI686">
        <v>0</v>
      </c>
      <c r="AJ686" s="19" t="s">
        <v>1571</v>
      </c>
      <c r="AK686" s="19" t="s">
        <v>1570</v>
      </c>
      <c r="AL686">
        <v>2</v>
      </c>
      <c r="AM686" s="19" t="s">
        <v>1564</v>
      </c>
      <c r="AN686">
        <v>-0.40650635932321644</v>
      </c>
      <c r="AO686">
        <v>315468</v>
      </c>
    </row>
    <row r="687" spans="1:41" x14ac:dyDescent="0.3">
      <c r="A687" s="19" t="s">
        <v>754</v>
      </c>
      <c r="B687">
        <v>35</v>
      </c>
      <c r="C687" s="19" t="s">
        <v>196</v>
      </c>
      <c r="D687" s="19" t="s">
        <v>47</v>
      </c>
      <c r="E687" s="19" t="s">
        <v>62</v>
      </c>
      <c r="F687">
        <v>130</v>
      </c>
      <c r="G687" s="19" t="s">
        <v>735</v>
      </c>
      <c r="H687">
        <v>25</v>
      </c>
      <c r="I687">
        <v>4</v>
      </c>
      <c r="J687" s="19" t="s">
        <v>50</v>
      </c>
      <c r="K687">
        <v>881</v>
      </c>
      <c r="L687">
        <v>4</v>
      </c>
      <c r="M687" s="19" t="s">
        <v>59</v>
      </c>
      <c r="N687">
        <v>3</v>
      </c>
      <c r="O687">
        <v>1</v>
      </c>
      <c r="P687" s="19" t="s">
        <v>67</v>
      </c>
      <c r="Q687">
        <v>2</v>
      </c>
      <c r="R687" s="19" t="s">
        <v>53</v>
      </c>
      <c r="S687">
        <v>56129</v>
      </c>
      <c r="T687" s="19" t="s">
        <v>64</v>
      </c>
      <c r="U687">
        <v>350.81</v>
      </c>
      <c r="V687">
        <v>1</v>
      </c>
      <c r="W687" s="19" t="s">
        <v>47</v>
      </c>
      <c r="X687">
        <v>19</v>
      </c>
      <c r="Y687">
        <v>3</v>
      </c>
      <c r="Z687">
        <v>1</v>
      </c>
      <c r="AA687">
        <v>1</v>
      </c>
      <c r="AB687">
        <v>10</v>
      </c>
      <c r="AC687">
        <v>3</v>
      </c>
      <c r="AD687">
        <v>2</v>
      </c>
      <c r="AE687">
        <v>10</v>
      </c>
      <c r="AF687">
        <v>2</v>
      </c>
      <c r="AG687">
        <v>7</v>
      </c>
      <c r="AH687">
        <v>8</v>
      </c>
      <c r="AI687">
        <v>1</v>
      </c>
      <c r="AJ687" s="19" t="s">
        <v>1569</v>
      </c>
      <c r="AK687" s="19" t="s">
        <v>1570</v>
      </c>
      <c r="AL687">
        <v>4</v>
      </c>
      <c r="AM687" s="19" t="s">
        <v>1568</v>
      </c>
      <c r="AN687">
        <v>0.12559428771985151</v>
      </c>
      <c r="AO687">
        <v>673548</v>
      </c>
    </row>
    <row r="688" spans="1:41" x14ac:dyDescent="0.3">
      <c r="A688" s="19" t="s">
        <v>755</v>
      </c>
      <c r="B688">
        <v>35</v>
      </c>
      <c r="C688" s="19" t="s">
        <v>196</v>
      </c>
      <c r="D688" s="19" t="s">
        <v>55</v>
      </c>
      <c r="E688" s="19" t="s">
        <v>48</v>
      </c>
      <c r="F688">
        <v>672</v>
      </c>
      <c r="G688" s="19" t="s">
        <v>735</v>
      </c>
      <c r="H688">
        <v>25</v>
      </c>
      <c r="I688">
        <v>3</v>
      </c>
      <c r="J688" s="19" t="s">
        <v>77</v>
      </c>
      <c r="K688">
        <v>899</v>
      </c>
      <c r="L688">
        <v>4</v>
      </c>
      <c r="M688" s="19" t="s">
        <v>51</v>
      </c>
      <c r="N688">
        <v>2</v>
      </c>
      <c r="O688">
        <v>3</v>
      </c>
      <c r="P688" s="19" t="s">
        <v>120</v>
      </c>
      <c r="Q688">
        <v>2</v>
      </c>
      <c r="R688" s="19" t="s">
        <v>113</v>
      </c>
      <c r="S688">
        <v>94714</v>
      </c>
      <c r="T688" s="19" t="s">
        <v>70</v>
      </c>
      <c r="U688">
        <v>591.96</v>
      </c>
      <c r="V688">
        <v>3</v>
      </c>
      <c r="W688" s="19" t="s">
        <v>55</v>
      </c>
      <c r="X688">
        <v>16</v>
      </c>
      <c r="Y688">
        <v>3</v>
      </c>
      <c r="Z688">
        <v>1</v>
      </c>
      <c r="AA688">
        <v>0</v>
      </c>
      <c r="AB688">
        <v>16</v>
      </c>
      <c r="AC688">
        <v>2</v>
      </c>
      <c r="AD688">
        <v>3</v>
      </c>
      <c r="AE688">
        <v>13</v>
      </c>
      <c r="AF688">
        <v>10</v>
      </c>
      <c r="AG688">
        <v>4</v>
      </c>
      <c r="AH688">
        <v>8</v>
      </c>
      <c r="AI688">
        <v>0</v>
      </c>
      <c r="AJ688" s="19" t="s">
        <v>1571</v>
      </c>
      <c r="AK688" s="19" t="s">
        <v>1570</v>
      </c>
      <c r="AL688">
        <v>2</v>
      </c>
      <c r="AM688" s="19" t="s">
        <v>1564</v>
      </c>
      <c r="AN688">
        <v>1.1382386809335037</v>
      </c>
      <c r="AO688">
        <v>1136568</v>
      </c>
    </row>
    <row r="689" spans="1:41" x14ac:dyDescent="0.3">
      <c r="A689" s="19" t="s">
        <v>756</v>
      </c>
      <c r="B689">
        <v>35</v>
      </c>
      <c r="C689" s="19" t="s">
        <v>196</v>
      </c>
      <c r="D689" s="19" t="s">
        <v>55</v>
      </c>
      <c r="E689" s="19" t="s">
        <v>48</v>
      </c>
      <c r="F689">
        <v>1137</v>
      </c>
      <c r="G689" s="19" t="s">
        <v>735</v>
      </c>
      <c r="H689">
        <v>21</v>
      </c>
      <c r="I689">
        <v>1</v>
      </c>
      <c r="J689" s="19" t="s">
        <v>50</v>
      </c>
      <c r="K689">
        <v>942</v>
      </c>
      <c r="L689">
        <v>4</v>
      </c>
      <c r="M689" s="19" t="s">
        <v>59</v>
      </c>
      <c r="N689">
        <v>3</v>
      </c>
      <c r="O689">
        <v>2</v>
      </c>
      <c r="P689" s="19" t="s">
        <v>168</v>
      </c>
      <c r="Q689">
        <v>4</v>
      </c>
      <c r="R689" s="19" t="s">
        <v>113</v>
      </c>
      <c r="S689">
        <v>95246</v>
      </c>
      <c r="T689" s="19" t="s">
        <v>70</v>
      </c>
      <c r="U689">
        <v>595.29</v>
      </c>
      <c r="V689">
        <v>1</v>
      </c>
      <c r="W689" s="19" t="s">
        <v>47</v>
      </c>
      <c r="X689">
        <v>25</v>
      </c>
      <c r="Y689">
        <v>4</v>
      </c>
      <c r="Z689">
        <v>4</v>
      </c>
      <c r="AA689">
        <v>1</v>
      </c>
      <c r="AB689">
        <v>10</v>
      </c>
      <c r="AC689">
        <v>2</v>
      </c>
      <c r="AD689">
        <v>1</v>
      </c>
      <c r="AE689">
        <v>10</v>
      </c>
      <c r="AF689">
        <v>6</v>
      </c>
      <c r="AG689">
        <v>0</v>
      </c>
      <c r="AH689">
        <v>7</v>
      </c>
      <c r="AI689">
        <v>0</v>
      </c>
      <c r="AJ689" s="19" t="s">
        <v>1569</v>
      </c>
      <c r="AK689" s="19" t="s">
        <v>1562</v>
      </c>
      <c r="AL689">
        <v>2</v>
      </c>
      <c r="AM689" s="19" t="s">
        <v>1564</v>
      </c>
      <c r="AN689">
        <v>0.97650330246291406</v>
      </c>
      <c r="AO689">
        <v>1142952</v>
      </c>
    </row>
    <row r="690" spans="1:41" x14ac:dyDescent="0.3">
      <c r="A690" s="19" t="s">
        <v>757</v>
      </c>
      <c r="B690">
        <v>35</v>
      </c>
      <c r="C690" s="19" t="s">
        <v>196</v>
      </c>
      <c r="D690" s="19" t="s">
        <v>55</v>
      </c>
      <c r="E690" s="19" t="s">
        <v>48</v>
      </c>
      <c r="F690">
        <v>1219</v>
      </c>
      <c r="G690" s="19" t="s">
        <v>63</v>
      </c>
      <c r="H690">
        <v>18</v>
      </c>
      <c r="I690">
        <v>3</v>
      </c>
      <c r="J690" s="19" t="s">
        <v>58</v>
      </c>
      <c r="K690">
        <v>975</v>
      </c>
      <c r="L690">
        <v>3</v>
      </c>
      <c r="M690" s="19" t="s">
        <v>59</v>
      </c>
      <c r="N690">
        <v>3</v>
      </c>
      <c r="O690">
        <v>2</v>
      </c>
      <c r="P690" s="19" t="s">
        <v>145</v>
      </c>
      <c r="Q690">
        <v>3</v>
      </c>
      <c r="R690" s="19" t="s">
        <v>113</v>
      </c>
      <c r="S690">
        <v>16485</v>
      </c>
      <c r="T690" s="19" t="s">
        <v>54</v>
      </c>
      <c r="U690">
        <v>103.03</v>
      </c>
      <c r="V690">
        <v>1</v>
      </c>
      <c r="W690" s="19" t="s">
        <v>55</v>
      </c>
      <c r="X690">
        <v>16</v>
      </c>
      <c r="Y690">
        <v>3</v>
      </c>
      <c r="Z690">
        <v>2</v>
      </c>
      <c r="AA690">
        <v>0</v>
      </c>
      <c r="AB690">
        <v>5</v>
      </c>
      <c r="AC690">
        <v>3</v>
      </c>
      <c r="AD690">
        <v>3</v>
      </c>
      <c r="AE690">
        <v>5</v>
      </c>
      <c r="AF690">
        <v>2</v>
      </c>
      <c r="AG690">
        <v>1</v>
      </c>
      <c r="AH690">
        <v>0</v>
      </c>
      <c r="AI690">
        <v>0</v>
      </c>
      <c r="AJ690" s="19" t="s">
        <v>1567</v>
      </c>
      <c r="AK690" s="19" t="s">
        <v>1562</v>
      </c>
      <c r="AL690">
        <v>0</v>
      </c>
      <c r="AM690" s="19" t="s">
        <v>1563</v>
      </c>
      <c r="AN690">
        <v>-0.66396897114213616</v>
      </c>
      <c r="AO690">
        <v>197820</v>
      </c>
    </row>
    <row r="691" spans="1:41" x14ac:dyDescent="0.3">
      <c r="A691" s="19" t="s">
        <v>758</v>
      </c>
      <c r="B691">
        <v>35</v>
      </c>
      <c r="C691" s="19" t="s">
        <v>196</v>
      </c>
      <c r="D691" s="19" t="s">
        <v>55</v>
      </c>
      <c r="E691" s="19" t="s">
        <v>48</v>
      </c>
      <c r="F691">
        <v>882</v>
      </c>
      <c r="G691" s="19" t="s">
        <v>63</v>
      </c>
      <c r="H691">
        <v>3</v>
      </c>
      <c r="I691">
        <v>4</v>
      </c>
      <c r="J691" s="19" t="s">
        <v>50</v>
      </c>
      <c r="K691">
        <v>984</v>
      </c>
      <c r="L691">
        <v>4</v>
      </c>
      <c r="M691" s="19" t="s">
        <v>51</v>
      </c>
      <c r="N691">
        <v>3</v>
      </c>
      <c r="O691">
        <v>3</v>
      </c>
      <c r="P691" s="19" t="s">
        <v>145</v>
      </c>
      <c r="Q691">
        <v>4</v>
      </c>
      <c r="R691" s="19" t="s">
        <v>53</v>
      </c>
      <c r="S691">
        <v>45482</v>
      </c>
      <c r="T691" s="19" t="s">
        <v>72</v>
      </c>
      <c r="U691">
        <v>284.26</v>
      </c>
      <c r="V691">
        <v>6</v>
      </c>
      <c r="W691" s="19" t="s">
        <v>55</v>
      </c>
      <c r="X691">
        <v>13</v>
      </c>
      <c r="Y691">
        <v>3</v>
      </c>
      <c r="Z691">
        <v>2</v>
      </c>
      <c r="AA691">
        <v>1</v>
      </c>
      <c r="AB691">
        <v>12</v>
      </c>
      <c r="AC691">
        <v>2</v>
      </c>
      <c r="AD691">
        <v>3</v>
      </c>
      <c r="AE691">
        <v>10</v>
      </c>
      <c r="AF691">
        <v>9</v>
      </c>
      <c r="AG691">
        <v>0</v>
      </c>
      <c r="AH691">
        <v>8</v>
      </c>
      <c r="AI691">
        <v>0</v>
      </c>
      <c r="AJ691" s="19" t="s">
        <v>1569</v>
      </c>
      <c r="AK691" s="19" t="s">
        <v>1562</v>
      </c>
      <c r="AL691">
        <v>0</v>
      </c>
      <c r="AM691" s="19" t="s">
        <v>1563</v>
      </c>
      <c r="AN691">
        <v>-7.2892735546656845E-2</v>
      </c>
      <c r="AO691">
        <v>545784</v>
      </c>
    </row>
    <row r="692" spans="1:41" x14ac:dyDescent="0.3">
      <c r="A692" s="19" t="s">
        <v>759</v>
      </c>
      <c r="B692">
        <v>35</v>
      </c>
      <c r="C692" s="19" t="s">
        <v>196</v>
      </c>
      <c r="D692" s="19" t="s">
        <v>47</v>
      </c>
      <c r="E692" s="19" t="s">
        <v>48</v>
      </c>
      <c r="F692">
        <v>622</v>
      </c>
      <c r="G692" s="19" t="s">
        <v>735</v>
      </c>
      <c r="H692">
        <v>14</v>
      </c>
      <c r="I692">
        <v>4</v>
      </c>
      <c r="J692" s="19" t="s">
        <v>82</v>
      </c>
      <c r="K692">
        <v>1010</v>
      </c>
      <c r="L692">
        <v>3</v>
      </c>
      <c r="M692" s="19" t="s">
        <v>51</v>
      </c>
      <c r="N692">
        <v>2</v>
      </c>
      <c r="O692">
        <v>1</v>
      </c>
      <c r="P692" s="19" t="s">
        <v>52</v>
      </c>
      <c r="Q692">
        <v>2</v>
      </c>
      <c r="R692" s="19" t="s">
        <v>53</v>
      </c>
      <c r="S692">
        <v>87188</v>
      </c>
      <c r="T692" s="19" t="s">
        <v>70</v>
      </c>
      <c r="U692">
        <v>544.91999999999996</v>
      </c>
      <c r="V692">
        <v>1</v>
      </c>
      <c r="W692" s="19" t="s">
        <v>47</v>
      </c>
      <c r="X692">
        <v>24</v>
      </c>
      <c r="Y692">
        <v>4</v>
      </c>
      <c r="Z692">
        <v>4</v>
      </c>
      <c r="AA692">
        <v>1</v>
      </c>
      <c r="AB692">
        <v>5</v>
      </c>
      <c r="AC692">
        <v>2</v>
      </c>
      <c r="AD692">
        <v>1</v>
      </c>
      <c r="AE692">
        <v>4</v>
      </c>
      <c r="AF692">
        <v>2</v>
      </c>
      <c r="AG692">
        <v>0</v>
      </c>
      <c r="AH692">
        <v>2</v>
      </c>
      <c r="AI692">
        <v>1</v>
      </c>
      <c r="AJ692" s="19" t="s">
        <v>1567</v>
      </c>
      <c r="AK692" s="19" t="s">
        <v>1562</v>
      </c>
      <c r="AL692">
        <v>3</v>
      </c>
      <c r="AM692" s="19" t="s">
        <v>1568</v>
      </c>
      <c r="AN692">
        <v>0.68575002230204096</v>
      </c>
      <c r="AO692">
        <v>1046256</v>
      </c>
    </row>
    <row r="693" spans="1:41" x14ac:dyDescent="0.3">
      <c r="A693" s="19" t="s">
        <v>760</v>
      </c>
      <c r="B693">
        <v>35</v>
      </c>
      <c r="C693" s="19" t="s">
        <v>196</v>
      </c>
      <c r="D693" s="19" t="s">
        <v>55</v>
      </c>
      <c r="E693" s="19" t="s">
        <v>48</v>
      </c>
      <c r="F693">
        <v>583</v>
      </c>
      <c r="G693" s="19" t="s">
        <v>735</v>
      </c>
      <c r="H693">
        <v>25</v>
      </c>
      <c r="I693">
        <v>4</v>
      </c>
      <c r="J693" s="19" t="s">
        <v>58</v>
      </c>
      <c r="K693">
        <v>1014</v>
      </c>
      <c r="L693">
        <v>3</v>
      </c>
      <c r="M693" s="19" t="s">
        <v>59</v>
      </c>
      <c r="N693">
        <v>3</v>
      </c>
      <c r="O693">
        <v>3</v>
      </c>
      <c r="P693" s="19" t="s">
        <v>168</v>
      </c>
      <c r="Q693">
        <v>3</v>
      </c>
      <c r="R693" s="19" t="s">
        <v>53</v>
      </c>
      <c r="S693">
        <v>5748</v>
      </c>
      <c r="T693" s="19" t="s">
        <v>54</v>
      </c>
      <c r="U693">
        <v>35.92</v>
      </c>
      <c r="V693">
        <v>1</v>
      </c>
      <c r="W693" s="19" t="s">
        <v>47</v>
      </c>
      <c r="X693">
        <v>11</v>
      </c>
      <c r="Y693">
        <v>3</v>
      </c>
      <c r="Z693">
        <v>3</v>
      </c>
      <c r="AA693">
        <v>1</v>
      </c>
      <c r="AB693">
        <v>16</v>
      </c>
      <c r="AC693">
        <v>3</v>
      </c>
      <c r="AD693">
        <v>2</v>
      </c>
      <c r="AE693">
        <v>16</v>
      </c>
      <c r="AF693">
        <v>10</v>
      </c>
      <c r="AG693">
        <v>10</v>
      </c>
      <c r="AH693">
        <v>1</v>
      </c>
      <c r="AI693">
        <v>0</v>
      </c>
      <c r="AJ693" s="19" t="s">
        <v>1571</v>
      </c>
      <c r="AK693" s="19" t="s">
        <v>1570</v>
      </c>
      <c r="AL693">
        <v>3</v>
      </c>
      <c r="AM693" s="19" t="s">
        <v>1568</v>
      </c>
      <c r="AN693">
        <v>-0.88072001992149984</v>
      </c>
      <c r="AO693">
        <v>68976</v>
      </c>
    </row>
    <row r="694" spans="1:41" x14ac:dyDescent="0.3">
      <c r="A694" s="19" t="s">
        <v>761</v>
      </c>
      <c r="B694">
        <v>35</v>
      </c>
      <c r="C694" s="19" t="s">
        <v>196</v>
      </c>
      <c r="D694" s="19" t="s">
        <v>55</v>
      </c>
      <c r="E694" s="19" t="s">
        <v>48</v>
      </c>
      <c r="F694">
        <v>802</v>
      </c>
      <c r="G694" s="19" t="s">
        <v>735</v>
      </c>
      <c r="H694">
        <v>10</v>
      </c>
      <c r="I694">
        <v>3</v>
      </c>
      <c r="J694" s="19" t="s">
        <v>82</v>
      </c>
      <c r="K694">
        <v>1028</v>
      </c>
      <c r="L694">
        <v>2</v>
      </c>
      <c r="M694" s="19" t="s">
        <v>51</v>
      </c>
      <c r="N694">
        <v>3</v>
      </c>
      <c r="O694">
        <v>1</v>
      </c>
      <c r="P694" s="19" t="s">
        <v>52</v>
      </c>
      <c r="Q694">
        <v>4</v>
      </c>
      <c r="R694" s="19" t="s">
        <v>53</v>
      </c>
      <c r="S694">
        <v>87769</v>
      </c>
      <c r="T694" s="19" t="s">
        <v>70</v>
      </c>
      <c r="U694">
        <v>548.55999999999995</v>
      </c>
      <c r="V694">
        <v>1</v>
      </c>
      <c r="W694" s="19" t="s">
        <v>55</v>
      </c>
      <c r="X694">
        <v>20</v>
      </c>
      <c r="Y694">
        <v>4</v>
      </c>
      <c r="Z694">
        <v>1</v>
      </c>
      <c r="AA694">
        <v>1</v>
      </c>
      <c r="AB694">
        <v>3</v>
      </c>
      <c r="AC694">
        <v>4</v>
      </c>
      <c r="AD694">
        <v>2</v>
      </c>
      <c r="AE694">
        <v>3</v>
      </c>
      <c r="AF694">
        <v>2</v>
      </c>
      <c r="AG694">
        <v>1</v>
      </c>
      <c r="AH694">
        <v>2</v>
      </c>
      <c r="AI694">
        <v>0</v>
      </c>
      <c r="AJ694" s="19" t="s">
        <v>1566</v>
      </c>
      <c r="AK694" s="19" t="s">
        <v>1562</v>
      </c>
      <c r="AL694">
        <v>1</v>
      </c>
      <c r="AM694" s="19" t="s">
        <v>1565</v>
      </c>
      <c r="AN694">
        <v>0.69698345767109959</v>
      </c>
      <c r="AO694">
        <v>1053228</v>
      </c>
    </row>
    <row r="695" spans="1:41" x14ac:dyDescent="0.3">
      <c r="A695" s="19" t="s">
        <v>762</v>
      </c>
      <c r="B695">
        <v>35</v>
      </c>
      <c r="C695" s="19" t="s">
        <v>196</v>
      </c>
      <c r="D695" s="19" t="s">
        <v>47</v>
      </c>
      <c r="E695" s="19" t="s">
        <v>48</v>
      </c>
      <c r="F695">
        <v>1204</v>
      </c>
      <c r="G695" s="19" t="s">
        <v>63</v>
      </c>
      <c r="H695">
        <v>4</v>
      </c>
      <c r="I695">
        <v>3</v>
      </c>
      <c r="J695" s="19" t="s">
        <v>77</v>
      </c>
      <c r="K695">
        <v>1100</v>
      </c>
      <c r="L695">
        <v>4</v>
      </c>
      <c r="M695" s="19" t="s">
        <v>51</v>
      </c>
      <c r="N695">
        <v>3</v>
      </c>
      <c r="O695">
        <v>3</v>
      </c>
      <c r="P695" s="19" t="s">
        <v>145</v>
      </c>
      <c r="Q695">
        <v>1</v>
      </c>
      <c r="R695" s="19" t="s">
        <v>53</v>
      </c>
      <c r="S695">
        <v>10435</v>
      </c>
      <c r="T695" s="19" t="s">
        <v>54</v>
      </c>
      <c r="U695">
        <v>65.22</v>
      </c>
      <c r="V695">
        <v>0</v>
      </c>
      <c r="W695" s="19" t="s">
        <v>47</v>
      </c>
      <c r="X695">
        <v>22</v>
      </c>
      <c r="Y695">
        <v>4</v>
      </c>
      <c r="Z695">
        <v>1</v>
      </c>
      <c r="AA695">
        <v>0</v>
      </c>
      <c r="AB695">
        <v>9</v>
      </c>
      <c r="AC695">
        <v>2</v>
      </c>
      <c r="AD695">
        <v>3</v>
      </c>
      <c r="AE695">
        <v>8</v>
      </c>
      <c r="AF695">
        <v>7</v>
      </c>
      <c r="AG695">
        <v>4</v>
      </c>
      <c r="AH695">
        <v>7</v>
      </c>
      <c r="AI695">
        <v>1</v>
      </c>
      <c r="AJ695" s="19" t="s">
        <v>1569</v>
      </c>
      <c r="AK695" s="19" t="s">
        <v>1570</v>
      </c>
      <c r="AL695">
        <v>3</v>
      </c>
      <c r="AM695" s="19" t="s">
        <v>1568</v>
      </c>
      <c r="AN695">
        <v>-0.78729246065321146</v>
      </c>
      <c r="AO695">
        <v>125220</v>
      </c>
    </row>
    <row r="696" spans="1:41" x14ac:dyDescent="0.3">
      <c r="A696" s="19" t="s">
        <v>763</v>
      </c>
      <c r="B696">
        <v>35</v>
      </c>
      <c r="C696" s="19" t="s">
        <v>196</v>
      </c>
      <c r="D696" s="19" t="s">
        <v>55</v>
      </c>
      <c r="E696" s="19" t="s">
        <v>62</v>
      </c>
      <c r="F696">
        <v>1182</v>
      </c>
      <c r="G696" s="19" t="s">
        <v>63</v>
      </c>
      <c r="H696">
        <v>11</v>
      </c>
      <c r="I696">
        <v>2</v>
      </c>
      <c r="J696" s="19" t="s">
        <v>63</v>
      </c>
      <c r="K696">
        <v>1137</v>
      </c>
      <c r="L696">
        <v>4</v>
      </c>
      <c r="M696" s="19" t="s">
        <v>51</v>
      </c>
      <c r="N696">
        <v>3</v>
      </c>
      <c r="O696">
        <v>2</v>
      </c>
      <c r="P696" s="19" t="s">
        <v>145</v>
      </c>
      <c r="Q696">
        <v>4</v>
      </c>
      <c r="R696" s="19" t="s">
        <v>53</v>
      </c>
      <c r="S696">
        <v>4709</v>
      </c>
      <c r="T696" s="19" t="s">
        <v>54</v>
      </c>
      <c r="U696">
        <v>29.43</v>
      </c>
      <c r="V696">
        <v>1</v>
      </c>
      <c r="W696" s="19" t="s">
        <v>55</v>
      </c>
      <c r="X696">
        <v>11</v>
      </c>
      <c r="Y696">
        <v>3</v>
      </c>
      <c r="Z696">
        <v>4</v>
      </c>
      <c r="AA696">
        <v>1</v>
      </c>
      <c r="AB696">
        <v>5</v>
      </c>
      <c r="AC696">
        <v>3</v>
      </c>
      <c r="AD696">
        <v>3</v>
      </c>
      <c r="AE696">
        <v>5</v>
      </c>
      <c r="AF696">
        <v>2</v>
      </c>
      <c r="AG696">
        <v>0</v>
      </c>
      <c r="AH696">
        <v>2</v>
      </c>
      <c r="AI696">
        <v>0</v>
      </c>
      <c r="AJ696" s="19" t="s">
        <v>1567</v>
      </c>
      <c r="AK696" s="19" t="s">
        <v>1562</v>
      </c>
      <c r="AL696">
        <v>0</v>
      </c>
      <c r="AM696" s="19" t="s">
        <v>1563</v>
      </c>
      <c r="AN696">
        <v>-0.90401151865989193</v>
      </c>
      <c r="AO696">
        <v>56508</v>
      </c>
    </row>
    <row r="697" spans="1:41" x14ac:dyDescent="0.3">
      <c r="A697" s="19" t="s">
        <v>764</v>
      </c>
      <c r="B697">
        <v>35</v>
      </c>
      <c r="C697" s="19" t="s">
        <v>196</v>
      </c>
      <c r="D697" s="19" t="s">
        <v>55</v>
      </c>
      <c r="E697" s="19" t="s">
        <v>48</v>
      </c>
      <c r="F697">
        <v>528</v>
      </c>
      <c r="G697" s="19" t="s">
        <v>406</v>
      </c>
      <c r="H697">
        <v>8</v>
      </c>
      <c r="I697">
        <v>4</v>
      </c>
      <c r="J697" s="19" t="s">
        <v>77</v>
      </c>
      <c r="K697">
        <v>1164</v>
      </c>
      <c r="L697">
        <v>3</v>
      </c>
      <c r="M697" s="19" t="s">
        <v>51</v>
      </c>
      <c r="N697">
        <v>3</v>
      </c>
      <c r="O697">
        <v>1</v>
      </c>
      <c r="P697" s="19" t="s">
        <v>80</v>
      </c>
      <c r="Q697">
        <v>3</v>
      </c>
      <c r="R697" s="19" t="s">
        <v>53</v>
      </c>
      <c r="S697">
        <v>31355</v>
      </c>
      <c r="T697" s="19" t="s">
        <v>72</v>
      </c>
      <c r="U697">
        <v>195.97</v>
      </c>
      <c r="V697">
        <v>1</v>
      </c>
      <c r="W697" s="19" t="s">
        <v>55</v>
      </c>
      <c r="X697">
        <v>17</v>
      </c>
      <c r="Y697">
        <v>3</v>
      </c>
      <c r="Z697">
        <v>2</v>
      </c>
      <c r="AA697">
        <v>0</v>
      </c>
      <c r="AB697">
        <v>6</v>
      </c>
      <c r="AC697">
        <v>2</v>
      </c>
      <c r="AD697">
        <v>1</v>
      </c>
      <c r="AE697">
        <v>5</v>
      </c>
      <c r="AF697">
        <v>4</v>
      </c>
      <c r="AG697">
        <v>1</v>
      </c>
      <c r="AH697">
        <v>4</v>
      </c>
      <c r="AI697">
        <v>0</v>
      </c>
      <c r="AJ697" s="19" t="s">
        <v>1567</v>
      </c>
      <c r="AK697" s="19" t="s">
        <v>1562</v>
      </c>
      <c r="AL697">
        <v>1</v>
      </c>
      <c r="AM697" s="19" t="s">
        <v>1565</v>
      </c>
      <c r="AN697">
        <v>-0.38209490315270078</v>
      </c>
      <c r="AO697">
        <v>376260</v>
      </c>
    </row>
    <row r="698" spans="1:41" x14ac:dyDescent="0.3">
      <c r="A698" s="19" t="s">
        <v>765</v>
      </c>
      <c r="B698">
        <v>35</v>
      </c>
      <c r="C698" s="19" t="s">
        <v>196</v>
      </c>
      <c r="D698" s="19" t="s">
        <v>55</v>
      </c>
      <c r="E698" s="19" t="s">
        <v>48</v>
      </c>
      <c r="F698">
        <v>982</v>
      </c>
      <c r="G698" s="19" t="s">
        <v>735</v>
      </c>
      <c r="H698">
        <v>1</v>
      </c>
      <c r="I698">
        <v>4</v>
      </c>
      <c r="J698" s="19" t="s">
        <v>58</v>
      </c>
      <c r="K698">
        <v>1172</v>
      </c>
      <c r="L698">
        <v>4</v>
      </c>
      <c r="M698" s="19" t="s">
        <v>51</v>
      </c>
      <c r="N698">
        <v>2</v>
      </c>
      <c r="O698">
        <v>1</v>
      </c>
      <c r="P698" s="19" t="s">
        <v>52</v>
      </c>
      <c r="Q698">
        <v>3</v>
      </c>
      <c r="R698" s="19" t="s">
        <v>113</v>
      </c>
      <c r="S698">
        <v>56771</v>
      </c>
      <c r="T698" s="19" t="s">
        <v>64</v>
      </c>
      <c r="U698">
        <v>354.82</v>
      </c>
      <c r="V698">
        <v>6</v>
      </c>
      <c r="W698" s="19" t="s">
        <v>55</v>
      </c>
      <c r="X698">
        <v>12</v>
      </c>
      <c r="Y698">
        <v>3</v>
      </c>
      <c r="Z698">
        <v>2</v>
      </c>
      <c r="AA698">
        <v>1</v>
      </c>
      <c r="AB698">
        <v>10</v>
      </c>
      <c r="AC698">
        <v>2</v>
      </c>
      <c r="AD698">
        <v>3</v>
      </c>
      <c r="AE698">
        <v>8</v>
      </c>
      <c r="AF698">
        <v>0</v>
      </c>
      <c r="AG698">
        <v>1</v>
      </c>
      <c r="AH698">
        <v>7</v>
      </c>
      <c r="AI698">
        <v>0</v>
      </c>
      <c r="AJ698" s="19" t="s">
        <v>1569</v>
      </c>
      <c r="AK698" s="19" t="s">
        <v>1562</v>
      </c>
      <c r="AL698">
        <v>0</v>
      </c>
      <c r="AM698" s="19" t="s">
        <v>1563</v>
      </c>
      <c r="AN698">
        <v>9.764777854875864E-2</v>
      </c>
      <c r="AO698">
        <v>681252</v>
      </c>
    </row>
    <row r="699" spans="1:41" x14ac:dyDescent="0.3">
      <c r="A699" s="19" t="s">
        <v>766</v>
      </c>
      <c r="B699">
        <v>35</v>
      </c>
      <c r="C699" s="19" t="s">
        <v>196</v>
      </c>
      <c r="D699" s="19" t="s">
        <v>55</v>
      </c>
      <c r="E699" s="19" t="s">
        <v>48</v>
      </c>
      <c r="F699">
        <v>819</v>
      </c>
      <c r="G699" s="19" t="s">
        <v>735</v>
      </c>
      <c r="H699">
        <v>2</v>
      </c>
      <c r="I699">
        <v>3</v>
      </c>
      <c r="J699" s="19" t="s">
        <v>50</v>
      </c>
      <c r="K699">
        <v>1182</v>
      </c>
      <c r="L699">
        <v>3</v>
      </c>
      <c r="M699" s="19" t="s">
        <v>51</v>
      </c>
      <c r="N699">
        <v>2</v>
      </c>
      <c r="O699">
        <v>3</v>
      </c>
      <c r="P699" s="19" t="s">
        <v>120</v>
      </c>
      <c r="Q699">
        <v>2</v>
      </c>
      <c r="R699" s="19" t="s">
        <v>53</v>
      </c>
      <c r="S699">
        <v>58799</v>
      </c>
      <c r="T699" s="19" t="s">
        <v>64</v>
      </c>
      <c r="U699">
        <v>367.49</v>
      </c>
      <c r="V699">
        <v>2</v>
      </c>
      <c r="W699" s="19" t="s">
        <v>55</v>
      </c>
      <c r="X699">
        <v>18</v>
      </c>
      <c r="Y699">
        <v>3</v>
      </c>
      <c r="Z699">
        <v>2</v>
      </c>
      <c r="AA699">
        <v>1</v>
      </c>
      <c r="AB699">
        <v>15</v>
      </c>
      <c r="AC699">
        <v>2</v>
      </c>
      <c r="AD699">
        <v>4</v>
      </c>
      <c r="AE699">
        <v>7</v>
      </c>
      <c r="AF699">
        <v>7</v>
      </c>
      <c r="AG699">
        <v>6</v>
      </c>
      <c r="AH699">
        <v>4</v>
      </c>
      <c r="AI699">
        <v>0</v>
      </c>
      <c r="AJ699" s="19" t="s">
        <v>1569</v>
      </c>
      <c r="AK699" s="19" t="s">
        <v>1570</v>
      </c>
      <c r="AL699">
        <v>2</v>
      </c>
      <c r="AM699" s="19" t="s">
        <v>1564</v>
      </c>
      <c r="AN699">
        <v>0.32743096268987776</v>
      </c>
      <c r="AO699">
        <v>705588</v>
      </c>
    </row>
    <row r="700" spans="1:41" x14ac:dyDescent="0.3">
      <c r="A700" s="19" t="s">
        <v>767</v>
      </c>
      <c r="B700">
        <v>35</v>
      </c>
      <c r="C700" s="19" t="s">
        <v>196</v>
      </c>
      <c r="D700" s="19" t="s">
        <v>55</v>
      </c>
      <c r="E700" s="19" t="s">
        <v>62</v>
      </c>
      <c r="F700">
        <v>636</v>
      </c>
      <c r="G700" s="19" t="s">
        <v>735</v>
      </c>
      <c r="H700">
        <v>4</v>
      </c>
      <c r="I700">
        <v>4</v>
      </c>
      <c r="J700" s="19" t="s">
        <v>82</v>
      </c>
      <c r="K700">
        <v>1185</v>
      </c>
      <c r="L700">
        <v>4</v>
      </c>
      <c r="M700" s="19" t="s">
        <v>51</v>
      </c>
      <c r="N700">
        <v>2</v>
      </c>
      <c r="O700">
        <v>1</v>
      </c>
      <c r="P700" s="19" t="s">
        <v>52</v>
      </c>
      <c r="Q700">
        <v>4</v>
      </c>
      <c r="R700" s="19" t="s">
        <v>113</v>
      </c>
      <c r="S700">
        <v>14116</v>
      </c>
      <c r="T700" s="19" t="s">
        <v>54</v>
      </c>
      <c r="U700">
        <v>88.22</v>
      </c>
      <c r="V700">
        <v>1</v>
      </c>
      <c r="W700" s="19" t="s">
        <v>55</v>
      </c>
      <c r="X700">
        <v>13</v>
      </c>
      <c r="Y700">
        <v>3</v>
      </c>
      <c r="Z700">
        <v>2</v>
      </c>
      <c r="AA700">
        <v>1</v>
      </c>
      <c r="AB700">
        <v>2</v>
      </c>
      <c r="AC700">
        <v>2</v>
      </c>
      <c r="AD700">
        <v>4</v>
      </c>
      <c r="AE700">
        <v>2</v>
      </c>
      <c r="AF700">
        <v>2</v>
      </c>
      <c r="AG700">
        <v>2</v>
      </c>
      <c r="AH700">
        <v>2</v>
      </c>
      <c r="AI700">
        <v>0</v>
      </c>
      <c r="AJ700" s="19" t="s">
        <v>1566</v>
      </c>
      <c r="AK700" s="19" t="s">
        <v>1562</v>
      </c>
      <c r="AL700">
        <v>0</v>
      </c>
      <c r="AM700" s="19" t="s">
        <v>1563</v>
      </c>
      <c r="AN700">
        <v>-0.7270719902415973</v>
      </c>
      <c r="AO700">
        <v>169392</v>
      </c>
    </row>
    <row r="701" spans="1:41" x14ac:dyDescent="0.3">
      <c r="A701" s="19" t="s">
        <v>768</v>
      </c>
      <c r="B701">
        <v>35</v>
      </c>
      <c r="C701" s="19" t="s">
        <v>196</v>
      </c>
      <c r="D701" s="19" t="s">
        <v>55</v>
      </c>
      <c r="E701" s="19" t="s">
        <v>48</v>
      </c>
      <c r="F701">
        <v>1361</v>
      </c>
      <c r="G701" s="19" t="s">
        <v>63</v>
      </c>
      <c r="H701">
        <v>17</v>
      </c>
      <c r="I701">
        <v>4</v>
      </c>
      <c r="J701" s="19" t="s">
        <v>50</v>
      </c>
      <c r="K701">
        <v>1218</v>
      </c>
      <c r="L701">
        <v>3</v>
      </c>
      <c r="M701" s="19" t="s">
        <v>51</v>
      </c>
      <c r="N701">
        <v>3</v>
      </c>
      <c r="O701">
        <v>2</v>
      </c>
      <c r="P701" s="19" t="s">
        <v>145</v>
      </c>
      <c r="Q701">
        <v>1</v>
      </c>
      <c r="R701" s="19" t="s">
        <v>113</v>
      </c>
      <c r="S701">
        <v>26470</v>
      </c>
      <c r="T701" s="19" t="s">
        <v>72</v>
      </c>
      <c r="U701">
        <v>165.44</v>
      </c>
      <c r="V701">
        <v>3</v>
      </c>
      <c r="W701" s="19" t="s">
        <v>47</v>
      </c>
      <c r="X701">
        <v>15</v>
      </c>
      <c r="Y701">
        <v>3</v>
      </c>
      <c r="Z701">
        <v>4</v>
      </c>
      <c r="AA701">
        <v>3</v>
      </c>
      <c r="AB701">
        <v>15</v>
      </c>
      <c r="AC701">
        <v>2</v>
      </c>
      <c r="AD701">
        <v>3</v>
      </c>
      <c r="AE701">
        <v>7</v>
      </c>
      <c r="AF701">
        <v>7</v>
      </c>
      <c r="AG701">
        <v>1</v>
      </c>
      <c r="AH701">
        <v>7</v>
      </c>
      <c r="AI701">
        <v>0</v>
      </c>
      <c r="AJ701" s="19" t="s">
        <v>1569</v>
      </c>
      <c r="AK701" s="19" t="s">
        <v>1562</v>
      </c>
      <c r="AL701">
        <v>2</v>
      </c>
      <c r="AM701" s="19" t="s">
        <v>1564</v>
      </c>
      <c r="AN701">
        <v>-0.46043425332922927</v>
      </c>
      <c r="AO701">
        <v>317640</v>
      </c>
    </row>
    <row r="702" spans="1:41" x14ac:dyDescent="0.3">
      <c r="A702" s="19" t="s">
        <v>769</v>
      </c>
      <c r="B702">
        <v>35</v>
      </c>
      <c r="C702" s="19" t="s">
        <v>196</v>
      </c>
      <c r="D702" s="19" t="s">
        <v>55</v>
      </c>
      <c r="E702" s="19" t="s">
        <v>66</v>
      </c>
      <c r="F702">
        <v>1212</v>
      </c>
      <c r="G702" s="19" t="s">
        <v>63</v>
      </c>
      <c r="H702">
        <v>8</v>
      </c>
      <c r="I702">
        <v>2</v>
      </c>
      <c r="J702" s="19" t="s">
        <v>63</v>
      </c>
      <c r="K702">
        <v>1243</v>
      </c>
      <c r="L702">
        <v>3</v>
      </c>
      <c r="M702" s="19" t="s">
        <v>59</v>
      </c>
      <c r="N702">
        <v>2</v>
      </c>
      <c r="O702">
        <v>3</v>
      </c>
      <c r="P702" s="19" t="s">
        <v>145</v>
      </c>
      <c r="Q702">
        <v>4</v>
      </c>
      <c r="R702" s="19" t="s">
        <v>113</v>
      </c>
      <c r="S702">
        <v>43344</v>
      </c>
      <c r="T702" s="19" t="s">
        <v>72</v>
      </c>
      <c r="U702">
        <v>270.89999999999998</v>
      </c>
      <c r="V702">
        <v>4</v>
      </c>
      <c r="W702" s="19" t="s">
        <v>47</v>
      </c>
      <c r="X702">
        <v>11</v>
      </c>
      <c r="Y702">
        <v>3</v>
      </c>
      <c r="Z702">
        <v>2</v>
      </c>
      <c r="AA702">
        <v>1</v>
      </c>
      <c r="AB702">
        <v>16</v>
      </c>
      <c r="AC702">
        <v>6</v>
      </c>
      <c r="AD702">
        <v>2</v>
      </c>
      <c r="AE702">
        <v>13</v>
      </c>
      <c r="AF702">
        <v>2</v>
      </c>
      <c r="AG702">
        <v>4</v>
      </c>
      <c r="AH702">
        <v>12</v>
      </c>
      <c r="AI702">
        <v>0</v>
      </c>
      <c r="AJ702" s="19" t="s">
        <v>1571</v>
      </c>
      <c r="AK702" s="19" t="s">
        <v>1570</v>
      </c>
      <c r="AL702">
        <v>3</v>
      </c>
      <c r="AM702" s="19" t="s">
        <v>1568</v>
      </c>
      <c r="AN702">
        <v>-0.11647382985652115</v>
      </c>
      <c r="AO702">
        <v>520128</v>
      </c>
    </row>
    <row r="703" spans="1:41" x14ac:dyDescent="0.3">
      <c r="A703" s="19" t="s">
        <v>770</v>
      </c>
      <c r="B703">
        <v>35</v>
      </c>
      <c r="C703" s="19" t="s">
        <v>196</v>
      </c>
      <c r="D703" s="19" t="s">
        <v>55</v>
      </c>
      <c r="E703" s="19" t="s">
        <v>48</v>
      </c>
      <c r="F703">
        <v>735</v>
      </c>
      <c r="G703" s="19" t="s">
        <v>735</v>
      </c>
      <c r="H703">
        <v>6</v>
      </c>
      <c r="I703">
        <v>1</v>
      </c>
      <c r="J703" s="19" t="s">
        <v>50</v>
      </c>
      <c r="K703">
        <v>1291</v>
      </c>
      <c r="L703">
        <v>3</v>
      </c>
      <c r="M703" s="19" t="s">
        <v>51</v>
      </c>
      <c r="N703">
        <v>3</v>
      </c>
      <c r="O703">
        <v>1</v>
      </c>
      <c r="P703" s="19" t="s">
        <v>67</v>
      </c>
      <c r="Q703">
        <v>3</v>
      </c>
      <c r="R703" s="19" t="s">
        <v>113</v>
      </c>
      <c r="S703">
        <v>43918</v>
      </c>
      <c r="T703" s="19" t="s">
        <v>72</v>
      </c>
      <c r="U703">
        <v>274.49</v>
      </c>
      <c r="V703">
        <v>0</v>
      </c>
      <c r="W703" s="19" t="s">
        <v>47</v>
      </c>
      <c r="X703">
        <v>14</v>
      </c>
      <c r="Y703">
        <v>3</v>
      </c>
      <c r="Z703">
        <v>4</v>
      </c>
      <c r="AA703">
        <v>0</v>
      </c>
      <c r="AB703">
        <v>4</v>
      </c>
      <c r="AC703">
        <v>3</v>
      </c>
      <c r="AD703">
        <v>3</v>
      </c>
      <c r="AE703">
        <v>3</v>
      </c>
      <c r="AF703">
        <v>2</v>
      </c>
      <c r="AG703">
        <v>2</v>
      </c>
      <c r="AH703">
        <v>2</v>
      </c>
      <c r="AI703">
        <v>0</v>
      </c>
      <c r="AJ703" s="19" t="s">
        <v>1566</v>
      </c>
      <c r="AK703" s="19" t="s">
        <v>1562</v>
      </c>
      <c r="AL703">
        <v>1</v>
      </c>
      <c r="AM703" s="19" t="s">
        <v>1565</v>
      </c>
      <c r="AN703">
        <v>-0.11928147787987602</v>
      </c>
      <c r="AO703">
        <v>527016</v>
      </c>
    </row>
    <row r="704" spans="1:41" x14ac:dyDescent="0.3">
      <c r="A704" s="19" t="s">
        <v>771</v>
      </c>
      <c r="B704">
        <v>35</v>
      </c>
      <c r="C704" s="19" t="s">
        <v>196</v>
      </c>
      <c r="D704" s="19" t="s">
        <v>55</v>
      </c>
      <c r="E704" s="19" t="s">
        <v>62</v>
      </c>
      <c r="F704">
        <v>482</v>
      </c>
      <c r="G704" s="19" t="s">
        <v>735</v>
      </c>
      <c r="H704">
        <v>4</v>
      </c>
      <c r="I704">
        <v>4</v>
      </c>
      <c r="J704" s="19" t="s">
        <v>50</v>
      </c>
      <c r="K704">
        <v>1350</v>
      </c>
      <c r="L704">
        <v>3</v>
      </c>
      <c r="M704" s="19" t="s">
        <v>51</v>
      </c>
      <c r="N704">
        <v>3</v>
      </c>
      <c r="O704">
        <v>2</v>
      </c>
      <c r="P704" s="19" t="s">
        <v>67</v>
      </c>
      <c r="Q704">
        <v>3</v>
      </c>
      <c r="R704" s="19" t="s">
        <v>53</v>
      </c>
      <c r="S704">
        <v>53224</v>
      </c>
      <c r="T704" s="19" t="s">
        <v>64</v>
      </c>
      <c r="U704">
        <v>332.65</v>
      </c>
      <c r="V704">
        <v>1</v>
      </c>
      <c r="W704" s="19" t="s">
        <v>47</v>
      </c>
      <c r="X704">
        <v>11</v>
      </c>
      <c r="Y704">
        <v>3</v>
      </c>
      <c r="Z704">
        <v>2</v>
      </c>
      <c r="AA704">
        <v>0</v>
      </c>
      <c r="AB704">
        <v>9</v>
      </c>
      <c r="AC704">
        <v>3</v>
      </c>
      <c r="AD704">
        <v>3</v>
      </c>
      <c r="AE704">
        <v>9</v>
      </c>
      <c r="AF704">
        <v>6</v>
      </c>
      <c r="AG704">
        <v>1</v>
      </c>
      <c r="AH704">
        <v>1</v>
      </c>
      <c r="AI704">
        <v>0</v>
      </c>
      <c r="AJ704" s="19" t="s">
        <v>1569</v>
      </c>
      <c r="AK704" s="19" t="s">
        <v>1562</v>
      </c>
      <c r="AL704">
        <v>1</v>
      </c>
      <c r="AM704" s="19" t="s">
        <v>1565</v>
      </c>
      <c r="AN704">
        <v>6.7338280917197471E-2</v>
      </c>
      <c r="AO704">
        <v>638688</v>
      </c>
    </row>
    <row r="705" spans="1:41" x14ac:dyDescent="0.3">
      <c r="A705" s="19" t="s">
        <v>772</v>
      </c>
      <c r="B705">
        <v>35</v>
      </c>
      <c r="C705" s="19" t="s">
        <v>196</v>
      </c>
      <c r="D705" s="19" t="s">
        <v>55</v>
      </c>
      <c r="E705" s="19" t="s">
        <v>48</v>
      </c>
      <c r="F705">
        <v>817</v>
      </c>
      <c r="G705" s="19" t="s">
        <v>735</v>
      </c>
      <c r="H705">
        <v>1</v>
      </c>
      <c r="I705">
        <v>3</v>
      </c>
      <c r="J705" s="19" t="s">
        <v>58</v>
      </c>
      <c r="K705">
        <v>1369</v>
      </c>
      <c r="L705">
        <v>4</v>
      </c>
      <c r="M705" s="19" t="s">
        <v>59</v>
      </c>
      <c r="N705">
        <v>2</v>
      </c>
      <c r="O705">
        <v>2</v>
      </c>
      <c r="P705" s="19" t="s">
        <v>52</v>
      </c>
      <c r="Q705">
        <v>4</v>
      </c>
      <c r="R705" s="19" t="s">
        <v>113</v>
      </c>
      <c r="S705">
        <v>40298</v>
      </c>
      <c r="T705" s="19" t="s">
        <v>72</v>
      </c>
      <c r="U705">
        <v>251.86</v>
      </c>
      <c r="V705">
        <v>0</v>
      </c>
      <c r="W705" s="19" t="s">
        <v>55</v>
      </c>
      <c r="X705">
        <v>12</v>
      </c>
      <c r="Y705">
        <v>3</v>
      </c>
      <c r="Z705">
        <v>2</v>
      </c>
      <c r="AA705">
        <v>1</v>
      </c>
      <c r="AB705">
        <v>10</v>
      </c>
      <c r="AC705">
        <v>0</v>
      </c>
      <c r="AD705">
        <v>3</v>
      </c>
      <c r="AE705">
        <v>9</v>
      </c>
      <c r="AF705">
        <v>7</v>
      </c>
      <c r="AG705">
        <v>0</v>
      </c>
      <c r="AH705">
        <v>0</v>
      </c>
      <c r="AI705">
        <v>0</v>
      </c>
      <c r="AJ705" s="19" t="s">
        <v>1569</v>
      </c>
      <c r="AK705" s="19" t="s">
        <v>1562</v>
      </c>
      <c r="AL705">
        <v>0</v>
      </c>
      <c r="AM705" s="19" t="s">
        <v>1563</v>
      </c>
      <c r="AN705">
        <v>-0.22085201634711604</v>
      </c>
      <c r="AO705">
        <v>483576</v>
      </c>
    </row>
    <row r="706" spans="1:41" x14ac:dyDescent="0.3">
      <c r="A706" s="19" t="s">
        <v>773</v>
      </c>
      <c r="B706">
        <v>35</v>
      </c>
      <c r="C706" s="19" t="s">
        <v>196</v>
      </c>
      <c r="D706" s="19" t="s">
        <v>47</v>
      </c>
      <c r="E706" s="19" t="s">
        <v>62</v>
      </c>
      <c r="F706">
        <v>662</v>
      </c>
      <c r="G706" s="19" t="s">
        <v>63</v>
      </c>
      <c r="H706">
        <v>18</v>
      </c>
      <c r="I706">
        <v>4</v>
      </c>
      <c r="J706" s="19" t="s">
        <v>63</v>
      </c>
      <c r="K706">
        <v>1380</v>
      </c>
      <c r="L706">
        <v>4</v>
      </c>
      <c r="M706" s="19" t="s">
        <v>59</v>
      </c>
      <c r="N706">
        <v>3</v>
      </c>
      <c r="O706">
        <v>2</v>
      </c>
      <c r="P706" s="19" t="s">
        <v>145</v>
      </c>
      <c r="Q706">
        <v>3</v>
      </c>
      <c r="R706" s="19" t="s">
        <v>113</v>
      </c>
      <c r="S706">
        <v>81219</v>
      </c>
      <c r="T706" s="19" t="s">
        <v>64</v>
      </c>
      <c r="U706">
        <v>507.62</v>
      </c>
      <c r="V706">
        <v>0</v>
      </c>
      <c r="W706" s="19" t="s">
        <v>47</v>
      </c>
      <c r="X706">
        <v>18</v>
      </c>
      <c r="Y706">
        <v>3</v>
      </c>
      <c r="Z706">
        <v>3</v>
      </c>
      <c r="AA706">
        <v>1</v>
      </c>
      <c r="AB706">
        <v>5</v>
      </c>
      <c r="AC706">
        <v>0</v>
      </c>
      <c r="AD706">
        <v>2</v>
      </c>
      <c r="AE706">
        <v>4</v>
      </c>
      <c r="AF706">
        <v>2</v>
      </c>
      <c r="AG706">
        <v>3</v>
      </c>
      <c r="AH706">
        <v>2</v>
      </c>
      <c r="AI706">
        <v>1</v>
      </c>
      <c r="AJ706" s="19" t="s">
        <v>1567</v>
      </c>
      <c r="AK706" s="19" t="s">
        <v>1570</v>
      </c>
      <c r="AL706">
        <v>3</v>
      </c>
      <c r="AM706" s="19" t="s">
        <v>1568</v>
      </c>
      <c r="AN706">
        <v>0.65557198257851623</v>
      </c>
      <c r="AO706">
        <v>974628</v>
      </c>
    </row>
    <row r="707" spans="1:41" x14ac:dyDescent="0.3">
      <c r="A707" s="19" t="s">
        <v>774</v>
      </c>
      <c r="B707">
        <v>35</v>
      </c>
      <c r="C707" s="19" t="s">
        <v>196</v>
      </c>
      <c r="D707" s="19" t="s">
        <v>55</v>
      </c>
      <c r="E707" s="19" t="s">
        <v>62</v>
      </c>
      <c r="F707">
        <v>200</v>
      </c>
      <c r="G707" s="19" t="s">
        <v>735</v>
      </c>
      <c r="H707">
        <v>18</v>
      </c>
      <c r="I707">
        <v>2</v>
      </c>
      <c r="J707" s="19" t="s">
        <v>50</v>
      </c>
      <c r="K707">
        <v>1412</v>
      </c>
      <c r="L707">
        <v>3</v>
      </c>
      <c r="M707" s="19" t="s">
        <v>51</v>
      </c>
      <c r="N707">
        <v>3</v>
      </c>
      <c r="O707">
        <v>3</v>
      </c>
      <c r="P707" s="19" t="s">
        <v>120</v>
      </c>
      <c r="Q707">
        <v>4</v>
      </c>
      <c r="R707" s="19" t="s">
        <v>53</v>
      </c>
      <c r="S707">
        <v>62629</v>
      </c>
      <c r="T707" s="19" t="s">
        <v>64</v>
      </c>
      <c r="U707">
        <v>391.43</v>
      </c>
      <c r="V707">
        <v>2</v>
      </c>
      <c r="W707" s="19" t="s">
        <v>55</v>
      </c>
      <c r="X707">
        <v>11</v>
      </c>
      <c r="Y707">
        <v>3</v>
      </c>
      <c r="Z707">
        <v>3</v>
      </c>
      <c r="AA707">
        <v>0</v>
      </c>
      <c r="AB707">
        <v>10</v>
      </c>
      <c r="AC707">
        <v>2</v>
      </c>
      <c r="AD707">
        <v>3</v>
      </c>
      <c r="AE707">
        <v>2</v>
      </c>
      <c r="AF707">
        <v>2</v>
      </c>
      <c r="AG707">
        <v>2</v>
      </c>
      <c r="AH707">
        <v>2</v>
      </c>
      <c r="AI707">
        <v>0</v>
      </c>
      <c r="AJ707" s="19" t="s">
        <v>1566</v>
      </c>
      <c r="AK707" s="19" t="s">
        <v>1562</v>
      </c>
      <c r="AL707">
        <v>0</v>
      </c>
      <c r="AM707" s="19" t="s">
        <v>1563</v>
      </c>
      <c r="AN707">
        <v>0.41389604861144497</v>
      </c>
      <c r="AO707">
        <v>751548</v>
      </c>
    </row>
    <row r="708" spans="1:41" x14ac:dyDescent="0.3">
      <c r="A708" s="19" t="s">
        <v>775</v>
      </c>
      <c r="B708">
        <v>35</v>
      </c>
      <c r="C708" s="19" t="s">
        <v>196</v>
      </c>
      <c r="D708" s="19" t="s">
        <v>55</v>
      </c>
      <c r="E708" s="19" t="s">
        <v>48</v>
      </c>
      <c r="F708">
        <v>660</v>
      </c>
      <c r="G708" s="19" t="s">
        <v>63</v>
      </c>
      <c r="H708">
        <v>7</v>
      </c>
      <c r="I708">
        <v>1</v>
      </c>
      <c r="J708" s="19" t="s">
        <v>50</v>
      </c>
      <c r="K708">
        <v>1492</v>
      </c>
      <c r="L708">
        <v>4</v>
      </c>
      <c r="M708" s="19" t="s">
        <v>51</v>
      </c>
      <c r="N708">
        <v>3</v>
      </c>
      <c r="O708">
        <v>1</v>
      </c>
      <c r="P708" s="19" t="s">
        <v>60</v>
      </c>
      <c r="Q708">
        <v>3</v>
      </c>
      <c r="R708" s="19" t="s">
        <v>113</v>
      </c>
      <c r="S708">
        <v>67040</v>
      </c>
      <c r="T708" s="19" t="s">
        <v>64</v>
      </c>
      <c r="U708">
        <v>419</v>
      </c>
      <c r="V708">
        <v>1</v>
      </c>
      <c r="W708" s="19" t="s">
        <v>55</v>
      </c>
      <c r="X708">
        <v>13</v>
      </c>
      <c r="Y708">
        <v>3</v>
      </c>
      <c r="Z708">
        <v>1</v>
      </c>
      <c r="AA708">
        <v>1</v>
      </c>
      <c r="AB708">
        <v>1</v>
      </c>
      <c r="AC708">
        <v>3</v>
      </c>
      <c r="AD708">
        <v>3</v>
      </c>
      <c r="AE708">
        <v>1</v>
      </c>
      <c r="AF708">
        <v>0</v>
      </c>
      <c r="AG708">
        <v>0</v>
      </c>
      <c r="AH708">
        <v>0</v>
      </c>
      <c r="AI708">
        <v>0</v>
      </c>
      <c r="AJ708" s="19" t="s">
        <v>1561</v>
      </c>
      <c r="AK708" s="19" t="s">
        <v>1562</v>
      </c>
      <c r="AL708">
        <v>0</v>
      </c>
      <c r="AM708" s="19" t="s">
        <v>1563</v>
      </c>
      <c r="AN708">
        <v>0.35909897329544865</v>
      </c>
      <c r="AO708">
        <v>804480</v>
      </c>
    </row>
    <row r="709" spans="1:41" x14ac:dyDescent="0.3">
      <c r="A709" s="19" t="s">
        <v>776</v>
      </c>
      <c r="B709">
        <v>35</v>
      </c>
      <c r="C709" s="19" t="s">
        <v>196</v>
      </c>
      <c r="D709" s="19" t="s">
        <v>55</v>
      </c>
      <c r="E709" s="19" t="s">
        <v>48</v>
      </c>
      <c r="F709">
        <v>1029</v>
      </c>
      <c r="G709" s="19" t="s">
        <v>735</v>
      </c>
      <c r="H709">
        <v>16</v>
      </c>
      <c r="I709">
        <v>3</v>
      </c>
      <c r="J709" s="19" t="s">
        <v>50</v>
      </c>
      <c r="K709">
        <v>1529</v>
      </c>
      <c r="L709">
        <v>4</v>
      </c>
      <c r="M709" s="19" t="s">
        <v>59</v>
      </c>
      <c r="N709">
        <v>2</v>
      </c>
      <c r="O709">
        <v>3</v>
      </c>
      <c r="P709" s="19" t="s">
        <v>168</v>
      </c>
      <c r="Q709">
        <v>2</v>
      </c>
      <c r="R709" s="19" t="s">
        <v>53</v>
      </c>
      <c r="S709">
        <v>29016</v>
      </c>
      <c r="T709" s="19" t="s">
        <v>72</v>
      </c>
      <c r="U709">
        <v>181.35</v>
      </c>
      <c r="V709">
        <v>1</v>
      </c>
      <c r="W709" s="19" t="s">
        <v>55</v>
      </c>
      <c r="X709">
        <v>19</v>
      </c>
      <c r="Y709">
        <v>3</v>
      </c>
      <c r="Z709">
        <v>4</v>
      </c>
      <c r="AA709">
        <v>0</v>
      </c>
      <c r="AB709">
        <v>11</v>
      </c>
      <c r="AC709">
        <v>3</v>
      </c>
      <c r="AD709">
        <v>1</v>
      </c>
      <c r="AE709">
        <v>11</v>
      </c>
      <c r="AF709">
        <v>8</v>
      </c>
      <c r="AG709">
        <v>3</v>
      </c>
      <c r="AH709">
        <v>3</v>
      </c>
      <c r="AI709">
        <v>0</v>
      </c>
      <c r="AJ709" s="19" t="s">
        <v>1571</v>
      </c>
      <c r="AK709" s="19" t="s">
        <v>1570</v>
      </c>
      <c r="AL709">
        <v>3</v>
      </c>
      <c r="AM709" s="19" t="s">
        <v>1568</v>
      </c>
      <c r="AN709">
        <v>-0.39787266841375057</v>
      </c>
      <c r="AO709">
        <v>348192</v>
      </c>
    </row>
    <row r="710" spans="1:41" x14ac:dyDescent="0.3">
      <c r="A710" s="19" t="s">
        <v>777</v>
      </c>
      <c r="B710">
        <v>35</v>
      </c>
      <c r="C710" s="19" t="s">
        <v>196</v>
      </c>
      <c r="D710" s="19" t="s">
        <v>55</v>
      </c>
      <c r="E710" s="19" t="s">
        <v>48</v>
      </c>
      <c r="F710">
        <v>1402</v>
      </c>
      <c r="G710" s="19" t="s">
        <v>63</v>
      </c>
      <c r="H710">
        <v>28</v>
      </c>
      <c r="I710">
        <v>4</v>
      </c>
      <c r="J710" s="19" t="s">
        <v>50</v>
      </c>
      <c r="K710">
        <v>1554</v>
      </c>
      <c r="L710">
        <v>2</v>
      </c>
      <c r="M710" s="19" t="s">
        <v>59</v>
      </c>
      <c r="N710">
        <v>2</v>
      </c>
      <c r="O710">
        <v>1</v>
      </c>
      <c r="P710" s="19" t="s">
        <v>60</v>
      </c>
      <c r="Q710">
        <v>3</v>
      </c>
      <c r="R710" s="19" t="s">
        <v>113</v>
      </c>
      <c r="S710">
        <v>24960</v>
      </c>
      <c r="T710" s="19" t="s">
        <v>54</v>
      </c>
      <c r="U710">
        <v>156</v>
      </c>
      <c r="V710">
        <v>0</v>
      </c>
      <c r="W710" s="19" t="s">
        <v>55</v>
      </c>
      <c r="X710">
        <v>23</v>
      </c>
      <c r="Y710">
        <v>4</v>
      </c>
      <c r="Z710">
        <v>1</v>
      </c>
      <c r="AA710">
        <v>2</v>
      </c>
      <c r="AB710">
        <v>6</v>
      </c>
      <c r="AC710">
        <v>5</v>
      </c>
      <c r="AD710">
        <v>3</v>
      </c>
      <c r="AE710">
        <v>5</v>
      </c>
      <c r="AF710">
        <v>3</v>
      </c>
      <c r="AG710">
        <v>4</v>
      </c>
      <c r="AH710">
        <v>2</v>
      </c>
      <c r="AI710">
        <v>0</v>
      </c>
      <c r="AJ710" s="19" t="s">
        <v>1567</v>
      </c>
      <c r="AK710" s="19" t="s">
        <v>1570</v>
      </c>
      <c r="AL710">
        <v>1</v>
      </c>
      <c r="AM710" s="19" t="s">
        <v>1565</v>
      </c>
      <c r="AN710">
        <v>-0.4939870171024105</v>
      </c>
      <c r="AO710">
        <v>299520</v>
      </c>
    </row>
    <row r="711" spans="1:41" x14ac:dyDescent="0.3">
      <c r="A711" s="19" t="s">
        <v>778</v>
      </c>
      <c r="B711">
        <v>35</v>
      </c>
      <c r="C711" s="19" t="s">
        <v>196</v>
      </c>
      <c r="D711" s="19" t="s">
        <v>55</v>
      </c>
      <c r="E711" s="19" t="s">
        <v>48</v>
      </c>
      <c r="F711">
        <v>992</v>
      </c>
      <c r="G711" s="19" t="s">
        <v>735</v>
      </c>
      <c r="H711">
        <v>1</v>
      </c>
      <c r="I711">
        <v>3</v>
      </c>
      <c r="J711" s="19" t="s">
        <v>58</v>
      </c>
      <c r="K711">
        <v>1564</v>
      </c>
      <c r="L711">
        <v>4</v>
      </c>
      <c r="M711" s="19" t="s">
        <v>51</v>
      </c>
      <c r="N711">
        <v>2</v>
      </c>
      <c r="O711">
        <v>1</v>
      </c>
      <c r="P711" s="19" t="s">
        <v>52</v>
      </c>
      <c r="Q711">
        <v>1</v>
      </c>
      <c r="R711" s="19" t="s">
        <v>53</v>
      </c>
      <c r="S711">
        <v>34591</v>
      </c>
      <c r="T711" s="19" t="s">
        <v>72</v>
      </c>
      <c r="U711">
        <v>216.19</v>
      </c>
      <c r="V711">
        <v>1</v>
      </c>
      <c r="W711" s="19" t="s">
        <v>55</v>
      </c>
      <c r="X711">
        <v>19</v>
      </c>
      <c r="Y711">
        <v>3</v>
      </c>
      <c r="Z711">
        <v>2</v>
      </c>
      <c r="AA711">
        <v>0</v>
      </c>
      <c r="AB711">
        <v>3</v>
      </c>
      <c r="AC711">
        <v>3</v>
      </c>
      <c r="AD711">
        <v>3</v>
      </c>
      <c r="AE711">
        <v>3</v>
      </c>
      <c r="AF711">
        <v>0</v>
      </c>
      <c r="AG711">
        <v>1</v>
      </c>
      <c r="AH711">
        <v>2</v>
      </c>
      <c r="AI711">
        <v>0</v>
      </c>
      <c r="AJ711" s="19" t="s">
        <v>1566</v>
      </c>
      <c r="AK711" s="19" t="s">
        <v>1562</v>
      </c>
      <c r="AL711">
        <v>1</v>
      </c>
      <c r="AM711" s="19" t="s">
        <v>1565</v>
      </c>
      <c r="AN711">
        <v>-0.33119490042838579</v>
      </c>
      <c r="AO711">
        <v>415092</v>
      </c>
    </row>
    <row r="712" spans="1:41" x14ac:dyDescent="0.3">
      <c r="A712" s="19" t="s">
        <v>779</v>
      </c>
      <c r="B712">
        <v>35</v>
      </c>
      <c r="C712" s="19" t="s">
        <v>196</v>
      </c>
      <c r="D712" s="19" t="s">
        <v>47</v>
      </c>
      <c r="E712" s="19" t="s">
        <v>48</v>
      </c>
      <c r="F712">
        <v>104</v>
      </c>
      <c r="G712" s="19" t="s">
        <v>735</v>
      </c>
      <c r="H712">
        <v>2</v>
      </c>
      <c r="I712">
        <v>3</v>
      </c>
      <c r="J712" s="19" t="s">
        <v>50</v>
      </c>
      <c r="K712">
        <v>1569</v>
      </c>
      <c r="L712">
        <v>1</v>
      </c>
      <c r="M712" s="19" t="s">
        <v>59</v>
      </c>
      <c r="N712">
        <v>3</v>
      </c>
      <c r="O712">
        <v>1</v>
      </c>
      <c r="P712" s="19" t="s">
        <v>52</v>
      </c>
      <c r="Q712">
        <v>1</v>
      </c>
      <c r="R712" s="19" t="s">
        <v>53</v>
      </c>
      <c r="S712">
        <v>83848</v>
      </c>
      <c r="T712" s="19" t="s">
        <v>70</v>
      </c>
      <c r="U712">
        <v>524.04999999999995</v>
      </c>
      <c r="V712">
        <v>1</v>
      </c>
      <c r="W712" s="19" t="s">
        <v>47</v>
      </c>
      <c r="X712">
        <v>12</v>
      </c>
      <c r="Y712">
        <v>3</v>
      </c>
      <c r="Z712">
        <v>4</v>
      </c>
      <c r="AA712">
        <v>1</v>
      </c>
      <c r="AB712">
        <v>1</v>
      </c>
      <c r="AC712">
        <v>2</v>
      </c>
      <c r="AD712">
        <v>3</v>
      </c>
      <c r="AE712">
        <v>1</v>
      </c>
      <c r="AF712">
        <v>0</v>
      </c>
      <c r="AG712">
        <v>0</v>
      </c>
      <c r="AH712">
        <v>0</v>
      </c>
      <c r="AI712">
        <v>1</v>
      </c>
      <c r="AJ712" s="19" t="s">
        <v>1561</v>
      </c>
      <c r="AK712" s="19" t="s">
        <v>1562</v>
      </c>
      <c r="AL712">
        <v>2</v>
      </c>
      <c r="AM712" s="19" t="s">
        <v>1564</v>
      </c>
      <c r="AN712">
        <v>0.62117226992225461</v>
      </c>
      <c r="AO712">
        <v>1006176</v>
      </c>
    </row>
    <row r="713" spans="1:41" x14ac:dyDescent="0.3">
      <c r="A713" s="19" t="s">
        <v>780</v>
      </c>
      <c r="B713">
        <v>35</v>
      </c>
      <c r="C713" s="19" t="s">
        <v>196</v>
      </c>
      <c r="D713" s="19" t="s">
        <v>55</v>
      </c>
      <c r="E713" s="19" t="s">
        <v>48</v>
      </c>
      <c r="F713">
        <v>670</v>
      </c>
      <c r="G713" s="19" t="s">
        <v>735</v>
      </c>
      <c r="H713">
        <v>10</v>
      </c>
      <c r="I713">
        <v>4</v>
      </c>
      <c r="J713" s="19" t="s">
        <v>58</v>
      </c>
      <c r="K713">
        <v>1587</v>
      </c>
      <c r="L713">
        <v>1</v>
      </c>
      <c r="M713" s="19" t="s">
        <v>59</v>
      </c>
      <c r="N713">
        <v>3</v>
      </c>
      <c r="O713">
        <v>2</v>
      </c>
      <c r="P713" s="19" t="s">
        <v>168</v>
      </c>
      <c r="Q713">
        <v>3</v>
      </c>
      <c r="R713" s="19" t="s">
        <v>53</v>
      </c>
      <c r="S713">
        <v>68641</v>
      </c>
      <c r="T713" s="19" t="s">
        <v>64</v>
      </c>
      <c r="U713">
        <v>429.01</v>
      </c>
      <c r="V713">
        <v>3</v>
      </c>
      <c r="W713" s="19" t="s">
        <v>47</v>
      </c>
      <c r="X713">
        <v>16</v>
      </c>
      <c r="Y713">
        <v>3</v>
      </c>
      <c r="Z713">
        <v>3</v>
      </c>
      <c r="AA713">
        <v>0</v>
      </c>
      <c r="AB713">
        <v>10</v>
      </c>
      <c r="AC713">
        <v>4</v>
      </c>
      <c r="AD713">
        <v>3</v>
      </c>
      <c r="AE713">
        <v>5</v>
      </c>
      <c r="AF713">
        <v>2</v>
      </c>
      <c r="AG713">
        <v>0</v>
      </c>
      <c r="AH713">
        <v>4</v>
      </c>
      <c r="AI713">
        <v>0</v>
      </c>
      <c r="AJ713" s="19" t="s">
        <v>1567</v>
      </c>
      <c r="AK713" s="19" t="s">
        <v>1562</v>
      </c>
      <c r="AL713">
        <v>1</v>
      </c>
      <c r="AM713" s="19" t="s">
        <v>1565</v>
      </c>
      <c r="AN713">
        <v>0.42440798757277876</v>
      </c>
      <c r="AO713">
        <v>823692</v>
      </c>
    </row>
    <row r="714" spans="1:41" x14ac:dyDescent="0.3">
      <c r="A714" s="19" t="s">
        <v>781</v>
      </c>
      <c r="B714">
        <v>35</v>
      </c>
      <c r="C714" s="19" t="s">
        <v>196</v>
      </c>
      <c r="D714" s="19" t="s">
        <v>55</v>
      </c>
      <c r="E714" s="19" t="s">
        <v>48</v>
      </c>
      <c r="F714">
        <v>750</v>
      </c>
      <c r="G714" s="19" t="s">
        <v>735</v>
      </c>
      <c r="H714">
        <v>28</v>
      </c>
      <c r="I714">
        <v>3</v>
      </c>
      <c r="J714" s="19" t="s">
        <v>50</v>
      </c>
      <c r="K714">
        <v>1596</v>
      </c>
      <c r="L714">
        <v>2</v>
      </c>
      <c r="M714" s="19" t="s">
        <v>51</v>
      </c>
      <c r="N714">
        <v>4</v>
      </c>
      <c r="O714">
        <v>2</v>
      </c>
      <c r="P714" s="19" t="s">
        <v>52</v>
      </c>
      <c r="Q714">
        <v>3</v>
      </c>
      <c r="R714" s="19" t="s">
        <v>113</v>
      </c>
      <c r="S714">
        <v>37395</v>
      </c>
      <c r="T714" s="19" t="s">
        <v>72</v>
      </c>
      <c r="U714">
        <v>233.72</v>
      </c>
      <c r="V714">
        <v>1</v>
      </c>
      <c r="W714" s="19" t="s">
        <v>55</v>
      </c>
      <c r="X714">
        <v>17</v>
      </c>
      <c r="Y714">
        <v>3</v>
      </c>
      <c r="Z714">
        <v>4</v>
      </c>
      <c r="AA714">
        <v>2</v>
      </c>
      <c r="AB714">
        <v>10</v>
      </c>
      <c r="AC714">
        <v>3</v>
      </c>
      <c r="AD714">
        <v>2</v>
      </c>
      <c r="AE714">
        <v>10</v>
      </c>
      <c r="AF714">
        <v>9</v>
      </c>
      <c r="AG714">
        <v>6</v>
      </c>
      <c r="AH714">
        <v>8</v>
      </c>
      <c r="AI714">
        <v>0</v>
      </c>
      <c r="AJ714" s="19" t="s">
        <v>1569</v>
      </c>
      <c r="AK714" s="19" t="s">
        <v>1570</v>
      </c>
      <c r="AL714">
        <v>2</v>
      </c>
      <c r="AM714" s="19" t="s">
        <v>1564</v>
      </c>
      <c r="AN714">
        <v>-0.27698052387960703</v>
      </c>
      <c r="AO714">
        <v>448740</v>
      </c>
    </row>
    <row r="715" spans="1:41" x14ac:dyDescent="0.3">
      <c r="A715" s="19" t="s">
        <v>782</v>
      </c>
      <c r="B715">
        <v>35</v>
      </c>
      <c r="C715" s="19" t="s">
        <v>196</v>
      </c>
      <c r="D715" s="19" t="s">
        <v>55</v>
      </c>
      <c r="E715" s="19" t="s">
        <v>48</v>
      </c>
      <c r="F715">
        <v>1349</v>
      </c>
      <c r="G715" s="19" t="s">
        <v>735</v>
      </c>
      <c r="H715">
        <v>7</v>
      </c>
      <c r="I715">
        <v>2</v>
      </c>
      <c r="J715" s="19" t="s">
        <v>50</v>
      </c>
      <c r="K715">
        <v>1601</v>
      </c>
      <c r="L715">
        <v>3</v>
      </c>
      <c r="M715" s="19" t="s">
        <v>51</v>
      </c>
      <c r="N715">
        <v>2</v>
      </c>
      <c r="O715">
        <v>1</v>
      </c>
      <c r="P715" s="19" t="s">
        <v>52</v>
      </c>
      <c r="Q715">
        <v>4</v>
      </c>
      <c r="R715" s="19" t="s">
        <v>113</v>
      </c>
      <c r="S715">
        <v>23700</v>
      </c>
      <c r="T715" s="19" t="s">
        <v>54</v>
      </c>
      <c r="U715">
        <v>148.12</v>
      </c>
      <c r="V715">
        <v>1</v>
      </c>
      <c r="W715" s="19" t="s">
        <v>55</v>
      </c>
      <c r="X715">
        <v>18</v>
      </c>
      <c r="Y715">
        <v>3</v>
      </c>
      <c r="Z715">
        <v>4</v>
      </c>
      <c r="AA715">
        <v>1</v>
      </c>
      <c r="AB715">
        <v>1</v>
      </c>
      <c r="AC715">
        <v>5</v>
      </c>
      <c r="AD715">
        <v>2</v>
      </c>
      <c r="AE715">
        <v>1</v>
      </c>
      <c r="AF715">
        <v>0</v>
      </c>
      <c r="AG715">
        <v>0</v>
      </c>
      <c r="AH715">
        <v>1</v>
      </c>
      <c r="AI715">
        <v>0</v>
      </c>
      <c r="AJ715" s="19" t="s">
        <v>1561</v>
      </c>
      <c r="AK715" s="19" t="s">
        <v>1562</v>
      </c>
      <c r="AL715">
        <v>1</v>
      </c>
      <c r="AM715" s="19" t="s">
        <v>1565</v>
      </c>
      <c r="AN715">
        <v>-0.54176864329313246</v>
      </c>
      <c r="AO715">
        <v>284400</v>
      </c>
    </row>
    <row r="716" spans="1:41" x14ac:dyDescent="0.3">
      <c r="A716" s="19" t="s">
        <v>783</v>
      </c>
      <c r="B716">
        <v>35</v>
      </c>
      <c r="C716" s="19" t="s">
        <v>196</v>
      </c>
      <c r="D716" s="19" t="s">
        <v>55</v>
      </c>
      <c r="E716" s="19" t="s">
        <v>48</v>
      </c>
      <c r="F716">
        <v>819</v>
      </c>
      <c r="G716" s="19" t="s">
        <v>735</v>
      </c>
      <c r="H716">
        <v>18</v>
      </c>
      <c r="I716">
        <v>5</v>
      </c>
      <c r="J716" s="19" t="s">
        <v>50</v>
      </c>
      <c r="K716">
        <v>1621</v>
      </c>
      <c r="L716">
        <v>2</v>
      </c>
      <c r="M716" s="19" t="s">
        <v>51</v>
      </c>
      <c r="N716">
        <v>4</v>
      </c>
      <c r="O716">
        <v>2</v>
      </c>
      <c r="P716" s="19" t="s">
        <v>67</v>
      </c>
      <c r="Q716">
        <v>1</v>
      </c>
      <c r="R716" s="19" t="s">
        <v>113</v>
      </c>
      <c r="S716">
        <v>35620</v>
      </c>
      <c r="T716" s="19" t="s">
        <v>72</v>
      </c>
      <c r="U716">
        <v>222.62</v>
      </c>
      <c r="V716">
        <v>1</v>
      </c>
      <c r="W716" s="19" t="s">
        <v>55</v>
      </c>
      <c r="X716">
        <v>11</v>
      </c>
      <c r="Y716">
        <v>3</v>
      </c>
      <c r="Z716">
        <v>4</v>
      </c>
      <c r="AA716">
        <v>0</v>
      </c>
      <c r="AB716">
        <v>16</v>
      </c>
      <c r="AC716">
        <v>2</v>
      </c>
      <c r="AD716">
        <v>3</v>
      </c>
      <c r="AE716">
        <v>16</v>
      </c>
      <c r="AF716">
        <v>15</v>
      </c>
      <c r="AG716">
        <v>1</v>
      </c>
      <c r="AH716">
        <v>10</v>
      </c>
      <c r="AI716">
        <v>0</v>
      </c>
      <c r="AJ716" s="19" t="s">
        <v>1571</v>
      </c>
      <c r="AK716" s="19" t="s">
        <v>1562</v>
      </c>
      <c r="AL716">
        <v>1</v>
      </c>
      <c r="AM716" s="19" t="s">
        <v>1565</v>
      </c>
      <c r="AN716">
        <v>-0.28568710419602861</v>
      </c>
      <c r="AO716">
        <v>427440</v>
      </c>
    </row>
    <row r="717" spans="1:41" x14ac:dyDescent="0.3">
      <c r="A717" s="19" t="s">
        <v>784</v>
      </c>
      <c r="B717">
        <v>35</v>
      </c>
      <c r="C717" s="19" t="s">
        <v>196</v>
      </c>
      <c r="D717" s="19" t="s">
        <v>55</v>
      </c>
      <c r="E717" s="19" t="s">
        <v>66</v>
      </c>
      <c r="F717">
        <v>208</v>
      </c>
      <c r="G717" s="19" t="s">
        <v>735</v>
      </c>
      <c r="H717">
        <v>8</v>
      </c>
      <c r="I717">
        <v>4</v>
      </c>
      <c r="J717" s="19" t="s">
        <v>50</v>
      </c>
      <c r="K717">
        <v>1630</v>
      </c>
      <c r="L717">
        <v>3</v>
      </c>
      <c r="M717" s="19" t="s">
        <v>59</v>
      </c>
      <c r="N717">
        <v>3</v>
      </c>
      <c r="O717">
        <v>2</v>
      </c>
      <c r="P717" s="19" t="s">
        <v>168</v>
      </c>
      <c r="Q717">
        <v>3</v>
      </c>
      <c r="R717" s="19" t="s">
        <v>113</v>
      </c>
      <c r="S717">
        <v>21559</v>
      </c>
      <c r="T717" s="19" t="s">
        <v>54</v>
      </c>
      <c r="U717">
        <v>134.74</v>
      </c>
      <c r="V717">
        <v>1</v>
      </c>
      <c r="W717" s="19" t="s">
        <v>55</v>
      </c>
      <c r="X717">
        <v>12</v>
      </c>
      <c r="Y717">
        <v>3</v>
      </c>
      <c r="Z717">
        <v>4</v>
      </c>
      <c r="AA717">
        <v>1</v>
      </c>
      <c r="AB717">
        <v>15</v>
      </c>
      <c r="AC717">
        <v>5</v>
      </c>
      <c r="AD717">
        <v>3</v>
      </c>
      <c r="AE717">
        <v>14</v>
      </c>
      <c r="AF717">
        <v>11</v>
      </c>
      <c r="AG717">
        <v>2</v>
      </c>
      <c r="AH717">
        <v>9</v>
      </c>
      <c r="AI717">
        <v>0</v>
      </c>
      <c r="AJ717" s="19" t="s">
        <v>1571</v>
      </c>
      <c r="AK717" s="19" t="s">
        <v>1562</v>
      </c>
      <c r="AL717">
        <v>0</v>
      </c>
      <c r="AM717" s="19" t="s">
        <v>1563</v>
      </c>
      <c r="AN717">
        <v>-0.55261706845643954</v>
      </c>
      <c r="AO717">
        <v>258708</v>
      </c>
    </row>
    <row r="718" spans="1:41" x14ac:dyDescent="0.3">
      <c r="A718" s="19" t="s">
        <v>785</v>
      </c>
      <c r="B718">
        <v>35</v>
      </c>
      <c r="C718" s="19" t="s">
        <v>196</v>
      </c>
      <c r="D718" s="19" t="s">
        <v>47</v>
      </c>
      <c r="E718" s="19" t="s">
        <v>48</v>
      </c>
      <c r="F718">
        <v>737</v>
      </c>
      <c r="G718" s="19" t="s">
        <v>63</v>
      </c>
      <c r="H718">
        <v>10</v>
      </c>
      <c r="I718">
        <v>3</v>
      </c>
      <c r="J718" s="19" t="s">
        <v>58</v>
      </c>
      <c r="K718">
        <v>1639</v>
      </c>
      <c r="L718">
        <v>4</v>
      </c>
      <c r="M718" s="19" t="s">
        <v>51</v>
      </c>
      <c r="N718">
        <v>2</v>
      </c>
      <c r="O718">
        <v>3</v>
      </c>
      <c r="P718" s="19" t="s">
        <v>145</v>
      </c>
      <c r="Q718">
        <v>1</v>
      </c>
      <c r="R718" s="19" t="s">
        <v>113</v>
      </c>
      <c r="S718">
        <v>94045</v>
      </c>
      <c r="T718" s="19" t="s">
        <v>70</v>
      </c>
      <c r="U718">
        <v>587.78</v>
      </c>
      <c r="V718">
        <v>9</v>
      </c>
      <c r="W718" s="19" t="s">
        <v>55</v>
      </c>
      <c r="X718">
        <v>17</v>
      </c>
      <c r="Y718">
        <v>3</v>
      </c>
      <c r="Z718">
        <v>3</v>
      </c>
      <c r="AA718">
        <v>0</v>
      </c>
      <c r="AB718">
        <v>15</v>
      </c>
      <c r="AC718">
        <v>3</v>
      </c>
      <c r="AD718">
        <v>3</v>
      </c>
      <c r="AE718">
        <v>13</v>
      </c>
      <c r="AF718">
        <v>12</v>
      </c>
      <c r="AG718">
        <v>6</v>
      </c>
      <c r="AH718">
        <v>0</v>
      </c>
      <c r="AI718">
        <v>1</v>
      </c>
      <c r="AJ718" s="19" t="s">
        <v>1571</v>
      </c>
      <c r="AK718" s="19" t="s">
        <v>1570</v>
      </c>
      <c r="AL718">
        <v>2</v>
      </c>
      <c r="AM718" s="19" t="s">
        <v>1564</v>
      </c>
      <c r="AN718">
        <v>0.91701778034199588</v>
      </c>
      <c r="AO718">
        <v>1128540</v>
      </c>
    </row>
    <row r="719" spans="1:41" x14ac:dyDescent="0.3">
      <c r="A719" s="19" t="s">
        <v>786</v>
      </c>
      <c r="B719">
        <v>35</v>
      </c>
      <c r="C719" s="19" t="s">
        <v>196</v>
      </c>
      <c r="D719" s="19" t="s">
        <v>47</v>
      </c>
      <c r="E719" s="19" t="s">
        <v>48</v>
      </c>
      <c r="F719">
        <v>763</v>
      </c>
      <c r="G719" s="19" t="s">
        <v>63</v>
      </c>
      <c r="H719">
        <v>15</v>
      </c>
      <c r="I719">
        <v>2</v>
      </c>
      <c r="J719" s="19" t="s">
        <v>58</v>
      </c>
      <c r="K719">
        <v>1645</v>
      </c>
      <c r="L719">
        <v>1</v>
      </c>
      <c r="M719" s="19" t="s">
        <v>51</v>
      </c>
      <c r="N719">
        <v>1</v>
      </c>
      <c r="O719">
        <v>2</v>
      </c>
      <c r="P719" s="19" t="s">
        <v>145</v>
      </c>
      <c r="Q719">
        <v>4</v>
      </c>
      <c r="R719" s="19" t="s">
        <v>53</v>
      </c>
      <c r="S719">
        <v>94396</v>
      </c>
      <c r="T719" s="19" t="s">
        <v>70</v>
      </c>
      <c r="U719">
        <v>589.98</v>
      </c>
      <c r="V719">
        <v>6</v>
      </c>
      <c r="W719" s="19" t="s">
        <v>47</v>
      </c>
      <c r="X719">
        <v>14</v>
      </c>
      <c r="Y719">
        <v>3</v>
      </c>
      <c r="Z719">
        <v>4</v>
      </c>
      <c r="AA719">
        <v>2</v>
      </c>
      <c r="AB719">
        <v>7</v>
      </c>
      <c r="AC719">
        <v>2</v>
      </c>
      <c r="AD719">
        <v>2</v>
      </c>
      <c r="AE719">
        <v>2</v>
      </c>
      <c r="AF719">
        <v>2</v>
      </c>
      <c r="AG719">
        <v>2</v>
      </c>
      <c r="AH719">
        <v>2</v>
      </c>
      <c r="AI719">
        <v>1</v>
      </c>
      <c r="AJ719" s="19" t="s">
        <v>1566</v>
      </c>
      <c r="AK719" s="19" t="s">
        <v>1562</v>
      </c>
      <c r="AL719">
        <v>2</v>
      </c>
      <c r="AM719" s="19" t="s">
        <v>1564</v>
      </c>
      <c r="AN719">
        <v>0.9241725811384236</v>
      </c>
      <c r="AO719">
        <v>1132752</v>
      </c>
    </row>
    <row r="720" spans="1:41" x14ac:dyDescent="0.3">
      <c r="A720" s="19" t="s">
        <v>787</v>
      </c>
      <c r="B720">
        <v>35</v>
      </c>
      <c r="C720" s="19" t="s">
        <v>196</v>
      </c>
      <c r="D720" s="19" t="s">
        <v>47</v>
      </c>
      <c r="E720" s="19" t="s">
        <v>62</v>
      </c>
      <c r="F720">
        <v>880</v>
      </c>
      <c r="G720" s="19" t="s">
        <v>63</v>
      </c>
      <c r="H720">
        <v>12</v>
      </c>
      <c r="I720">
        <v>4</v>
      </c>
      <c r="J720" s="19" t="s">
        <v>82</v>
      </c>
      <c r="K720">
        <v>1667</v>
      </c>
      <c r="L720">
        <v>4</v>
      </c>
      <c r="M720" s="19" t="s">
        <v>51</v>
      </c>
      <c r="N720">
        <v>3</v>
      </c>
      <c r="O720">
        <v>2</v>
      </c>
      <c r="P720" s="19" t="s">
        <v>145</v>
      </c>
      <c r="Q720">
        <v>4</v>
      </c>
      <c r="R720" s="19" t="s">
        <v>53</v>
      </c>
      <c r="S720">
        <v>62642</v>
      </c>
      <c r="T720" s="19" t="s">
        <v>64</v>
      </c>
      <c r="U720">
        <v>391.51</v>
      </c>
      <c r="V720">
        <v>3</v>
      </c>
      <c r="W720" s="19" t="s">
        <v>47</v>
      </c>
      <c r="X720">
        <v>24</v>
      </c>
      <c r="Y720">
        <v>4</v>
      </c>
      <c r="Z720">
        <v>1</v>
      </c>
      <c r="AA720">
        <v>0</v>
      </c>
      <c r="AB720">
        <v>13</v>
      </c>
      <c r="AC720">
        <v>2</v>
      </c>
      <c r="AD720">
        <v>4</v>
      </c>
      <c r="AE720">
        <v>11</v>
      </c>
      <c r="AF720">
        <v>9</v>
      </c>
      <c r="AG720">
        <v>6</v>
      </c>
      <c r="AH720">
        <v>7</v>
      </c>
      <c r="AI720">
        <v>1</v>
      </c>
      <c r="AJ720" s="19" t="s">
        <v>1571</v>
      </c>
      <c r="AK720" s="19" t="s">
        <v>1570</v>
      </c>
      <c r="AL720">
        <v>2</v>
      </c>
      <c r="AM720" s="19" t="s">
        <v>1564</v>
      </c>
      <c r="AN720">
        <v>0.2768975256120294</v>
      </c>
      <c r="AO720">
        <v>751704</v>
      </c>
    </row>
    <row r="721" spans="1:41" x14ac:dyDescent="0.3">
      <c r="A721" s="19" t="s">
        <v>788</v>
      </c>
      <c r="B721">
        <v>35</v>
      </c>
      <c r="C721" s="19" t="s">
        <v>196</v>
      </c>
      <c r="D721" s="19" t="s">
        <v>55</v>
      </c>
      <c r="E721" s="19" t="s">
        <v>62</v>
      </c>
      <c r="F721">
        <v>146</v>
      </c>
      <c r="G721" s="19" t="s">
        <v>735</v>
      </c>
      <c r="H721">
        <v>2</v>
      </c>
      <c r="I721">
        <v>4</v>
      </c>
      <c r="J721" s="19" t="s">
        <v>58</v>
      </c>
      <c r="K721">
        <v>1704</v>
      </c>
      <c r="L721">
        <v>1</v>
      </c>
      <c r="M721" s="19" t="s">
        <v>51</v>
      </c>
      <c r="N721">
        <v>2</v>
      </c>
      <c r="O721">
        <v>1</v>
      </c>
      <c r="P721" s="19" t="s">
        <v>67</v>
      </c>
      <c r="Q721">
        <v>4</v>
      </c>
      <c r="R721" s="19" t="s">
        <v>53</v>
      </c>
      <c r="S721">
        <v>77539</v>
      </c>
      <c r="T721" s="19" t="s">
        <v>64</v>
      </c>
      <c r="U721">
        <v>484.62</v>
      </c>
      <c r="V721">
        <v>0</v>
      </c>
      <c r="W721" s="19" t="s">
        <v>47</v>
      </c>
      <c r="X721">
        <v>14</v>
      </c>
      <c r="Y721">
        <v>3</v>
      </c>
      <c r="Z721">
        <v>3</v>
      </c>
      <c r="AA721">
        <v>0</v>
      </c>
      <c r="AB721">
        <v>6</v>
      </c>
      <c r="AC721">
        <v>2</v>
      </c>
      <c r="AD721">
        <v>4</v>
      </c>
      <c r="AE721">
        <v>5</v>
      </c>
      <c r="AF721">
        <v>4</v>
      </c>
      <c r="AG721">
        <v>1</v>
      </c>
      <c r="AH721">
        <v>4</v>
      </c>
      <c r="AI721">
        <v>0</v>
      </c>
      <c r="AJ721" s="19" t="s">
        <v>1567</v>
      </c>
      <c r="AK721" s="19" t="s">
        <v>1562</v>
      </c>
      <c r="AL721">
        <v>1</v>
      </c>
      <c r="AM721" s="19" t="s">
        <v>1565</v>
      </c>
      <c r="AN721">
        <v>0.55494406591084044</v>
      </c>
      <c r="AO721">
        <v>930468</v>
      </c>
    </row>
    <row r="722" spans="1:41" x14ac:dyDescent="0.3">
      <c r="A722" s="19" t="s">
        <v>789</v>
      </c>
      <c r="B722">
        <v>35</v>
      </c>
      <c r="C722" s="19" t="s">
        <v>196</v>
      </c>
      <c r="D722" s="19" t="s">
        <v>55</v>
      </c>
      <c r="E722" s="19" t="s">
        <v>48</v>
      </c>
      <c r="F722">
        <v>1370</v>
      </c>
      <c r="G722" s="19" t="s">
        <v>735</v>
      </c>
      <c r="H722">
        <v>27</v>
      </c>
      <c r="I722">
        <v>4</v>
      </c>
      <c r="J722" s="19" t="s">
        <v>50</v>
      </c>
      <c r="K722">
        <v>1728</v>
      </c>
      <c r="L722">
        <v>4</v>
      </c>
      <c r="M722" s="19" t="s">
        <v>51</v>
      </c>
      <c r="N722">
        <v>3</v>
      </c>
      <c r="O722">
        <v>2</v>
      </c>
      <c r="P722" s="19" t="s">
        <v>120</v>
      </c>
      <c r="Q722">
        <v>3</v>
      </c>
      <c r="R722" s="19" t="s">
        <v>113</v>
      </c>
      <c r="S722">
        <v>22732</v>
      </c>
      <c r="T722" s="19" t="s">
        <v>54</v>
      </c>
      <c r="U722">
        <v>142.07</v>
      </c>
      <c r="V722">
        <v>2</v>
      </c>
      <c r="W722" s="19" t="s">
        <v>55</v>
      </c>
      <c r="X722">
        <v>16</v>
      </c>
      <c r="Y722">
        <v>3</v>
      </c>
      <c r="Z722">
        <v>2</v>
      </c>
      <c r="AA722">
        <v>1</v>
      </c>
      <c r="AB722">
        <v>17</v>
      </c>
      <c r="AC722">
        <v>3</v>
      </c>
      <c r="AD722">
        <v>3</v>
      </c>
      <c r="AE722">
        <v>7</v>
      </c>
      <c r="AF722">
        <v>7</v>
      </c>
      <c r="AG722">
        <v>0</v>
      </c>
      <c r="AH722">
        <v>7</v>
      </c>
      <c r="AI722">
        <v>0</v>
      </c>
      <c r="AJ722" s="19" t="s">
        <v>1569</v>
      </c>
      <c r="AK722" s="19" t="s">
        <v>1562</v>
      </c>
      <c r="AL722">
        <v>0</v>
      </c>
      <c r="AM722" s="19" t="s">
        <v>1563</v>
      </c>
      <c r="AN722">
        <v>-0.48680826810207145</v>
      </c>
      <c r="AO722">
        <v>272784</v>
      </c>
    </row>
    <row r="723" spans="1:41" x14ac:dyDescent="0.3">
      <c r="A723" s="19" t="s">
        <v>790</v>
      </c>
      <c r="B723">
        <v>35</v>
      </c>
      <c r="C723" s="19" t="s">
        <v>196</v>
      </c>
      <c r="D723" s="19" t="s">
        <v>47</v>
      </c>
      <c r="E723" s="19" t="s">
        <v>48</v>
      </c>
      <c r="F723">
        <v>303</v>
      </c>
      <c r="G723" s="19" t="s">
        <v>63</v>
      </c>
      <c r="H723">
        <v>27</v>
      </c>
      <c r="I723">
        <v>3</v>
      </c>
      <c r="J723" s="19" t="s">
        <v>50</v>
      </c>
      <c r="K723">
        <v>1797</v>
      </c>
      <c r="L723">
        <v>3</v>
      </c>
      <c r="M723" s="19" t="s">
        <v>51</v>
      </c>
      <c r="N723">
        <v>3</v>
      </c>
      <c r="O723">
        <v>2</v>
      </c>
      <c r="P723" s="19" t="s">
        <v>145</v>
      </c>
      <c r="Q723">
        <v>4</v>
      </c>
      <c r="R723" s="19" t="s">
        <v>53</v>
      </c>
      <c r="S723">
        <v>92362</v>
      </c>
      <c r="T723" s="19" t="s">
        <v>70</v>
      </c>
      <c r="U723">
        <v>577.26</v>
      </c>
      <c r="V723">
        <v>1</v>
      </c>
      <c r="W723" s="19" t="s">
        <v>47</v>
      </c>
      <c r="X723">
        <v>18</v>
      </c>
      <c r="Y723">
        <v>3</v>
      </c>
      <c r="Z723">
        <v>4</v>
      </c>
      <c r="AA723">
        <v>0</v>
      </c>
      <c r="AB723">
        <v>10</v>
      </c>
      <c r="AC723">
        <v>2</v>
      </c>
      <c r="AD723">
        <v>3</v>
      </c>
      <c r="AE723">
        <v>10</v>
      </c>
      <c r="AF723">
        <v>7</v>
      </c>
      <c r="AG723">
        <v>7</v>
      </c>
      <c r="AH723">
        <v>7</v>
      </c>
      <c r="AI723">
        <v>1</v>
      </c>
      <c r="AJ723" s="19" t="s">
        <v>1569</v>
      </c>
      <c r="AK723" s="19" t="s">
        <v>1570</v>
      </c>
      <c r="AL723">
        <v>2</v>
      </c>
      <c r="AM723" s="19" t="s">
        <v>1564</v>
      </c>
      <c r="AN723">
        <v>0.88271142780527856</v>
      </c>
      <c r="AO723">
        <v>1108344</v>
      </c>
    </row>
    <row r="724" spans="1:41" x14ac:dyDescent="0.3">
      <c r="A724" s="19" t="s">
        <v>791</v>
      </c>
      <c r="B724">
        <v>35</v>
      </c>
      <c r="C724" s="19" t="s">
        <v>196</v>
      </c>
      <c r="D724" s="19" t="s">
        <v>55</v>
      </c>
      <c r="E724" s="19" t="s">
        <v>66</v>
      </c>
      <c r="F724">
        <v>1180</v>
      </c>
      <c r="G724" s="19" t="s">
        <v>735</v>
      </c>
      <c r="H724">
        <v>2</v>
      </c>
      <c r="I724">
        <v>2</v>
      </c>
      <c r="J724" s="19" t="s">
        <v>58</v>
      </c>
      <c r="K724">
        <v>1804</v>
      </c>
      <c r="L724">
        <v>2</v>
      </c>
      <c r="M724" s="19" t="s">
        <v>51</v>
      </c>
      <c r="N724">
        <v>3</v>
      </c>
      <c r="O724">
        <v>2</v>
      </c>
      <c r="P724" s="19" t="s">
        <v>120</v>
      </c>
      <c r="Q724">
        <v>4</v>
      </c>
      <c r="R724" s="19" t="s">
        <v>53</v>
      </c>
      <c r="S724">
        <v>31354</v>
      </c>
      <c r="T724" s="19" t="s">
        <v>72</v>
      </c>
      <c r="U724">
        <v>195.96</v>
      </c>
      <c r="V724">
        <v>2</v>
      </c>
      <c r="W724" s="19" t="s">
        <v>55</v>
      </c>
      <c r="X724">
        <v>14</v>
      </c>
      <c r="Y724">
        <v>3</v>
      </c>
      <c r="Z724">
        <v>3</v>
      </c>
      <c r="AA724">
        <v>1</v>
      </c>
      <c r="AB724">
        <v>15</v>
      </c>
      <c r="AC724">
        <v>6</v>
      </c>
      <c r="AD724">
        <v>3</v>
      </c>
      <c r="AE724">
        <v>7</v>
      </c>
      <c r="AF724">
        <v>7</v>
      </c>
      <c r="AG724">
        <v>1</v>
      </c>
      <c r="AH724">
        <v>7</v>
      </c>
      <c r="AI724">
        <v>0</v>
      </c>
      <c r="AJ724" s="19" t="s">
        <v>1569</v>
      </c>
      <c r="AK724" s="19" t="s">
        <v>1562</v>
      </c>
      <c r="AL724">
        <v>0</v>
      </c>
      <c r="AM724" s="19" t="s">
        <v>1563</v>
      </c>
      <c r="AN724">
        <v>-0.29216023394652246</v>
      </c>
      <c r="AO724">
        <v>376248</v>
      </c>
    </row>
    <row r="725" spans="1:41" x14ac:dyDescent="0.3">
      <c r="A725" s="19" t="s">
        <v>792</v>
      </c>
      <c r="B725">
        <v>35</v>
      </c>
      <c r="C725" s="19" t="s">
        <v>196</v>
      </c>
      <c r="D725" s="19" t="s">
        <v>55</v>
      </c>
      <c r="E725" s="19" t="s">
        <v>48</v>
      </c>
      <c r="F725">
        <v>185</v>
      </c>
      <c r="G725" s="19" t="s">
        <v>735</v>
      </c>
      <c r="H725">
        <v>23</v>
      </c>
      <c r="I725">
        <v>4</v>
      </c>
      <c r="J725" s="19" t="s">
        <v>58</v>
      </c>
      <c r="K725">
        <v>1826</v>
      </c>
      <c r="L725">
        <v>2</v>
      </c>
      <c r="M725" s="19" t="s">
        <v>51</v>
      </c>
      <c r="N725">
        <v>1</v>
      </c>
      <c r="O725">
        <v>1</v>
      </c>
      <c r="P725" s="19" t="s">
        <v>52</v>
      </c>
      <c r="Q725">
        <v>3</v>
      </c>
      <c r="R725" s="19" t="s">
        <v>113</v>
      </c>
      <c r="S725">
        <v>14843</v>
      </c>
      <c r="T725" s="19" t="s">
        <v>54</v>
      </c>
      <c r="U725">
        <v>92.77</v>
      </c>
      <c r="V725">
        <v>0</v>
      </c>
      <c r="W725" s="19" t="s">
        <v>55</v>
      </c>
      <c r="X725">
        <v>16</v>
      </c>
      <c r="Y725">
        <v>3</v>
      </c>
      <c r="Z725">
        <v>2</v>
      </c>
      <c r="AA725">
        <v>1</v>
      </c>
      <c r="AB725">
        <v>6</v>
      </c>
      <c r="AC725">
        <v>2</v>
      </c>
      <c r="AD725">
        <v>4</v>
      </c>
      <c r="AE725">
        <v>5</v>
      </c>
      <c r="AF725">
        <v>4</v>
      </c>
      <c r="AG725">
        <v>0</v>
      </c>
      <c r="AH725">
        <v>3</v>
      </c>
      <c r="AI725">
        <v>0</v>
      </c>
      <c r="AJ725" s="19" t="s">
        <v>1567</v>
      </c>
      <c r="AK725" s="19" t="s">
        <v>1562</v>
      </c>
      <c r="AL725">
        <v>0</v>
      </c>
      <c r="AM725" s="19" t="s">
        <v>1563</v>
      </c>
      <c r="AN725">
        <v>-0.71301569503797313</v>
      </c>
      <c r="AO725">
        <v>178116</v>
      </c>
    </row>
    <row r="726" spans="1:41" x14ac:dyDescent="0.3">
      <c r="A726" s="19" t="s">
        <v>793</v>
      </c>
      <c r="B726">
        <v>35</v>
      </c>
      <c r="C726" s="19" t="s">
        <v>196</v>
      </c>
      <c r="D726" s="19" t="s">
        <v>55</v>
      </c>
      <c r="E726" s="19" t="s">
        <v>48</v>
      </c>
      <c r="F726">
        <v>219</v>
      </c>
      <c r="G726" s="19" t="s">
        <v>735</v>
      </c>
      <c r="H726">
        <v>16</v>
      </c>
      <c r="I726">
        <v>2</v>
      </c>
      <c r="J726" s="19" t="s">
        <v>82</v>
      </c>
      <c r="K726">
        <v>1886</v>
      </c>
      <c r="L726">
        <v>4</v>
      </c>
      <c r="M726" s="19" t="s">
        <v>59</v>
      </c>
      <c r="N726">
        <v>2</v>
      </c>
      <c r="O726">
        <v>2</v>
      </c>
      <c r="P726" s="19" t="s">
        <v>120</v>
      </c>
      <c r="Q726">
        <v>2</v>
      </c>
      <c r="R726" s="19" t="s">
        <v>113</v>
      </c>
      <c r="S726">
        <v>72726</v>
      </c>
      <c r="T726" s="19" t="s">
        <v>64</v>
      </c>
      <c r="U726">
        <v>454.54</v>
      </c>
      <c r="V726">
        <v>0</v>
      </c>
      <c r="W726" s="19" t="s">
        <v>47</v>
      </c>
      <c r="X726">
        <v>11</v>
      </c>
      <c r="Y726">
        <v>3</v>
      </c>
      <c r="Z726">
        <v>4</v>
      </c>
      <c r="AA726">
        <v>0</v>
      </c>
      <c r="AB726">
        <v>4</v>
      </c>
      <c r="AC726">
        <v>2</v>
      </c>
      <c r="AD726">
        <v>3</v>
      </c>
      <c r="AE726">
        <v>3</v>
      </c>
      <c r="AF726">
        <v>2</v>
      </c>
      <c r="AG726">
        <v>0</v>
      </c>
      <c r="AH726">
        <v>2</v>
      </c>
      <c r="AI726">
        <v>0</v>
      </c>
      <c r="AJ726" s="19" t="s">
        <v>1566</v>
      </c>
      <c r="AK726" s="19" t="s">
        <v>1562</v>
      </c>
      <c r="AL726">
        <v>2</v>
      </c>
      <c r="AM726" s="19" t="s">
        <v>1564</v>
      </c>
      <c r="AN726">
        <v>0.64184329992999967</v>
      </c>
      <c r="AO726">
        <v>872712</v>
      </c>
    </row>
    <row r="727" spans="1:41" x14ac:dyDescent="0.3">
      <c r="A727" s="19" t="s">
        <v>794</v>
      </c>
      <c r="B727">
        <v>35</v>
      </c>
      <c r="C727" s="19" t="s">
        <v>196</v>
      </c>
      <c r="D727" s="19" t="s">
        <v>55</v>
      </c>
      <c r="E727" s="19" t="s">
        <v>48</v>
      </c>
      <c r="F727">
        <v>682</v>
      </c>
      <c r="G727" s="19" t="s">
        <v>63</v>
      </c>
      <c r="H727">
        <v>18</v>
      </c>
      <c r="I727">
        <v>4</v>
      </c>
      <c r="J727" s="19" t="s">
        <v>58</v>
      </c>
      <c r="K727">
        <v>1945</v>
      </c>
      <c r="L727">
        <v>2</v>
      </c>
      <c r="M727" s="19" t="s">
        <v>51</v>
      </c>
      <c r="N727">
        <v>3</v>
      </c>
      <c r="O727">
        <v>2</v>
      </c>
      <c r="P727" s="19" t="s">
        <v>145</v>
      </c>
      <c r="Q727">
        <v>1</v>
      </c>
      <c r="R727" s="19" t="s">
        <v>113</v>
      </c>
      <c r="S727">
        <v>18640</v>
      </c>
      <c r="T727" s="19" t="s">
        <v>54</v>
      </c>
      <c r="U727">
        <v>116.5</v>
      </c>
      <c r="V727">
        <v>0</v>
      </c>
      <c r="W727" s="19" t="s">
        <v>55</v>
      </c>
      <c r="X727">
        <v>16</v>
      </c>
      <c r="Y727">
        <v>3</v>
      </c>
      <c r="Z727">
        <v>4</v>
      </c>
      <c r="AA727">
        <v>1</v>
      </c>
      <c r="AB727">
        <v>6</v>
      </c>
      <c r="AC727">
        <v>2</v>
      </c>
      <c r="AD727">
        <v>1</v>
      </c>
      <c r="AE727">
        <v>5</v>
      </c>
      <c r="AF727">
        <v>3</v>
      </c>
      <c r="AG727">
        <v>0</v>
      </c>
      <c r="AH727">
        <v>4</v>
      </c>
      <c r="AI727">
        <v>0</v>
      </c>
      <c r="AJ727" s="19" t="s">
        <v>1567</v>
      </c>
      <c r="AK727" s="19" t="s">
        <v>1562</v>
      </c>
      <c r="AL727">
        <v>2</v>
      </c>
      <c r="AM727" s="19" t="s">
        <v>1564</v>
      </c>
      <c r="AN727">
        <v>-0.62004134801876976</v>
      </c>
      <c r="AO727">
        <v>223680</v>
      </c>
    </row>
    <row r="728" spans="1:41" x14ac:dyDescent="0.3">
      <c r="A728" s="19" t="s">
        <v>795</v>
      </c>
      <c r="B728">
        <v>35</v>
      </c>
      <c r="C728" s="19" t="s">
        <v>196</v>
      </c>
      <c r="D728" s="19" t="s">
        <v>55</v>
      </c>
      <c r="E728" s="19" t="s">
        <v>48</v>
      </c>
      <c r="F728">
        <v>1224</v>
      </c>
      <c r="G728" s="19" t="s">
        <v>63</v>
      </c>
      <c r="H728">
        <v>7</v>
      </c>
      <c r="I728">
        <v>4</v>
      </c>
      <c r="J728" s="19" t="s">
        <v>50</v>
      </c>
      <c r="K728">
        <v>1962</v>
      </c>
      <c r="L728">
        <v>3</v>
      </c>
      <c r="M728" s="19" t="s">
        <v>59</v>
      </c>
      <c r="N728">
        <v>3</v>
      </c>
      <c r="O728">
        <v>2</v>
      </c>
      <c r="P728" s="19" t="s">
        <v>145</v>
      </c>
      <c r="Q728">
        <v>4</v>
      </c>
      <c r="R728" s="19" t="s">
        <v>113</v>
      </c>
      <c r="S728">
        <v>53528</v>
      </c>
      <c r="T728" s="19" t="s">
        <v>64</v>
      </c>
      <c r="U728">
        <v>334.55</v>
      </c>
      <c r="V728">
        <v>1</v>
      </c>
      <c r="W728" s="19" t="s">
        <v>47</v>
      </c>
      <c r="X728">
        <v>11</v>
      </c>
      <c r="Y728">
        <v>3</v>
      </c>
      <c r="Z728">
        <v>4</v>
      </c>
      <c r="AA728">
        <v>0</v>
      </c>
      <c r="AB728">
        <v>10</v>
      </c>
      <c r="AC728">
        <v>2</v>
      </c>
      <c r="AD728">
        <v>3</v>
      </c>
      <c r="AE728">
        <v>10</v>
      </c>
      <c r="AF728">
        <v>8</v>
      </c>
      <c r="AG728">
        <v>0</v>
      </c>
      <c r="AH728">
        <v>9</v>
      </c>
      <c r="AI728">
        <v>0</v>
      </c>
      <c r="AJ728" s="19" t="s">
        <v>1569</v>
      </c>
      <c r="AK728" s="19" t="s">
        <v>1562</v>
      </c>
      <c r="AL728">
        <v>1</v>
      </c>
      <c r="AM728" s="19" t="s">
        <v>1565</v>
      </c>
      <c r="AN728">
        <v>9.1117313479146742E-2</v>
      </c>
      <c r="AO728">
        <v>642336</v>
      </c>
    </row>
    <row r="729" spans="1:41" x14ac:dyDescent="0.3">
      <c r="A729" s="19" t="s">
        <v>796</v>
      </c>
      <c r="B729">
        <v>35</v>
      </c>
      <c r="C729" s="19" t="s">
        <v>196</v>
      </c>
      <c r="D729" s="19" t="s">
        <v>55</v>
      </c>
      <c r="E729" s="19" t="s">
        <v>48</v>
      </c>
      <c r="F729">
        <v>1490</v>
      </c>
      <c r="G729" s="19" t="s">
        <v>735</v>
      </c>
      <c r="H729">
        <v>11</v>
      </c>
      <c r="I729">
        <v>4</v>
      </c>
      <c r="J729" s="19" t="s">
        <v>58</v>
      </c>
      <c r="K729">
        <v>2003</v>
      </c>
      <c r="L729">
        <v>4</v>
      </c>
      <c r="M729" s="19" t="s">
        <v>51</v>
      </c>
      <c r="N729">
        <v>3</v>
      </c>
      <c r="O729">
        <v>1</v>
      </c>
      <c r="P729" s="19" t="s">
        <v>52</v>
      </c>
      <c r="Q729">
        <v>3</v>
      </c>
      <c r="R729" s="19" t="s">
        <v>113</v>
      </c>
      <c r="S729">
        <v>39413</v>
      </c>
      <c r="T729" s="19" t="s">
        <v>72</v>
      </c>
      <c r="U729">
        <v>246.33</v>
      </c>
      <c r="V729">
        <v>7</v>
      </c>
      <c r="W729" s="19" t="s">
        <v>47</v>
      </c>
      <c r="X729">
        <v>11</v>
      </c>
      <c r="Y729">
        <v>3</v>
      </c>
      <c r="Z729">
        <v>3</v>
      </c>
      <c r="AA729">
        <v>1</v>
      </c>
      <c r="AB729">
        <v>5</v>
      </c>
      <c r="AC729">
        <v>3</v>
      </c>
      <c r="AD729">
        <v>3</v>
      </c>
      <c r="AE729">
        <v>2</v>
      </c>
      <c r="AF729">
        <v>2</v>
      </c>
      <c r="AG729">
        <v>2</v>
      </c>
      <c r="AH729">
        <v>2</v>
      </c>
      <c r="AI729">
        <v>0</v>
      </c>
      <c r="AJ729" s="19" t="s">
        <v>1566</v>
      </c>
      <c r="AK729" s="19" t="s">
        <v>1562</v>
      </c>
      <c r="AL729">
        <v>1</v>
      </c>
      <c r="AM729" s="19" t="s">
        <v>1565</v>
      </c>
      <c r="AN729">
        <v>-0.23796318726211932</v>
      </c>
      <c r="AO729">
        <v>472956</v>
      </c>
    </row>
    <row r="730" spans="1:41" x14ac:dyDescent="0.3">
      <c r="A730" s="19" t="s">
        <v>797</v>
      </c>
      <c r="B730">
        <v>35</v>
      </c>
      <c r="C730" s="19" t="s">
        <v>196</v>
      </c>
      <c r="D730" s="19" t="s">
        <v>55</v>
      </c>
      <c r="E730" s="19" t="s">
        <v>48</v>
      </c>
      <c r="F730">
        <v>1395</v>
      </c>
      <c r="G730" s="19" t="s">
        <v>735</v>
      </c>
      <c r="H730">
        <v>9</v>
      </c>
      <c r="I730">
        <v>4</v>
      </c>
      <c r="J730" s="19" t="s">
        <v>58</v>
      </c>
      <c r="K730">
        <v>2008</v>
      </c>
      <c r="L730">
        <v>2</v>
      </c>
      <c r="M730" s="19" t="s">
        <v>51</v>
      </c>
      <c r="N730">
        <v>3</v>
      </c>
      <c r="O730">
        <v>2</v>
      </c>
      <c r="P730" s="19" t="s">
        <v>67</v>
      </c>
      <c r="Q730">
        <v>3</v>
      </c>
      <c r="R730" s="19" t="s">
        <v>53</v>
      </c>
      <c r="S730">
        <v>53638</v>
      </c>
      <c r="T730" s="19" t="s">
        <v>64</v>
      </c>
      <c r="U730">
        <v>335.24</v>
      </c>
      <c r="V730">
        <v>1</v>
      </c>
      <c r="W730" s="19" t="s">
        <v>55</v>
      </c>
      <c r="X730">
        <v>19</v>
      </c>
      <c r="Y730">
        <v>3</v>
      </c>
      <c r="Z730">
        <v>2</v>
      </c>
      <c r="AA730">
        <v>0</v>
      </c>
      <c r="AB730">
        <v>10</v>
      </c>
      <c r="AC730">
        <v>5</v>
      </c>
      <c r="AD730">
        <v>3</v>
      </c>
      <c r="AE730">
        <v>10</v>
      </c>
      <c r="AF730">
        <v>7</v>
      </c>
      <c r="AG730">
        <v>0</v>
      </c>
      <c r="AH730">
        <v>8</v>
      </c>
      <c r="AI730">
        <v>0</v>
      </c>
      <c r="AJ730" s="19" t="s">
        <v>1569</v>
      </c>
      <c r="AK730" s="19" t="s">
        <v>1562</v>
      </c>
      <c r="AL730">
        <v>0</v>
      </c>
      <c r="AM730" s="19" t="s">
        <v>1563</v>
      </c>
      <c r="AN730">
        <v>7.5640513900432846E-2</v>
      </c>
      <c r="AO730">
        <v>643656</v>
      </c>
    </row>
    <row r="731" spans="1:41" x14ac:dyDescent="0.3">
      <c r="A731" s="19" t="s">
        <v>798</v>
      </c>
      <c r="B731">
        <v>35</v>
      </c>
      <c r="C731" s="19" t="s">
        <v>196</v>
      </c>
      <c r="D731" s="19" t="s">
        <v>55</v>
      </c>
      <c r="E731" s="19" t="s">
        <v>48</v>
      </c>
      <c r="F731">
        <v>1146</v>
      </c>
      <c r="G731" s="19" t="s">
        <v>406</v>
      </c>
      <c r="H731">
        <v>26</v>
      </c>
      <c r="I731">
        <v>4</v>
      </c>
      <c r="J731" s="19" t="s">
        <v>50</v>
      </c>
      <c r="K731">
        <v>2040</v>
      </c>
      <c r="L731">
        <v>3</v>
      </c>
      <c r="M731" s="19" t="s">
        <v>59</v>
      </c>
      <c r="N731">
        <v>3</v>
      </c>
      <c r="O731">
        <v>3</v>
      </c>
      <c r="P731" s="19" t="s">
        <v>80</v>
      </c>
      <c r="Q731">
        <v>4</v>
      </c>
      <c r="R731" s="19" t="s">
        <v>53</v>
      </c>
      <c r="S731">
        <v>53736</v>
      </c>
      <c r="T731" s="19" t="s">
        <v>64</v>
      </c>
      <c r="U731">
        <v>335.85</v>
      </c>
      <c r="V731">
        <v>1</v>
      </c>
      <c r="W731" s="19" t="s">
        <v>47</v>
      </c>
      <c r="X731">
        <v>16</v>
      </c>
      <c r="Y731">
        <v>3</v>
      </c>
      <c r="Z731">
        <v>3</v>
      </c>
      <c r="AA731">
        <v>0</v>
      </c>
      <c r="AB731">
        <v>9</v>
      </c>
      <c r="AC731">
        <v>2</v>
      </c>
      <c r="AD731">
        <v>3</v>
      </c>
      <c r="AE731">
        <v>9</v>
      </c>
      <c r="AF731">
        <v>0</v>
      </c>
      <c r="AG731">
        <v>1</v>
      </c>
      <c r="AH731">
        <v>7</v>
      </c>
      <c r="AI731">
        <v>0</v>
      </c>
      <c r="AJ731" s="19" t="s">
        <v>1569</v>
      </c>
      <c r="AK731" s="19" t="s">
        <v>1562</v>
      </c>
      <c r="AL731">
        <v>1</v>
      </c>
      <c r="AM731" s="19" t="s">
        <v>1565</v>
      </c>
      <c r="AN731">
        <v>5.8961833333964972E-2</v>
      </c>
      <c r="AO731">
        <v>644832</v>
      </c>
    </row>
    <row r="732" spans="1:41" x14ac:dyDescent="0.3">
      <c r="A732" s="19" t="s">
        <v>799</v>
      </c>
      <c r="B732">
        <v>35</v>
      </c>
      <c r="C732" s="19" t="s">
        <v>196</v>
      </c>
      <c r="D732" s="19" t="s">
        <v>55</v>
      </c>
      <c r="E732" s="19" t="s">
        <v>62</v>
      </c>
      <c r="F732">
        <v>1199</v>
      </c>
      <c r="G732" s="19" t="s">
        <v>735</v>
      </c>
      <c r="H732">
        <v>18</v>
      </c>
      <c r="I732">
        <v>4</v>
      </c>
      <c r="J732" s="19" t="s">
        <v>50</v>
      </c>
      <c r="K732">
        <v>2049</v>
      </c>
      <c r="L732">
        <v>3</v>
      </c>
      <c r="M732" s="19" t="s">
        <v>51</v>
      </c>
      <c r="N732">
        <v>3</v>
      </c>
      <c r="O732">
        <v>2</v>
      </c>
      <c r="P732" s="19" t="s">
        <v>168</v>
      </c>
      <c r="Q732">
        <v>3</v>
      </c>
      <c r="R732" s="19" t="s">
        <v>113</v>
      </c>
      <c r="S732">
        <v>69866</v>
      </c>
      <c r="T732" s="19" t="s">
        <v>64</v>
      </c>
      <c r="U732">
        <v>436.66</v>
      </c>
      <c r="V732">
        <v>1</v>
      </c>
      <c r="W732" s="19" t="s">
        <v>47</v>
      </c>
      <c r="X732">
        <v>14</v>
      </c>
      <c r="Y732">
        <v>3</v>
      </c>
      <c r="Z732">
        <v>4</v>
      </c>
      <c r="AA732">
        <v>2</v>
      </c>
      <c r="AB732">
        <v>10</v>
      </c>
      <c r="AC732">
        <v>2</v>
      </c>
      <c r="AD732">
        <v>4</v>
      </c>
      <c r="AE732">
        <v>10</v>
      </c>
      <c r="AF732">
        <v>2</v>
      </c>
      <c r="AG732">
        <v>0</v>
      </c>
      <c r="AH732">
        <v>2</v>
      </c>
      <c r="AI732">
        <v>0</v>
      </c>
      <c r="AJ732" s="19" t="s">
        <v>1569</v>
      </c>
      <c r="AK732" s="19" t="s">
        <v>1562</v>
      </c>
      <c r="AL732">
        <v>1</v>
      </c>
      <c r="AM732" s="19" t="s">
        <v>1565</v>
      </c>
      <c r="AN732">
        <v>0.44982865138561151</v>
      </c>
      <c r="AO732">
        <v>838392</v>
      </c>
    </row>
    <row r="733" spans="1:41" x14ac:dyDescent="0.3">
      <c r="A733" s="19" t="s">
        <v>800</v>
      </c>
      <c r="B733">
        <v>35</v>
      </c>
      <c r="C733" s="19" t="s">
        <v>196</v>
      </c>
      <c r="D733" s="19" t="s">
        <v>55</v>
      </c>
      <c r="E733" s="19" t="s">
        <v>48</v>
      </c>
      <c r="F733">
        <v>287</v>
      </c>
      <c r="G733" s="19" t="s">
        <v>735</v>
      </c>
      <c r="H733">
        <v>1</v>
      </c>
      <c r="I733">
        <v>4</v>
      </c>
      <c r="J733" s="19" t="s">
        <v>50</v>
      </c>
      <c r="K733">
        <v>2052</v>
      </c>
      <c r="L733">
        <v>3</v>
      </c>
      <c r="M733" s="19" t="s">
        <v>59</v>
      </c>
      <c r="N733">
        <v>1</v>
      </c>
      <c r="O733">
        <v>1</v>
      </c>
      <c r="P733" s="19" t="s">
        <v>67</v>
      </c>
      <c r="Q733">
        <v>4</v>
      </c>
      <c r="R733" s="19" t="s">
        <v>113</v>
      </c>
      <c r="S733">
        <v>20087</v>
      </c>
      <c r="T733" s="19" t="s">
        <v>54</v>
      </c>
      <c r="U733">
        <v>125.54</v>
      </c>
      <c r="V733">
        <v>1</v>
      </c>
      <c r="W733" s="19" t="s">
        <v>55</v>
      </c>
      <c r="X733">
        <v>12</v>
      </c>
      <c r="Y733">
        <v>3</v>
      </c>
      <c r="Z733">
        <v>4</v>
      </c>
      <c r="AA733">
        <v>1</v>
      </c>
      <c r="AB733">
        <v>4</v>
      </c>
      <c r="AC733">
        <v>5</v>
      </c>
      <c r="AD733">
        <v>3</v>
      </c>
      <c r="AE733">
        <v>4</v>
      </c>
      <c r="AF733">
        <v>3</v>
      </c>
      <c r="AG733">
        <v>1</v>
      </c>
      <c r="AH733">
        <v>1</v>
      </c>
      <c r="AI733">
        <v>0</v>
      </c>
      <c r="AJ733" s="19" t="s">
        <v>1567</v>
      </c>
      <c r="AK733" s="19" t="s">
        <v>1562</v>
      </c>
      <c r="AL733">
        <v>0</v>
      </c>
      <c r="AM733" s="19" t="s">
        <v>1563</v>
      </c>
      <c r="AN733">
        <v>-0.59718127069021976</v>
      </c>
      <c r="AO733">
        <v>241044</v>
      </c>
    </row>
    <row r="734" spans="1:41" x14ac:dyDescent="0.3">
      <c r="A734" s="19" t="s">
        <v>801</v>
      </c>
      <c r="B734">
        <v>36</v>
      </c>
      <c r="C734" s="19" t="s">
        <v>802</v>
      </c>
      <c r="D734" s="19" t="s">
        <v>55</v>
      </c>
      <c r="E734" s="19" t="s">
        <v>48</v>
      </c>
      <c r="F734">
        <v>1299</v>
      </c>
      <c r="G734" s="19" t="s">
        <v>735</v>
      </c>
      <c r="H734">
        <v>27</v>
      </c>
      <c r="I734">
        <v>3</v>
      </c>
      <c r="J734" s="19" t="s">
        <v>58</v>
      </c>
      <c r="K734">
        <v>13</v>
      </c>
      <c r="L734">
        <v>3</v>
      </c>
      <c r="M734" s="19" t="s">
        <v>51</v>
      </c>
      <c r="N734">
        <v>3</v>
      </c>
      <c r="O734">
        <v>2</v>
      </c>
      <c r="P734" s="19" t="s">
        <v>168</v>
      </c>
      <c r="Q734">
        <v>3</v>
      </c>
      <c r="R734" s="19" t="s">
        <v>113</v>
      </c>
      <c r="S734">
        <v>42430</v>
      </c>
      <c r="T734" s="19" t="s">
        <v>72</v>
      </c>
      <c r="U734">
        <v>265.19</v>
      </c>
      <c r="V734">
        <v>6</v>
      </c>
      <c r="W734" s="19" t="s">
        <v>55</v>
      </c>
      <c r="X734">
        <v>13</v>
      </c>
      <c r="Y734">
        <v>3</v>
      </c>
      <c r="Z734">
        <v>2</v>
      </c>
      <c r="AA734">
        <v>2</v>
      </c>
      <c r="AB734">
        <v>17</v>
      </c>
      <c r="AC734">
        <v>3</v>
      </c>
      <c r="AD734">
        <v>2</v>
      </c>
      <c r="AE734">
        <v>7</v>
      </c>
      <c r="AF734">
        <v>7</v>
      </c>
      <c r="AG734">
        <v>7</v>
      </c>
      <c r="AH734">
        <v>7</v>
      </c>
      <c r="AI734">
        <v>0</v>
      </c>
      <c r="AJ734" s="19" t="s">
        <v>1569</v>
      </c>
      <c r="AK734" s="19" t="s">
        <v>1570</v>
      </c>
      <c r="AL734">
        <v>2</v>
      </c>
      <c r="AM734" s="19" t="s">
        <v>1564</v>
      </c>
      <c r="AN734">
        <v>-0.11951121177265771</v>
      </c>
      <c r="AO734">
        <v>509160</v>
      </c>
    </row>
    <row r="735" spans="1:41" x14ac:dyDescent="0.3">
      <c r="A735" s="19" t="s">
        <v>803</v>
      </c>
      <c r="B735">
        <v>36</v>
      </c>
      <c r="C735" s="19" t="s">
        <v>802</v>
      </c>
      <c r="D735" s="19" t="s">
        <v>47</v>
      </c>
      <c r="E735" s="19" t="s">
        <v>48</v>
      </c>
      <c r="F735">
        <v>1218</v>
      </c>
      <c r="G735" s="19" t="s">
        <v>63</v>
      </c>
      <c r="H735">
        <v>9</v>
      </c>
      <c r="I735">
        <v>4</v>
      </c>
      <c r="J735" s="19" t="s">
        <v>50</v>
      </c>
      <c r="K735">
        <v>27</v>
      </c>
      <c r="L735">
        <v>3</v>
      </c>
      <c r="M735" s="19" t="s">
        <v>51</v>
      </c>
      <c r="N735">
        <v>2</v>
      </c>
      <c r="O735">
        <v>1</v>
      </c>
      <c r="P735" s="19" t="s">
        <v>60</v>
      </c>
      <c r="Q735">
        <v>1</v>
      </c>
      <c r="R735" s="19" t="s">
        <v>53</v>
      </c>
      <c r="S735">
        <v>25504</v>
      </c>
      <c r="T735" s="19" t="s">
        <v>72</v>
      </c>
      <c r="U735">
        <v>159.4</v>
      </c>
      <c r="V735">
        <v>7</v>
      </c>
      <c r="W735" s="19" t="s">
        <v>55</v>
      </c>
      <c r="X735">
        <v>23</v>
      </c>
      <c r="Y735">
        <v>4</v>
      </c>
      <c r="Z735">
        <v>2</v>
      </c>
      <c r="AA735">
        <v>0</v>
      </c>
      <c r="AB735">
        <v>10</v>
      </c>
      <c r="AC735">
        <v>4</v>
      </c>
      <c r="AD735">
        <v>3</v>
      </c>
      <c r="AE735">
        <v>5</v>
      </c>
      <c r="AF735">
        <v>3</v>
      </c>
      <c r="AG735">
        <v>0</v>
      </c>
      <c r="AH735">
        <v>3</v>
      </c>
      <c r="AI735">
        <v>1</v>
      </c>
      <c r="AJ735" s="19" t="s">
        <v>1567</v>
      </c>
      <c r="AK735" s="19" t="s">
        <v>1562</v>
      </c>
      <c r="AL735">
        <v>1</v>
      </c>
      <c r="AM735" s="19" t="s">
        <v>1565</v>
      </c>
      <c r="AN735">
        <v>-0.48295852901361691</v>
      </c>
      <c r="AO735">
        <v>306048</v>
      </c>
    </row>
    <row r="736" spans="1:41" x14ac:dyDescent="0.3">
      <c r="A736" s="19" t="s">
        <v>804</v>
      </c>
      <c r="B736">
        <v>36</v>
      </c>
      <c r="C736" s="19" t="s">
        <v>802</v>
      </c>
      <c r="D736" s="19" t="s">
        <v>55</v>
      </c>
      <c r="E736" s="19" t="s">
        <v>48</v>
      </c>
      <c r="F736">
        <v>852</v>
      </c>
      <c r="G736" s="19" t="s">
        <v>735</v>
      </c>
      <c r="H736">
        <v>5</v>
      </c>
      <c r="I736">
        <v>4</v>
      </c>
      <c r="J736" s="19" t="s">
        <v>50</v>
      </c>
      <c r="K736">
        <v>51</v>
      </c>
      <c r="L736">
        <v>2</v>
      </c>
      <c r="M736" s="19" t="s">
        <v>59</v>
      </c>
      <c r="N736">
        <v>2</v>
      </c>
      <c r="O736">
        <v>1</v>
      </c>
      <c r="P736" s="19" t="s">
        <v>67</v>
      </c>
      <c r="Q736">
        <v>1</v>
      </c>
      <c r="R736" s="19" t="s">
        <v>113</v>
      </c>
      <c r="S736">
        <v>8114</v>
      </c>
      <c r="T736" s="19" t="s">
        <v>54</v>
      </c>
      <c r="U736">
        <v>50.71</v>
      </c>
      <c r="V736">
        <v>9</v>
      </c>
      <c r="W736" s="19" t="s">
        <v>47</v>
      </c>
      <c r="X736">
        <v>14</v>
      </c>
      <c r="Y736">
        <v>3</v>
      </c>
      <c r="Z736">
        <v>4</v>
      </c>
      <c r="AA736">
        <v>1</v>
      </c>
      <c r="AB736">
        <v>6</v>
      </c>
      <c r="AC736">
        <v>3</v>
      </c>
      <c r="AD736">
        <v>4</v>
      </c>
      <c r="AE736">
        <v>1</v>
      </c>
      <c r="AF736">
        <v>1</v>
      </c>
      <c r="AG736">
        <v>0</v>
      </c>
      <c r="AH736">
        <v>0</v>
      </c>
      <c r="AI736">
        <v>0</v>
      </c>
      <c r="AJ736" s="19" t="s">
        <v>1561</v>
      </c>
      <c r="AK736" s="19" t="s">
        <v>1562</v>
      </c>
      <c r="AL736">
        <v>2</v>
      </c>
      <c r="AM736" s="19" t="s">
        <v>1564</v>
      </c>
      <c r="AN736">
        <v>-0.83728425500972981</v>
      </c>
      <c r="AO736">
        <v>97368</v>
      </c>
    </row>
    <row r="737" spans="1:41" x14ac:dyDescent="0.3">
      <c r="A737" s="19" t="s">
        <v>805</v>
      </c>
      <c r="B737">
        <v>36</v>
      </c>
      <c r="C737" s="19" t="s">
        <v>802</v>
      </c>
      <c r="D737" s="19" t="s">
        <v>55</v>
      </c>
      <c r="E737" s="19" t="s">
        <v>48</v>
      </c>
      <c r="F737">
        <v>1223</v>
      </c>
      <c r="G737" s="19" t="s">
        <v>735</v>
      </c>
      <c r="H737">
        <v>8</v>
      </c>
      <c r="I737">
        <v>3</v>
      </c>
      <c r="J737" s="19" t="s">
        <v>77</v>
      </c>
      <c r="K737">
        <v>83</v>
      </c>
      <c r="L737">
        <v>3</v>
      </c>
      <c r="M737" s="19" t="s">
        <v>59</v>
      </c>
      <c r="N737">
        <v>3</v>
      </c>
      <c r="O737">
        <v>3</v>
      </c>
      <c r="P737" s="19" t="s">
        <v>168</v>
      </c>
      <c r="Q737">
        <v>3</v>
      </c>
      <c r="R737" s="19" t="s">
        <v>53</v>
      </c>
      <c r="S737">
        <v>79859</v>
      </c>
      <c r="T737" s="19" t="s">
        <v>64</v>
      </c>
      <c r="U737">
        <v>499.12</v>
      </c>
      <c r="V737">
        <v>1</v>
      </c>
      <c r="W737" s="19" t="s">
        <v>55</v>
      </c>
      <c r="X737">
        <v>13</v>
      </c>
      <c r="Y737">
        <v>3</v>
      </c>
      <c r="Z737">
        <v>2</v>
      </c>
      <c r="AA737">
        <v>3</v>
      </c>
      <c r="AB737">
        <v>17</v>
      </c>
      <c r="AC737">
        <v>2</v>
      </c>
      <c r="AD737">
        <v>3</v>
      </c>
      <c r="AE737">
        <v>17</v>
      </c>
      <c r="AF737">
        <v>14</v>
      </c>
      <c r="AG737">
        <v>12</v>
      </c>
      <c r="AH737">
        <v>8</v>
      </c>
      <c r="AI737">
        <v>0</v>
      </c>
      <c r="AJ737" s="19" t="s">
        <v>1571</v>
      </c>
      <c r="AK737" s="19" t="s">
        <v>1570</v>
      </c>
      <c r="AL737">
        <v>1</v>
      </c>
      <c r="AM737" s="19" t="s">
        <v>1565</v>
      </c>
      <c r="AN737">
        <v>0.65719901341143838</v>
      </c>
      <c r="AO737">
        <v>958308</v>
      </c>
    </row>
    <row r="738" spans="1:41" x14ac:dyDescent="0.3">
      <c r="A738" s="19" t="s">
        <v>806</v>
      </c>
      <c r="B738">
        <v>36</v>
      </c>
      <c r="C738" s="19" t="s">
        <v>802</v>
      </c>
      <c r="D738" s="19" t="s">
        <v>55</v>
      </c>
      <c r="E738" s="19" t="s">
        <v>62</v>
      </c>
      <c r="F738">
        <v>1195</v>
      </c>
      <c r="G738" s="19" t="s">
        <v>735</v>
      </c>
      <c r="H738">
        <v>11</v>
      </c>
      <c r="I738">
        <v>3</v>
      </c>
      <c r="J738" s="19" t="s">
        <v>50</v>
      </c>
      <c r="K738">
        <v>85</v>
      </c>
      <c r="L738">
        <v>2</v>
      </c>
      <c r="M738" s="19" t="s">
        <v>51</v>
      </c>
      <c r="N738">
        <v>2</v>
      </c>
      <c r="O738">
        <v>2</v>
      </c>
      <c r="P738" s="19" t="s">
        <v>120</v>
      </c>
      <c r="Q738">
        <v>2</v>
      </c>
      <c r="R738" s="19" t="s">
        <v>53</v>
      </c>
      <c r="S738">
        <v>11975</v>
      </c>
      <c r="T738" s="19" t="s">
        <v>54</v>
      </c>
      <c r="U738">
        <v>74.84</v>
      </c>
      <c r="V738">
        <v>1</v>
      </c>
      <c r="W738" s="19" t="s">
        <v>55</v>
      </c>
      <c r="X738">
        <v>13</v>
      </c>
      <c r="Y738">
        <v>3</v>
      </c>
      <c r="Z738">
        <v>3</v>
      </c>
      <c r="AA738">
        <v>0</v>
      </c>
      <c r="AB738">
        <v>6</v>
      </c>
      <c r="AC738">
        <v>3</v>
      </c>
      <c r="AD738">
        <v>3</v>
      </c>
      <c r="AE738">
        <v>6</v>
      </c>
      <c r="AF738">
        <v>5</v>
      </c>
      <c r="AG738">
        <v>0</v>
      </c>
      <c r="AH738">
        <v>3</v>
      </c>
      <c r="AI738">
        <v>0</v>
      </c>
      <c r="AJ738" s="19" t="s">
        <v>1569</v>
      </c>
      <c r="AK738" s="19" t="s">
        <v>1562</v>
      </c>
      <c r="AL738">
        <v>1</v>
      </c>
      <c r="AM738" s="19" t="s">
        <v>1565</v>
      </c>
      <c r="AN738">
        <v>-0.72965550811729307</v>
      </c>
      <c r="AO738">
        <v>143700</v>
      </c>
    </row>
    <row r="739" spans="1:41" x14ac:dyDescent="0.3">
      <c r="A739" s="19" t="s">
        <v>807</v>
      </c>
      <c r="B739">
        <v>36</v>
      </c>
      <c r="C739" s="19" t="s">
        <v>802</v>
      </c>
      <c r="D739" s="19" t="s">
        <v>47</v>
      </c>
      <c r="E739" s="19" t="s">
        <v>48</v>
      </c>
      <c r="F739">
        <v>318</v>
      </c>
      <c r="G739" s="19" t="s">
        <v>735</v>
      </c>
      <c r="H739">
        <v>9</v>
      </c>
      <c r="I739">
        <v>3</v>
      </c>
      <c r="J739" s="19" t="s">
        <v>58</v>
      </c>
      <c r="K739">
        <v>90</v>
      </c>
      <c r="L739">
        <v>4</v>
      </c>
      <c r="M739" s="19" t="s">
        <v>51</v>
      </c>
      <c r="N739">
        <v>2</v>
      </c>
      <c r="O739">
        <v>1</v>
      </c>
      <c r="P739" s="19" t="s">
        <v>67</v>
      </c>
      <c r="Q739">
        <v>3</v>
      </c>
      <c r="R739" s="19" t="s">
        <v>113</v>
      </c>
      <c r="S739">
        <v>12023</v>
      </c>
      <c r="T739" s="19" t="s">
        <v>54</v>
      </c>
      <c r="U739">
        <v>75.14</v>
      </c>
      <c r="V739">
        <v>0</v>
      </c>
      <c r="W739" s="19" t="s">
        <v>47</v>
      </c>
      <c r="X739">
        <v>17</v>
      </c>
      <c r="Y739">
        <v>3</v>
      </c>
      <c r="Z739">
        <v>1</v>
      </c>
      <c r="AA739">
        <v>1</v>
      </c>
      <c r="AB739">
        <v>2</v>
      </c>
      <c r="AC739">
        <v>0</v>
      </c>
      <c r="AD739">
        <v>2</v>
      </c>
      <c r="AE739">
        <v>1</v>
      </c>
      <c r="AF739">
        <v>0</v>
      </c>
      <c r="AG739">
        <v>0</v>
      </c>
      <c r="AH739">
        <v>0</v>
      </c>
      <c r="AI739">
        <v>1</v>
      </c>
      <c r="AJ739" s="19" t="s">
        <v>1561</v>
      </c>
      <c r="AK739" s="19" t="s">
        <v>1562</v>
      </c>
      <c r="AL739">
        <v>2</v>
      </c>
      <c r="AM739" s="19" t="s">
        <v>1564</v>
      </c>
      <c r="AN739">
        <v>-0.75889433053758704</v>
      </c>
      <c r="AO739">
        <v>144276</v>
      </c>
    </row>
    <row r="740" spans="1:41" x14ac:dyDescent="0.3">
      <c r="A740" s="19" t="s">
        <v>808</v>
      </c>
      <c r="B740">
        <v>36</v>
      </c>
      <c r="C740" s="19" t="s">
        <v>802</v>
      </c>
      <c r="D740" s="19" t="s">
        <v>55</v>
      </c>
      <c r="E740" s="19" t="s">
        <v>48</v>
      </c>
      <c r="F740">
        <v>132</v>
      </c>
      <c r="G740" s="19" t="s">
        <v>735</v>
      </c>
      <c r="H740">
        <v>6</v>
      </c>
      <c r="I740">
        <v>3</v>
      </c>
      <c r="J740" s="19" t="s">
        <v>50</v>
      </c>
      <c r="K740">
        <v>97</v>
      </c>
      <c r="L740">
        <v>2</v>
      </c>
      <c r="M740" s="19" t="s">
        <v>59</v>
      </c>
      <c r="N740">
        <v>4</v>
      </c>
      <c r="O740">
        <v>1</v>
      </c>
      <c r="P740" s="19" t="s">
        <v>52</v>
      </c>
      <c r="Q740">
        <v>4</v>
      </c>
      <c r="R740" s="19" t="s">
        <v>113</v>
      </c>
      <c r="S740">
        <v>22447</v>
      </c>
      <c r="T740" s="19" t="s">
        <v>54</v>
      </c>
      <c r="U740">
        <v>140.29</v>
      </c>
      <c r="V740">
        <v>3</v>
      </c>
      <c r="W740" s="19" t="s">
        <v>55</v>
      </c>
      <c r="X740">
        <v>12</v>
      </c>
      <c r="Y740">
        <v>3</v>
      </c>
      <c r="Z740">
        <v>2</v>
      </c>
      <c r="AA740">
        <v>0</v>
      </c>
      <c r="AB740">
        <v>5</v>
      </c>
      <c r="AC740">
        <v>3</v>
      </c>
      <c r="AD740">
        <v>3</v>
      </c>
      <c r="AE740">
        <v>1</v>
      </c>
      <c r="AF740">
        <v>0</v>
      </c>
      <c r="AG740">
        <v>0</v>
      </c>
      <c r="AH740">
        <v>0</v>
      </c>
      <c r="AI740">
        <v>0</v>
      </c>
      <c r="AJ740" s="19" t="s">
        <v>1561</v>
      </c>
      <c r="AK740" s="19" t="s">
        <v>1562</v>
      </c>
      <c r="AL740">
        <v>0</v>
      </c>
      <c r="AM740" s="19" t="s">
        <v>1563</v>
      </c>
      <c r="AN740">
        <v>-0.56599496776375291</v>
      </c>
      <c r="AO740">
        <v>269364</v>
      </c>
    </row>
    <row r="741" spans="1:41" x14ac:dyDescent="0.3">
      <c r="A741" s="19" t="s">
        <v>809</v>
      </c>
      <c r="B741">
        <v>36</v>
      </c>
      <c r="C741" s="19" t="s">
        <v>802</v>
      </c>
      <c r="D741" s="19" t="s">
        <v>55</v>
      </c>
      <c r="E741" s="19" t="s">
        <v>62</v>
      </c>
      <c r="F741">
        <v>1467</v>
      </c>
      <c r="G741" s="19" t="s">
        <v>63</v>
      </c>
      <c r="H741">
        <v>11</v>
      </c>
      <c r="I741">
        <v>2</v>
      </c>
      <c r="J741" s="19" t="s">
        <v>77</v>
      </c>
      <c r="K741">
        <v>154</v>
      </c>
      <c r="L741">
        <v>2</v>
      </c>
      <c r="M741" s="19" t="s">
        <v>59</v>
      </c>
      <c r="N741">
        <v>3</v>
      </c>
      <c r="O741">
        <v>3</v>
      </c>
      <c r="P741" s="19" t="s">
        <v>145</v>
      </c>
      <c r="Q741">
        <v>4</v>
      </c>
      <c r="R741" s="19" t="s">
        <v>113</v>
      </c>
      <c r="S741">
        <v>91469</v>
      </c>
      <c r="T741" s="19" t="s">
        <v>70</v>
      </c>
      <c r="U741">
        <v>571.67999999999995</v>
      </c>
      <c r="V741">
        <v>0</v>
      </c>
      <c r="W741" s="19" t="s">
        <v>55</v>
      </c>
      <c r="X741">
        <v>14</v>
      </c>
      <c r="Y741">
        <v>3</v>
      </c>
      <c r="Z741">
        <v>3</v>
      </c>
      <c r="AA741">
        <v>1</v>
      </c>
      <c r="AB741">
        <v>10</v>
      </c>
      <c r="AC741">
        <v>6</v>
      </c>
      <c r="AD741">
        <v>3</v>
      </c>
      <c r="AE741">
        <v>9</v>
      </c>
      <c r="AF741">
        <v>7</v>
      </c>
      <c r="AG741">
        <v>2</v>
      </c>
      <c r="AH741">
        <v>8</v>
      </c>
      <c r="AI741">
        <v>0</v>
      </c>
      <c r="AJ741" s="19" t="s">
        <v>1569</v>
      </c>
      <c r="AK741" s="19" t="s">
        <v>1562</v>
      </c>
      <c r="AL741">
        <v>0</v>
      </c>
      <c r="AM741" s="19" t="s">
        <v>1563</v>
      </c>
      <c r="AN741">
        <v>0.86450847307248679</v>
      </c>
      <c r="AO741">
        <v>1097628</v>
      </c>
    </row>
    <row r="742" spans="1:41" x14ac:dyDescent="0.3">
      <c r="A742" s="19" t="s">
        <v>810</v>
      </c>
      <c r="B742">
        <v>36</v>
      </c>
      <c r="C742" s="19" t="s">
        <v>802</v>
      </c>
      <c r="D742" s="19" t="s">
        <v>55</v>
      </c>
      <c r="E742" s="19" t="s">
        <v>48</v>
      </c>
      <c r="F742">
        <v>922</v>
      </c>
      <c r="G742" s="19" t="s">
        <v>735</v>
      </c>
      <c r="H742">
        <v>3</v>
      </c>
      <c r="I742">
        <v>2</v>
      </c>
      <c r="J742" s="19" t="s">
        <v>50</v>
      </c>
      <c r="K742">
        <v>155</v>
      </c>
      <c r="L742">
        <v>1</v>
      </c>
      <c r="M742" s="19" t="s">
        <v>59</v>
      </c>
      <c r="N742">
        <v>3</v>
      </c>
      <c r="O742">
        <v>1</v>
      </c>
      <c r="P742" s="19" t="s">
        <v>52</v>
      </c>
      <c r="Q742">
        <v>4</v>
      </c>
      <c r="R742" s="19" t="s">
        <v>53</v>
      </c>
      <c r="S742">
        <v>24959</v>
      </c>
      <c r="T742" s="19" t="s">
        <v>54</v>
      </c>
      <c r="U742">
        <v>155.99</v>
      </c>
      <c r="V742">
        <v>5</v>
      </c>
      <c r="W742" s="19" t="s">
        <v>55</v>
      </c>
      <c r="X742">
        <v>22</v>
      </c>
      <c r="Y742">
        <v>4</v>
      </c>
      <c r="Z742">
        <v>1</v>
      </c>
      <c r="AA742">
        <v>1</v>
      </c>
      <c r="AB742">
        <v>7</v>
      </c>
      <c r="AC742">
        <v>2</v>
      </c>
      <c r="AD742">
        <v>3</v>
      </c>
      <c r="AE742">
        <v>1</v>
      </c>
      <c r="AF742">
        <v>0</v>
      </c>
      <c r="AG742">
        <v>0</v>
      </c>
      <c r="AH742">
        <v>0</v>
      </c>
      <c r="AI742">
        <v>0</v>
      </c>
      <c r="AJ742" s="19" t="s">
        <v>1561</v>
      </c>
      <c r="AK742" s="19" t="s">
        <v>1562</v>
      </c>
      <c r="AL742">
        <v>0</v>
      </c>
      <c r="AM742" s="19" t="s">
        <v>1563</v>
      </c>
      <c r="AN742">
        <v>-0.51742631088410518</v>
      </c>
      <c r="AO742">
        <v>299508</v>
      </c>
    </row>
    <row r="743" spans="1:41" x14ac:dyDescent="0.3">
      <c r="A743" s="19" t="s">
        <v>811</v>
      </c>
      <c r="B743">
        <v>36</v>
      </c>
      <c r="C743" s="19" t="s">
        <v>802</v>
      </c>
      <c r="D743" s="19" t="s">
        <v>55</v>
      </c>
      <c r="E743" s="19" t="s">
        <v>48</v>
      </c>
      <c r="F743">
        <v>216</v>
      </c>
      <c r="G743" s="19" t="s">
        <v>735</v>
      </c>
      <c r="H743">
        <v>6</v>
      </c>
      <c r="I743">
        <v>2</v>
      </c>
      <c r="J743" s="19" t="s">
        <v>58</v>
      </c>
      <c r="K743">
        <v>178</v>
      </c>
      <c r="L743">
        <v>2</v>
      </c>
      <c r="M743" s="19" t="s">
        <v>51</v>
      </c>
      <c r="N743">
        <v>3</v>
      </c>
      <c r="O743">
        <v>2</v>
      </c>
      <c r="P743" s="19" t="s">
        <v>120</v>
      </c>
      <c r="Q743">
        <v>2</v>
      </c>
      <c r="R743" s="19" t="s">
        <v>53</v>
      </c>
      <c r="S743">
        <v>67203</v>
      </c>
      <c r="T743" s="19" t="s">
        <v>64</v>
      </c>
      <c r="U743">
        <v>420.02</v>
      </c>
      <c r="V743">
        <v>6</v>
      </c>
      <c r="W743" s="19" t="s">
        <v>55</v>
      </c>
      <c r="X743">
        <v>20</v>
      </c>
      <c r="Y743">
        <v>4</v>
      </c>
      <c r="Z743">
        <v>4</v>
      </c>
      <c r="AA743">
        <v>2</v>
      </c>
      <c r="AB743">
        <v>7</v>
      </c>
      <c r="AC743">
        <v>0</v>
      </c>
      <c r="AD743">
        <v>3</v>
      </c>
      <c r="AE743">
        <v>3</v>
      </c>
      <c r="AF743">
        <v>2</v>
      </c>
      <c r="AG743">
        <v>0</v>
      </c>
      <c r="AH743">
        <v>1</v>
      </c>
      <c r="AI743">
        <v>0</v>
      </c>
      <c r="AJ743" s="19" t="s">
        <v>1566</v>
      </c>
      <c r="AK743" s="19" t="s">
        <v>1562</v>
      </c>
      <c r="AL743">
        <v>1</v>
      </c>
      <c r="AM743" s="19" t="s">
        <v>1565</v>
      </c>
      <c r="AN743">
        <v>0.51715748542743678</v>
      </c>
      <c r="AO743">
        <v>806436</v>
      </c>
    </row>
    <row r="744" spans="1:41" x14ac:dyDescent="0.3">
      <c r="A744" s="19" t="s">
        <v>812</v>
      </c>
      <c r="B744">
        <v>36</v>
      </c>
      <c r="C744" s="19" t="s">
        <v>802</v>
      </c>
      <c r="D744" s="19" t="s">
        <v>55</v>
      </c>
      <c r="E744" s="19" t="s">
        <v>62</v>
      </c>
      <c r="F744">
        <v>1480</v>
      </c>
      <c r="G744" s="19" t="s">
        <v>735</v>
      </c>
      <c r="H744">
        <v>3</v>
      </c>
      <c r="I744">
        <v>2</v>
      </c>
      <c r="J744" s="19" t="s">
        <v>58</v>
      </c>
      <c r="K744">
        <v>238</v>
      </c>
      <c r="L744">
        <v>4</v>
      </c>
      <c r="M744" s="19" t="s">
        <v>51</v>
      </c>
      <c r="N744">
        <v>3</v>
      </c>
      <c r="O744">
        <v>1</v>
      </c>
      <c r="P744" s="19" t="s">
        <v>52</v>
      </c>
      <c r="Q744">
        <v>2</v>
      </c>
      <c r="R744" s="19" t="s">
        <v>53</v>
      </c>
      <c r="S744">
        <v>30703</v>
      </c>
      <c r="T744" s="19" t="s">
        <v>72</v>
      </c>
      <c r="U744">
        <v>191.89</v>
      </c>
      <c r="V744">
        <v>4</v>
      </c>
      <c r="W744" s="19" t="s">
        <v>55</v>
      </c>
      <c r="X744">
        <v>12</v>
      </c>
      <c r="Y744">
        <v>3</v>
      </c>
      <c r="Z744">
        <v>3</v>
      </c>
      <c r="AA744">
        <v>0</v>
      </c>
      <c r="AB744">
        <v>13</v>
      </c>
      <c r="AC744">
        <v>3</v>
      </c>
      <c r="AD744">
        <v>2</v>
      </c>
      <c r="AE744">
        <v>8</v>
      </c>
      <c r="AF744">
        <v>7</v>
      </c>
      <c r="AG744">
        <v>7</v>
      </c>
      <c r="AH744">
        <v>2</v>
      </c>
      <c r="AI744">
        <v>0</v>
      </c>
      <c r="AJ744" s="19" t="s">
        <v>1569</v>
      </c>
      <c r="AK744" s="19" t="s">
        <v>1570</v>
      </c>
      <c r="AL744">
        <v>3</v>
      </c>
      <c r="AM744" s="19" t="s">
        <v>1568</v>
      </c>
      <c r="AN744">
        <v>-0.40636804451599345</v>
      </c>
      <c r="AO744">
        <v>368436</v>
      </c>
    </row>
    <row r="745" spans="1:41" x14ac:dyDescent="0.3">
      <c r="A745" s="19" t="s">
        <v>813</v>
      </c>
      <c r="B745">
        <v>36</v>
      </c>
      <c r="C745" s="19" t="s">
        <v>802</v>
      </c>
      <c r="D745" s="19" t="s">
        <v>55</v>
      </c>
      <c r="E745" s="19" t="s">
        <v>62</v>
      </c>
      <c r="F745">
        <v>635</v>
      </c>
      <c r="G745" s="19" t="s">
        <v>735</v>
      </c>
      <c r="H745">
        <v>18</v>
      </c>
      <c r="I745">
        <v>1</v>
      </c>
      <c r="J745" s="19" t="s">
        <v>58</v>
      </c>
      <c r="K745">
        <v>286</v>
      </c>
      <c r="L745">
        <v>2</v>
      </c>
      <c r="M745" s="19" t="s">
        <v>59</v>
      </c>
      <c r="N745">
        <v>3</v>
      </c>
      <c r="O745">
        <v>1</v>
      </c>
      <c r="P745" s="19" t="s">
        <v>52</v>
      </c>
      <c r="Q745">
        <v>4</v>
      </c>
      <c r="R745" s="19" t="s">
        <v>53</v>
      </c>
      <c r="S745">
        <v>10337</v>
      </c>
      <c r="T745" s="19" t="s">
        <v>54</v>
      </c>
      <c r="U745">
        <v>64.61</v>
      </c>
      <c r="V745">
        <v>1</v>
      </c>
      <c r="W745" s="19" t="s">
        <v>55</v>
      </c>
      <c r="X745">
        <v>13</v>
      </c>
      <c r="Y745">
        <v>3</v>
      </c>
      <c r="Z745">
        <v>1</v>
      </c>
      <c r="AA745">
        <v>0</v>
      </c>
      <c r="AB745">
        <v>8</v>
      </c>
      <c r="AC745">
        <v>2</v>
      </c>
      <c r="AD745">
        <v>3</v>
      </c>
      <c r="AE745">
        <v>8</v>
      </c>
      <c r="AF745">
        <v>1</v>
      </c>
      <c r="AG745">
        <v>1</v>
      </c>
      <c r="AH745">
        <v>1</v>
      </c>
      <c r="AI745">
        <v>0</v>
      </c>
      <c r="AJ745" s="19" t="s">
        <v>1569</v>
      </c>
      <c r="AK745" s="19" t="s">
        <v>1562</v>
      </c>
      <c r="AL745">
        <v>0</v>
      </c>
      <c r="AM745" s="19" t="s">
        <v>1563</v>
      </c>
      <c r="AN745">
        <v>-0.80013765678148141</v>
      </c>
      <c r="AO745">
        <v>124044</v>
      </c>
    </row>
    <row r="746" spans="1:41" x14ac:dyDescent="0.3">
      <c r="A746" s="19" t="s">
        <v>814</v>
      </c>
      <c r="B746">
        <v>36</v>
      </c>
      <c r="C746" s="19" t="s">
        <v>802</v>
      </c>
      <c r="D746" s="19" t="s">
        <v>55</v>
      </c>
      <c r="E746" s="19" t="s">
        <v>48</v>
      </c>
      <c r="F746">
        <v>1396</v>
      </c>
      <c r="G746" s="19" t="s">
        <v>735</v>
      </c>
      <c r="H746">
        <v>5</v>
      </c>
      <c r="I746">
        <v>2</v>
      </c>
      <c r="J746" s="19" t="s">
        <v>50</v>
      </c>
      <c r="K746">
        <v>304</v>
      </c>
      <c r="L746">
        <v>4</v>
      </c>
      <c r="M746" s="19" t="s">
        <v>51</v>
      </c>
      <c r="N746">
        <v>3</v>
      </c>
      <c r="O746">
        <v>2</v>
      </c>
      <c r="P746" s="19" t="s">
        <v>52</v>
      </c>
      <c r="Q746">
        <v>2</v>
      </c>
      <c r="R746" s="19" t="s">
        <v>53</v>
      </c>
      <c r="S746">
        <v>47427</v>
      </c>
      <c r="T746" s="19" t="s">
        <v>72</v>
      </c>
      <c r="U746">
        <v>296.42</v>
      </c>
      <c r="V746">
        <v>8</v>
      </c>
      <c r="W746" s="19" t="s">
        <v>55</v>
      </c>
      <c r="X746">
        <v>16</v>
      </c>
      <c r="Y746">
        <v>3</v>
      </c>
      <c r="Z746">
        <v>4</v>
      </c>
      <c r="AA746">
        <v>0</v>
      </c>
      <c r="AB746">
        <v>16</v>
      </c>
      <c r="AC746">
        <v>3</v>
      </c>
      <c r="AD746">
        <v>4</v>
      </c>
      <c r="AE746">
        <v>13</v>
      </c>
      <c r="AF746">
        <v>11</v>
      </c>
      <c r="AG746">
        <v>3</v>
      </c>
      <c r="AH746">
        <v>7</v>
      </c>
      <c r="AI746">
        <v>0</v>
      </c>
      <c r="AJ746" s="19" t="s">
        <v>1571</v>
      </c>
      <c r="AK746" s="19" t="s">
        <v>1570</v>
      </c>
      <c r="AL746">
        <v>2</v>
      </c>
      <c r="AM746" s="19" t="s">
        <v>1564</v>
      </c>
      <c r="AN746">
        <v>-8.3015250863434226E-2</v>
      </c>
      <c r="AO746">
        <v>569124</v>
      </c>
    </row>
    <row r="747" spans="1:41" x14ac:dyDescent="0.3">
      <c r="A747" s="19" t="s">
        <v>815</v>
      </c>
      <c r="B747">
        <v>36</v>
      </c>
      <c r="C747" s="19" t="s">
        <v>802</v>
      </c>
      <c r="D747" s="19" t="s">
        <v>55</v>
      </c>
      <c r="E747" s="19" t="s">
        <v>48</v>
      </c>
      <c r="F747">
        <v>1403</v>
      </c>
      <c r="G747" s="19" t="s">
        <v>735</v>
      </c>
      <c r="H747">
        <v>6</v>
      </c>
      <c r="I747">
        <v>3</v>
      </c>
      <c r="J747" s="19" t="s">
        <v>50</v>
      </c>
      <c r="K747">
        <v>373</v>
      </c>
      <c r="L747">
        <v>4</v>
      </c>
      <c r="M747" s="19" t="s">
        <v>51</v>
      </c>
      <c r="N747">
        <v>3</v>
      </c>
      <c r="O747">
        <v>1</v>
      </c>
      <c r="P747" s="19" t="s">
        <v>52</v>
      </c>
      <c r="Q747">
        <v>4</v>
      </c>
      <c r="R747" s="19" t="s">
        <v>113</v>
      </c>
      <c r="S747">
        <v>62529</v>
      </c>
      <c r="T747" s="19" t="s">
        <v>64</v>
      </c>
      <c r="U747">
        <v>390.81</v>
      </c>
      <c r="V747">
        <v>0</v>
      </c>
      <c r="W747" s="19" t="s">
        <v>55</v>
      </c>
      <c r="X747">
        <v>11</v>
      </c>
      <c r="Y747">
        <v>3</v>
      </c>
      <c r="Z747">
        <v>3</v>
      </c>
      <c r="AA747">
        <v>1</v>
      </c>
      <c r="AB747">
        <v>16</v>
      </c>
      <c r="AC747">
        <v>4</v>
      </c>
      <c r="AD747">
        <v>3</v>
      </c>
      <c r="AE747">
        <v>15</v>
      </c>
      <c r="AF747">
        <v>13</v>
      </c>
      <c r="AG747">
        <v>10</v>
      </c>
      <c r="AH747">
        <v>11</v>
      </c>
      <c r="AI747">
        <v>0</v>
      </c>
      <c r="AJ747" s="19" t="s">
        <v>1571</v>
      </c>
      <c r="AK747" s="19" t="s">
        <v>1570</v>
      </c>
      <c r="AL747">
        <v>1</v>
      </c>
      <c r="AM747" s="19" t="s">
        <v>1565</v>
      </c>
      <c r="AN747">
        <v>0.20897673010648621</v>
      </c>
      <c r="AO747">
        <v>750348</v>
      </c>
    </row>
    <row r="748" spans="1:41" x14ac:dyDescent="0.3">
      <c r="A748" s="19" t="s">
        <v>816</v>
      </c>
      <c r="B748">
        <v>36</v>
      </c>
      <c r="C748" s="19" t="s">
        <v>802</v>
      </c>
      <c r="D748" s="19" t="s">
        <v>55</v>
      </c>
      <c r="E748" s="19" t="s">
        <v>48</v>
      </c>
      <c r="F748">
        <v>506</v>
      </c>
      <c r="G748" s="19" t="s">
        <v>735</v>
      </c>
      <c r="H748">
        <v>3</v>
      </c>
      <c r="I748">
        <v>3</v>
      </c>
      <c r="J748" s="19" t="s">
        <v>77</v>
      </c>
      <c r="K748">
        <v>397</v>
      </c>
      <c r="L748">
        <v>3</v>
      </c>
      <c r="M748" s="19" t="s">
        <v>51</v>
      </c>
      <c r="N748">
        <v>3</v>
      </c>
      <c r="O748">
        <v>2</v>
      </c>
      <c r="P748" s="19" t="s">
        <v>67</v>
      </c>
      <c r="Q748">
        <v>2</v>
      </c>
      <c r="R748" s="19" t="s">
        <v>53</v>
      </c>
      <c r="S748">
        <v>85665</v>
      </c>
      <c r="T748" s="19" t="s">
        <v>70</v>
      </c>
      <c r="U748">
        <v>535.41</v>
      </c>
      <c r="V748">
        <v>4</v>
      </c>
      <c r="W748" s="19" t="s">
        <v>55</v>
      </c>
      <c r="X748">
        <v>12</v>
      </c>
      <c r="Y748">
        <v>3</v>
      </c>
      <c r="Z748">
        <v>4</v>
      </c>
      <c r="AA748">
        <v>0</v>
      </c>
      <c r="AB748">
        <v>10</v>
      </c>
      <c r="AC748">
        <v>2</v>
      </c>
      <c r="AD748">
        <v>3</v>
      </c>
      <c r="AE748">
        <v>8</v>
      </c>
      <c r="AF748">
        <v>0</v>
      </c>
      <c r="AG748">
        <v>7</v>
      </c>
      <c r="AH748">
        <v>7</v>
      </c>
      <c r="AI748">
        <v>0</v>
      </c>
      <c r="AJ748" s="19" t="s">
        <v>1569</v>
      </c>
      <c r="AK748" s="19" t="s">
        <v>1570</v>
      </c>
      <c r="AL748">
        <v>2</v>
      </c>
      <c r="AM748" s="19" t="s">
        <v>1564</v>
      </c>
      <c r="AN748">
        <v>0.71790045533540736</v>
      </c>
      <c r="AO748">
        <v>1027980</v>
      </c>
    </row>
    <row r="749" spans="1:41" x14ac:dyDescent="0.3">
      <c r="A749" s="19" t="s">
        <v>817</v>
      </c>
      <c r="B749">
        <v>36</v>
      </c>
      <c r="C749" s="19" t="s">
        <v>802</v>
      </c>
      <c r="D749" s="19" t="s">
        <v>55</v>
      </c>
      <c r="E749" s="19" t="s">
        <v>62</v>
      </c>
      <c r="F749">
        <v>566</v>
      </c>
      <c r="G749" s="19" t="s">
        <v>735</v>
      </c>
      <c r="H749">
        <v>18</v>
      </c>
      <c r="I749">
        <v>4</v>
      </c>
      <c r="J749" s="19" t="s">
        <v>50</v>
      </c>
      <c r="K749">
        <v>407</v>
      </c>
      <c r="L749">
        <v>3</v>
      </c>
      <c r="M749" s="19" t="s">
        <v>51</v>
      </c>
      <c r="N749">
        <v>4</v>
      </c>
      <c r="O749">
        <v>1</v>
      </c>
      <c r="P749" s="19" t="s">
        <v>52</v>
      </c>
      <c r="Q749">
        <v>4</v>
      </c>
      <c r="R749" s="19" t="s">
        <v>113</v>
      </c>
      <c r="S749">
        <v>32921</v>
      </c>
      <c r="T749" s="19" t="s">
        <v>72</v>
      </c>
      <c r="U749">
        <v>205.76</v>
      </c>
      <c r="V749">
        <v>4</v>
      </c>
      <c r="W749" s="19" t="s">
        <v>55</v>
      </c>
      <c r="X749">
        <v>18</v>
      </c>
      <c r="Y749">
        <v>3</v>
      </c>
      <c r="Z749">
        <v>4</v>
      </c>
      <c r="AA749">
        <v>2</v>
      </c>
      <c r="AB749">
        <v>4</v>
      </c>
      <c r="AC749">
        <v>2</v>
      </c>
      <c r="AD749">
        <v>3</v>
      </c>
      <c r="AE749">
        <v>1</v>
      </c>
      <c r="AF749">
        <v>0</v>
      </c>
      <c r="AG749">
        <v>0</v>
      </c>
      <c r="AH749">
        <v>0</v>
      </c>
      <c r="AI749">
        <v>0</v>
      </c>
      <c r="AJ749" s="19" t="s">
        <v>1561</v>
      </c>
      <c r="AK749" s="19" t="s">
        <v>1562</v>
      </c>
      <c r="AL749">
        <v>0</v>
      </c>
      <c r="AM749" s="19" t="s">
        <v>1563</v>
      </c>
      <c r="AN749">
        <v>-0.36348377661827902</v>
      </c>
      <c r="AO749">
        <v>395052</v>
      </c>
    </row>
    <row r="750" spans="1:41" x14ac:dyDescent="0.3">
      <c r="A750" s="19" t="s">
        <v>818</v>
      </c>
      <c r="B750">
        <v>36</v>
      </c>
      <c r="C750" s="19" t="s">
        <v>802</v>
      </c>
      <c r="D750" s="19" t="s">
        <v>55</v>
      </c>
      <c r="E750" s="19" t="s">
        <v>66</v>
      </c>
      <c r="F750">
        <v>1105</v>
      </c>
      <c r="G750" s="19" t="s">
        <v>735</v>
      </c>
      <c r="H750">
        <v>24</v>
      </c>
      <c r="I750">
        <v>4</v>
      </c>
      <c r="J750" s="19" t="s">
        <v>50</v>
      </c>
      <c r="K750">
        <v>419</v>
      </c>
      <c r="L750">
        <v>2</v>
      </c>
      <c r="M750" s="19" t="s">
        <v>59</v>
      </c>
      <c r="N750">
        <v>3</v>
      </c>
      <c r="O750">
        <v>2</v>
      </c>
      <c r="P750" s="19" t="s">
        <v>52</v>
      </c>
      <c r="Q750">
        <v>2</v>
      </c>
      <c r="R750" s="19" t="s">
        <v>113</v>
      </c>
      <c r="S750">
        <v>34307</v>
      </c>
      <c r="T750" s="19" t="s">
        <v>72</v>
      </c>
      <c r="U750">
        <v>214.42</v>
      </c>
      <c r="V750">
        <v>7</v>
      </c>
      <c r="W750" s="19" t="s">
        <v>55</v>
      </c>
      <c r="X750">
        <v>15</v>
      </c>
      <c r="Y750">
        <v>3</v>
      </c>
      <c r="Z750">
        <v>3</v>
      </c>
      <c r="AA750">
        <v>1</v>
      </c>
      <c r="AB750">
        <v>11</v>
      </c>
      <c r="AC750">
        <v>3</v>
      </c>
      <c r="AD750">
        <v>3</v>
      </c>
      <c r="AE750">
        <v>9</v>
      </c>
      <c r="AF750">
        <v>8</v>
      </c>
      <c r="AG750">
        <v>0</v>
      </c>
      <c r="AH750">
        <v>8</v>
      </c>
      <c r="AI750">
        <v>0</v>
      </c>
      <c r="AJ750" s="19" t="s">
        <v>1569</v>
      </c>
      <c r="AK750" s="19" t="s">
        <v>1562</v>
      </c>
      <c r="AL750">
        <v>1</v>
      </c>
      <c r="AM750" s="19" t="s">
        <v>1565</v>
      </c>
      <c r="AN750">
        <v>-0.33668594284630776</v>
      </c>
      <c r="AO750">
        <v>411684</v>
      </c>
    </row>
    <row r="751" spans="1:41" x14ac:dyDescent="0.3">
      <c r="A751" s="19" t="s">
        <v>819</v>
      </c>
      <c r="B751">
        <v>36</v>
      </c>
      <c r="C751" s="19" t="s">
        <v>802</v>
      </c>
      <c r="D751" s="19" t="s">
        <v>55</v>
      </c>
      <c r="E751" s="19" t="s">
        <v>66</v>
      </c>
      <c r="F751">
        <v>845</v>
      </c>
      <c r="G751" s="19" t="s">
        <v>63</v>
      </c>
      <c r="H751">
        <v>1</v>
      </c>
      <c r="I751">
        <v>5</v>
      </c>
      <c r="J751" s="19" t="s">
        <v>58</v>
      </c>
      <c r="K751">
        <v>479</v>
      </c>
      <c r="L751">
        <v>4</v>
      </c>
      <c r="M751" s="19" t="s">
        <v>59</v>
      </c>
      <c r="N751">
        <v>3</v>
      </c>
      <c r="O751">
        <v>2</v>
      </c>
      <c r="P751" s="19" t="s">
        <v>145</v>
      </c>
      <c r="Q751">
        <v>4</v>
      </c>
      <c r="R751" s="19" t="s">
        <v>53</v>
      </c>
      <c r="S751">
        <v>28355</v>
      </c>
      <c r="T751" s="19" t="s">
        <v>72</v>
      </c>
      <c r="U751">
        <v>177.22</v>
      </c>
      <c r="V751">
        <v>4</v>
      </c>
      <c r="W751" s="19" t="s">
        <v>55</v>
      </c>
      <c r="X751">
        <v>15</v>
      </c>
      <c r="Y751">
        <v>3</v>
      </c>
      <c r="Z751">
        <v>2</v>
      </c>
      <c r="AA751">
        <v>0</v>
      </c>
      <c r="AB751">
        <v>7</v>
      </c>
      <c r="AC751">
        <v>6</v>
      </c>
      <c r="AD751">
        <v>3</v>
      </c>
      <c r="AE751">
        <v>1</v>
      </c>
      <c r="AF751">
        <v>0</v>
      </c>
      <c r="AG751">
        <v>0</v>
      </c>
      <c r="AH751">
        <v>0</v>
      </c>
      <c r="AI751">
        <v>0</v>
      </c>
      <c r="AJ751" s="19" t="s">
        <v>1561</v>
      </c>
      <c r="AK751" s="19" t="s">
        <v>1562</v>
      </c>
      <c r="AL751">
        <v>0</v>
      </c>
      <c r="AM751" s="19" t="s">
        <v>1563</v>
      </c>
      <c r="AN751">
        <v>-0.4220103231261918</v>
      </c>
      <c r="AO751">
        <v>340260</v>
      </c>
    </row>
    <row r="752" spans="1:41" x14ac:dyDescent="0.3">
      <c r="A752" s="19" t="s">
        <v>820</v>
      </c>
      <c r="B752">
        <v>36</v>
      </c>
      <c r="C752" s="19" t="s">
        <v>802</v>
      </c>
      <c r="D752" s="19" t="s">
        <v>55</v>
      </c>
      <c r="E752" s="19" t="s">
        <v>62</v>
      </c>
      <c r="F752">
        <v>541</v>
      </c>
      <c r="G752" s="19" t="s">
        <v>63</v>
      </c>
      <c r="H752">
        <v>3</v>
      </c>
      <c r="I752">
        <v>4</v>
      </c>
      <c r="J752" s="19" t="s">
        <v>58</v>
      </c>
      <c r="K752">
        <v>481</v>
      </c>
      <c r="L752">
        <v>1</v>
      </c>
      <c r="M752" s="19" t="s">
        <v>51</v>
      </c>
      <c r="N752">
        <v>2</v>
      </c>
      <c r="O752">
        <v>3</v>
      </c>
      <c r="P752" s="19" t="s">
        <v>145</v>
      </c>
      <c r="Q752">
        <v>4</v>
      </c>
      <c r="R752" s="19" t="s">
        <v>113</v>
      </c>
      <c r="S752">
        <v>5835</v>
      </c>
      <c r="T752" s="19" t="s">
        <v>54</v>
      </c>
      <c r="U752">
        <v>36.47</v>
      </c>
      <c r="V752">
        <v>4</v>
      </c>
      <c r="W752" s="19" t="s">
        <v>55</v>
      </c>
      <c r="X752">
        <v>11</v>
      </c>
      <c r="Y752">
        <v>3</v>
      </c>
      <c r="Z752">
        <v>1</v>
      </c>
      <c r="AA752">
        <v>1</v>
      </c>
      <c r="AB752">
        <v>16</v>
      </c>
      <c r="AC752">
        <v>2</v>
      </c>
      <c r="AD752">
        <v>3</v>
      </c>
      <c r="AE752">
        <v>13</v>
      </c>
      <c r="AF752">
        <v>9</v>
      </c>
      <c r="AG752">
        <v>1</v>
      </c>
      <c r="AH752">
        <v>9</v>
      </c>
      <c r="AI752">
        <v>0</v>
      </c>
      <c r="AJ752" s="19" t="s">
        <v>1571</v>
      </c>
      <c r="AK752" s="19" t="s">
        <v>1562</v>
      </c>
      <c r="AL752">
        <v>0</v>
      </c>
      <c r="AM752" s="19" t="s">
        <v>1563</v>
      </c>
      <c r="AN752">
        <v>-0.88105908077733486</v>
      </c>
      <c r="AO752">
        <v>70020</v>
      </c>
    </row>
    <row r="753" spans="1:41" x14ac:dyDescent="0.3">
      <c r="A753" s="19" t="s">
        <v>821</v>
      </c>
      <c r="B753">
        <v>36</v>
      </c>
      <c r="C753" s="19" t="s">
        <v>802</v>
      </c>
      <c r="D753" s="19" t="s">
        <v>55</v>
      </c>
      <c r="E753" s="19" t="s">
        <v>48</v>
      </c>
      <c r="F753">
        <v>329</v>
      </c>
      <c r="G753" s="19" t="s">
        <v>735</v>
      </c>
      <c r="H753">
        <v>2</v>
      </c>
      <c r="I753">
        <v>3</v>
      </c>
      <c r="J753" s="19" t="s">
        <v>50</v>
      </c>
      <c r="K753">
        <v>501</v>
      </c>
      <c r="L753">
        <v>4</v>
      </c>
      <c r="M753" s="19" t="s">
        <v>59</v>
      </c>
      <c r="N753">
        <v>3</v>
      </c>
      <c r="O753">
        <v>1</v>
      </c>
      <c r="P753" s="19" t="s">
        <v>67</v>
      </c>
      <c r="Q753">
        <v>3</v>
      </c>
      <c r="R753" s="19" t="s">
        <v>113</v>
      </c>
      <c r="S753">
        <v>21159</v>
      </c>
      <c r="T753" s="19" t="s">
        <v>54</v>
      </c>
      <c r="U753">
        <v>132.24</v>
      </c>
      <c r="V753">
        <v>4</v>
      </c>
      <c r="W753" s="19" t="s">
        <v>55</v>
      </c>
      <c r="X753">
        <v>13</v>
      </c>
      <c r="Y753">
        <v>3</v>
      </c>
      <c r="Z753">
        <v>2</v>
      </c>
      <c r="AA753">
        <v>1</v>
      </c>
      <c r="AB753">
        <v>6</v>
      </c>
      <c r="AC753">
        <v>3</v>
      </c>
      <c r="AD753">
        <v>3</v>
      </c>
      <c r="AE753">
        <v>2</v>
      </c>
      <c r="AF753">
        <v>2</v>
      </c>
      <c r="AG753">
        <v>2</v>
      </c>
      <c r="AH753">
        <v>2</v>
      </c>
      <c r="AI753">
        <v>0</v>
      </c>
      <c r="AJ753" s="19" t="s">
        <v>1566</v>
      </c>
      <c r="AK753" s="19" t="s">
        <v>1562</v>
      </c>
      <c r="AL753">
        <v>0</v>
      </c>
      <c r="AM753" s="19" t="s">
        <v>1563</v>
      </c>
      <c r="AN753">
        <v>-0.57568370122638324</v>
      </c>
      <c r="AO753">
        <v>253908</v>
      </c>
    </row>
    <row r="754" spans="1:41" x14ac:dyDescent="0.3">
      <c r="A754" s="19" t="s">
        <v>822</v>
      </c>
      <c r="B754">
        <v>36</v>
      </c>
      <c r="C754" s="19" t="s">
        <v>802</v>
      </c>
      <c r="D754" s="19" t="s">
        <v>55</v>
      </c>
      <c r="E754" s="19" t="s">
        <v>48</v>
      </c>
      <c r="F754">
        <v>164</v>
      </c>
      <c r="G754" s="19" t="s">
        <v>63</v>
      </c>
      <c r="H754">
        <v>2</v>
      </c>
      <c r="I754">
        <v>2</v>
      </c>
      <c r="J754" s="19" t="s">
        <v>58</v>
      </c>
      <c r="K754">
        <v>513</v>
      </c>
      <c r="L754">
        <v>2</v>
      </c>
      <c r="M754" s="19" t="s">
        <v>51</v>
      </c>
      <c r="N754">
        <v>2</v>
      </c>
      <c r="O754">
        <v>3</v>
      </c>
      <c r="P754" s="19" t="s">
        <v>145</v>
      </c>
      <c r="Q754">
        <v>3</v>
      </c>
      <c r="R754" s="19" t="s">
        <v>113</v>
      </c>
      <c r="S754">
        <v>48605</v>
      </c>
      <c r="T754" s="19" t="s">
        <v>72</v>
      </c>
      <c r="U754">
        <v>303.77999999999997</v>
      </c>
      <c r="V754">
        <v>1</v>
      </c>
      <c r="W754" s="19" t="s">
        <v>55</v>
      </c>
      <c r="X754">
        <v>13</v>
      </c>
      <c r="Y754">
        <v>3</v>
      </c>
      <c r="Z754">
        <v>2</v>
      </c>
      <c r="AA754">
        <v>2</v>
      </c>
      <c r="AB754">
        <v>10</v>
      </c>
      <c r="AC754">
        <v>2</v>
      </c>
      <c r="AD754">
        <v>3</v>
      </c>
      <c r="AE754">
        <v>10</v>
      </c>
      <c r="AF754">
        <v>9</v>
      </c>
      <c r="AG754">
        <v>9</v>
      </c>
      <c r="AH754">
        <v>0</v>
      </c>
      <c r="AI754">
        <v>0</v>
      </c>
      <c r="AJ754" s="19" t="s">
        <v>1569</v>
      </c>
      <c r="AK754" s="19" t="s">
        <v>1570</v>
      </c>
      <c r="AL754">
        <v>1</v>
      </c>
      <c r="AM754" s="19" t="s">
        <v>1565</v>
      </c>
      <c r="AN754">
        <v>-9.2333541015183207E-3</v>
      </c>
      <c r="AO754">
        <v>583260</v>
      </c>
    </row>
    <row r="755" spans="1:41" x14ac:dyDescent="0.3">
      <c r="A755" s="19" t="s">
        <v>823</v>
      </c>
      <c r="B755">
        <v>36</v>
      </c>
      <c r="C755" s="19" t="s">
        <v>802</v>
      </c>
      <c r="D755" s="19" t="s">
        <v>55</v>
      </c>
      <c r="E755" s="19" t="s">
        <v>66</v>
      </c>
      <c r="F755">
        <v>635</v>
      </c>
      <c r="G755" s="19" t="s">
        <v>63</v>
      </c>
      <c r="H755">
        <v>10</v>
      </c>
      <c r="I755">
        <v>4</v>
      </c>
      <c r="J755" s="19" t="s">
        <v>58</v>
      </c>
      <c r="K755">
        <v>592</v>
      </c>
      <c r="L755">
        <v>2</v>
      </c>
      <c r="M755" s="19" t="s">
        <v>51</v>
      </c>
      <c r="N755">
        <v>3</v>
      </c>
      <c r="O755">
        <v>3</v>
      </c>
      <c r="P755" s="19" t="s">
        <v>145</v>
      </c>
      <c r="Q755">
        <v>4</v>
      </c>
      <c r="R755" s="19" t="s">
        <v>53</v>
      </c>
      <c r="S755">
        <v>39088</v>
      </c>
      <c r="T755" s="19" t="s">
        <v>72</v>
      </c>
      <c r="U755">
        <v>244.3</v>
      </c>
      <c r="V755">
        <v>1</v>
      </c>
      <c r="W755" s="19" t="s">
        <v>55</v>
      </c>
      <c r="X755">
        <v>14</v>
      </c>
      <c r="Y755">
        <v>3</v>
      </c>
      <c r="Z755">
        <v>4</v>
      </c>
      <c r="AA755">
        <v>0</v>
      </c>
      <c r="AB755">
        <v>10</v>
      </c>
      <c r="AC755">
        <v>3</v>
      </c>
      <c r="AD755">
        <v>2</v>
      </c>
      <c r="AE755">
        <v>10</v>
      </c>
      <c r="AF755">
        <v>3</v>
      </c>
      <c r="AG755">
        <v>9</v>
      </c>
      <c r="AH755">
        <v>7</v>
      </c>
      <c r="AI755">
        <v>0</v>
      </c>
      <c r="AJ755" s="19" t="s">
        <v>1569</v>
      </c>
      <c r="AK755" s="19" t="s">
        <v>1570</v>
      </c>
      <c r="AL755">
        <v>2</v>
      </c>
      <c r="AM755" s="19" t="s">
        <v>1564</v>
      </c>
      <c r="AN755">
        <v>-0.20322833751918831</v>
      </c>
      <c r="AO755">
        <v>469056</v>
      </c>
    </row>
    <row r="756" spans="1:41" x14ac:dyDescent="0.3">
      <c r="A756" s="19" t="s">
        <v>824</v>
      </c>
      <c r="B756">
        <v>36</v>
      </c>
      <c r="C756" s="19" t="s">
        <v>802</v>
      </c>
      <c r="D756" s="19" t="s">
        <v>55</v>
      </c>
      <c r="E756" s="19" t="s">
        <v>48</v>
      </c>
      <c r="F756">
        <v>913</v>
      </c>
      <c r="G756" s="19" t="s">
        <v>735</v>
      </c>
      <c r="H756">
        <v>9</v>
      </c>
      <c r="I756">
        <v>2</v>
      </c>
      <c r="J756" s="19" t="s">
        <v>58</v>
      </c>
      <c r="K756">
        <v>699</v>
      </c>
      <c r="L756">
        <v>2</v>
      </c>
      <c r="M756" s="19" t="s">
        <v>51</v>
      </c>
      <c r="N756">
        <v>2</v>
      </c>
      <c r="O756">
        <v>2</v>
      </c>
      <c r="P756" s="19" t="s">
        <v>120</v>
      </c>
      <c r="Q756">
        <v>2</v>
      </c>
      <c r="R756" s="19" t="s">
        <v>53</v>
      </c>
      <c r="S756">
        <v>79752</v>
      </c>
      <c r="T756" s="19" t="s">
        <v>64</v>
      </c>
      <c r="U756">
        <v>498.45</v>
      </c>
      <c r="V756">
        <v>2</v>
      </c>
      <c r="W756" s="19" t="s">
        <v>47</v>
      </c>
      <c r="X756">
        <v>11</v>
      </c>
      <c r="Y756">
        <v>3</v>
      </c>
      <c r="Z756">
        <v>3</v>
      </c>
      <c r="AA756">
        <v>1</v>
      </c>
      <c r="AB756">
        <v>13</v>
      </c>
      <c r="AC756">
        <v>2</v>
      </c>
      <c r="AD756">
        <v>3</v>
      </c>
      <c r="AE756">
        <v>3</v>
      </c>
      <c r="AF756">
        <v>2</v>
      </c>
      <c r="AG756">
        <v>0</v>
      </c>
      <c r="AH756">
        <v>2</v>
      </c>
      <c r="AI756">
        <v>0</v>
      </c>
      <c r="AJ756" s="19" t="s">
        <v>1566</v>
      </c>
      <c r="AK756" s="19" t="s">
        <v>1562</v>
      </c>
      <c r="AL756">
        <v>2</v>
      </c>
      <c r="AM756" s="19" t="s">
        <v>1564</v>
      </c>
      <c r="AN756">
        <v>0.8004604523281541</v>
      </c>
      <c r="AO756">
        <v>957024</v>
      </c>
    </row>
    <row r="757" spans="1:41" x14ac:dyDescent="0.3">
      <c r="A757" s="19" t="s">
        <v>825</v>
      </c>
      <c r="B757">
        <v>36</v>
      </c>
      <c r="C757" s="19" t="s">
        <v>802</v>
      </c>
      <c r="D757" s="19" t="s">
        <v>55</v>
      </c>
      <c r="E757" s="19" t="s">
        <v>66</v>
      </c>
      <c r="F757">
        <v>427</v>
      </c>
      <c r="G757" s="19" t="s">
        <v>735</v>
      </c>
      <c r="H757">
        <v>8</v>
      </c>
      <c r="I757">
        <v>3</v>
      </c>
      <c r="J757" s="19" t="s">
        <v>50</v>
      </c>
      <c r="K757">
        <v>742</v>
      </c>
      <c r="L757">
        <v>1</v>
      </c>
      <c r="M757" s="19" t="s">
        <v>59</v>
      </c>
      <c r="N757">
        <v>4</v>
      </c>
      <c r="O757">
        <v>3</v>
      </c>
      <c r="P757" s="19" t="s">
        <v>257</v>
      </c>
      <c r="Q757">
        <v>1</v>
      </c>
      <c r="R757" s="19" t="s">
        <v>113</v>
      </c>
      <c r="S757">
        <v>56284</v>
      </c>
      <c r="T757" s="19" t="s">
        <v>64</v>
      </c>
      <c r="U757">
        <v>351.78</v>
      </c>
      <c r="V757">
        <v>9</v>
      </c>
      <c r="W757" s="19" t="s">
        <v>55</v>
      </c>
      <c r="X757">
        <v>14</v>
      </c>
      <c r="Y757">
        <v>3</v>
      </c>
      <c r="Z757">
        <v>1</v>
      </c>
      <c r="AA757">
        <v>1</v>
      </c>
      <c r="AB757">
        <v>10</v>
      </c>
      <c r="AC757">
        <v>2</v>
      </c>
      <c r="AD757">
        <v>3</v>
      </c>
      <c r="AE757">
        <v>8</v>
      </c>
      <c r="AF757">
        <v>7</v>
      </c>
      <c r="AG757">
        <v>0</v>
      </c>
      <c r="AH757">
        <v>5</v>
      </c>
      <c r="AI757">
        <v>0</v>
      </c>
      <c r="AJ757" s="19" t="s">
        <v>1569</v>
      </c>
      <c r="AK757" s="19" t="s">
        <v>1562</v>
      </c>
      <c r="AL757">
        <v>1</v>
      </c>
      <c r="AM757" s="19" t="s">
        <v>1565</v>
      </c>
      <c r="AN757">
        <v>0.1109471740513185</v>
      </c>
      <c r="AO757">
        <v>675408</v>
      </c>
    </row>
    <row r="758" spans="1:41" x14ac:dyDescent="0.3">
      <c r="A758" s="19" t="s">
        <v>826</v>
      </c>
      <c r="B758">
        <v>36</v>
      </c>
      <c r="C758" s="19" t="s">
        <v>802</v>
      </c>
      <c r="D758" s="19" t="s">
        <v>55</v>
      </c>
      <c r="E758" s="19" t="s">
        <v>66</v>
      </c>
      <c r="F758">
        <v>1434</v>
      </c>
      <c r="G758" s="19" t="s">
        <v>63</v>
      </c>
      <c r="H758">
        <v>8</v>
      </c>
      <c r="I758">
        <v>4</v>
      </c>
      <c r="J758" s="19" t="s">
        <v>50</v>
      </c>
      <c r="K758">
        <v>789</v>
      </c>
      <c r="L758">
        <v>1</v>
      </c>
      <c r="M758" s="19" t="s">
        <v>51</v>
      </c>
      <c r="N758">
        <v>2</v>
      </c>
      <c r="O758">
        <v>3</v>
      </c>
      <c r="P758" s="19" t="s">
        <v>145</v>
      </c>
      <c r="Q758">
        <v>1</v>
      </c>
      <c r="R758" s="19" t="s">
        <v>53</v>
      </c>
      <c r="S758">
        <v>58043</v>
      </c>
      <c r="T758" s="19" t="s">
        <v>64</v>
      </c>
      <c r="U758">
        <v>362.77</v>
      </c>
      <c r="V758">
        <v>1</v>
      </c>
      <c r="W758" s="19" t="s">
        <v>55</v>
      </c>
      <c r="X758">
        <v>15</v>
      </c>
      <c r="Y758">
        <v>3</v>
      </c>
      <c r="Z758">
        <v>2</v>
      </c>
      <c r="AA758">
        <v>0</v>
      </c>
      <c r="AB758">
        <v>10</v>
      </c>
      <c r="AC758">
        <v>1</v>
      </c>
      <c r="AD758">
        <v>3</v>
      </c>
      <c r="AE758">
        <v>10</v>
      </c>
      <c r="AF758">
        <v>7</v>
      </c>
      <c r="AG758">
        <v>0</v>
      </c>
      <c r="AH758">
        <v>9</v>
      </c>
      <c r="AI758">
        <v>0</v>
      </c>
      <c r="AJ758" s="19" t="s">
        <v>1569</v>
      </c>
      <c r="AK758" s="19" t="s">
        <v>1562</v>
      </c>
      <c r="AL758">
        <v>1</v>
      </c>
      <c r="AM758" s="19" t="s">
        <v>1565</v>
      </c>
      <c r="AN758">
        <v>0.18315128953575913</v>
      </c>
      <c r="AO758">
        <v>696516</v>
      </c>
    </row>
    <row r="759" spans="1:41" x14ac:dyDescent="0.3">
      <c r="A759" s="19" t="s">
        <v>827</v>
      </c>
      <c r="B759">
        <v>36</v>
      </c>
      <c r="C759" s="19" t="s">
        <v>802</v>
      </c>
      <c r="D759" s="19" t="s">
        <v>55</v>
      </c>
      <c r="E759" s="19" t="s">
        <v>48</v>
      </c>
      <c r="F759">
        <v>676</v>
      </c>
      <c r="G759" s="19" t="s">
        <v>735</v>
      </c>
      <c r="H759">
        <v>1</v>
      </c>
      <c r="I759">
        <v>3</v>
      </c>
      <c r="J759" s="19" t="s">
        <v>82</v>
      </c>
      <c r="K759">
        <v>823</v>
      </c>
      <c r="L759">
        <v>3</v>
      </c>
      <c r="M759" s="19" t="s">
        <v>59</v>
      </c>
      <c r="N759">
        <v>3</v>
      </c>
      <c r="O759">
        <v>2</v>
      </c>
      <c r="P759" s="19" t="s">
        <v>120</v>
      </c>
      <c r="Q759">
        <v>2</v>
      </c>
      <c r="R759" s="19" t="s">
        <v>113</v>
      </c>
      <c r="S759">
        <v>36547</v>
      </c>
      <c r="T759" s="19" t="s">
        <v>72</v>
      </c>
      <c r="U759">
        <v>228.42</v>
      </c>
      <c r="V759">
        <v>0</v>
      </c>
      <c r="W759" s="19" t="s">
        <v>55</v>
      </c>
      <c r="X759">
        <v>15</v>
      </c>
      <c r="Y759">
        <v>3</v>
      </c>
      <c r="Z759">
        <v>1</v>
      </c>
      <c r="AA759">
        <v>1</v>
      </c>
      <c r="AB759">
        <v>10</v>
      </c>
      <c r="AC759">
        <v>2</v>
      </c>
      <c r="AD759">
        <v>3</v>
      </c>
      <c r="AE759">
        <v>9</v>
      </c>
      <c r="AF759">
        <v>7</v>
      </c>
      <c r="AG759">
        <v>0</v>
      </c>
      <c r="AH759">
        <v>5</v>
      </c>
      <c r="AI759">
        <v>0</v>
      </c>
      <c r="AJ759" s="19" t="s">
        <v>1569</v>
      </c>
      <c r="AK759" s="19" t="s">
        <v>1562</v>
      </c>
      <c r="AL759">
        <v>1</v>
      </c>
      <c r="AM759" s="19" t="s">
        <v>1565</v>
      </c>
      <c r="AN759">
        <v>-0.17492441379229304</v>
      </c>
      <c r="AO759">
        <v>438564</v>
      </c>
    </row>
    <row r="760" spans="1:41" x14ac:dyDescent="0.3">
      <c r="A760" s="19" t="s">
        <v>828</v>
      </c>
      <c r="B760">
        <v>36</v>
      </c>
      <c r="C760" s="19" t="s">
        <v>802</v>
      </c>
      <c r="D760" s="19" t="s">
        <v>55</v>
      </c>
      <c r="E760" s="19" t="s">
        <v>48</v>
      </c>
      <c r="F760">
        <v>1041</v>
      </c>
      <c r="G760" s="19" t="s">
        <v>406</v>
      </c>
      <c r="H760">
        <v>13</v>
      </c>
      <c r="I760">
        <v>3</v>
      </c>
      <c r="J760" s="19" t="s">
        <v>80</v>
      </c>
      <c r="K760">
        <v>829</v>
      </c>
      <c r="L760">
        <v>3</v>
      </c>
      <c r="M760" s="19" t="s">
        <v>51</v>
      </c>
      <c r="N760">
        <v>3</v>
      </c>
      <c r="O760">
        <v>1</v>
      </c>
      <c r="P760" s="19" t="s">
        <v>80</v>
      </c>
      <c r="Q760">
        <v>2</v>
      </c>
      <c r="R760" s="19" t="s">
        <v>113</v>
      </c>
      <c r="S760">
        <v>98007</v>
      </c>
      <c r="T760" s="19" t="s">
        <v>70</v>
      </c>
      <c r="U760">
        <v>612.54</v>
      </c>
      <c r="V760">
        <v>4</v>
      </c>
      <c r="W760" s="19" t="s">
        <v>55</v>
      </c>
      <c r="X760">
        <v>13</v>
      </c>
      <c r="Y760">
        <v>3</v>
      </c>
      <c r="Z760">
        <v>2</v>
      </c>
      <c r="AA760">
        <v>1</v>
      </c>
      <c r="AB760">
        <v>8</v>
      </c>
      <c r="AC760">
        <v>2</v>
      </c>
      <c r="AD760">
        <v>3</v>
      </c>
      <c r="AE760">
        <v>5</v>
      </c>
      <c r="AF760">
        <v>2</v>
      </c>
      <c r="AG760">
        <v>0</v>
      </c>
      <c r="AH760">
        <v>4</v>
      </c>
      <c r="AI760">
        <v>0</v>
      </c>
      <c r="AJ760" s="19" t="s">
        <v>1567</v>
      </c>
      <c r="AK760" s="19" t="s">
        <v>1562</v>
      </c>
      <c r="AL760">
        <v>1</v>
      </c>
      <c r="AM760" s="19" t="s">
        <v>1565</v>
      </c>
      <c r="AN760">
        <v>0.93139929283091238</v>
      </c>
      <c r="AO760">
        <v>1176084</v>
      </c>
    </row>
    <row r="761" spans="1:41" x14ac:dyDescent="0.3">
      <c r="A761" s="19" t="s">
        <v>829</v>
      </c>
      <c r="B761">
        <v>36</v>
      </c>
      <c r="C761" s="19" t="s">
        <v>802</v>
      </c>
      <c r="D761" s="19" t="s">
        <v>55</v>
      </c>
      <c r="E761" s="19" t="s">
        <v>48</v>
      </c>
      <c r="F761">
        <v>928</v>
      </c>
      <c r="G761" s="19" t="s">
        <v>63</v>
      </c>
      <c r="H761">
        <v>1</v>
      </c>
      <c r="I761">
        <v>2</v>
      </c>
      <c r="J761" s="19" t="s">
        <v>50</v>
      </c>
      <c r="K761">
        <v>857</v>
      </c>
      <c r="L761">
        <v>2</v>
      </c>
      <c r="M761" s="19" t="s">
        <v>51</v>
      </c>
      <c r="N761">
        <v>3</v>
      </c>
      <c r="O761">
        <v>2</v>
      </c>
      <c r="P761" s="19" t="s">
        <v>145</v>
      </c>
      <c r="Q761">
        <v>4</v>
      </c>
      <c r="R761" s="19" t="s">
        <v>113</v>
      </c>
      <c r="S761">
        <v>83844</v>
      </c>
      <c r="T761" s="19" t="s">
        <v>70</v>
      </c>
      <c r="U761">
        <v>524.02</v>
      </c>
      <c r="V761">
        <v>1</v>
      </c>
      <c r="W761" s="19" t="s">
        <v>47</v>
      </c>
      <c r="X761">
        <v>14</v>
      </c>
      <c r="Y761">
        <v>3</v>
      </c>
      <c r="Z761">
        <v>4</v>
      </c>
      <c r="AA761">
        <v>1</v>
      </c>
      <c r="AB761">
        <v>18</v>
      </c>
      <c r="AC761">
        <v>1</v>
      </c>
      <c r="AD761">
        <v>2</v>
      </c>
      <c r="AE761">
        <v>18</v>
      </c>
      <c r="AF761">
        <v>14</v>
      </c>
      <c r="AG761">
        <v>4</v>
      </c>
      <c r="AH761">
        <v>11</v>
      </c>
      <c r="AI761">
        <v>0</v>
      </c>
      <c r="AJ761" s="19" t="s">
        <v>1571</v>
      </c>
      <c r="AK761" s="19" t="s">
        <v>1570</v>
      </c>
      <c r="AL761">
        <v>3</v>
      </c>
      <c r="AM761" s="19" t="s">
        <v>1568</v>
      </c>
      <c r="AN761">
        <v>0.70908010819282585</v>
      </c>
      <c r="AO761">
        <v>1006128</v>
      </c>
    </row>
    <row r="762" spans="1:41" x14ac:dyDescent="0.3">
      <c r="A762" s="19" t="s">
        <v>830</v>
      </c>
      <c r="B762">
        <v>36</v>
      </c>
      <c r="C762" s="19" t="s">
        <v>802</v>
      </c>
      <c r="D762" s="19" t="s">
        <v>55</v>
      </c>
      <c r="E762" s="19" t="s">
        <v>48</v>
      </c>
      <c r="F762">
        <v>1278</v>
      </c>
      <c r="G762" s="19" t="s">
        <v>406</v>
      </c>
      <c r="H762">
        <v>8</v>
      </c>
      <c r="I762">
        <v>3</v>
      </c>
      <c r="J762" s="19" t="s">
        <v>50</v>
      </c>
      <c r="K762">
        <v>878</v>
      </c>
      <c r="L762">
        <v>1</v>
      </c>
      <c r="M762" s="19" t="s">
        <v>51</v>
      </c>
      <c r="N762">
        <v>2</v>
      </c>
      <c r="O762">
        <v>1</v>
      </c>
      <c r="P762" s="19" t="s">
        <v>80</v>
      </c>
      <c r="Q762">
        <v>1</v>
      </c>
      <c r="R762" s="19" t="s">
        <v>113</v>
      </c>
      <c r="S762">
        <v>28532</v>
      </c>
      <c r="T762" s="19" t="s">
        <v>72</v>
      </c>
      <c r="U762">
        <v>178.32</v>
      </c>
      <c r="V762">
        <v>0</v>
      </c>
      <c r="W762" s="19" t="s">
        <v>55</v>
      </c>
      <c r="X762">
        <v>21</v>
      </c>
      <c r="Y762">
        <v>4</v>
      </c>
      <c r="Z762">
        <v>3</v>
      </c>
      <c r="AA762">
        <v>0</v>
      </c>
      <c r="AB762">
        <v>6</v>
      </c>
      <c r="AC762">
        <v>3</v>
      </c>
      <c r="AD762">
        <v>3</v>
      </c>
      <c r="AE762">
        <v>5</v>
      </c>
      <c r="AF762">
        <v>4</v>
      </c>
      <c r="AG762">
        <v>0</v>
      </c>
      <c r="AH762">
        <v>3</v>
      </c>
      <c r="AI762">
        <v>0</v>
      </c>
      <c r="AJ762" s="19" t="s">
        <v>1567</v>
      </c>
      <c r="AK762" s="19" t="s">
        <v>1562</v>
      </c>
      <c r="AL762">
        <v>1</v>
      </c>
      <c r="AM762" s="19" t="s">
        <v>1565</v>
      </c>
      <c r="AN762">
        <v>-0.43772705395480332</v>
      </c>
      <c r="AO762">
        <v>342384</v>
      </c>
    </row>
    <row r="763" spans="1:41" x14ac:dyDescent="0.3">
      <c r="A763" s="19" t="s">
        <v>831</v>
      </c>
      <c r="B763">
        <v>36</v>
      </c>
      <c r="C763" s="19" t="s">
        <v>802</v>
      </c>
      <c r="D763" s="19" t="s">
        <v>55</v>
      </c>
      <c r="E763" s="19" t="s">
        <v>48</v>
      </c>
      <c r="F763">
        <v>1425</v>
      </c>
      <c r="G763" s="19" t="s">
        <v>735</v>
      </c>
      <c r="H763">
        <v>14</v>
      </c>
      <c r="I763">
        <v>1</v>
      </c>
      <c r="J763" s="19" t="s">
        <v>50</v>
      </c>
      <c r="K763">
        <v>924</v>
      </c>
      <c r="L763">
        <v>3</v>
      </c>
      <c r="M763" s="19" t="s">
        <v>51</v>
      </c>
      <c r="N763">
        <v>3</v>
      </c>
      <c r="O763">
        <v>2</v>
      </c>
      <c r="P763" s="19" t="s">
        <v>168</v>
      </c>
      <c r="Q763">
        <v>4</v>
      </c>
      <c r="R763" s="19" t="s">
        <v>113</v>
      </c>
      <c r="S763">
        <v>35349</v>
      </c>
      <c r="T763" s="19" t="s">
        <v>72</v>
      </c>
      <c r="U763">
        <v>220.93</v>
      </c>
      <c r="V763">
        <v>0</v>
      </c>
      <c r="W763" s="19" t="s">
        <v>47</v>
      </c>
      <c r="X763">
        <v>17</v>
      </c>
      <c r="Y763">
        <v>3</v>
      </c>
      <c r="Z763">
        <v>1</v>
      </c>
      <c r="AA763">
        <v>1</v>
      </c>
      <c r="AB763">
        <v>17</v>
      </c>
      <c r="AC763">
        <v>2</v>
      </c>
      <c r="AD763">
        <v>2</v>
      </c>
      <c r="AE763">
        <v>16</v>
      </c>
      <c r="AF763">
        <v>8</v>
      </c>
      <c r="AG763">
        <v>4</v>
      </c>
      <c r="AH763">
        <v>11</v>
      </c>
      <c r="AI763">
        <v>0</v>
      </c>
      <c r="AJ763" s="19" t="s">
        <v>1571</v>
      </c>
      <c r="AK763" s="19" t="s">
        <v>1570</v>
      </c>
      <c r="AL763">
        <v>3</v>
      </c>
      <c r="AM763" s="19" t="s">
        <v>1568</v>
      </c>
      <c r="AN763">
        <v>-0.26645302439197921</v>
      </c>
      <c r="AO763">
        <v>424188</v>
      </c>
    </row>
    <row r="764" spans="1:41" x14ac:dyDescent="0.3">
      <c r="A764" s="19" t="s">
        <v>832</v>
      </c>
      <c r="B764">
        <v>36</v>
      </c>
      <c r="C764" s="19" t="s">
        <v>802</v>
      </c>
      <c r="D764" s="19" t="s">
        <v>55</v>
      </c>
      <c r="E764" s="19" t="s">
        <v>48</v>
      </c>
      <c r="F764">
        <v>188</v>
      </c>
      <c r="G764" s="19" t="s">
        <v>735</v>
      </c>
      <c r="H764">
        <v>7</v>
      </c>
      <c r="I764">
        <v>4</v>
      </c>
      <c r="J764" s="19" t="s">
        <v>82</v>
      </c>
      <c r="K764">
        <v>949</v>
      </c>
      <c r="L764">
        <v>2</v>
      </c>
      <c r="M764" s="19" t="s">
        <v>51</v>
      </c>
      <c r="N764">
        <v>3</v>
      </c>
      <c r="O764">
        <v>1</v>
      </c>
      <c r="P764" s="19" t="s">
        <v>67</v>
      </c>
      <c r="Q764">
        <v>4</v>
      </c>
      <c r="R764" s="19" t="s">
        <v>53</v>
      </c>
      <c r="S764">
        <v>46445</v>
      </c>
      <c r="T764" s="19" t="s">
        <v>72</v>
      </c>
      <c r="U764">
        <v>290.27999999999997</v>
      </c>
      <c r="V764">
        <v>2</v>
      </c>
      <c r="W764" s="19" t="s">
        <v>55</v>
      </c>
      <c r="X764">
        <v>18</v>
      </c>
      <c r="Y764">
        <v>3</v>
      </c>
      <c r="Z764">
        <v>3</v>
      </c>
      <c r="AA764">
        <v>0</v>
      </c>
      <c r="AB764">
        <v>8</v>
      </c>
      <c r="AC764">
        <v>6</v>
      </c>
      <c r="AD764">
        <v>3</v>
      </c>
      <c r="AE764">
        <v>6</v>
      </c>
      <c r="AF764">
        <v>2</v>
      </c>
      <c r="AG764">
        <v>0</v>
      </c>
      <c r="AH764">
        <v>1</v>
      </c>
      <c r="AI764">
        <v>0</v>
      </c>
      <c r="AJ764" s="19" t="s">
        <v>1569</v>
      </c>
      <c r="AK764" s="19" t="s">
        <v>1562</v>
      </c>
      <c r="AL764">
        <v>0</v>
      </c>
      <c r="AM764" s="19" t="s">
        <v>1563</v>
      </c>
      <c r="AN764">
        <v>-6.8605770757567325E-2</v>
      </c>
      <c r="AO764">
        <v>557340</v>
      </c>
    </row>
    <row r="765" spans="1:41" x14ac:dyDescent="0.3">
      <c r="A765" s="19" t="s">
        <v>833</v>
      </c>
      <c r="B765">
        <v>36</v>
      </c>
      <c r="C765" s="19" t="s">
        <v>802</v>
      </c>
      <c r="D765" s="19" t="s">
        <v>55</v>
      </c>
      <c r="E765" s="19" t="s">
        <v>48</v>
      </c>
      <c r="F765">
        <v>938</v>
      </c>
      <c r="G765" s="19" t="s">
        <v>735</v>
      </c>
      <c r="H765">
        <v>2</v>
      </c>
      <c r="I765">
        <v>4</v>
      </c>
      <c r="J765" s="19" t="s">
        <v>58</v>
      </c>
      <c r="K765">
        <v>958</v>
      </c>
      <c r="L765">
        <v>3</v>
      </c>
      <c r="M765" s="19" t="s">
        <v>51</v>
      </c>
      <c r="N765">
        <v>3</v>
      </c>
      <c r="O765">
        <v>1</v>
      </c>
      <c r="P765" s="19" t="s">
        <v>52</v>
      </c>
      <c r="Q765">
        <v>3</v>
      </c>
      <c r="R765" s="19" t="s">
        <v>53</v>
      </c>
      <c r="S765">
        <v>6713</v>
      </c>
      <c r="T765" s="19" t="s">
        <v>54</v>
      </c>
      <c r="U765">
        <v>41.96</v>
      </c>
      <c r="V765">
        <v>4</v>
      </c>
      <c r="W765" s="19" t="s">
        <v>55</v>
      </c>
      <c r="X765">
        <v>21</v>
      </c>
      <c r="Y765">
        <v>4</v>
      </c>
      <c r="Z765">
        <v>3</v>
      </c>
      <c r="AA765">
        <v>0</v>
      </c>
      <c r="AB765">
        <v>16</v>
      </c>
      <c r="AC765">
        <v>6</v>
      </c>
      <c r="AD765">
        <v>3</v>
      </c>
      <c r="AE765">
        <v>11</v>
      </c>
      <c r="AF765">
        <v>8</v>
      </c>
      <c r="AG765">
        <v>3</v>
      </c>
      <c r="AH765">
        <v>9</v>
      </c>
      <c r="AI765">
        <v>0</v>
      </c>
      <c r="AJ765" s="19" t="s">
        <v>1571</v>
      </c>
      <c r="AK765" s="19" t="s">
        <v>1570</v>
      </c>
      <c r="AL765">
        <v>1</v>
      </c>
      <c r="AM765" s="19" t="s">
        <v>1565</v>
      </c>
      <c r="AN765">
        <v>-0.87020645157918974</v>
      </c>
      <c r="AO765">
        <v>80556</v>
      </c>
    </row>
    <row r="766" spans="1:41" x14ac:dyDescent="0.3">
      <c r="A766" s="19" t="s">
        <v>834</v>
      </c>
      <c r="B766">
        <v>36</v>
      </c>
      <c r="C766" s="19" t="s">
        <v>802</v>
      </c>
      <c r="D766" s="19" t="s">
        <v>47</v>
      </c>
      <c r="E766" s="19" t="s">
        <v>48</v>
      </c>
      <c r="F766">
        <v>530</v>
      </c>
      <c r="G766" s="19" t="s">
        <v>63</v>
      </c>
      <c r="H766">
        <v>3</v>
      </c>
      <c r="I766">
        <v>1</v>
      </c>
      <c r="J766" s="19" t="s">
        <v>50</v>
      </c>
      <c r="K766">
        <v>967</v>
      </c>
      <c r="L766">
        <v>3</v>
      </c>
      <c r="M766" s="19" t="s">
        <v>51</v>
      </c>
      <c r="N766">
        <v>2</v>
      </c>
      <c r="O766">
        <v>3</v>
      </c>
      <c r="P766" s="19" t="s">
        <v>145</v>
      </c>
      <c r="Q766">
        <v>4</v>
      </c>
      <c r="R766" s="19" t="s">
        <v>113</v>
      </c>
      <c r="S766">
        <v>57178</v>
      </c>
      <c r="T766" s="19" t="s">
        <v>64</v>
      </c>
      <c r="U766">
        <v>357.36</v>
      </c>
      <c r="V766">
        <v>1</v>
      </c>
      <c r="W766" s="19" t="s">
        <v>47</v>
      </c>
      <c r="X766">
        <v>11</v>
      </c>
      <c r="Y766">
        <v>3</v>
      </c>
      <c r="Z766">
        <v>1</v>
      </c>
      <c r="AA766">
        <v>1</v>
      </c>
      <c r="AB766">
        <v>16</v>
      </c>
      <c r="AC766">
        <v>6</v>
      </c>
      <c r="AD766">
        <v>3</v>
      </c>
      <c r="AE766">
        <v>16</v>
      </c>
      <c r="AF766">
        <v>7</v>
      </c>
      <c r="AG766">
        <v>3</v>
      </c>
      <c r="AH766">
        <v>7</v>
      </c>
      <c r="AI766">
        <v>1</v>
      </c>
      <c r="AJ766" s="19" t="s">
        <v>1571</v>
      </c>
      <c r="AK766" s="19" t="s">
        <v>1570</v>
      </c>
      <c r="AL766">
        <v>2</v>
      </c>
      <c r="AM766" s="19" t="s">
        <v>1564</v>
      </c>
      <c r="AN766">
        <v>0.16551908814285332</v>
      </c>
      <c r="AO766">
        <v>686136</v>
      </c>
    </row>
    <row r="767" spans="1:41" x14ac:dyDescent="0.3">
      <c r="A767" s="19" t="s">
        <v>835</v>
      </c>
      <c r="B767">
        <v>36</v>
      </c>
      <c r="C767" s="19" t="s">
        <v>802</v>
      </c>
      <c r="D767" s="19" t="s">
        <v>55</v>
      </c>
      <c r="E767" s="19" t="s">
        <v>66</v>
      </c>
      <c r="F767">
        <v>1229</v>
      </c>
      <c r="G767" s="19" t="s">
        <v>63</v>
      </c>
      <c r="H767">
        <v>8</v>
      </c>
      <c r="I767">
        <v>4</v>
      </c>
      <c r="J767" s="19" t="s">
        <v>77</v>
      </c>
      <c r="K767">
        <v>990</v>
      </c>
      <c r="L767">
        <v>1</v>
      </c>
      <c r="M767" s="19" t="s">
        <v>51</v>
      </c>
      <c r="N767">
        <v>3</v>
      </c>
      <c r="O767">
        <v>2</v>
      </c>
      <c r="P767" s="19" t="s">
        <v>145</v>
      </c>
      <c r="Q767">
        <v>4</v>
      </c>
      <c r="R767" s="19" t="s">
        <v>53</v>
      </c>
      <c r="S767">
        <v>50407</v>
      </c>
      <c r="T767" s="19" t="s">
        <v>64</v>
      </c>
      <c r="U767">
        <v>315.04000000000002</v>
      </c>
      <c r="V767">
        <v>4</v>
      </c>
      <c r="W767" s="19" t="s">
        <v>55</v>
      </c>
      <c r="X767">
        <v>13</v>
      </c>
      <c r="Y767">
        <v>3</v>
      </c>
      <c r="Z767">
        <v>4</v>
      </c>
      <c r="AA767">
        <v>2</v>
      </c>
      <c r="AB767">
        <v>12</v>
      </c>
      <c r="AC767">
        <v>3</v>
      </c>
      <c r="AD767">
        <v>3</v>
      </c>
      <c r="AE767">
        <v>7</v>
      </c>
      <c r="AF767">
        <v>7</v>
      </c>
      <c r="AG767">
        <v>0</v>
      </c>
      <c r="AH767">
        <v>7</v>
      </c>
      <c r="AI767">
        <v>0</v>
      </c>
      <c r="AJ767" s="19" t="s">
        <v>1569</v>
      </c>
      <c r="AK767" s="19" t="s">
        <v>1562</v>
      </c>
      <c r="AL767">
        <v>0</v>
      </c>
      <c r="AM767" s="19" t="s">
        <v>1563</v>
      </c>
      <c r="AN767">
        <v>2.7498700129714351E-2</v>
      </c>
      <c r="AO767">
        <v>604884</v>
      </c>
    </row>
    <row r="768" spans="1:41" x14ac:dyDescent="0.3">
      <c r="A768" s="19" t="s">
        <v>836</v>
      </c>
      <c r="B768">
        <v>36</v>
      </c>
      <c r="C768" s="19" t="s">
        <v>802</v>
      </c>
      <c r="D768" s="19" t="s">
        <v>47</v>
      </c>
      <c r="E768" s="19" t="s">
        <v>48</v>
      </c>
      <c r="F768">
        <v>885</v>
      </c>
      <c r="G768" s="19" t="s">
        <v>735</v>
      </c>
      <c r="H768">
        <v>16</v>
      </c>
      <c r="I768">
        <v>4</v>
      </c>
      <c r="J768" s="19" t="s">
        <v>50</v>
      </c>
      <c r="K768">
        <v>1042</v>
      </c>
      <c r="L768">
        <v>3</v>
      </c>
      <c r="M768" s="19" t="s">
        <v>59</v>
      </c>
      <c r="N768">
        <v>4</v>
      </c>
      <c r="O768">
        <v>1</v>
      </c>
      <c r="P768" s="19" t="s">
        <v>52</v>
      </c>
      <c r="Q768">
        <v>1</v>
      </c>
      <c r="R768" s="19" t="s">
        <v>53</v>
      </c>
      <c r="S768">
        <v>71340</v>
      </c>
      <c r="T768" s="19" t="s">
        <v>64</v>
      </c>
      <c r="U768">
        <v>445.88</v>
      </c>
      <c r="V768">
        <v>1</v>
      </c>
      <c r="W768" s="19" t="s">
        <v>55</v>
      </c>
      <c r="X768">
        <v>16</v>
      </c>
      <c r="Y768">
        <v>3</v>
      </c>
      <c r="Z768">
        <v>3</v>
      </c>
      <c r="AA768">
        <v>0</v>
      </c>
      <c r="AB768">
        <v>18</v>
      </c>
      <c r="AC768">
        <v>1</v>
      </c>
      <c r="AD768">
        <v>3</v>
      </c>
      <c r="AE768">
        <v>17</v>
      </c>
      <c r="AF768">
        <v>13</v>
      </c>
      <c r="AG768">
        <v>15</v>
      </c>
      <c r="AH768">
        <v>14</v>
      </c>
      <c r="AI768">
        <v>1</v>
      </c>
      <c r="AJ768" s="19" t="s">
        <v>1571</v>
      </c>
      <c r="AK768" s="19" t="s">
        <v>1570</v>
      </c>
      <c r="AL768">
        <v>2</v>
      </c>
      <c r="AM768" s="19" t="s">
        <v>1564</v>
      </c>
      <c r="AN768">
        <v>0.37933438765687483</v>
      </c>
      <c r="AO768">
        <v>856080</v>
      </c>
    </row>
    <row r="769" spans="1:41" x14ac:dyDescent="0.3">
      <c r="A769" s="19" t="s">
        <v>837</v>
      </c>
      <c r="B769">
        <v>36</v>
      </c>
      <c r="C769" s="19" t="s">
        <v>802</v>
      </c>
      <c r="D769" s="19" t="s">
        <v>47</v>
      </c>
      <c r="E769" s="19" t="s">
        <v>48</v>
      </c>
      <c r="F769">
        <v>660</v>
      </c>
      <c r="G769" s="19" t="s">
        <v>735</v>
      </c>
      <c r="H769">
        <v>15</v>
      </c>
      <c r="I769">
        <v>3</v>
      </c>
      <c r="J769" s="19" t="s">
        <v>82</v>
      </c>
      <c r="K769">
        <v>1052</v>
      </c>
      <c r="L769">
        <v>1</v>
      </c>
      <c r="M769" s="19" t="s">
        <v>51</v>
      </c>
      <c r="N769">
        <v>3</v>
      </c>
      <c r="O769">
        <v>2</v>
      </c>
      <c r="P769" s="19" t="s">
        <v>52</v>
      </c>
      <c r="Q769">
        <v>3</v>
      </c>
      <c r="R769" s="19" t="s">
        <v>53</v>
      </c>
      <c r="S769">
        <v>51990</v>
      </c>
      <c r="T769" s="19" t="s">
        <v>64</v>
      </c>
      <c r="U769">
        <v>324.94</v>
      </c>
      <c r="V769">
        <v>7</v>
      </c>
      <c r="W769" s="19" t="s">
        <v>55</v>
      </c>
      <c r="X769">
        <v>14</v>
      </c>
      <c r="Y769">
        <v>3</v>
      </c>
      <c r="Z769">
        <v>2</v>
      </c>
      <c r="AA769">
        <v>1</v>
      </c>
      <c r="AB769">
        <v>9</v>
      </c>
      <c r="AC769">
        <v>3</v>
      </c>
      <c r="AD769">
        <v>2</v>
      </c>
      <c r="AE769">
        <v>1</v>
      </c>
      <c r="AF769">
        <v>0</v>
      </c>
      <c r="AG769">
        <v>0</v>
      </c>
      <c r="AH769">
        <v>0</v>
      </c>
      <c r="AI769">
        <v>1</v>
      </c>
      <c r="AJ769" s="19" t="s">
        <v>1561</v>
      </c>
      <c r="AK769" s="19" t="s">
        <v>1562</v>
      </c>
      <c r="AL769">
        <v>1</v>
      </c>
      <c r="AM769" s="19" t="s">
        <v>1565</v>
      </c>
      <c r="AN769">
        <v>5.2087862949386403E-3</v>
      </c>
      <c r="AO769">
        <v>623880</v>
      </c>
    </row>
    <row r="770" spans="1:41" x14ac:dyDescent="0.3">
      <c r="A770" s="19" t="s">
        <v>838</v>
      </c>
      <c r="B770">
        <v>36</v>
      </c>
      <c r="C770" s="19" t="s">
        <v>802</v>
      </c>
      <c r="D770" s="19" t="s">
        <v>55</v>
      </c>
      <c r="E770" s="19" t="s">
        <v>48</v>
      </c>
      <c r="F770">
        <v>796</v>
      </c>
      <c r="G770" s="19" t="s">
        <v>735</v>
      </c>
      <c r="H770">
        <v>12</v>
      </c>
      <c r="I770">
        <v>5</v>
      </c>
      <c r="J770" s="19" t="s">
        <v>58</v>
      </c>
      <c r="K770">
        <v>1073</v>
      </c>
      <c r="L770">
        <v>4</v>
      </c>
      <c r="M770" s="19" t="s">
        <v>59</v>
      </c>
      <c r="N770">
        <v>2</v>
      </c>
      <c r="O770">
        <v>3</v>
      </c>
      <c r="P770" s="19" t="s">
        <v>120</v>
      </c>
      <c r="Q770">
        <v>4</v>
      </c>
      <c r="R770" s="19" t="s">
        <v>53</v>
      </c>
      <c r="S770">
        <v>76672</v>
      </c>
      <c r="T770" s="19" t="s">
        <v>64</v>
      </c>
      <c r="U770">
        <v>479.2</v>
      </c>
      <c r="V770">
        <v>0</v>
      </c>
      <c r="W770" s="19" t="s">
        <v>55</v>
      </c>
      <c r="X770">
        <v>11</v>
      </c>
      <c r="Y770">
        <v>3</v>
      </c>
      <c r="Z770">
        <v>2</v>
      </c>
      <c r="AA770">
        <v>0</v>
      </c>
      <c r="AB770">
        <v>15</v>
      </c>
      <c r="AC770">
        <v>2</v>
      </c>
      <c r="AD770">
        <v>2</v>
      </c>
      <c r="AE770">
        <v>14</v>
      </c>
      <c r="AF770">
        <v>8</v>
      </c>
      <c r="AG770">
        <v>7</v>
      </c>
      <c r="AH770">
        <v>8</v>
      </c>
      <c r="AI770">
        <v>0</v>
      </c>
      <c r="AJ770" s="19" t="s">
        <v>1571</v>
      </c>
      <c r="AK770" s="19" t="s">
        <v>1570</v>
      </c>
      <c r="AL770">
        <v>2</v>
      </c>
      <c r="AM770" s="19" t="s">
        <v>1564</v>
      </c>
      <c r="AN770">
        <v>0.73092717174370836</v>
      </c>
      <c r="AO770">
        <v>920064</v>
      </c>
    </row>
    <row r="771" spans="1:41" x14ac:dyDescent="0.3">
      <c r="A771" s="19" t="s">
        <v>839</v>
      </c>
      <c r="B771">
        <v>36</v>
      </c>
      <c r="C771" s="19" t="s">
        <v>802</v>
      </c>
      <c r="D771" s="19" t="s">
        <v>55</v>
      </c>
      <c r="E771" s="19" t="s">
        <v>66</v>
      </c>
      <c r="F771">
        <v>217</v>
      </c>
      <c r="G771" s="19" t="s">
        <v>735</v>
      </c>
      <c r="H771">
        <v>18</v>
      </c>
      <c r="I771">
        <v>4</v>
      </c>
      <c r="J771" s="19" t="s">
        <v>50</v>
      </c>
      <c r="K771">
        <v>1133</v>
      </c>
      <c r="L771">
        <v>1</v>
      </c>
      <c r="M771" s="19" t="s">
        <v>51</v>
      </c>
      <c r="N771">
        <v>3</v>
      </c>
      <c r="O771">
        <v>2</v>
      </c>
      <c r="P771" s="19" t="s">
        <v>120</v>
      </c>
      <c r="Q771">
        <v>4</v>
      </c>
      <c r="R771" s="19" t="s">
        <v>53</v>
      </c>
      <c r="S771">
        <v>66545</v>
      </c>
      <c r="T771" s="19" t="s">
        <v>64</v>
      </c>
      <c r="U771">
        <v>415.91</v>
      </c>
      <c r="V771">
        <v>2</v>
      </c>
      <c r="W771" s="19" t="s">
        <v>55</v>
      </c>
      <c r="X771">
        <v>20</v>
      </c>
      <c r="Y771">
        <v>4</v>
      </c>
      <c r="Z771">
        <v>1</v>
      </c>
      <c r="AA771">
        <v>0</v>
      </c>
      <c r="AB771">
        <v>18</v>
      </c>
      <c r="AC771">
        <v>0</v>
      </c>
      <c r="AD771">
        <v>3</v>
      </c>
      <c r="AE771">
        <v>11</v>
      </c>
      <c r="AF771">
        <v>9</v>
      </c>
      <c r="AG771">
        <v>0</v>
      </c>
      <c r="AH771">
        <v>9</v>
      </c>
      <c r="AI771">
        <v>0</v>
      </c>
      <c r="AJ771" s="19" t="s">
        <v>1571</v>
      </c>
      <c r="AK771" s="19" t="s">
        <v>1562</v>
      </c>
      <c r="AL771">
        <v>0</v>
      </c>
      <c r="AM771" s="19" t="s">
        <v>1563</v>
      </c>
      <c r="AN771">
        <v>0.50230264821166881</v>
      </c>
      <c r="AO771">
        <v>798540</v>
      </c>
    </row>
    <row r="772" spans="1:41" x14ac:dyDescent="0.3">
      <c r="A772" s="19" t="s">
        <v>840</v>
      </c>
      <c r="B772">
        <v>36</v>
      </c>
      <c r="C772" s="19" t="s">
        <v>802</v>
      </c>
      <c r="D772" s="19" t="s">
        <v>55</v>
      </c>
      <c r="E772" s="19" t="s">
        <v>48</v>
      </c>
      <c r="F772">
        <v>917</v>
      </c>
      <c r="G772" s="19" t="s">
        <v>735</v>
      </c>
      <c r="H772">
        <v>6</v>
      </c>
      <c r="I772">
        <v>4</v>
      </c>
      <c r="J772" s="19" t="s">
        <v>50</v>
      </c>
      <c r="K772">
        <v>1221</v>
      </c>
      <c r="L772">
        <v>3</v>
      </c>
      <c r="M772" s="19" t="s">
        <v>51</v>
      </c>
      <c r="N772">
        <v>1</v>
      </c>
      <c r="O772">
        <v>1</v>
      </c>
      <c r="P772" s="19" t="s">
        <v>52</v>
      </c>
      <c r="Q772">
        <v>3</v>
      </c>
      <c r="R772" s="19" t="s">
        <v>53</v>
      </c>
      <c r="S772">
        <v>85791</v>
      </c>
      <c r="T772" s="19" t="s">
        <v>70</v>
      </c>
      <c r="U772">
        <v>536.19000000000005</v>
      </c>
      <c r="V772">
        <v>1</v>
      </c>
      <c r="W772" s="19" t="s">
        <v>55</v>
      </c>
      <c r="X772">
        <v>14</v>
      </c>
      <c r="Y772">
        <v>3</v>
      </c>
      <c r="Z772">
        <v>3</v>
      </c>
      <c r="AA772">
        <v>1</v>
      </c>
      <c r="AB772">
        <v>7</v>
      </c>
      <c r="AC772">
        <v>4</v>
      </c>
      <c r="AD772">
        <v>3</v>
      </c>
      <c r="AE772">
        <v>7</v>
      </c>
      <c r="AF772">
        <v>7</v>
      </c>
      <c r="AG772">
        <v>1</v>
      </c>
      <c r="AH772">
        <v>7</v>
      </c>
      <c r="AI772">
        <v>0</v>
      </c>
      <c r="AJ772" s="19" t="s">
        <v>1569</v>
      </c>
      <c r="AK772" s="19" t="s">
        <v>1562</v>
      </c>
      <c r="AL772">
        <v>0</v>
      </c>
      <c r="AM772" s="19" t="s">
        <v>1563</v>
      </c>
      <c r="AN772">
        <v>0.65873950730965725</v>
      </c>
      <c r="AO772">
        <v>1029492</v>
      </c>
    </row>
    <row r="773" spans="1:41" x14ac:dyDescent="0.3">
      <c r="A773" s="19" t="s">
        <v>841</v>
      </c>
      <c r="B773">
        <v>36</v>
      </c>
      <c r="C773" s="19" t="s">
        <v>802</v>
      </c>
      <c r="D773" s="19" t="s">
        <v>55</v>
      </c>
      <c r="E773" s="19" t="s">
        <v>48</v>
      </c>
      <c r="F773">
        <v>363</v>
      </c>
      <c r="G773" s="19" t="s">
        <v>735</v>
      </c>
      <c r="H773">
        <v>1</v>
      </c>
      <c r="I773">
        <v>3</v>
      </c>
      <c r="J773" s="19" t="s">
        <v>77</v>
      </c>
      <c r="K773">
        <v>1237</v>
      </c>
      <c r="L773">
        <v>3</v>
      </c>
      <c r="M773" s="19" t="s">
        <v>59</v>
      </c>
      <c r="N773">
        <v>1</v>
      </c>
      <c r="O773">
        <v>3</v>
      </c>
      <c r="P773" s="19" t="s">
        <v>120</v>
      </c>
      <c r="Q773">
        <v>1</v>
      </c>
      <c r="R773" s="19" t="s">
        <v>53</v>
      </c>
      <c r="S773">
        <v>59141</v>
      </c>
      <c r="T773" s="19" t="s">
        <v>64</v>
      </c>
      <c r="U773">
        <v>369.63</v>
      </c>
      <c r="V773">
        <v>2</v>
      </c>
      <c r="W773" s="19" t="s">
        <v>47</v>
      </c>
      <c r="X773">
        <v>21</v>
      </c>
      <c r="Y773">
        <v>4</v>
      </c>
      <c r="Z773">
        <v>3</v>
      </c>
      <c r="AA773">
        <v>1</v>
      </c>
      <c r="AB773">
        <v>17</v>
      </c>
      <c r="AC773">
        <v>2</v>
      </c>
      <c r="AD773">
        <v>3</v>
      </c>
      <c r="AE773">
        <v>7</v>
      </c>
      <c r="AF773">
        <v>7</v>
      </c>
      <c r="AG773">
        <v>7</v>
      </c>
      <c r="AH773">
        <v>7</v>
      </c>
      <c r="AI773">
        <v>0</v>
      </c>
      <c r="AJ773" s="19" t="s">
        <v>1569</v>
      </c>
      <c r="AK773" s="19" t="s">
        <v>1570</v>
      </c>
      <c r="AL773">
        <v>3</v>
      </c>
      <c r="AM773" s="19" t="s">
        <v>1568</v>
      </c>
      <c r="AN773">
        <v>0.33515186592360519</v>
      </c>
      <c r="AO773">
        <v>709692</v>
      </c>
    </row>
    <row r="774" spans="1:41" x14ac:dyDescent="0.3">
      <c r="A774" s="19" t="s">
        <v>842</v>
      </c>
      <c r="B774">
        <v>36</v>
      </c>
      <c r="C774" s="19" t="s">
        <v>802</v>
      </c>
      <c r="D774" s="19" t="s">
        <v>55</v>
      </c>
      <c r="E774" s="19" t="s">
        <v>62</v>
      </c>
      <c r="F774">
        <v>469</v>
      </c>
      <c r="G774" s="19" t="s">
        <v>735</v>
      </c>
      <c r="H774">
        <v>3</v>
      </c>
      <c r="I774">
        <v>3</v>
      </c>
      <c r="J774" s="19" t="s">
        <v>77</v>
      </c>
      <c r="K774">
        <v>1257</v>
      </c>
      <c r="L774">
        <v>3</v>
      </c>
      <c r="M774" s="19" t="s">
        <v>51</v>
      </c>
      <c r="N774">
        <v>3</v>
      </c>
      <c r="O774">
        <v>1</v>
      </c>
      <c r="P774" s="19" t="s">
        <v>67</v>
      </c>
      <c r="Q774">
        <v>2</v>
      </c>
      <c r="R774" s="19" t="s">
        <v>113</v>
      </c>
      <c r="S774">
        <v>24793</v>
      </c>
      <c r="T774" s="19" t="s">
        <v>54</v>
      </c>
      <c r="U774">
        <v>154.96</v>
      </c>
      <c r="V774">
        <v>1</v>
      </c>
      <c r="W774" s="19" t="s">
        <v>55</v>
      </c>
      <c r="X774">
        <v>12</v>
      </c>
      <c r="Y774">
        <v>3</v>
      </c>
      <c r="Z774">
        <v>3</v>
      </c>
      <c r="AA774">
        <v>0</v>
      </c>
      <c r="AB774">
        <v>12</v>
      </c>
      <c r="AC774">
        <v>2</v>
      </c>
      <c r="AD774">
        <v>2</v>
      </c>
      <c r="AE774">
        <v>11</v>
      </c>
      <c r="AF774">
        <v>10</v>
      </c>
      <c r="AG774">
        <v>0</v>
      </c>
      <c r="AH774">
        <v>7</v>
      </c>
      <c r="AI774">
        <v>0</v>
      </c>
      <c r="AJ774" s="19" t="s">
        <v>1571</v>
      </c>
      <c r="AK774" s="19" t="s">
        <v>1562</v>
      </c>
      <c r="AL774">
        <v>2</v>
      </c>
      <c r="AM774" s="19" t="s">
        <v>1564</v>
      </c>
      <c r="AN774">
        <v>-0.502808545040206</v>
      </c>
      <c r="AO774">
        <v>297516</v>
      </c>
    </row>
    <row r="775" spans="1:41" x14ac:dyDescent="0.3">
      <c r="A775" s="19" t="s">
        <v>843</v>
      </c>
      <c r="B775">
        <v>36</v>
      </c>
      <c r="C775" s="19" t="s">
        <v>802</v>
      </c>
      <c r="D775" s="19" t="s">
        <v>55</v>
      </c>
      <c r="E775" s="19" t="s">
        <v>48</v>
      </c>
      <c r="F775">
        <v>429</v>
      </c>
      <c r="G775" s="19" t="s">
        <v>735</v>
      </c>
      <c r="H775">
        <v>2</v>
      </c>
      <c r="I775">
        <v>4</v>
      </c>
      <c r="J775" s="19" t="s">
        <v>50</v>
      </c>
      <c r="K775">
        <v>1294</v>
      </c>
      <c r="L775">
        <v>3</v>
      </c>
      <c r="M775" s="19" t="s">
        <v>59</v>
      </c>
      <c r="N775">
        <v>3</v>
      </c>
      <c r="O775">
        <v>2</v>
      </c>
      <c r="P775" s="19" t="s">
        <v>120</v>
      </c>
      <c r="Q775">
        <v>2</v>
      </c>
      <c r="R775" s="19" t="s">
        <v>53</v>
      </c>
      <c r="S775">
        <v>57570</v>
      </c>
      <c r="T775" s="19" t="s">
        <v>64</v>
      </c>
      <c r="U775">
        <v>359.81</v>
      </c>
      <c r="V775">
        <v>9</v>
      </c>
      <c r="W775" s="19" t="s">
        <v>47</v>
      </c>
      <c r="X775">
        <v>11</v>
      </c>
      <c r="Y775">
        <v>3</v>
      </c>
      <c r="Z775">
        <v>4</v>
      </c>
      <c r="AA775">
        <v>0</v>
      </c>
      <c r="AB775">
        <v>18</v>
      </c>
      <c r="AC775">
        <v>2</v>
      </c>
      <c r="AD775">
        <v>3</v>
      </c>
      <c r="AE775">
        <v>16</v>
      </c>
      <c r="AF775">
        <v>14</v>
      </c>
      <c r="AG775">
        <v>5</v>
      </c>
      <c r="AH775">
        <v>12</v>
      </c>
      <c r="AI775">
        <v>0</v>
      </c>
      <c r="AJ775" s="19" t="s">
        <v>1571</v>
      </c>
      <c r="AK775" s="19" t="s">
        <v>1570</v>
      </c>
      <c r="AL775">
        <v>3</v>
      </c>
      <c r="AM775" s="19" t="s">
        <v>1568</v>
      </c>
      <c r="AN775">
        <v>0.29968537767744796</v>
      </c>
      <c r="AO775">
        <v>690840</v>
      </c>
    </row>
    <row r="776" spans="1:41" x14ac:dyDescent="0.3">
      <c r="A776" s="19" t="s">
        <v>844</v>
      </c>
      <c r="B776">
        <v>36</v>
      </c>
      <c r="C776" s="19" t="s">
        <v>802</v>
      </c>
      <c r="D776" s="19" t="s">
        <v>55</v>
      </c>
      <c r="E776" s="19" t="s">
        <v>48</v>
      </c>
      <c r="F776">
        <v>325</v>
      </c>
      <c r="G776" s="19" t="s">
        <v>735</v>
      </c>
      <c r="H776">
        <v>10</v>
      </c>
      <c r="I776">
        <v>4</v>
      </c>
      <c r="J776" s="19" t="s">
        <v>77</v>
      </c>
      <c r="K776">
        <v>1312</v>
      </c>
      <c r="L776">
        <v>4</v>
      </c>
      <c r="M776" s="19" t="s">
        <v>59</v>
      </c>
      <c r="N776">
        <v>3</v>
      </c>
      <c r="O776">
        <v>3</v>
      </c>
      <c r="P776" s="19" t="s">
        <v>168</v>
      </c>
      <c r="Q776">
        <v>3</v>
      </c>
      <c r="R776" s="19" t="s">
        <v>113</v>
      </c>
      <c r="S776">
        <v>96084</v>
      </c>
      <c r="T776" s="19" t="s">
        <v>70</v>
      </c>
      <c r="U776">
        <v>600.52</v>
      </c>
      <c r="V776">
        <v>3</v>
      </c>
      <c r="W776" s="19" t="s">
        <v>55</v>
      </c>
      <c r="X776">
        <v>12</v>
      </c>
      <c r="Y776">
        <v>3</v>
      </c>
      <c r="Z776">
        <v>1</v>
      </c>
      <c r="AA776">
        <v>0</v>
      </c>
      <c r="AB776">
        <v>10</v>
      </c>
      <c r="AC776">
        <v>0</v>
      </c>
      <c r="AD776">
        <v>3</v>
      </c>
      <c r="AE776">
        <v>7</v>
      </c>
      <c r="AF776">
        <v>7</v>
      </c>
      <c r="AG776">
        <v>1</v>
      </c>
      <c r="AH776">
        <v>7</v>
      </c>
      <c r="AI776">
        <v>0</v>
      </c>
      <c r="AJ776" s="19" t="s">
        <v>1569</v>
      </c>
      <c r="AK776" s="19" t="s">
        <v>1562</v>
      </c>
      <c r="AL776">
        <v>0</v>
      </c>
      <c r="AM776" s="19" t="s">
        <v>1563</v>
      </c>
      <c r="AN776">
        <v>0.99389311166712135</v>
      </c>
      <c r="AO776">
        <v>1153008</v>
      </c>
    </row>
    <row r="777" spans="1:41" x14ac:dyDescent="0.3">
      <c r="A777" s="19" t="s">
        <v>845</v>
      </c>
      <c r="B777">
        <v>36</v>
      </c>
      <c r="C777" s="19" t="s">
        <v>802</v>
      </c>
      <c r="D777" s="19" t="s">
        <v>55</v>
      </c>
      <c r="E777" s="19" t="s">
        <v>62</v>
      </c>
      <c r="F777">
        <v>607</v>
      </c>
      <c r="G777" s="19" t="s">
        <v>63</v>
      </c>
      <c r="H777">
        <v>7</v>
      </c>
      <c r="I777">
        <v>3</v>
      </c>
      <c r="J777" s="19" t="s">
        <v>63</v>
      </c>
      <c r="K777">
        <v>1362</v>
      </c>
      <c r="L777">
        <v>1</v>
      </c>
      <c r="M777" s="19" t="s">
        <v>59</v>
      </c>
      <c r="N777">
        <v>4</v>
      </c>
      <c r="O777">
        <v>2</v>
      </c>
      <c r="P777" s="19" t="s">
        <v>145</v>
      </c>
      <c r="Q777">
        <v>1</v>
      </c>
      <c r="R777" s="19" t="s">
        <v>113</v>
      </c>
      <c r="S777">
        <v>38892</v>
      </c>
      <c r="T777" s="19" t="s">
        <v>72</v>
      </c>
      <c r="U777">
        <v>243.08</v>
      </c>
      <c r="V777">
        <v>2</v>
      </c>
      <c r="W777" s="19" t="s">
        <v>55</v>
      </c>
      <c r="X777">
        <v>16</v>
      </c>
      <c r="Y777">
        <v>3</v>
      </c>
      <c r="Z777">
        <v>4</v>
      </c>
      <c r="AA777">
        <v>1</v>
      </c>
      <c r="AB777">
        <v>17</v>
      </c>
      <c r="AC777">
        <v>2</v>
      </c>
      <c r="AD777">
        <v>2</v>
      </c>
      <c r="AE777">
        <v>15</v>
      </c>
      <c r="AF777">
        <v>7</v>
      </c>
      <c r="AG777">
        <v>6</v>
      </c>
      <c r="AH777">
        <v>13</v>
      </c>
      <c r="AI777">
        <v>0</v>
      </c>
      <c r="AJ777" s="19" t="s">
        <v>1571</v>
      </c>
      <c r="AK777" s="19" t="s">
        <v>1570</v>
      </c>
      <c r="AL777">
        <v>3</v>
      </c>
      <c r="AM777" s="19" t="s">
        <v>1568</v>
      </c>
      <c r="AN777">
        <v>-0.20722361089839009</v>
      </c>
      <c r="AO777">
        <v>466704</v>
      </c>
    </row>
    <row r="778" spans="1:41" x14ac:dyDescent="0.3">
      <c r="A778" s="19" t="s">
        <v>846</v>
      </c>
      <c r="B778">
        <v>36</v>
      </c>
      <c r="C778" s="19" t="s">
        <v>802</v>
      </c>
      <c r="D778" s="19" t="s">
        <v>55</v>
      </c>
      <c r="E778" s="19" t="s">
        <v>48</v>
      </c>
      <c r="F778">
        <v>1174</v>
      </c>
      <c r="G778" s="19" t="s">
        <v>63</v>
      </c>
      <c r="H778">
        <v>3</v>
      </c>
      <c r="I778">
        <v>4</v>
      </c>
      <c r="J778" s="19" t="s">
        <v>63</v>
      </c>
      <c r="K778">
        <v>1425</v>
      </c>
      <c r="L778">
        <v>1</v>
      </c>
      <c r="M778" s="19" t="s">
        <v>59</v>
      </c>
      <c r="N778">
        <v>3</v>
      </c>
      <c r="O778">
        <v>2</v>
      </c>
      <c r="P778" s="19" t="s">
        <v>145</v>
      </c>
      <c r="Q778">
        <v>2</v>
      </c>
      <c r="R778" s="19" t="s">
        <v>53</v>
      </c>
      <c r="S778">
        <v>2015</v>
      </c>
      <c r="T778" s="19" t="s">
        <v>54</v>
      </c>
      <c r="U778">
        <v>12.59</v>
      </c>
      <c r="V778">
        <v>3</v>
      </c>
      <c r="W778" s="19" t="s">
        <v>47</v>
      </c>
      <c r="X778">
        <v>16</v>
      </c>
      <c r="Y778">
        <v>3</v>
      </c>
      <c r="Z778">
        <v>4</v>
      </c>
      <c r="AA778">
        <v>0</v>
      </c>
      <c r="AB778">
        <v>15</v>
      </c>
      <c r="AC778">
        <v>3</v>
      </c>
      <c r="AD778">
        <v>3</v>
      </c>
      <c r="AE778">
        <v>5</v>
      </c>
      <c r="AF778">
        <v>4</v>
      </c>
      <c r="AG778">
        <v>0</v>
      </c>
      <c r="AH778">
        <v>1</v>
      </c>
      <c r="AI778">
        <v>0</v>
      </c>
      <c r="AJ778" s="19" t="s">
        <v>1567</v>
      </c>
      <c r="AK778" s="19" t="s">
        <v>1562</v>
      </c>
      <c r="AL778">
        <v>2</v>
      </c>
      <c r="AM778" s="19" t="s">
        <v>1564</v>
      </c>
      <c r="AN778">
        <v>-0.95892614357606332</v>
      </c>
      <c r="AO778">
        <v>24180</v>
      </c>
    </row>
    <row r="779" spans="1:41" x14ac:dyDescent="0.3">
      <c r="A779" s="19" t="s">
        <v>847</v>
      </c>
      <c r="B779">
        <v>36</v>
      </c>
      <c r="C779" s="19" t="s">
        <v>802</v>
      </c>
      <c r="D779" s="19" t="s">
        <v>55</v>
      </c>
      <c r="E779" s="19" t="s">
        <v>48</v>
      </c>
      <c r="F779">
        <v>172</v>
      </c>
      <c r="G779" s="19" t="s">
        <v>735</v>
      </c>
      <c r="H779">
        <v>4</v>
      </c>
      <c r="I779">
        <v>4</v>
      </c>
      <c r="J779" s="19" t="s">
        <v>50</v>
      </c>
      <c r="K779">
        <v>1435</v>
      </c>
      <c r="L779">
        <v>1</v>
      </c>
      <c r="M779" s="19" t="s">
        <v>51</v>
      </c>
      <c r="N779">
        <v>2</v>
      </c>
      <c r="O779">
        <v>2</v>
      </c>
      <c r="P779" s="19" t="s">
        <v>52</v>
      </c>
      <c r="Q779">
        <v>4</v>
      </c>
      <c r="R779" s="19" t="s">
        <v>53</v>
      </c>
      <c r="S779">
        <v>62813</v>
      </c>
      <c r="T779" s="19" t="s">
        <v>64</v>
      </c>
      <c r="U779">
        <v>392.58</v>
      </c>
      <c r="V779">
        <v>1</v>
      </c>
      <c r="W779" s="19" t="s">
        <v>55</v>
      </c>
      <c r="X779">
        <v>16</v>
      </c>
      <c r="Y779">
        <v>3</v>
      </c>
      <c r="Z779">
        <v>3</v>
      </c>
      <c r="AA779">
        <v>0</v>
      </c>
      <c r="AB779">
        <v>10</v>
      </c>
      <c r="AC779">
        <v>2</v>
      </c>
      <c r="AD779">
        <v>2</v>
      </c>
      <c r="AE779">
        <v>10</v>
      </c>
      <c r="AF779">
        <v>4</v>
      </c>
      <c r="AG779">
        <v>1</v>
      </c>
      <c r="AH779">
        <v>8</v>
      </c>
      <c r="AI779">
        <v>0</v>
      </c>
      <c r="AJ779" s="19" t="s">
        <v>1569</v>
      </c>
      <c r="AK779" s="19" t="s">
        <v>1562</v>
      </c>
      <c r="AL779">
        <v>1</v>
      </c>
      <c r="AM779" s="19" t="s">
        <v>1565</v>
      </c>
      <c r="AN779">
        <v>0.21446777252440818</v>
      </c>
      <c r="AO779">
        <v>753756</v>
      </c>
    </row>
    <row r="780" spans="1:41" x14ac:dyDescent="0.3">
      <c r="A780" s="19" t="s">
        <v>848</v>
      </c>
      <c r="B780">
        <v>36</v>
      </c>
      <c r="C780" s="19" t="s">
        <v>802</v>
      </c>
      <c r="D780" s="19" t="s">
        <v>55</v>
      </c>
      <c r="E780" s="19" t="s">
        <v>48</v>
      </c>
      <c r="F780">
        <v>329</v>
      </c>
      <c r="G780" s="19" t="s">
        <v>63</v>
      </c>
      <c r="H780">
        <v>16</v>
      </c>
      <c r="I780">
        <v>4</v>
      </c>
      <c r="J780" s="19" t="s">
        <v>63</v>
      </c>
      <c r="K780">
        <v>1436</v>
      </c>
      <c r="L780">
        <v>3</v>
      </c>
      <c r="M780" s="19" t="s">
        <v>59</v>
      </c>
      <c r="N780">
        <v>2</v>
      </c>
      <c r="O780">
        <v>2</v>
      </c>
      <c r="P780" s="19" t="s">
        <v>145</v>
      </c>
      <c r="Q780">
        <v>1</v>
      </c>
      <c r="R780" s="19" t="s">
        <v>113</v>
      </c>
      <c r="S780">
        <v>28712</v>
      </c>
      <c r="T780" s="19" t="s">
        <v>72</v>
      </c>
      <c r="U780">
        <v>179.45</v>
      </c>
      <c r="V780">
        <v>4</v>
      </c>
      <c r="W780" s="19" t="s">
        <v>55</v>
      </c>
      <c r="X780">
        <v>13</v>
      </c>
      <c r="Y780">
        <v>3</v>
      </c>
      <c r="Z780">
        <v>1</v>
      </c>
      <c r="AA780">
        <v>2</v>
      </c>
      <c r="AB780">
        <v>11</v>
      </c>
      <c r="AC780">
        <v>3</v>
      </c>
      <c r="AD780">
        <v>2</v>
      </c>
      <c r="AE780">
        <v>3</v>
      </c>
      <c r="AF780">
        <v>2</v>
      </c>
      <c r="AG780">
        <v>0</v>
      </c>
      <c r="AH780">
        <v>2</v>
      </c>
      <c r="AI780">
        <v>0</v>
      </c>
      <c r="AJ780" s="19" t="s">
        <v>1566</v>
      </c>
      <c r="AK780" s="19" t="s">
        <v>1562</v>
      </c>
      <c r="AL780">
        <v>2</v>
      </c>
      <c r="AM780" s="19" t="s">
        <v>1564</v>
      </c>
      <c r="AN780">
        <v>-0.41473321804264568</v>
      </c>
      <c r="AO780">
        <v>344544</v>
      </c>
    </row>
    <row r="781" spans="1:41" x14ac:dyDescent="0.3">
      <c r="A781" s="19" t="s">
        <v>849</v>
      </c>
      <c r="B781">
        <v>36</v>
      </c>
      <c r="C781" s="19" t="s">
        <v>802</v>
      </c>
      <c r="D781" s="19" t="s">
        <v>55</v>
      </c>
      <c r="E781" s="19" t="s">
        <v>48</v>
      </c>
      <c r="F781">
        <v>1157</v>
      </c>
      <c r="G781" s="19" t="s">
        <v>63</v>
      </c>
      <c r="H781">
        <v>2</v>
      </c>
      <c r="I781">
        <v>4</v>
      </c>
      <c r="J781" s="19" t="s">
        <v>50</v>
      </c>
      <c r="K781">
        <v>1556</v>
      </c>
      <c r="L781">
        <v>3</v>
      </c>
      <c r="M781" s="19" t="s">
        <v>51</v>
      </c>
      <c r="N781">
        <v>3</v>
      </c>
      <c r="O781">
        <v>1</v>
      </c>
      <c r="P781" s="19" t="s">
        <v>60</v>
      </c>
      <c r="Q781">
        <v>4</v>
      </c>
      <c r="R781" s="19" t="s">
        <v>53</v>
      </c>
      <c r="S781">
        <v>9415</v>
      </c>
      <c r="T781" s="19" t="s">
        <v>54</v>
      </c>
      <c r="U781">
        <v>58.84</v>
      </c>
      <c r="V781">
        <v>3</v>
      </c>
      <c r="W781" s="19" t="s">
        <v>47</v>
      </c>
      <c r="X781">
        <v>21</v>
      </c>
      <c r="Y781">
        <v>4</v>
      </c>
      <c r="Z781">
        <v>4</v>
      </c>
      <c r="AA781">
        <v>0</v>
      </c>
      <c r="AB781">
        <v>7</v>
      </c>
      <c r="AC781">
        <v>3</v>
      </c>
      <c r="AD781">
        <v>2</v>
      </c>
      <c r="AE781">
        <v>3</v>
      </c>
      <c r="AF781">
        <v>2</v>
      </c>
      <c r="AG781">
        <v>1</v>
      </c>
      <c r="AH781">
        <v>2</v>
      </c>
      <c r="AI781">
        <v>0</v>
      </c>
      <c r="AJ781" s="19" t="s">
        <v>1566</v>
      </c>
      <c r="AK781" s="19" t="s">
        <v>1562</v>
      </c>
      <c r="AL781">
        <v>2</v>
      </c>
      <c r="AM781" s="19" t="s">
        <v>1564</v>
      </c>
      <c r="AN781">
        <v>-0.80913011883089725</v>
      </c>
      <c r="AO781">
        <v>112980</v>
      </c>
    </row>
    <row r="782" spans="1:41" x14ac:dyDescent="0.3">
      <c r="A782" s="19" t="s">
        <v>850</v>
      </c>
      <c r="B782">
        <v>36</v>
      </c>
      <c r="C782" s="19" t="s">
        <v>802</v>
      </c>
      <c r="D782" s="19" t="s">
        <v>55</v>
      </c>
      <c r="E782" s="19" t="s">
        <v>48</v>
      </c>
      <c r="F782">
        <v>884</v>
      </c>
      <c r="G782" s="19" t="s">
        <v>63</v>
      </c>
      <c r="H782">
        <v>1</v>
      </c>
      <c r="I782">
        <v>4</v>
      </c>
      <c r="J782" s="19" t="s">
        <v>50</v>
      </c>
      <c r="K782">
        <v>1585</v>
      </c>
      <c r="L782">
        <v>2</v>
      </c>
      <c r="M782" s="19" t="s">
        <v>59</v>
      </c>
      <c r="N782">
        <v>3</v>
      </c>
      <c r="O782">
        <v>2</v>
      </c>
      <c r="P782" s="19" t="s">
        <v>145</v>
      </c>
      <c r="Q782">
        <v>3</v>
      </c>
      <c r="R782" s="19" t="s">
        <v>53</v>
      </c>
      <c r="S782">
        <v>63292</v>
      </c>
      <c r="T782" s="19" t="s">
        <v>64</v>
      </c>
      <c r="U782">
        <v>395.58</v>
      </c>
      <c r="V782">
        <v>6</v>
      </c>
      <c r="W782" s="19" t="s">
        <v>55</v>
      </c>
      <c r="X782">
        <v>13</v>
      </c>
      <c r="Y782">
        <v>3</v>
      </c>
      <c r="Z782">
        <v>1</v>
      </c>
      <c r="AA782">
        <v>0</v>
      </c>
      <c r="AB782">
        <v>15</v>
      </c>
      <c r="AC782">
        <v>5</v>
      </c>
      <c r="AD782">
        <v>3</v>
      </c>
      <c r="AE782">
        <v>1</v>
      </c>
      <c r="AF782">
        <v>0</v>
      </c>
      <c r="AG782">
        <v>0</v>
      </c>
      <c r="AH782">
        <v>0</v>
      </c>
      <c r="AI782">
        <v>0</v>
      </c>
      <c r="AJ782" s="19" t="s">
        <v>1561</v>
      </c>
      <c r="AK782" s="19" t="s">
        <v>1562</v>
      </c>
      <c r="AL782">
        <v>0</v>
      </c>
      <c r="AM782" s="19" t="s">
        <v>1563</v>
      </c>
      <c r="AN782">
        <v>0.29014715671652508</v>
      </c>
      <c r="AO782">
        <v>759504</v>
      </c>
    </row>
    <row r="783" spans="1:41" x14ac:dyDescent="0.3">
      <c r="A783" s="19" t="s">
        <v>851</v>
      </c>
      <c r="B783">
        <v>36</v>
      </c>
      <c r="C783" s="19" t="s">
        <v>802</v>
      </c>
      <c r="D783" s="19" t="s">
        <v>55</v>
      </c>
      <c r="E783" s="19" t="s">
        <v>62</v>
      </c>
      <c r="F783">
        <v>1302</v>
      </c>
      <c r="G783" s="19" t="s">
        <v>735</v>
      </c>
      <c r="H783">
        <v>6</v>
      </c>
      <c r="I783">
        <v>4</v>
      </c>
      <c r="J783" s="19" t="s">
        <v>50</v>
      </c>
      <c r="K783">
        <v>1594</v>
      </c>
      <c r="L783">
        <v>1</v>
      </c>
      <c r="M783" s="19" t="s">
        <v>51</v>
      </c>
      <c r="N783">
        <v>4</v>
      </c>
      <c r="O783">
        <v>2</v>
      </c>
      <c r="P783" s="19" t="s">
        <v>52</v>
      </c>
      <c r="Q783">
        <v>1</v>
      </c>
      <c r="R783" s="19" t="s">
        <v>113</v>
      </c>
      <c r="S783">
        <v>24833</v>
      </c>
      <c r="T783" s="19" t="s">
        <v>54</v>
      </c>
      <c r="U783">
        <v>155.21</v>
      </c>
      <c r="V783">
        <v>3</v>
      </c>
      <c r="W783" s="19" t="s">
        <v>47</v>
      </c>
      <c r="X783">
        <v>13</v>
      </c>
      <c r="Y783">
        <v>3</v>
      </c>
      <c r="Z783">
        <v>4</v>
      </c>
      <c r="AA783">
        <v>1</v>
      </c>
      <c r="AB783">
        <v>9</v>
      </c>
      <c r="AC783">
        <v>3</v>
      </c>
      <c r="AD783">
        <v>3</v>
      </c>
      <c r="AE783">
        <v>3</v>
      </c>
      <c r="AF783">
        <v>2</v>
      </c>
      <c r="AG783">
        <v>0</v>
      </c>
      <c r="AH783">
        <v>2</v>
      </c>
      <c r="AI783">
        <v>0</v>
      </c>
      <c r="AJ783" s="19" t="s">
        <v>1566</v>
      </c>
      <c r="AK783" s="19" t="s">
        <v>1562</v>
      </c>
      <c r="AL783">
        <v>2</v>
      </c>
      <c r="AM783" s="19" t="s">
        <v>1564</v>
      </c>
      <c r="AN783">
        <v>-0.51986247759064796</v>
      </c>
      <c r="AO783">
        <v>297996</v>
      </c>
    </row>
    <row r="784" spans="1:41" x14ac:dyDescent="0.3">
      <c r="A784" s="19" t="s">
        <v>852</v>
      </c>
      <c r="B784">
        <v>36</v>
      </c>
      <c r="C784" s="19" t="s">
        <v>802</v>
      </c>
      <c r="D784" s="19" t="s">
        <v>55</v>
      </c>
      <c r="E784" s="19" t="s">
        <v>48</v>
      </c>
      <c r="F784">
        <v>559</v>
      </c>
      <c r="G784" s="19" t="s">
        <v>735</v>
      </c>
      <c r="H784">
        <v>12</v>
      </c>
      <c r="I784">
        <v>4</v>
      </c>
      <c r="J784" s="19" t="s">
        <v>50</v>
      </c>
      <c r="K784">
        <v>1614</v>
      </c>
      <c r="L784">
        <v>3</v>
      </c>
      <c r="M784" s="19" t="s">
        <v>59</v>
      </c>
      <c r="N784">
        <v>3</v>
      </c>
      <c r="O784">
        <v>2</v>
      </c>
      <c r="P784" s="19" t="s">
        <v>120</v>
      </c>
      <c r="Q784">
        <v>3</v>
      </c>
      <c r="R784" s="19" t="s">
        <v>113</v>
      </c>
      <c r="S784">
        <v>5158</v>
      </c>
      <c r="T784" s="19" t="s">
        <v>54</v>
      </c>
      <c r="U784">
        <v>32.24</v>
      </c>
      <c r="V784">
        <v>9</v>
      </c>
      <c r="W784" s="19" t="s">
        <v>47</v>
      </c>
      <c r="X784">
        <v>12</v>
      </c>
      <c r="Y784">
        <v>3</v>
      </c>
      <c r="Z784">
        <v>2</v>
      </c>
      <c r="AA784">
        <v>2</v>
      </c>
      <c r="AB784">
        <v>7</v>
      </c>
      <c r="AC784">
        <v>2</v>
      </c>
      <c r="AD784">
        <v>3</v>
      </c>
      <c r="AE784">
        <v>3</v>
      </c>
      <c r="AF784">
        <v>2</v>
      </c>
      <c r="AG784">
        <v>1</v>
      </c>
      <c r="AH784">
        <v>1</v>
      </c>
      <c r="AI784">
        <v>0</v>
      </c>
      <c r="AJ784" s="19" t="s">
        <v>1566</v>
      </c>
      <c r="AK784" s="19" t="s">
        <v>1562</v>
      </c>
      <c r="AL784">
        <v>1</v>
      </c>
      <c r="AM784" s="19" t="s">
        <v>1565</v>
      </c>
      <c r="AN784">
        <v>-0.88355433076150292</v>
      </c>
      <c r="AO784">
        <v>61896</v>
      </c>
    </row>
    <row r="785" spans="1:41" x14ac:dyDescent="0.3">
      <c r="A785" s="19" t="s">
        <v>853</v>
      </c>
      <c r="B785">
        <v>36</v>
      </c>
      <c r="C785" s="19" t="s">
        <v>802</v>
      </c>
      <c r="D785" s="19" t="s">
        <v>55</v>
      </c>
      <c r="E785" s="19" t="s">
        <v>48</v>
      </c>
      <c r="F785">
        <v>711</v>
      </c>
      <c r="G785" s="19" t="s">
        <v>735</v>
      </c>
      <c r="H785">
        <v>5</v>
      </c>
      <c r="I785">
        <v>4</v>
      </c>
      <c r="J785" s="19" t="s">
        <v>50</v>
      </c>
      <c r="K785">
        <v>1651</v>
      </c>
      <c r="L785">
        <v>2</v>
      </c>
      <c r="M785" s="19" t="s">
        <v>59</v>
      </c>
      <c r="N785">
        <v>3</v>
      </c>
      <c r="O785">
        <v>3</v>
      </c>
      <c r="P785" s="19" t="s">
        <v>168</v>
      </c>
      <c r="Q785">
        <v>1</v>
      </c>
      <c r="R785" s="19" t="s">
        <v>113</v>
      </c>
      <c r="S785">
        <v>63680</v>
      </c>
      <c r="T785" s="19" t="s">
        <v>64</v>
      </c>
      <c r="U785">
        <v>398</v>
      </c>
      <c r="V785">
        <v>4</v>
      </c>
      <c r="W785" s="19" t="s">
        <v>55</v>
      </c>
      <c r="X785">
        <v>12</v>
      </c>
      <c r="Y785">
        <v>3</v>
      </c>
      <c r="Z785">
        <v>3</v>
      </c>
      <c r="AA785">
        <v>2</v>
      </c>
      <c r="AB785">
        <v>9</v>
      </c>
      <c r="AC785">
        <v>6</v>
      </c>
      <c r="AD785">
        <v>3</v>
      </c>
      <c r="AE785">
        <v>3</v>
      </c>
      <c r="AF785">
        <v>2</v>
      </c>
      <c r="AG785">
        <v>0</v>
      </c>
      <c r="AH785">
        <v>2</v>
      </c>
      <c r="AI785">
        <v>0</v>
      </c>
      <c r="AJ785" s="19" t="s">
        <v>1566</v>
      </c>
      <c r="AK785" s="19" t="s">
        <v>1562</v>
      </c>
      <c r="AL785">
        <v>1</v>
      </c>
      <c r="AM785" s="19" t="s">
        <v>1565</v>
      </c>
      <c r="AN785">
        <v>0.32145948702138011</v>
      </c>
      <c r="AO785">
        <v>764160</v>
      </c>
    </row>
    <row r="786" spans="1:41" x14ac:dyDescent="0.3">
      <c r="A786" s="19" t="s">
        <v>854</v>
      </c>
      <c r="B786">
        <v>36</v>
      </c>
      <c r="C786" s="19" t="s">
        <v>802</v>
      </c>
      <c r="D786" s="19" t="s">
        <v>55</v>
      </c>
      <c r="E786" s="19" t="s">
        <v>48</v>
      </c>
      <c r="F786">
        <v>311</v>
      </c>
      <c r="G786" s="19" t="s">
        <v>735</v>
      </c>
      <c r="H786">
        <v>7</v>
      </c>
      <c r="I786">
        <v>3</v>
      </c>
      <c r="J786" s="19" t="s">
        <v>50</v>
      </c>
      <c r="K786">
        <v>1659</v>
      </c>
      <c r="L786">
        <v>1</v>
      </c>
      <c r="M786" s="19" t="s">
        <v>51</v>
      </c>
      <c r="N786">
        <v>3</v>
      </c>
      <c r="O786">
        <v>1</v>
      </c>
      <c r="P786" s="19" t="s">
        <v>52</v>
      </c>
      <c r="Q786">
        <v>2</v>
      </c>
      <c r="R786" s="19" t="s">
        <v>53</v>
      </c>
      <c r="S786">
        <v>21309</v>
      </c>
      <c r="T786" s="19" t="s">
        <v>54</v>
      </c>
      <c r="U786">
        <v>133.18</v>
      </c>
      <c r="V786">
        <v>2</v>
      </c>
      <c r="W786" s="19" t="s">
        <v>55</v>
      </c>
      <c r="X786">
        <v>11</v>
      </c>
      <c r="Y786">
        <v>3</v>
      </c>
      <c r="Z786">
        <v>3</v>
      </c>
      <c r="AA786">
        <v>0</v>
      </c>
      <c r="AB786">
        <v>15</v>
      </c>
      <c r="AC786">
        <v>4</v>
      </c>
      <c r="AD786">
        <v>3</v>
      </c>
      <c r="AE786">
        <v>4</v>
      </c>
      <c r="AF786">
        <v>3</v>
      </c>
      <c r="AG786">
        <v>1</v>
      </c>
      <c r="AH786">
        <v>3</v>
      </c>
      <c r="AI786">
        <v>0</v>
      </c>
      <c r="AJ786" s="19" t="s">
        <v>1567</v>
      </c>
      <c r="AK786" s="19" t="s">
        <v>1562</v>
      </c>
      <c r="AL786">
        <v>1</v>
      </c>
      <c r="AM786" s="19" t="s">
        <v>1565</v>
      </c>
      <c r="AN786">
        <v>-0.58799780674824298</v>
      </c>
      <c r="AO786">
        <v>255708</v>
      </c>
    </row>
    <row r="787" spans="1:41" x14ac:dyDescent="0.3">
      <c r="A787" s="19" t="s">
        <v>855</v>
      </c>
      <c r="B787">
        <v>36</v>
      </c>
      <c r="C787" s="19" t="s">
        <v>802</v>
      </c>
      <c r="D787" s="19" t="s">
        <v>55</v>
      </c>
      <c r="E787" s="19" t="s">
        <v>66</v>
      </c>
      <c r="F787">
        <v>894</v>
      </c>
      <c r="G787" s="19" t="s">
        <v>735</v>
      </c>
      <c r="H787">
        <v>1</v>
      </c>
      <c r="I787">
        <v>4</v>
      </c>
      <c r="J787" s="19" t="s">
        <v>58</v>
      </c>
      <c r="K787">
        <v>1662</v>
      </c>
      <c r="L787">
        <v>4</v>
      </c>
      <c r="M787" s="19" t="s">
        <v>59</v>
      </c>
      <c r="N787">
        <v>2</v>
      </c>
      <c r="O787">
        <v>2</v>
      </c>
      <c r="P787" s="19" t="s">
        <v>120</v>
      </c>
      <c r="Q787">
        <v>3</v>
      </c>
      <c r="R787" s="19" t="s">
        <v>113</v>
      </c>
      <c r="S787">
        <v>7970</v>
      </c>
      <c r="T787" s="19" t="s">
        <v>54</v>
      </c>
      <c r="U787">
        <v>49.81</v>
      </c>
      <c r="V787">
        <v>0</v>
      </c>
      <c r="W787" s="19" t="s">
        <v>55</v>
      </c>
      <c r="X787">
        <v>15</v>
      </c>
      <c r="Y787">
        <v>3</v>
      </c>
      <c r="Z787">
        <v>3</v>
      </c>
      <c r="AA787">
        <v>0</v>
      </c>
      <c r="AB787">
        <v>4</v>
      </c>
      <c r="AC787">
        <v>6</v>
      </c>
      <c r="AD787">
        <v>3</v>
      </c>
      <c r="AE787">
        <v>3</v>
      </c>
      <c r="AF787">
        <v>2</v>
      </c>
      <c r="AG787">
        <v>1</v>
      </c>
      <c r="AH787">
        <v>2</v>
      </c>
      <c r="AI787">
        <v>0</v>
      </c>
      <c r="AJ787" s="19" t="s">
        <v>1566</v>
      </c>
      <c r="AK787" s="19" t="s">
        <v>1562</v>
      </c>
      <c r="AL787">
        <v>0</v>
      </c>
      <c r="AM787" s="19" t="s">
        <v>1563</v>
      </c>
      <c r="AN787">
        <v>-0.82007134861752196</v>
      </c>
      <c r="AO787">
        <v>95640</v>
      </c>
    </row>
    <row r="788" spans="1:41" x14ac:dyDescent="0.3">
      <c r="A788" s="19" t="s">
        <v>856</v>
      </c>
      <c r="B788">
        <v>36</v>
      </c>
      <c r="C788" s="19" t="s">
        <v>802</v>
      </c>
      <c r="D788" s="19" t="s">
        <v>55</v>
      </c>
      <c r="E788" s="19" t="s">
        <v>48</v>
      </c>
      <c r="F788">
        <v>1040</v>
      </c>
      <c r="G788" s="19" t="s">
        <v>735</v>
      </c>
      <c r="H788">
        <v>3</v>
      </c>
      <c r="I788">
        <v>2</v>
      </c>
      <c r="J788" s="19" t="s">
        <v>50</v>
      </c>
      <c r="K788">
        <v>1664</v>
      </c>
      <c r="L788">
        <v>4</v>
      </c>
      <c r="M788" s="19" t="s">
        <v>51</v>
      </c>
      <c r="N788">
        <v>4</v>
      </c>
      <c r="O788">
        <v>2</v>
      </c>
      <c r="P788" s="19" t="s">
        <v>168</v>
      </c>
      <c r="Q788">
        <v>1</v>
      </c>
      <c r="R788" s="19" t="s">
        <v>53</v>
      </c>
      <c r="S788">
        <v>73474</v>
      </c>
      <c r="T788" s="19" t="s">
        <v>64</v>
      </c>
      <c r="U788">
        <v>459.21</v>
      </c>
      <c r="V788">
        <v>6</v>
      </c>
      <c r="W788" s="19" t="s">
        <v>55</v>
      </c>
      <c r="X788">
        <v>20</v>
      </c>
      <c r="Y788">
        <v>4</v>
      </c>
      <c r="Z788">
        <v>1</v>
      </c>
      <c r="AA788">
        <v>1</v>
      </c>
      <c r="AB788">
        <v>13</v>
      </c>
      <c r="AC788">
        <v>3</v>
      </c>
      <c r="AD788">
        <v>3</v>
      </c>
      <c r="AE788">
        <v>5</v>
      </c>
      <c r="AF788">
        <v>4</v>
      </c>
      <c r="AG788">
        <v>0</v>
      </c>
      <c r="AH788">
        <v>4</v>
      </c>
      <c r="AI788">
        <v>0</v>
      </c>
      <c r="AJ788" s="19" t="s">
        <v>1567</v>
      </c>
      <c r="AK788" s="19" t="s">
        <v>1562</v>
      </c>
      <c r="AL788">
        <v>1</v>
      </c>
      <c r="AM788" s="19" t="s">
        <v>1565</v>
      </c>
      <c r="AN788">
        <v>0.52470028815026515</v>
      </c>
      <c r="AO788">
        <v>881688</v>
      </c>
    </row>
    <row r="789" spans="1:41" x14ac:dyDescent="0.3">
      <c r="A789" s="19" t="s">
        <v>857</v>
      </c>
      <c r="B789">
        <v>36</v>
      </c>
      <c r="C789" s="19" t="s">
        <v>802</v>
      </c>
      <c r="D789" s="19" t="s">
        <v>55</v>
      </c>
      <c r="E789" s="19" t="s">
        <v>48</v>
      </c>
      <c r="F789">
        <v>1351</v>
      </c>
      <c r="G789" s="19" t="s">
        <v>735</v>
      </c>
      <c r="H789">
        <v>26</v>
      </c>
      <c r="I789">
        <v>4</v>
      </c>
      <c r="J789" s="19" t="s">
        <v>50</v>
      </c>
      <c r="K789">
        <v>1682</v>
      </c>
      <c r="L789">
        <v>1</v>
      </c>
      <c r="M789" s="19" t="s">
        <v>51</v>
      </c>
      <c r="N789">
        <v>3</v>
      </c>
      <c r="O789">
        <v>2</v>
      </c>
      <c r="P789" s="19" t="s">
        <v>168</v>
      </c>
      <c r="Q789">
        <v>3</v>
      </c>
      <c r="R789" s="19" t="s">
        <v>113</v>
      </c>
      <c r="S789">
        <v>87704</v>
      </c>
      <c r="T789" s="19" t="s">
        <v>70</v>
      </c>
      <c r="U789">
        <v>548.15</v>
      </c>
      <c r="V789">
        <v>6</v>
      </c>
      <c r="W789" s="19" t="s">
        <v>55</v>
      </c>
      <c r="X789">
        <v>14</v>
      </c>
      <c r="Y789">
        <v>3</v>
      </c>
      <c r="Z789">
        <v>2</v>
      </c>
      <c r="AA789">
        <v>2</v>
      </c>
      <c r="AB789">
        <v>10</v>
      </c>
      <c r="AC789">
        <v>2</v>
      </c>
      <c r="AD789">
        <v>2</v>
      </c>
      <c r="AE789">
        <v>3</v>
      </c>
      <c r="AF789">
        <v>2</v>
      </c>
      <c r="AG789">
        <v>0</v>
      </c>
      <c r="AH789">
        <v>2</v>
      </c>
      <c r="AI789">
        <v>0</v>
      </c>
      <c r="AJ789" s="19" t="s">
        <v>1566</v>
      </c>
      <c r="AK789" s="19" t="s">
        <v>1562</v>
      </c>
      <c r="AL789">
        <v>1</v>
      </c>
      <c r="AM789" s="19" t="s">
        <v>1565</v>
      </c>
      <c r="AN789">
        <v>0.81999501962504895</v>
      </c>
      <c r="AO789">
        <v>1052448</v>
      </c>
    </row>
    <row r="790" spans="1:41" x14ac:dyDescent="0.3">
      <c r="A790" s="19" t="s">
        <v>858</v>
      </c>
      <c r="B790">
        <v>36</v>
      </c>
      <c r="C790" s="19" t="s">
        <v>802</v>
      </c>
      <c r="D790" s="19" t="s">
        <v>55</v>
      </c>
      <c r="E790" s="19" t="s">
        <v>48</v>
      </c>
      <c r="F790">
        <v>530</v>
      </c>
      <c r="G790" s="19" t="s">
        <v>63</v>
      </c>
      <c r="H790">
        <v>2</v>
      </c>
      <c r="I790">
        <v>4</v>
      </c>
      <c r="J790" s="19" t="s">
        <v>50</v>
      </c>
      <c r="K790">
        <v>1710</v>
      </c>
      <c r="L790">
        <v>3</v>
      </c>
      <c r="M790" s="19" t="s">
        <v>59</v>
      </c>
      <c r="N790">
        <v>3</v>
      </c>
      <c r="O790">
        <v>2</v>
      </c>
      <c r="P790" s="19" t="s">
        <v>60</v>
      </c>
      <c r="Q790">
        <v>4</v>
      </c>
      <c r="R790" s="19" t="s">
        <v>53</v>
      </c>
      <c r="S790">
        <v>47540</v>
      </c>
      <c r="T790" s="19" t="s">
        <v>72</v>
      </c>
      <c r="U790">
        <v>297.12</v>
      </c>
      <c r="V790">
        <v>3</v>
      </c>
      <c r="W790" s="19" t="s">
        <v>55</v>
      </c>
      <c r="X790">
        <v>15</v>
      </c>
      <c r="Y790">
        <v>3</v>
      </c>
      <c r="Z790">
        <v>3</v>
      </c>
      <c r="AA790">
        <v>0</v>
      </c>
      <c r="AB790">
        <v>17</v>
      </c>
      <c r="AC790">
        <v>2</v>
      </c>
      <c r="AD790">
        <v>2</v>
      </c>
      <c r="AE790">
        <v>13</v>
      </c>
      <c r="AF790">
        <v>7</v>
      </c>
      <c r="AG790">
        <v>6</v>
      </c>
      <c r="AH790">
        <v>7</v>
      </c>
      <c r="AI790">
        <v>0</v>
      </c>
      <c r="AJ790" s="19" t="s">
        <v>1571</v>
      </c>
      <c r="AK790" s="19" t="s">
        <v>1570</v>
      </c>
      <c r="AL790">
        <v>2</v>
      </c>
      <c r="AM790" s="19" t="s">
        <v>1564</v>
      </c>
      <c r="AN790">
        <v>-3.6223669593293116E-2</v>
      </c>
      <c r="AO790">
        <v>570480</v>
      </c>
    </row>
    <row r="791" spans="1:41" x14ac:dyDescent="0.3">
      <c r="A791" s="19" t="s">
        <v>859</v>
      </c>
      <c r="B791">
        <v>36</v>
      </c>
      <c r="C791" s="19" t="s">
        <v>802</v>
      </c>
      <c r="D791" s="19" t="s">
        <v>47</v>
      </c>
      <c r="E791" s="19" t="s">
        <v>48</v>
      </c>
      <c r="F791">
        <v>1456</v>
      </c>
      <c r="G791" s="19" t="s">
        <v>63</v>
      </c>
      <c r="H791">
        <v>13</v>
      </c>
      <c r="I791">
        <v>5</v>
      </c>
      <c r="J791" s="19" t="s">
        <v>63</v>
      </c>
      <c r="K791">
        <v>1733</v>
      </c>
      <c r="L791">
        <v>2</v>
      </c>
      <c r="M791" s="19" t="s">
        <v>51</v>
      </c>
      <c r="N791">
        <v>2</v>
      </c>
      <c r="O791">
        <v>2</v>
      </c>
      <c r="P791" s="19" t="s">
        <v>145</v>
      </c>
      <c r="Q791">
        <v>1</v>
      </c>
      <c r="R791" s="19" t="s">
        <v>53</v>
      </c>
      <c r="S791">
        <v>21384</v>
      </c>
      <c r="T791" s="19" t="s">
        <v>54</v>
      </c>
      <c r="U791">
        <v>133.65</v>
      </c>
      <c r="V791">
        <v>5</v>
      </c>
      <c r="W791" s="19" t="s">
        <v>47</v>
      </c>
      <c r="X791">
        <v>13</v>
      </c>
      <c r="Y791">
        <v>3</v>
      </c>
      <c r="Z791">
        <v>2</v>
      </c>
      <c r="AA791">
        <v>3</v>
      </c>
      <c r="AB791">
        <v>16</v>
      </c>
      <c r="AC791">
        <v>3</v>
      </c>
      <c r="AD791">
        <v>3</v>
      </c>
      <c r="AE791">
        <v>2</v>
      </c>
      <c r="AF791">
        <v>2</v>
      </c>
      <c r="AG791">
        <v>2</v>
      </c>
      <c r="AH791">
        <v>2</v>
      </c>
      <c r="AI791">
        <v>1</v>
      </c>
      <c r="AJ791" s="19" t="s">
        <v>1566</v>
      </c>
      <c r="AK791" s="19" t="s">
        <v>1562</v>
      </c>
      <c r="AL791">
        <v>2</v>
      </c>
      <c r="AM791" s="19" t="s">
        <v>1564</v>
      </c>
      <c r="AN791">
        <v>-0.56410752070994485</v>
      </c>
      <c r="AO791">
        <v>256608</v>
      </c>
    </row>
    <row r="792" spans="1:41" x14ac:dyDescent="0.3">
      <c r="A792" s="19" t="s">
        <v>860</v>
      </c>
      <c r="B792">
        <v>36</v>
      </c>
      <c r="C792" s="19" t="s">
        <v>802</v>
      </c>
      <c r="D792" s="19" t="s">
        <v>55</v>
      </c>
      <c r="E792" s="19" t="s">
        <v>48</v>
      </c>
      <c r="F792">
        <v>1383</v>
      </c>
      <c r="G792" s="19" t="s">
        <v>735</v>
      </c>
      <c r="H792">
        <v>10</v>
      </c>
      <c r="I792">
        <v>3</v>
      </c>
      <c r="J792" s="19" t="s">
        <v>50</v>
      </c>
      <c r="K792">
        <v>1790</v>
      </c>
      <c r="L792">
        <v>4</v>
      </c>
      <c r="M792" s="19" t="s">
        <v>51</v>
      </c>
      <c r="N792">
        <v>3</v>
      </c>
      <c r="O792">
        <v>3</v>
      </c>
      <c r="P792" s="19" t="s">
        <v>168</v>
      </c>
      <c r="Q792">
        <v>1</v>
      </c>
      <c r="R792" s="19" t="s">
        <v>113</v>
      </c>
      <c r="S792">
        <v>19017</v>
      </c>
      <c r="T792" s="19" t="s">
        <v>54</v>
      </c>
      <c r="U792">
        <v>118.86</v>
      </c>
      <c r="V792">
        <v>7</v>
      </c>
      <c r="W792" s="19" t="s">
        <v>47</v>
      </c>
      <c r="X792">
        <v>13</v>
      </c>
      <c r="Y792">
        <v>3</v>
      </c>
      <c r="Z792">
        <v>4</v>
      </c>
      <c r="AA792">
        <v>1</v>
      </c>
      <c r="AB792">
        <v>15</v>
      </c>
      <c r="AC792">
        <v>1</v>
      </c>
      <c r="AD792">
        <v>3</v>
      </c>
      <c r="AE792">
        <v>12</v>
      </c>
      <c r="AF792">
        <v>8</v>
      </c>
      <c r="AG792">
        <v>5</v>
      </c>
      <c r="AH792">
        <v>7</v>
      </c>
      <c r="AI792">
        <v>0</v>
      </c>
      <c r="AJ792" s="19" t="s">
        <v>1571</v>
      </c>
      <c r="AK792" s="19" t="s">
        <v>1570</v>
      </c>
      <c r="AL792">
        <v>3</v>
      </c>
      <c r="AM792" s="19" t="s">
        <v>1568</v>
      </c>
      <c r="AN792">
        <v>-0.60536753981335445</v>
      </c>
      <c r="AO792">
        <v>228204</v>
      </c>
    </row>
    <row r="793" spans="1:41" x14ac:dyDescent="0.3">
      <c r="A793" s="19" t="s">
        <v>861</v>
      </c>
      <c r="B793">
        <v>36</v>
      </c>
      <c r="C793" s="19" t="s">
        <v>802</v>
      </c>
      <c r="D793" s="19" t="s">
        <v>55</v>
      </c>
      <c r="E793" s="19" t="s">
        <v>48</v>
      </c>
      <c r="F793">
        <v>430</v>
      </c>
      <c r="G793" s="19" t="s">
        <v>735</v>
      </c>
      <c r="H793">
        <v>2</v>
      </c>
      <c r="I793">
        <v>4</v>
      </c>
      <c r="J793" s="19" t="s">
        <v>82</v>
      </c>
      <c r="K793">
        <v>1847</v>
      </c>
      <c r="L793">
        <v>4</v>
      </c>
      <c r="M793" s="19" t="s">
        <v>59</v>
      </c>
      <c r="N793">
        <v>3</v>
      </c>
      <c r="O793">
        <v>2</v>
      </c>
      <c r="P793" s="19" t="s">
        <v>67</v>
      </c>
      <c r="Q793">
        <v>2</v>
      </c>
      <c r="R793" s="19" t="s">
        <v>113</v>
      </c>
      <c r="S793">
        <v>76880</v>
      </c>
      <c r="T793" s="19" t="s">
        <v>64</v>
      </c>
      <c r="U793">
        <v>480.5</v>
      </c>
      <c r="V793">
        <v>4</v>
      </c>
      <c r="W793" s="19" t="s">
        <v>47</v>
      </c>
      <c r="X793">
        <v>22</v>
      </c>
      <c r="Y793">
        <v>4</v>
      </c>
      <c r="Z793">
        <v>4</v>
      </c>
      <c r="AA793">
        <v>1</v>
      </c>
      <c r="AB793">
        <v>15</v>
      </c>
      <c r="AC793">
        <v>2</v>
      </c>
      <c r="AD793">
        <v>3</v>
      </c>
      <c r="AE793">
        <v>1</v>
      </c>
      <c r="AF793">
        <v>0</v>
      </c>
      <c r="AG793">
        <v>0</v>
      </c>
      <c r="AH793">
        <v>0</v>
      </c>
      <c r="AI793">
        <v>0</v>
      </c>
      <c r="AJ793" s="19" t="s">
        <v>1561</v>
      </c>
      <c r="AK793" s="19" t="s">
        <v>1562</v>
      </c>
      <c r="AL793">
        <v>2</v>
      </c>
      <c r="AM793" s="19" t="s">
        <v>1564</v>
      </c>
      <c r="AN793">
        <v>0.54172867572738126</v>
      </c>
      <c r="AO793">
        <v>922560</v>
      </c>
    </row>
    <row r="794" spans="1:41" x14ac:dyDescent="0.3">
      <c r="A794" s="19" t="s">
        <v>862</v>
      </c>
      <c r="B794">
        <v>36</v>
      </c>
      <c r="C794" s="19" t="s">
        <v>802</v>
      </c>
      <c r="D794" s="19" t="s">
        <v>55</v>
      </c>
      <c r="E794" s="19" t="s">
        <v>48</v>
      </c>
      <c r="F794">
        <v>1266</v>
      </c>
      <c r="G794" s="19" t="s">
        <v>63</v>
      </c>
      <c r="H794">
        <v>10</v>
      </c>
      <c r="I794">
        <v>4</v>
      </c>
      <c r="J794" s="19" t="s">
        <v>77</v>
      </c>
      <c r="K794">
        <v>1880</v>
      </c>
      <c r="L794">
        <v>2</v>
      </c>
      <c r="M794" s="19" t="s">
        <v>59</v>
      </c>
      <c r="N794">
        <v>2</v>
      </c>
      <c r="O794">
        <v>2</v>
      </c>
      <c r="P794" s="19" t="s">
        <v>145</v>
      </c>
      <c r="Q794">
        <v>3</v>
      </c>
      <c r="R794" s="19" t="s">
        <v>113</v>
      </c>
      <c r="S794">
        <v>9702</v>
      </c>
      <c r="T794" s="19" t="s">
        <v>54</v>
      </c>
      <c r="U794">
        <v>60.64</v>
      </c>
      <c r="V794">
        <v>1</v>
      </c>
      <c r="W794" s="19" t="s">
        <v>47</v>
      </c>
      <c r="X794">
        <v>13</v>
      </c>
      <c r="Y794">
        <v>3</v>
      </c>
      <c r="Z794">
        <v>1</v>
      </c>
      <c r="AA794">
        <v>1</v>
      </c>
      <c r="AB794">
        <v>10</v>
      </c>
      <c r="AC794">
        <v>4</v>
      </c>
      <c r="AD794">
        <v>3</v>
      </c>
      <c r="AE794">
        <v>10</v>
      </c>
      <c r="AF794">
        <v>9</v>
      </c>
      <c r="AG794">
        <v>1</v>
      </c>
      <c r="AH794">
        <v>7</v>
      </c>
      <c r="AI794">
        <v>0</v>
      </c>
      <c r="AJ794" s="19" t="s">
        <v>1569</v>
      </c>
      <c r="AK794" s="19" t="s">
        <v>1562</v>
      </c>
      <c r="AL794">
        <v>1</v>
      </c>
      <c r="AM794" s="19" t="s">
        <v>1565</v>
      </c>
      <c r="AN794">
        <v>-0.80223396772951205</v>
      </c>
      <c r="AO794">
        <v>116424</v>
      </c>
    </row>
    <row r="795" spans="1:41" x14ac:dyDescent="0.3">
      <c r="A795" s="19" t="s">
        <v>863</v>
      </c>
      <c r="B795">
        <v>36</v>
      </c>
      <c r="C795" s="19" t="s">
        <v>802</v>
      </c>
      <c r="D795" s="19" t="s">
        <v>55</v>
      </c>
      <c r="E795" s="19" t="s">
        <v>62</v>
      </c>
      <c r="F795">
        <v>1213</v>
      </c>
      <c r="G795" s="19" t="s">
        <v>80</v>
      </c>
      <c r="H795">
        <v>2</v>
      </c>
      <c r="I795">
        <v>1</v>
      </c>
      <c r="J795" s="19" t="s">
        <v>80</v>
      </c>
      <c r="K795">
        <v>1890</v>
      </c>
      <c r="L795">
        <v>2</v>
      </c>
      <c r="M795" s="19" t="s">
        <v>51</v>
      </c>
      <c r="N795">
        <v>2</v>
      </c>
      <c r="O795">
        <v>2</v>
      </c>
      <c r="P795" s="19" t="s">
        <v>80</v>
      </c>
      <c r="Q795">
        <v>4</v>
      </c>
      <c r="R795" s="19" t="s">
        <v>53</v>
      </c>
      <c r="S795">
        <v>1384</v>
      </c>
      <c r="T795" s="19" t="s">
        <v>54</v>
      </c>
      <c r="U795">
        <v>8.65</v>
      </c>
      <c r="V795">
        <v>1</v>
      </c>
      <c r="W795" s="19" t="s">
        <v>55</v>
      </c>
      <c r="X795">
        <v>21</v>
      </c>
      <c r="Y795">
        <v>4</v>
      </c>
      <c r="Z795">
        <v>4</v>
      </c>
      <c r="AA795">
        <v>0</v>
      </c>
      <c r="AB795">
        <v>10</v>
      </c>
      <c r="AC795">
        <v>2</v>
      </c>
      <c r="AD795">
        <v>2</v>
      </c>
      <c r="AE795">
        <v>10</v>
      </c>
      <c r="AF795">
        <v>1</v>
      </c>
      <c r="AG795">
        <v>0</v>
      </c>
      <c r="AH795">
        <v>8</v>
      </c>
      <c r="AI795">
        <v>0</v>
      </c>
      <c r="AJ795" s="19" t="s">
        <v>1569</v>
      </c>
      <c r="AK795" s="19" t="s">
        <v>1562</v>
      </c>
      <c r="AL795">
        <v>1</v>
      </c>
      <c r="AM795" s="19" t="s">
        <v>1565</v>
      </c>
      <c r="AN795">
        <v>-0.97272586018061991</v>
      </c>
      <c r="AO795">
        <v>16608</v>
      </c>
    </row>
    <row r="796" spans="1:41" x14ac:dyDescent="0.3">
      <c r="A796" s="19" t="s">
        <v>864</v>
      </c>
      <c r="B796">
        <v>36</v>
      </c>
      <c r="C796" s="19" t="s">
        <v>802</v>
      </c>
      <c r="D796" s="19" t="s">
        <v>55</v>
      </c>
      <c r="E796" s="19" t="s">
        <v>48</v>
      </c>
      <c r="F796">
        <v>335</v>
      </c>
      <c r="G796" s="19" t="s">
        <v>63</v>
      </c>
      <c r="H796">
        <v>17</v>
      </c>
      <c r="I796">
        <v>2</v>
      </c>
      <c r="J796" s="19" t="s">
        <v>63</v>
      </c>
      <c r="K796">
        <v>1908</v>
      </c>
      <c r="L796">
        <v>3</v>
      </c>
      <c r="M796" s="19" t="s">
        <v>51</v>
      </c>
      <c r="N796">
        <v>2</v>
      </c>
      <c r="O796">
        <v>2</v>
      </c>
      <c r="P796" s="19" t="s">
        <v>145</v>
      </c>
      <c r="Q796">
        <v>2</v>
      </c>
      <c r="R796" s="19" t="s">
        <v>113</v>
      </c>
      <c r="S796">
        <v>1404</v>
      </c>
      <c r="T796" s="19" t="s">
        <v>54</v>
      </c>
      <c r="U796">
        <v>8.7799999999999994</v>
      </c>
      <c r="V796">
        <v>2</v>
      </c>
      <c r="W796" s="19" t="s">
        <v>55</v>
      </c>
      <c r="X796">
        <v>16</v>
      </c>
      <c r="Y796">
        <v>3</v>
      </c>
      <c r="Z796">
        <v>3</v>
      </c>
      <c r="AA796">
        <v>2</v>
      </c>
      <c r="AB796">
        <v>12</v>
      </c>
      <c r="AC796">
        <v>1</v>
      </c>
      <c r="AD796">
        <v>1</v>
      </c>
      <c r="AE796">
        <v>4</v>
      </c>
      <c r="AF796">
        <v>2</v>
      </c>
      <c r="AG796">
        <v>1</v>
      </c>
      <c r="AH796">
        <v>3</v>
      </c>
      <c r="AI796">
        <v>0</v>
      </c>
      <c r="AJ796" s="19" t="s">
        <v>1567</v>
      </c>
      <c r="AK796" s="19" t="s">
        <v>1562</v>
      </c>
      <c r="AL796">
        <v>2</v>
      </c>
      <c r="AM796" s="19" t="s">
        <v>1564</v>
      </c>
      <c r="AN796">
        <v>-0.97138079681428935</v>
      </c>
      <c r="AO796">
        <v>16848</v>
      </c>
    </row>
    <row r="797" spans="1:41" x14ac:dyDescent="0.3">
      <c r="A797" s="19" t="s">
        <v>865</v>
      </c>
      <c r="B797">
        <v>36</v>
      </c>
      <c r="C797" s="19" t="s">
        <v>802</v>
      </c>
      <c r="D797" s="19" t="s">
        <v>55</v>
      </c>
      <c r="E797" s="19" t="s">
        <v>66</v>
      </c>
      <c r="F797">
        <v>1351</v>
      </c>
      <c r="G797" s="19" t="s">
        <v>735</v>
      </c>
      <c r="H797">
        <v>9</v>
      </c>
      <c r="I797">
        <v>4</v>
      </c>
      <c r="J797" s="19" t="s">
        <v>50</v>
      </c>
      <c r="K797">
        <v>1949</v>
      </c>
      <c r="L797">
        <v>1</v>
      </c>
      <c r="M797" s="19" t="s">
        <v>51</v>
      </c>
      <c r="N797">
        <v>4</v>
      </c>
      <c r="O797">
        <v>1</v>
      </c>
      <c r="P797" s="19" t="s">
        <v>52</v>
      </c>
      <c r="Q797">
        <v>2</v>
      </c>
      <c r="R797" s="19" t="s">
        <v>113</v>
      </c>
      <c r="S797">
        <v>41943</v>
      </c>
      <c r="T797" s="19" t="s">
        <v>72</v>
      </c>
      <c r="U797">
        <v>262.14</v>
      </c>
      <c r="V797">
        <v>1</v>
      </c>
      <c r="W797" s="19" t="s">
        <v>55</v>
      </c>
      <c r="X797">
        <v>22</v>
      </c>
      <c r="Y797">
        <v>4</v>
      </c>
      <c r="Z797">
        <v>2</v>
      </c>
      <c r="AA797">
        <v>0</v>
      </c>
      <c r="AB797">
        <v>5</v>
      </c>
      <c r="AC797">
        <v>3</v>
      </c>
      <c r="AD797">
        <v>3</v>
      </c>
      <c r="AE797">
        <v>5</v>
      </c>
      <c r="AF797">
        <v>4</v>
      </c>
      <c r="AG797">
        <v>0</v>
      </c>
      <c r="AH797">
        <v>2</v>
      </c>
      <c r="AI797">
        <v>0</v>
      </c>
      <c r="AJ797" s="19" t="s">
        <v>1567</v>
      </c>
      <c r="AK797" s="19" t="s">
        <v>1562</v>
      </c>
      <c r="AL797">
        <v>1</v>
      </c>
      <c r="AM797" s="19" t="s">
        <v>1565</v>
      </c>
      <c r="AN797">
        <v>-0.18904650656725117</v>
      </c>
      <c r="AO797">
        <v>503316</v>
      </c>
    </row>
    <row r="798" spans="1:41" x14ac:dyDescent="0.3">
      <c r="A798" s="19" t="s">
        <v>866</v>
      </c>
      <c r="B798">
        <v>36</v>
      </c>
      <c r="C798" s="19" t="s">
        <v>802</v>
      </c>
      <c r="D798" s="19" t="s">
        <v>55</v>
      </c>
      <c r="E798" s="19" t="s">
        <v>48</v>
      </c>
      <c r="F798">
        <v>557</v>
      </c>
      <c r="G798" s="19" t="s">
        <v>63</v>
      </c>
      <c r="H798">
        <v>3</v>
      </c>
      <c r="I798">
        <v>3</v>
      </c>
      <c r="J798" s="19" t="s">
        <v>58</v>
      </c>
      <c r="K798">
        <v>2024</v>
      </c>
      <c r="L798">
        <v>1</v>
      </c>
      <c r="M798" s="19" t="s">
        <v>59</v>
      </c>
      <c r="N798">
        <v>2</v>
      </c>
      <c r="O798">
        <v>3</v>
      </c>
      <c r="P798" s="19" t="s">
        <v>145</v>
      </c>
      <c r="Q798">
        <v>4</v>
      </c>
      <c r="R798" s="19" t="s">
        <v>113</v>
      </c>
      <c r="S798">
        <v>48926</v>
      </c>
      <c r="T798" s="19" t="s">
        <v>72</v>
      </c>
      <c r="U798">
        <v>305.79000000000002</v>
      </c>
      <c r="V798">
        <v>0</v>
      </c>
      <c r="W798" s="19" t="s">
        <v>55</v>
      </c>
      <c r="X798">
        <v>19</v>
      </c>
      <c r="Y798">
        <v>3</v>
      </c>
      <c r="Z798">
        <v>3</v>
      </c>
      <c r="AA798">
        <v>2</v>
      </c>
      <c r="AB798">
        <v>10</v>
      </c>
      <c r="AC798">
        <v>2</v>
      </c>
      <c r="AD798">
        <v>3</v>
      </c>
      <c r="AE798">
        <v>9</v>
      </c>
      <c r="AF798">
        <v>7</v>
      </c>
      <c r="AG798">
        <v>3</v>
      </c>
      <c r="AH798">
        <v>4</v>
      </c>
      <c r="AI798">
        <v>0</v>
      </c>
      <c r="AJ798" s="19" t="s">
        <v>1569</v>
      </c>
      <c r="AK798" s="19" t="s">
        <v>1570</v>
      </c>
      <c r="AL798">
        <v>1</v>
      </c>
      <c r="AM798" s="19" t="s">
        <v>1565</v>
      </c>
      <c r="AN798">
        <v>-2.6900747406827558E-3</v>
      </c>
      <c r="AO798">
        <v>587112</v>
      </c>
    </row>
    <row r="799" spans="1:41" x14ac:dyDescent="0.3">
      <c r="A799" s="19" t="s">
        <v>867</v>
      </c>
      <c r="B799">
        <v>36</v>
      </c>
      <c r="C799" s="19" t="s">
        <v>802</v>
      </c>
      <c r="D799" s="19" t="s">
        <v>55</v>
      </c>
      <c r="E799" s="19" t="s">
        <v>62</v>
      </c>
      <c r="F799">
        <v>688</v>
      </c>
      <c r="G799" s="19" t="s">
        <v>735</v>
      </c>
      <c r="H799">
        <v>4</v>
      </c>
      <c r="I799">
        <v>2</v>
      </c>
      <c r="J799" s="19" t="s">
        <v>50</v>
      </c>
      <c r="K799">
        <v>2025</v>
      </c>
      <c r="L799">
        <v>4</v>
      </c>
      <c r="M799" s="19" t="s">
        <v>59</v>
      </c>
      <c r="N799">
        <v>3</v>
      </c>
      <c r="O799">
        <v>2</v>
      </c>
      <c r="P799" s="19" t="s">
        <v>120</v>
      </c>
      <c r="Q799">
        <v>2</v>
      </c>
      <c r="R799" s="19" t="s">
        <v>53</v>
      </c>
      <c r="S799">
        <v>30189</v>
      </c>
      <c r="T799" s="19" t="s">
        <v>72</v>
      </c>
      <c r="U799">
        <v>188.68</v>
      </c>
      <c r="V799">
        <v>7</v>
      </c>
      <c r="W799" s="19" t="s">
        <v>55</v>
      </c>
      <c r="X799">
        <v>13</v>
      </c>
      <c r="Y799">
        <v>3</v>
      </c>
      <c r="Z799">
        <v>2</v>
      </c>
      <c r="AA799">
        <v>3</v>
      </c>
      <c r="AB799">
        <v>18</v>
      </c>
      <c r="AC799">
        <v>3</v>
      </c>
      <c r="AD799">
        <v>3</v>
      </c>
      <c r="AE799">
        <v>4</v>
      </c>
      <c r="AF799">
        <v>2</v>
      </c>
      <c r="AG799">
        <v>0</v>
      </c>
      <c r="AH799">
        <v>2</v>
      </c>
      <c r="AI799">
        <v>0</v>
      </c>
      <c r="AJ799" s="19" t="s">
        <v>1567</v>
      </c>
      <c r="AK799" s="19" t="s">
        <v>1562</v>
      </c>
      <c r="AL799">
        <v>1</v>
      </c>
      <c r="AM799" s="19" t="s">
        <v>1565</v>
      </c>
      <c r="AN799">
        <v>-0.31846097157018455</v>
      </c>
      <c r="AO799">
        <v>362268</v>
      </c>
    </row>
    <row r="800" spans="1:41" x14ac:dyDescent="0.3">
      <c r="A800" s="19" t="s">
        <v>868</v>
      </c>
      <c r="B800">
        <v>36</v>
      </c>
      <c r="C800" s="19" t="s">
        <v>802</v>
      </c>
      <c r="D800" s="19" t="s">
        <v>55</v>
      </c>
      <c r="E800" s="19" t="s">
        <v>66</v>
      </c>
      <c r="F800">
        <v>301</v>
      </c>
      <c r="G800" s="19" t="s">
        <v>63</v>
      </c>
      <c r="H800">
        <v>15</v>
      </c>
      <c r="I800">
        <v>4</v>
      </c>
      <c r="J800" s="19" t="s">
        <v>63</v>
      </c>
      <c r="K800">
        <v>2036</v>
      </c>
      <c r="L800">
        <v>4</v>
      </c>
      <c r="M800" s="19" t="s">
        <v>51</v>
      </c>
      <c r="N800">
        <v>1</v>
      </c>
      <c r="O800">
        <v>2</v>
      </c>
      <c r="P800" s="19" t="s">
        <v>145</v>
      </c>
      <c r="Q800">
        <v>4</v>
      </c>
      <c r="R800" s="19" t="s">
        <v>53</v>
      </c>
      <c r="S800">
        <v>13763</v>
      </c>
      <c r="T800" s="19" t="s">
        <v>54</v>
      </c>
      <c r="U800">
        <v>86.02</v>
      </c>
      <c r="V800">
        <v>1</v>
      </c>
      <c r="W800" s="19" t="s">
        <v>55</v>
      </c>
      <c r="X800">
        <v>24</v>
      </c>
      <c r="Y800">
        <v>4</v>
      </c>
      <c r="Z800">
        <v>1</v>
      </c>
      <c r="AA800">
        <v>1</v>
      </c>
      <c r="AB800">
        <v>15</v>
      </c>
      <c r="AC800">
        <v>4</v>
      </c>
      <c r="AD800">
        <v>2</v>
      </c>
      <c r="AE800">
        <v>15</v>
      </c>
      <c r="AF800">
        <v>12</v>
      </c>
      <c r="AG800">
        <v>11</v>
      </c>
      <c r="AH800">
        <v>11</v>
      </c>
      <c r="AI800">
        <v>0</v>
      </c>
      <c r="AJ800" s="19" t="s">
        <v>1571</v>
      </c>
      <c r="AK800" s="19" t="s">
        <v>1570</v>
      </c>
      <c r="AL800">
        <v>2</v>
      </c>
      <c r="AM800" s="19" t="s">
        <v>1564</v>
      </c>
      <c r="AN800">
        <v>-0.71945434939819353</v>
      </c>
      <c r="AO800">
        <v>165156</v>
      </c>
    </row>
    <row r="801" spans="1:41" x14ac:dyDescent="0.3">
      <c r="A801" s="19" t="s">
        <v>869</v>
      </c>
      <c r="B801">
        <v>36</v>
      </c>
      <c r="C801" s="19" t="s">
        <v>802</v>
      </c>
      <c r="D801" s="19" t="s">
        <v>55</v>
      </c>
      <c r="E801" s="19" t="s">
        <v>48</v>
      </c>
      <c r="F801">
        <v>1120</v>
      </c>
      <c r="G801" s="19" t="s">
        <v>63</v>
      </c>
      <c r="H801">
        <v>11</v>
      </c>
      <c r="I801">
        <v>4</v>
      </c>
      <c r="J801" s="19" t="s">
        <v>63</v>
      </c>
      <c r="K801">
        <v>2045</v>
      </c>
      <c r="L801">
        <v>2</v>
      </c>
      <c r="M801" s="19" t="s">
        <v>59</v>
      </c>
      <c r="N801">
        <v>2</v>
      </c>
      <c r="O801">
        <v>2</v>
      </c>
      <c r="P801" s="19" t="s">
        <v>145</v>
      </c>
      <c r="Q801">
        <v>4</v>
      </c>
      <c r="R801" s="19" t="s">
        <v>113</v>
      </c>
      <c r="S801">
        <v>19384</v>
      </c>
      <c r="T801" s="19" t="s">
        <v>54</v>
      </c>
      <c r="U801">
        <v>121.15</v>
      </c>
      <c r="V801">
        <v>4</v>
      </c>
      <c r="W801" s="19" t="s">
        <v>55</v>
      </c>
      <c r="X801">
        <v>13</v>
      </c>
      <c r="Y801">
        <v>3</v>
      </c>
      <c r="Z801">
        <v>1</v>
      </c>
      <c r="AA801">
        <v>1</v>
      </c>
      <c r="AB801">
        <v>8</v>
      </c>
      <c r="AC801">
        <v>2</v>
      </c>
      <c r="AD801">
        <v>2</v>
      </c>
      <c r="AE801">
        <v>6</v>
      </c>
      <c r="AF801">
        <v>3</v>
      </c>
      <c r="AG801">
        <v>0</v>
      </c>
      <c r="AH801">
        <v>0</v>
      </c>
      <c r="AI801">
        <v>0</v>
      </c>
      <c r="AJ801" s="19" t="s">
        <v>1569</v>
      </c>
      <c r="AK801" s="19" t="s">
        <v>1562</v>
      </c>
      <c r="AL801">
        <v>1</v>
      </c>
      <c r="AM801" s="19" t="s">
        <v>1565</v>
      </c>
      <c r="AN801">
        <v>-0.60487561641608545</v>
      </c>
      <c r="AO801">
        <v>232608</v>
      </c>
    </row>
    <row r="802" spans="1:41" x14ac:dyDescent="0.3">
      <c r="A802" s="19" t="s">
        <v>870</v>
      </c>
      <c r="B802">
        <v>36</v>
      </c>
      <c r="C802" s="19" t="s">
        <v>802</v>
      </c>
      <c r="D802" s="19" t="s">
        <v>55</v>
      </c>
      <c r="E802" s="19" t="s">
        <v>62</v>
      </c>
      <c r="F802">
        <v>884</v>
      </c>
      <c r="G802" s="19" t="s">
        <v>735</v>
      </c>
      <c r="H802">
        <v>23</v>
      </c>
      <c r="I802">
        <v>2</v>
      </c>
      <c r="J802" s="19" t="s">
        <v>58</v>
      </c>
      <c r="K802">
        <v>2061</v>
      </c>
      <c r="L802">
        <v>3</v>
      </c>
      <c r="M802" s="19" t="s">
        <v>51</v>
      </c>
      <c r="N802">
        <v>4</v>
      </c>
      <c r="O802">
        <v>2</v>
      </c>
      <c r="P802" s="19" t="s">
        <v>52</v>
      </c>
      <c r="Q802">
        <v>4</v>
      </c>
      <c r="R802" s="19" t="s">
        <v>113</v>
      </c>
      <c r="S802">
        <v>61100</v>
      </c>
      <c r="T802" s="19" t="s">
        <v>64</v>
      </c>
      <c r="U802">
        <v>381.88</v>
      </c>
      <c r="V802">
        <v>4</v>
      </c>
      <c r="W802" s="19" t="s">
        <v>55</v>
      </c>
      <c r="X802">
        <v>17</v>
      </c>
      <c r="Y802">
        <v>3</v>
      </c>
      <c r="Z802">
        <v>3</v>
      </c>
      <c r="AA802">
        <v>1</v>
      </c>
      <c r="AB802">
        <v>17</v>
      </c>
      <c r="AC802">
        <v>3</v>
      </c>
      <c r="AD802">
        <v>3</v>
      </c>
      <c r="AE802">
        <v>5</v>
      </c>
      <c r="AF802">
        <v>2</v>
      </c>
      <c r="AG802">
        <v>0</v>
      </c>
      <c r="AH802">
        <v>3</v>
      </c>
      <c r="AI802">
        <v>0</v>
      </c>
      <c r="AJ802" s="19" t="s">
        <v>1567</v>
      </c>
      <c r="AK802" s="19" t="s">
        <v>1562</v>
      </c>
      <c r="AL802">
        <v>0</v>
      </c>
      <c r="AM802" s="19" t="s">
        <v>1563</v>
      </c>
      <c r="AN802">
        <v>0.18134750610926623</v>
      </c>
      <c r="AO802">
        <v>733200</v>
      </c>
    </row>
    <row r="803" spans="1:41" x14ac:dyDescent="0.3">
      <c r="A803" s="19" t="s">
        <v>870</v>
      </c>
      <c r="B803">
        <v>36</v>
      </c>
      <c r="C803" s="19" t="s">
        <v>802</v>
      </c>
      <c r="D803" s="19" t="s">
        <v>55</v>
      </c>
      <c r="E803" s="19" t="s">
        <v>62</v>
      </c>
      <c r="F803">
        <v>884</v>
      </c>
      <c r="G803" s="19" t="s">
        <v>735</v>
      </c>
      <c r="H803">
        <v>23</v>
      </c>
      <c r="I803">
        <v>2</v>
      </c>
      <c r="J803" s="19" t="s">
        <v>58</v>
      </c>
      <c r="K803">
        <v>2061</v>
      </c>
      <c r="L803">
        <v>3</v>
      </c>
      <c r="M803" s="19" t="s">
        <v>51</v>
      </c>
      <c r="N803">
        <v>4</v>
      </c>
      <c r="O803">
        <v>2</v>
      </c>
      <c r="P803" s="19" t="s">
        <v>52</v>
      </c>
      <c r="Q803">
        <v>4</v>
      </c>
      <c r="R803" s="19" t="s">
        <v>113</v>
      </c>
      <c r="S803">
        <v>99142</v>
      </c>
      <c r="T803" s="19" t="s">
        <v>70</v>
      </c>
      <c r="U803">
        <v>619.64</v>
      </c>
      <c r="V803">
        <v>4</v>
      </c>
      <c r="W803" s="19" t="s">
        <v>55</v>
      </c>
      <c r="X803">
        <v>17</v>
      </c>
      <c r="Y803">
        <v>3</v>
      </c>
      <c r="Z803">
        <v>3</v>
      </c>
      <c r="AA803">
        <v>1</v>
      </c>
      <c r="AB803">
        <v>17</v>
      </c>
      <c r="AC803">
        <v>3</v>
      </c>
      <c r="AD803">
        <v>3</v>
      </c>
      <c r="AE803">
        <v>5</v>
      </c>
      <c r="AF803">
        <v>2</v>
      </c>
      <c r="AG803">
        <v>0</v>
      </c>
      <c r="AH803">
        <v>2</v>
      </c>
      <c r="AI803">
        <v>0</v>
      </c>
      <c r="AJ803" s="19" t="s">
        <v>1567</v>
      </c>
      <c r="AK803" s="19" t="s">
        <v>1562</v>
      </c>
      <c r="AL803">
        <v>0</v>
      </c>
      <c r="AM803" s="19" t="s">
        <v>1563</v>
      </c>
      <c r="AN803">
        <v>0.91687650492119266</v>
      </c>
      <c r="AO803">
        <v>1189704</v>
      </c>
    </row>
    <row r="804" spans="1:41" x14ac:dyDescent="0.3">
      <c r="A804" s="19" t="s">
        <v>871</v>
      </c>
      <c r="B804">
        <v>37</v>
      </c>
      <c r="C804" s="19" t="s">
        <v>802</v>
      </c>
      <c r="D804" s="19" t="s">
        <v>47</v>
      </c>
      <c r="E804" s="19" t="s">
        <v>48</v>
      </c>
      <c r="F804">
        <v>1373</v>
      </c>
      <c r="G804" s="19" t="s">
        <v>735</v>
      </c>
      <c r="H804">
        <v>2</v>
      </c>
      <c r="I804">
        <v>2</v>
      </c>
      <c r="J804" s="19" t="s">
        <v>82</v>
      </c>
      <c r="K804">
        <v>4</v>
      </c>
      <c r="L804">
        <v>4</v>
      </c>
      <c r="M804" s="19" t="s">
        <v>51</v>
      </c>
      <c r="N804">
        <v>2</v>
      </c>
      <c r="O804">
        <v>1</v>
      </c>
      <c r="P804" s="19" t="s">
        <v>52</v>
      </c>
      <c r="Q804">
        <v>3</v>
      </c>
      <c r="R804" s="19" t="s">
        <v>53</v>
      </c>
      <c r="S804">
        <v>10860</v>
      </c>
      <c r="T804" s="19" t="s">
        <v>54</v>
      </c>
      <c r="U804">
        <v>67.88</v>
      </c>
      <c r="V804">
        <v>6</v>
      </c>
      <c r="W804" s="19" t="s">
        <v>47</v>
      </c>
      <c r="X804">
        <v>15</v>
      </c>
      <c r="Y804">
        <v>3</v>
      </c>
      <c r="Z804">
        <v>2</v>
      </c>
      <c r="AA804">
        <v>0</v>
      </c>
      <c r="AB804">
        <v>7</v>
      </c>
      <c r="AC804">
        <v>3</v>
      </c>
      <c r="AD804">
        <v>3</v>
      </c>
      <c r="AE804">
        <v>0</v>
      </c>
      <c r="AF804">
        <v>0</v>
      </c>
      <c r="AG804">
        <v>0</v>
      </c>
      <c r="AH804">
        <v>0</v>
      </c>
      <c r="AI804">
        <v>1</v>
      </c>
      <c r="AJ804" s="19" t="s">
        <v>1561</v>
      </c>
      <c r="AK804" s="19" t="s">
        <v>1562</v>
      </c>
      <c r="AL804">
        <v>1</v>
      </c>
      <c r="AM804" s="19" t="s">
        <v>1565</v>
      </c>
      <c r="AN804">
        <v>-0.79002563148368854</v>
      </c>
      <c r="AO804">
        <v>130320</v>
      </c>
    </row>
    <row r="805" spans="1:41" x14ac:dyDescent="0.3">
      <c r="A805" s="19" t="s">
        <v>872</v>
      </c>
      <c r="B805">
        <v>37</v>
      </c>
      <c r="C805" s="19" t="s">
        <v>802</v>
      </c>
      <c r="D805" s="19" t="s">
        <v>55</v>
      </c>
      <c r="E805" s="19" t="s">
        <v>48</v>
      </c>
      <c r="F805">
        <v>408</v>
      </c>
      <c r="G805" s="19" t="s">
        <v>735</v>
      </c>
      <c r="H805">
        <v>19</v>
      </c>
      <c r="I805">
        <v>2</v>
      </c>
      <c r="J805" s="19" t="s">
        <v>50</v>
      </c>
      <c r="K805">
        <v>61</v>
      </c>
      <c r="L805">
        <v>2</v>
      </c>
      <c r="M805" s="19" t="s">
        <v>51</v>
      </c>
      <c r="N805">
        <v>3</v>
      </c>
      <c r="O805">
        <v>1</v>
      </c>
      <c r="P805" s="19" t="s">
        <v>67</v>
      </c>
      <c r="Q805">
        <v>2</v>
      </c>
      <c r="R805" s="19" t="s">
        <v>113</v>
      </c>
      <c r="S805">
        <v>81642</v>
      </c>
      <c r="T805" s="19" t="s">
        <v>64</v>
      </c>
      <c r="U805">
        <v>510.26</v>
      </c>
      <c r="V805">
        <v>4</v>
      </c>
      <c r="W805" s="19" t="s">
        <v>55</v>
      </c>
      <c r="X805">
        <v>21</v>
      </c>
      <c r="Y805">
        <v>4</v>
      </c>
      <c r="Z805">
        <v>1</v>
      </c>
      <c r="AA805">
        <v>0</v>
      </c>
      <c r="AB805">
        <v>8</v>
      </c>
      <c r="AC805">
        <v>1</v>
      </c>
      <c r="AD805">
        <v>3</v>
      </c>
      <c r="AE805">
        <v>1</v>
      </c>
      <c r="AF805">
        <v>0</v>
      </c>
      <c r="AG805">
        <v>0</v>
      </c>
      <c r="AH805">
        <v>0</v>
      </c>
      <c r="AI805">
        <v>0</v>
      </c>
      <c r="AJ805" s="19" t="s">
        <v>1561</v>
      </c>
      <c r="AK805" s="19" t="s">
        <v>1562</v>
      </c>
      <c r="AL805">
        <v>1</v>
      </c>
      <c r="AM805" s="19" t="s">
        <v>1565</v>
      </c>
      <c r="AN805">
        <v>0.63722440873744624</v>
      </c>
      <c r="AO805">
        <v>979704</v>
      </c>
    </row>
    <row r="806" spans="1:41" x14ac:dyDescent="0.3">
      <c r="A806" s="19" t="s">
        <v>873</v>
      </c>
      <c r="B806">
        <v>37</v>
      </c>
      <c r="C806" s="19" t="s">
        <v>802</v>
      </c>
      <c r="D806" s="19" t="s">
        <v>55</v>
      </c>
      <c r="E806" s="19" t="s">
        <v>48</v>
      </c>
      <c r="F806">
        <v>1115</v>
      </c>
      <c r="G806" s="19" t="s">
        <v>735</v>
      </c>
      <c r="H806">
        <v>1</v>
      </c>
      <c r="I806">
        <v>4</v>
      </c>
      <c r="J806" s="19" t="s">
        <v>50</v>
      </c>
      <c r="K806">
        <v>77</v>
      </c>
      <c r="L806">
        <v>1</v>
      </c>
      <c r="M806" s="19" t="s">
        <v>51</v>
      </c>
      <c r="N806">
        <v>2</v>
      </c>
      <c r="O806">
        <v>2</v>
      </c>
      <c r="P806" s="19" t="s">
        <v>120</v>
      </c>
      <c r="Q806">
        <v>3</v>
      </c>
      <c r="R806" s="19" t="s">
        <v>113</v>
      </c>
      <c r="S806">
        <v>51612</v>
      </c>
      <c r="T806" s="19" t="s">
        <v>64</v>
      </c>
      <c r="U806">
        <v>322.58</v>
      </c>
      <c r="V806">
        <v>1</v>
      </c>
      <c r="W806" s="19" t="s">
        <v>55</v>
      </c>
      <c r="X806">
        <v>18</v>
      </c>
      <c r="Y806">
        <v>3</v>
      </c>
      <c r="Z806">
        <v>3</v>
      </c>
      <c r="AA806">
        <v>1</v>
      </c>
      <c r="AB806">
        <v>7</v>
      </c>
      <c r="AC806">
        <v>2</v>
      </c>
      <c r="AD806">
        <v>4</v>
      </c>
      <c r="AE806">
        <v>7</v>
      </c>
      <c r="AF806">
        <v>5</v>
      </c>
      <c r="AG806">
        <v>0</v>
      </c>
      <c r="AH806">
        <v>7</v>
      </c>
      <c r="AI806">
        <v>0</v>
      </c>
      <c r="AJ806" s="19" t="s">
        <v>1569</v>
      </c>
      <c r="AK806" s="19" t="s">
        <v>1562</v>
      </c>
      <c r="AL806">
        <v>0</v>
      </c>
      <c r="AM806" s="19" t="s">
        <v>1563</v>
      </c>
      <c r="AN806">
        <v>0.16517911607935459</v>
      </c>
      <c r="AO806">
        <v>619344</v>
      </c>
    </row>
    <row r="807" spans="1:41" x14ac:dyDescent="0.3">
      <c r="A807" s="19" t="s">
        <v>874</v>
      </c>
      <c r="B807">
        <v>37</v>
      </c>
      <c r="C807" s="19" t="s">
        <v>802</v>
      </c>
      <c r="D807" s="19" t="s">
        <v>55</v>
      </c>
      <c r="E807" s="19" t="s">
        <v>48</v>
      </c>
      <c r="F807">
        <v>397</v>
      </c>
      <c r="G807" s="19" t="s">
        <v>735</v>
      </c>
      <c r="H807">
        <v>7</v>
      </c>
      <c r="I807">
        <v>4</v>
      </c>
      <c r="J807" s="19" t="s">
        <v>58</v>
      </c>
      <c r="K807">
        <v>102</v>
      </c>
      <c r="L807">
        <v>1</v>
      </c>
      <c r="M807" s="19" t="s">
        <v>51</v>
      </c>
      <c r="N807">
        <v>3</v>
      </c>
      <c r="O807">
        <v>3</v>
      </c>
      <c r="P807" s="19" t="s">
        <v>257</v>
      </c>
      <c r="Q807">
        <v>3</v>
      </c>
      <c r="R807" s="19" t="s">
        <v>53</v>
      </c>
      <c r="S807">
        <v>24574</v>
      </c>
      <c r="T807" s="19" t="s">
        <v>54</v>
      </c>
      <c r="U807">
        <v>153.59</v>
      </c>
      <c r="V807">
        <v>4</v>
      </c>
      <c r="W807" s="19" t="s">
        <v>55</v>
      </c>
      <c r="X807">
        <v>13</v>
      </c>
      <c r="Y807">
        <v>3</v>
      </c>
      <c r="Z807">
        <v>1</v>
      </c>
      <c r="AA807">
        <v>0</v>
      </c>
      <c r="AB807">
        <v>16</v>
      </c>
      <c r="AC807">
        <v>3</v>
      </c>
      <c r="AD807">
        <v>4</v>
      </c>
      <c r="AE807">
        <v>5</v>
      </c>
      <c r="AF807">
        <v>2</v>
      </c>
      <c r="AG807">
        <v>0</v>
      </c>
      <c r="AH807">
        <v>2</v>
      </c>
      <c r="AI807">
        <v>0</v>
      </c>
      <c r="AJ807" s="19" t="s">
        <v>1567</v>
      </c>
      <c r="AK807" s="19" t="s">
        <v>1562</v>
      </c>
      <c r="AL807">
        <v>0</v>
      </c>
      <c r="AM807" s="19" t="s">
        <v>1563</v>
      </c>
      <c r="AN807">
        <v>-0.51495245797851785</v>
      </c>
      <c r="AO807">
        <v>294888</v>
      </c>
    </row>
    <row r="808" spans="1:41" x14ac:dyDescent="0.3">
      <c r="A808" s="19" t="s">
        <v>875</v>
      </c>
      <c r="B808">
        <v>37</v>
      </c>
      <c r="C808" s="19" t="s">
        <v>802</v>
      </c>
      <c r="D808" s="19" t="s">
        <v>47</v>
      </c>
      <c r="E808" s="19" t="s">
        <v>48</v>
      </c>
      <c r="F808">
        <v>807</v>
      </c>
      <c r="G808" s="19" t="s">
        <v>406</v>
      </c>
      <c r="H808">
        <v>6</v>
      </c>
      <c r="I808">
        <v>4</v>
      </c>
      <c r="J808" s="19" t="s">
        <v>80</v>
      </c>
      <c r="K808">
        <v>133</v>
      </c>
      <c r="L808">
        <v>3</v>
      </c>
      <c r="M808" s="19" t="s">
        <v>51</v>
      </c>
      <c r="N808">
        <v>3</v>
      </c>
      <c r="O808">
        <v>1</v>
      </c>
      <c r="P808" s="19" t="s">
        <v>80</v>
      </c>
      <c r="Q808">
        <v>1</v>
      </c>
      <c r="R808" s="19" t="s">
        <v>113</v>
      </c>
      <c r="S808">
        <v>24524</v>
      </c>
      <c r="T808" s="19" t="s">
        <v>54</v>
      </c>
      <c r="U808">
        <v>153.28</v>
      </c>
      <c r="V808">
        <v>4</v>
      </c>
      <c r="W808" s="19" t="s">
        <v>47</v>
      </c>
      <c r="X808">
        <v>22</v>
      </c>
      <c r="Y808">
        <v>4</v>
      </c>
      <c r="Z808">
        <v>4</v>
      </c>
      <c r="AA808">
        <v>0</v>
      </c>
      <c r="AB808">
        <v>7</v>
      </c>
      <c r="AC808">
        <v>3</v>
      </c>
      <c r="AD808">
        <v>3</v>
      </c>
      <c r="AE808">
        <v>3</v>
      </c>
      <c r="AF808">
        <v>2</v>
      </c>
      <c r="AG808">
        <v>0</v>
      </c>
      <c r="AH808">
        <v>2</v>
      </c>
      <c r="AI808">
        <v>1</v>
      </c>
      <c r="AJ808" s="19" t="s">
        <v>1566</v>
      </c>
      <c r="AK808" s="19" t="s">
        <v>1562</v>
      </c>
      <c r="AL808">
        <v>2</v>
      </c>
      <c r="AM808" s="19" t="s">
        <v>1564</v>
      </c>
      <c r="AN808">
        <v>-0.51671170163982882</v>
      </c>
      <c r="AO808">
        <v>294288</v>
      </c>
    </row>
    <row r="809" spans="1:41" x14ac:dyDescent="0.3">
      <c r="A809" s="19" t="s">
        <v>876</v>
      </c>
      <c r="B809">
        <v>37</v>
      </c>
      <c r="C809" s="19" t="s">
        <v>802</v>
      </c>
      <c r="D809" s="19" t="s">
        <v>55</v>
      </c>
      <c r="E809" s="19" t="s">
        <v>66</v>
      </c>
      <c r="F809">
        <v>1040</v>
      </c>
      <c r="G809" s="19" t="s">
        <v>735</v>
      </c>
      <c r="H809">
        <v>2</v>
      </c>
      <c r="I809">
        <v>2</v>
      </c>
      <c r="J809" s="19" t="s">
        <v>50</v>
      </c>
      <c r="K809">
        <v>139</v>
      </c>
      <c r="L809">
        <v>3</v>
      </c>
      <c r="M809" s="19" t="s">
        <v>51</v>
      </c>
      <c r="N809">
        <v>2</v>
      </c>
      <c r="O809">
        <v>2</v>
      </c>
      <c r="P809" s="19" t="s">
        <v>168</v>
      </c>
      <c r="Q809">
        <v>4</v>
      </c>
      <c r="R809" s="19" t="s">
        <v>53</v>
      </c>
      <c r="S809">
        <v>70172</v>
      </c>
      <c r="T809" s="19" t="s">
        <v>64</v>
      </c>
      <c r="U809">
        <v>438.58</v>
      </c>
      <c r="V809">
        <v>5</v>
      </c>
      <c r="W809" s="19" t="s">
        <v>55</v>
      </c>
      <c r="X809">
        <v>14</v>
      </c>
      <c r="Y809">
        <v>3</v>
      </c>
      <c r="Z809">
        <v>4</v>
      </c>
      <c r="AA809">
        <v>1</v>
      </c>
      <c r="AB809">
        <v>17</v>
      </c>
      <c r="AC809">
        <v>2</v>
      </c>
      <c r="AD809">
        <v>4</v>
      </c>
      <c r="AE809">
        <v>1</v>
      </c>
      <c r="AF809">
        <v>0</v>
      </c>
      <c r="AG809">
        <v>0</v>
      </c>
      <c r="AH809">
        <v>0</v>
      </c>
      <c r="AI809">
        <v>0</v>
      </c>
      <c r="AJ809" s="19" t="s">
        <v>1561</v>
      </c>
      <c r="AK809" s="19" t="s">
        <v>1562</v>
      </c>
      <c r="AL809">
        <v>0</v>
      </c>
      <c r="AM809" s="19" t="s">
        <v>1563</v>
      </c>
      <c r="AN809">
        <v>0.45617862944824566</v>
      </c>
      <c r="AO809">
        <v>842064</v>
      </c>
    </row>
    <row r="810" spans="1:41" x14ac:dyDescent="0.3">
      <c r="A810" s="19" t="s">
        <v>877</v>
      </c>
      <c r="B810">
        <v>37</v>
      </c>
      <c r="C810" s="19" t="s">
        <v>802</v>
      </c>
      <c r="D810" s="19" t="s">
        <v>55</v>
      </c>
      <c r="E810" s="19" t="s">
        <v>48</v>
      </c>
      <c r="F810">
        <v>1189</v>
      </c>
      <c r="G810" s="19" t="s">
        <v>63</v>
      </c>
      <c r="H810">
        <v>3</v>
      </c>
      <c r="I810">
        <v>3</v>
      </c>
      <c r="J810" s="19" t="s">
        <v>50</v>
      </c>
      <c r="K810">
        <v>152</v>
      </c>
      <c r="L810">
        <v>3</v>
      </c>
      <c r="M810" s="19" t="s">
        <v>51</v>
      </c>
      <c r="N810">
        <v>3</v>
      </c>
      <c r="O810">
        <v>3</v>
      </c>
      <c r="P810" s="19" t="s">
        <v>145</v>
      </c>
      <c r="Q810">
        <v>4</v>
      </c>
      <c r="R810" s="19" t="s">
        <v>53</v>
      </c>
      <c r="S810">
        <v>11916</v>
      </c>
      <c r="T810" s="19" t="s">
        <v>54</v>
      </c>
      <c r="U810">
        <v>74.47</v>
      </c>
      <c r="V810">
        <v>2</v>
      </c>
      <c r="W810" s="19" t="s">
        <v>55</v>
      </c>
      <c r="X810">
        <v>12</v>
      </c>
      <c r="Y810">
        <v>3</v>
      </c>
      <c r="Z810">
        <v>1</v>
      </c>
      <c r="AA810">
        <v>0</v>
      </c>
      <c r="AB810">
        <v>12</v>
      </c>
      <c r="AC810">
        <v>3</v>
      </c>
      <c r="AD810">
        <v>3</v>
      </c>
      <c r="AE810">
        <v>5</v>
      </c>
      <c r="AF810">
        <v>3</v>
      </c>
      <c r="AG810">
        <v>1</v>
      </c>
      <c r="AH810">
        <v>3</v>
      </c>
      <c r="AI810">
        <v>0</v>
      </c>
      <c r="AJ810" s="19" t="s">
        <v>1567</v>
      </c>
      <c r="AK810" s="19" t="s">
        <v>1562</v>
      </c>
      <c r="AL810">
        <v>0</v>
      </c>
      <c r="AM810" s="19" t="s">
        <v>1563</v>
      </c>
      <c r="AN810">
        <v>-0.7571036857828144</v>
      </c>
      <c r="AO810">
        <v>142992</v>
      </c>
    </row>
    <row r="811" spans="1:41" x14ac:dyDescent="0.3">
      <c r="A811" s="19" t="s">
        <v>878</v>
      </c>
      <c r="B811">
        <v>37</v>
      </c>
      <c r="C811" s="19" t="s">
        <v>802</v>
      </c>
      <c r="D811" s="19" t="s">
        <v>55</v>
      </c>
      <c r="E811" s="19" t="s">
        <v>48</v>
      </c>
      <c r="F811">
        <v>290</v>
      </c>
      <c r="G811" s="19" t="s">
        <v>735</v>
      </c>
      <c r="H811">
        <v>21</v>
      </c>
      <c r="I811">
        <v>3</v>
      </c>
      <c r="J811" s="19" t="s">
        <v>50</v>
      </c>
      <c r="K811">
        <v>267</v>
      </c>
      <c r="L811">
        <v>2</v>
      </c>
      <c r="M811" s="19" t="s">
        <v>51</v>
      </c>
      <c r="N811">
        <v>4</v>
      </c>
      <c r="O811">
        <v>1</v>
      </c>
      <c r="P811" s="19" t="s">
        <v>67</v>
      </c>
      <c r="Q811">
        <v>1</v>
      </c>
      <c r="R811" s="19" t="s">
        <v>113</v>
      </c>
      <c r="S811">
        <v>5809</v>
      </c>
      <c r="T811" s="19" t="s">
        <v>54</v>
      </c>
      <c r="U811">
        <v>36.31</v>
      </c>
      <c r="V811">
        <v>1</v>
      </c>
      <c r="W811" s="19" t="s">
        <v>47</v>
      </c>
      <c r="X811">
        <v>12</v>
      </c>
      <c r="Y811">
        <v>3</v>
      </c>
      <c r="Z811">
        <v>1</v>
      </c>
      <c r="AA811">
        <v>1</v>
      </c>
      <c r="AB811">
        <v>8</v>
      </c>
      <c r="AC811">
        <v>3</v>
      </c>
      <c r="AD811">
        <v>2</v>
      </c>
      <c r="AE811">
        <v>8</v>
      </c>
      <c r="AF811">
        <v>7</v>
      </c>
      <c r="AG811">
        <v>1</v>
      </c>
      <c r="AH811">
        <v>7</v>
      </c>
      <c r="AI811">
        <v>0</v>
      </c>
      <c r="AJ811" s="19" t="s">
        <v>1569</v>
      </c>
      <c r="AK811" s="19" t="s">
        <v>1562</v>
      </c>
      <c r="AL811">
        <v>3</v>
      </c>
      <c r="AM811" s="19" t="s">
        <v>1568</v>
      </c>
      <c r="AN811">
        <v>-0.88350804009755002</v>
      </c>
      <c r="AO811">
        <v>69708</v>
      </c>
    </row>
    <row r="812" spans="1:41" x14ac:dyDescent="0.3">
      <c r="A812" s="19" t="s">
        <v>879</v>
      </c>
      <c r="B812">
        <v>37</v>
      </c>
      <c r="C812" s="19" t="s">
        <v>802</v>
      </c>
      <c r="D812" s="19" t="s">
        <v>55</v>
      </c>
      <c r="E812" s="19" t="s">
        <v>62</v>
      </c>
      <c r="F812">
        <v>663</v>
      </c>
      <c r="G812" s="19" t="s">
        <v>735</v>
      </c>
      <c r="H812">
        <v>11</v>
      </c>
      <c r="I812">
        <v>3</v>
      </c>
      <c r="J812" s="19" t="s">
        <v>82</v>
      </c>
      <c r="K812">
        <v>306</v>
      </c>
      <c r="L812">
        <v>2</v>
      </c>
      <c r="M812" s="19" t="s">
        <v>51</v>
      </c>
      <c r="N812">
        <v>3</v>
      </c>
      <c r="O812">
        <v>3</v>
      </c>
      <c r="P812" s="19" t="s">
        <v>257</v>
      </c>
      <c r="Q812">
        <v>4</v>
      </c>
      <c r="R812" s="19" t="s">
        <v>53</v>
      </c>
      <c r="S812">
        <v>33201</v>
      </c>
      <c r="T812" s="19" t="s">
        <v>72</v>
      </c>
      <c r="U812">
        <v>207.51</v>
      </c>
      <c r="V812">
        <v>1</v>
      </c>
      <c r="W812" s="19" t="s">
        <v>47</v>
      </c>
      <c r="X812">
        <v>14</v>
      </c>
      <c r="Y812">
        <v>3</v>
      </c>
      <c r="Z812">
        <v>3</v>
      </c>
      <c r="AA812">
        <v>3</v>
      </c>
      <c r="AB812">
        <v>10</v>
      </c>
      <c r="AC812">
        <v>1</v>
      </c>
      <c r="AD812">
        <v>3</v>
      </c>
      <c r="AE812">
        <v>10</v>
      </c>
      <c r="AF812">
        <v>8</v>
      </c>
      <c r="AG812">
        <v>0</v>
      </c>
      <c r="AH812">
        <v>7</v>
      </c>
      <c r="AI812">
        <v>0</v>
      </c>
      <c r="AJ812" s="19" t="s">
        <v>1569</v>
      </c>
      <c r="AK812" s="19" t="s">
        <v>1562</v>
      </c>
      <c r="AL812">
        <v>1</v>
      </c>
      <c r="AM812" s="19" t="s">
        <v>1565</v>
      </c>
      <c r="AN812">
        <v>-0.34467065017273424</v>
      </c>
      <c r="AO812">
        <v>398412</v>
      </c>
    </row>
    <row r="813" spans="1:41" x14ac:dyDescent="0.3">
      <c r="A813" s="19" t="s">
        <v>880</v>
      </c>
      <c r="B813">
        <v>37</v>
      </c>
      <c r="C813" s="19" t="s">
        <v>802</v>
      </c>
      <c r="D813" s="19" t="s">
        <v>55</v>
      </c>
      <c r="E813" s="19" t="s">
        <v>62</v>
      </c>
      <c r="F813">
        <v>319</v>
      </c>
      <c r="G813" s="19" t="s">
        <v>63</v>
      </c>
      <c r="H813">
        <v>4</v>
      </c>
      <c r="I813">
        <v>4</v>
      </c>
      <c r="J813" s="19" t="s">
        <v>63</v>
      </c>
      <c r="K813">
        <v>311</v>
      </c>
      <c r="L813">
        <v>1</v>
      </c>
      <c r="M813" s="19" t="s">
        <v>51</v>
      </c>
      <c r="N813">
        <v>3</v>
      </c>
      <c r="O813">
        <v>1</v>
      </c>
      <c r="P813" s="19" t="s">
        <v>60</v>
      </c>
      <c r="Q813">
        <v>4</v>
      </c>
      <c r="R813" s="19" t="s">
        <v>53</v>
      </c>
      <c r="S813">
        <v>54330</v>
      </c>
      <c r="T813" s="19" t="s">
        <v>64</v>
      </c>
      <c r="U813">
        <v>339.56</v>
      </c>
      <c r="V813">
        <v>4</v>
      </c>
      <c r="W813" s="19" t="s">
        <v>55</v>
      </c>
      <c r="X813">
        <v>17</v>
      </c>
      <c r="Y813">
        <v>3</v>
      </c>
      <c r="Z813">
        <v>3</v>
      </c>
      <c r="AA813">
        <v>1</v>
      </c>
      <c r="AB813">
        <v>13</v>
      </c>
      <c r="AC813">
        <v>2</v>
      </c>
      <c r="AD813">
        <v>3</v>
      </c>
      <c r="AE813">
        <v>9</v>
      </c>
      <c r="AF813">
        <v>8</v>
      </c>
      <c r="AG813">
        <v>5</v>
      </c>
      <c r="AH813">
        <v>8</v>
      </c>
      <c r="AI813">
        <v>0</v>
      </c>
      <c r="AJ813" s="19" t="s">
        <v>1569</v>
      </c>
      <c r="AK813" s="19" t="s">
        <v>1570</v>
      </c>
      <c r="AL813">
        <v>1</v>
      </c>
      <c r="AM813" s="19" t="s">
        <v>1565</v>
      </c>
      <c r="AN813">
        <v>0.10142970195617133</v>
      </c>
      <c r="AO813">
        <v>651960</v>
      </c>
    </row>
    <row r="814" spans="1:41" x14ac:dyDescent="0.3">
      <c r="A814" s="19" t="s">
        <v>881</v>
      </c>
      <c r="B814">
        <v>37</v>
      </c>
      <c r="C814" s="19" t="s">
        <v>802</v>
      </c>
      <c r="D814" s="19" t="s">
        <v>55</v>
      </c>
      <c r="E814" s="19" t="s">
        <v>48</v>
      </c>
      <c r="F814">
        <v>1017</v>
      </c>
      <c r="G814" s="19" t="s">
        <v>735</v>
      </c>
      <c r="H814">
        <v>1</v>
      </c>
      <c r="I814">
        <v>2</v>
      </c>
      <c r="J814" s="19" t="s">
        <v>58</v>
      </c>
      <c r="K814">
        <v>340</v>
      </c>
      <c r="L814">
        <v>3</v>
      </c>
      <c r="M814" s="19" t="s">
        <v>59</v>
      </c>
      <c r="N814">
        <v>2</v>
      </c>
      <c r="O814">
        <v>1</v>
      </c>
      <c r="P814" s="19" t="s">
        <v>67</v>
      </c>
      <c r="Q814">
        <v>1</v>
      </c>
      <c r="R814" s="19" t="s">
        <v>113</v>
      </c>
      <c r="S814">
        <v>14456</v>
      </c>
      <c r="T814" s="19" t="s">
        <v>54</v>
      </c>
      <c r="U814">
        <v>90.35</v>
      </c>
      <c r="V814">
        <v>2</v>
      </c>
      <c r="W814" s="19" t="s">
        <v>55</v>
      </c>
      <c r="X814">
        <v>14</v>
      </c>
      <c r="Y814">
        <v>3</v>
      </c>
      <c r="Z814">
        <v>1</v>
      </c>
      <c r="AA814">
        <v>1</v>
      </c>
      <c r="AB814">
        <v>17</v>
      </c>
      <c r="AC814">
        <v>2</v>
      </c>
      <c r="AD814">
        <v>2</v>
      </c>
      <c r="AE814">
        <v>3</v>
      </c>
      <c r="AF814">
        <v>1</v>
      </c>
      <c r="AG814">
        <v>0</v>
      </c>
      <c r="AH814">
        <v>1</v>
      </c>
      <c r="AI814">
        <v>0</v>
      </c>
      <c r="AJ814" s="19" t="s">
        <v>1566</v>
      </c>
      <c r="AK814" s="19" t="s">
        <v>1562</v>
      </c>
      <c r="AL814">
        <v>2</v>
      </c>
      <c r="AM814" s="19" t="s">
        <v>1564</v>
      </c>
      <c r="AN814">
        <v>-0.71010367148393572</v>
      </c>
      <c r="AO814">
        <v>173472</v>
      </c>
    </row>
    <row r="815" spans="1:41" x14ac:dyDescent="0.3">
      <c r="A815" s="19" t="s">
        <v>882</v>
      </c>
      <c r="B815">
        <v>37</v>
      </c>
      <c r="C815" s="19" t="s">
        <v>802</v>
      </c>
      <c r="D815" s="19" t="s">
        <v>47</v>
      </c>
      <c r="E815" s="19" t="s">
        <v>62</v>
      </c>
      <c r="F815">
        <v>504</v>
      </c>
      <c r="G815" s="19" t="s">
        <v>735</v>
      </c>
      <c r="H815">
        <v>10</v>
      </c>
      <c r="I815">
        <v>3</v>
      </c>
      <c r="J815" s="19" t="s">
        <v>58</v>
      </c>
      <c r="K815">
        <v>342</v>
      </c>
      <c r="L815">
        <v>1</v>
      </c>
      <c r="M815" s="19" t="s">
        <v>51</v>
      </c>
      <c r="N815">
        <v>3</v>
      </c>
      <c r="O815">
        <v>3</v>
      </c>
      <c r="P815" s="19" t="s">
        <v>120</v>
      </c>
      <c r="Q815">
        <v>3</v>
      </c>
      <c r="R815" s="19" t="s">
        <v>53</v>
      </c>
      <c r="S815">
        <v>57397</v>
      </c>
      <c r="T815" s="19" t="s">
        <v>64</v>
      </c>
      <c r="U815">
        <v>358.73</v>
      </c>
      <c r="V815">
        <v>6</v>
      </c>
      <c r="W815" s="19" t="s">
        <v>55</v>
      </c>
      <c r="X815">
        <v>11</v>
      </c>
      <c r="Y815">
        <v>3</v>
      </c>
      <c r="Z815">
        <v>2</v>
      </c>
      <c r="AA815">
        <v>2</v>
      </c>
      <c r="AB815">
        <v>17</v>
      </c>
      <c r="AC815">
        <v>5</v>
      </c>
      <c r="AD815">
        <v>3</v>
      </c>
      <c r="AE815">
        <v>1</v>
      </c>
      <c r="AF815">
        <v>0</v>
      </c>
      <c r="AG815">
        <v>0</v>
      </c>
      <c r="AH815">
        <v>0</v>
      </c>
      <c r="AI815">
        <v>1</v>
      </c>
      <c r="AJ815" s="19" t="s">
        <v>1561</v>
      </c>
      <c r="AK815" s="19" t="s">
        <v>1562</v>
      </c>
      <c r="AL815">
        <v>0</v>
      </c>
      <c r="AM815" s="19" t="s">
        <v>1563</v>
      </c>
      <c r="AN815">
        <v>0.29577977457968524</v>
      </c>
      <c r="AO815">
        <v>688764</v>
      </c>
    </row>
    <row r="816" spans="1:41" x14ac:dyDescent="0.3">
      <c r="A816" s="19" t="s">
        <v>883</v>
      </c>
      <c r="B816">
        <v>37</v>
      </c>
      <c r="C816" s="19" t="s">
        <v>802</v>
      </c>
      <c r="D816" s="19" t="s">
        <v>55</v>
      </c>
      <c r="E816" s="19" t="s">
        <v>48</v>
      </c>
      <c r="F816">
        <v>228</v>
      </c>
      <c r="G816" s="19" t="s">
        <v>63</v>
      </c>
      <c r="H816">
        <v>6</v>
      </c>
      <c r="I816">
        <v>4</v>
      </c>
      <c r="J816" s="19" t="s">
        <v>58</v>
      </c>
      <c r="K816">
        <v>378</v>
      </c>
      <c r="L816">
        <v>3</v>
      </c>
      <c r="M816" s="19" t="s">
        <v>51</v>
      </c>
      <c r="N816">
        <v>3</v>
      </c>
      <c r="O816">
        <v>2</v>
      </c>
      <c r="P816" s="19" t="s">
        <v>145</v>
      </c>
      <c r="Q816">
        <v>4</v>
      </c>
      <c r="R816" s="19" t="s">
        <v>113</v>
      </c>
      <c r="S816">
        <v>39765</v>
      </c>
      <c r="T816" s="19" t="s">
        <v>72</v>
      </c>
      <c r="U816">
        <v>248.53</v>
      </c>
      <c r="V816">
        <v>4</v>
      </c>
      <c r="W816" s="19" t="s">
        <v>55</v>
      </c>
      <c r="X816">
        <v>14</v>
      </c>
      <c r="Y816">
        <v>3</v>
      </c>
      <c r="Z816">
        <v>2</v>
      </c>
      <c r="AA816">
        <v>1</v>
      </c>
      <c r="AB816">
        <v>7</v>
      </c>
      <c r="AC816">
        <v>5</v>
      </c>
      <c r="AD816">
        <v>4</v>
      </c>
      <c r="AE816">
        <v>5</v>
      </c>
      <c r="AF816">
        <v>4</v>
      </c>
      <c r="AG816">
        <v>0</v>
      </c>
      <c r="AH816">
        <v>1</v>
      </c>
      <c r="AI816">
        <v>0</v>
      </c>
      <c r="AJ816" s="19" t="s">
        <v>1567</v>
      </c>
      <c r="AK816" s="19" t="s">
        <v>1562</v>
      </c>
      <c r="AL816">
        <v>0</v>
      </c>
      <c r="AM816" s="19" t="s">
        <v>1563</v>
      </c>
      <c r="AN816">
        <v>-0.18942833712265972</v>
      </c>
      <c r="AO816">
        <v>477180</v>
      </c>
    </row>
    <row r="817" spans="1:41" x14ac:dyDescent="0.3">
      <c r="A817" s="19" t="s">
        <v>884</v>
      </c>
      <c r="B817">
        <v>37</v>
      </c>
      <c r="C817" s="19" t="s">
        <v>802</v>
      </c>
      <c r="D817" s="19" t="s">
        <v>55</v>
      </c>
      <c r="E817" s="19" t="s">
        <v>66</v>
      </c>
      <c r="F817">
        <v>728</v>
      </c>
      <c r="G817" s="19" t="s">
        <v>735</v>
      </c>
      <c r="H817">
        <v>1</v>
      </c>
      <c r="I817">
        <v>4</v>
      </c>
      <c r="J817" s="19" t="s">
        <v>58</v>
      </c>
      <c r="K817">
        <v>380</v>
      </c>
      <c r="L817">
        <v>1</v>
      </c>
      <c r="M817" s="19" t="s">
        <v>59</v>
      </c>
      <c r="N817">
        <v>3</v>
      </c>
      <c r="O817">
        <v>3</v>
      </c>
      <c r="P817" s="19" t="s">
        <v>257</v>
      </c>
      <c r="Q817">
        <v>4</v>
      </c>
      <c r="R817" s="19" t="s">
        <v>53</v>
      </c>
      <c r="S817">
        <v>35816</v>
      </c>
      <c r="T817" s="19" t="s">
        <v>72</v>
      </c>
      <c r="U817">
        <v>223.85</v>
      </c>
      <c r="V817">
        <v>2</v>
      </c>
      <c r="W817" s="19" t="s">
        <v>47</v>
      </c>
      <c r="X817">
        <v>18</v>
      </c>
      <c r="Y817">
        <v>3</v>
      </c>
      <c r="Z817">
        <v>1</v>
      </c>
      <c r="AA817">
        <v>2</v>
      </c>
      <c r="AB817">
        <v>15</v>
      </c>
      <c r="AC817">
        <v>2</v>
      </c>
      <c r="AD817">
        <v>3</v>
      </c>
      <c r="AE817">
        <v>5</v>
      </c>
      <c r="AF817">
        <v>2</v>
      </c>
      <c r="AG817">
        <v>0</v>
      </c>
      <c r="AH817">
        <v>2</v>
      </c>
      <c r="AI817">
        <v>0</v>
      </c>
      <c r="AJ817" s="19" t="s">
        <v>1567</v>
      </c>
      <c r="AK817" s="19" t="s">
        <v>1562</v>
      </c>
      <c r="AL817">
        <v>1</v>
      </c>
      <c r="AM817" s="19" t="s">
        <v>1565</v>
      </c>
      <c r="AN817">
        <v>-0.29305514913968406</v>
      </c>
      <c r="AO817">
        <v>429792</v>
      </c>
    </row>
    <row r="818" spans="1:41" x14ac:dyDescent="0.3">
      <c r="A818" s="19" t="s">
        <v>885</v>
      </c>
      <c r="B818">
        <v>37</v>
      </c>
      <c r="C818" s="19" t="s">
        <v>802</v>
      </c>
      <c r="D818" s="19" t="s">
        <v>55</v>
      </c>
      <c r="E818" s="19" t="s">
        <v>48</v>
      </c>
      <c r="F818">
        <v>1372</v>
      </c>
      <c r="G818" s="19" t="s">
        <v>735</v>
      </c>
      <c r="H818">
        <v>1</v>
      </c>
      <c r="I818">
        <v>3</v>
      </c>
      <c r="J818" s="19" t="s">
        <v>50</v>
      </c>
      <c r="K818">
        <v>391</v>
      </c>
      <c r="L818">
        <v>4</v>
      </c>
      <c r="M818" s="19" t="s">
        <v>59</v>
      </c>
      <c r="N818">
        <v>3</v>
      </c>
      <c r="O818">
        <v>1</v>
      </c>
      <c r="P818" s="19" t="s">
        <v>67</v>
      </c>
      <c r="Q818">
        <v>4</v>
      </c>
      <c r="R818" s="19" t="s">
        <v>53</v>
      </c>
      <c r="S818">
        <v>46106</v>
      </c>
      <c r="T818" s="19" t="s">
        <v>72</v>
      </c>
      <c r="U818">
        <v>288.16000000000003</v>
      </c>
      <c r="V818">
        <v>1</v>
      </c>
      <c r="W818" s="19" t="s">
        <v>55</v>
      </c>
      <c r="X818">
        <v>12</v>
      </c>
      <c r="Y818">
        <v>3</v>
      </c>
      <c r="Z818">
        <v>2</v>
      </c>
      <c r="AA818">
        <v>0</v>
      </c>
      <c r="AB818">
        <v>17</v>
      </c>
      <c r="AC818">
        <v>3</v>
      </c>
      <c r="AD818">
        <v>3</v>
      </c>
      <c r="AE818">
        <v>17</v>
      </c>
      <c r="AF818">
        <v>12</v>
      </c>
      <c r="AG818">
        <v>5</v>
      </c>
      <c r="AH818">
        <v>7</v>
      </c>
      <c r="AI818">
        <v>0</v>
      </c>
      <c r="AJ818" s="19" t="s">
        <v>1571</v>
      </c>
      <c r="AK818" s="19" t="s">
        <v>1570</v>
      </c>
      <c r="AL818">
        <v>1</v>
      </c>
      <c r="AM818" s="19" t="s">
        <v>1565</v>
      </c>
      <c r="AN818">
        <v>-7.5403976026448466E-2</v>
      </c>
      <c r="AO818">
        <v>553272</v>
      </c>
    </row>
    <row r="819" spans="1:41" x14ac:dyDescent="0.3">
      <c r="A819" s="19" t="s">
        <v>886</v>
      </c>
      <c r="B819">
        <v>37</v>
      </c>
      <c r="C819" s="19" t="s">
        <v>802</v>
      </c>
      <c r="D819" s="19" t="s">
        <v>55</v>
      </c>
      <c r="E819" s="19" t="s">
        <v>62</v>
      </c>
      <c r="F819">
        <v>889</v>
      </c>
      <c r="G819" s="19" t="s">
        <v>735</v>
      </c>
      <c r="H819">
        <v>9</v>
      </c>
      <c r="I819">
        <v>3</v>
      </c>
      <c r="J819" s="19" t="s">
        <v>58</v>
      </c>
      <c r="K819">
        <v>403</v>
      </c>
      <c r="L819">
        <v>2</v>
      </c>
      <c r="M819" s="19" t="s">
        <v>51</v>
      </c>
      <c r="N819">
        <v>3</v>
      </c>
      <c r="O819">
        <v>1</v>
      </c>
      <c r="P819" s="19" t="s">
        <v>67</v>
      </c>
      <c r="Q819">
        <v>4</v>
      </c>
      <c r="R819" s="19" t="s">
        <v>113</v>
      </c>
      <c r="S819">
        <v>54932</v>
      </c>
      <c r="T819" s="19" t="s">
        <v>64</v>
      </c>
      <c r="U819">
        <v>343.32</v>
      </c>
      <c r="V819">
        <v>1</v>
      </c>
      <c r="W819" s="19" t="s">
        <v>47</v>
      </c>
      <c r="X819">
        <v>12</v>
      </c>
      <c r="Y819">
        <v>3</v>
      </c>
      <c r="Z819">
        <v>3</v>
      </c>
      <c r="AA819">
        <v>3</v>
      </c>
      <c r="AB819">
        <v>4</v>
      </c>
      <c r="AC819">
        <v>3</v>
      </c>
      <c r="AD819">
        <v>2</v>
      </c>
      <c r="AE819">
        <v>4</v>
      </c>
      <c r="AF819">
        <v>2</v>
      </c>
      <c r="AG819">
        <v>1</v>
      </c>
      <c r="AH819">
        <v>2</v>
      </c>
      <c r="AI819">
        <v>0</v>
      </c>
      <c r="AJ819" s="19" t="s">
        <v>1567</v>
      </c>
      <c r="AK819" s="19" t="s">
        <v>1562</v>
      </c>
      <c r="AL819">
        <v>2</v>
      </c>
      <c r="AM819" s="19" t="s">
        <v>1564</v>
      </c>
      <c r="AN819">
        <v>0.10159000539875793</v>
      </c>
      <c r="AO819">
        <v>659184</v>
      </c>
    </row>
    <row r="820" spans="1:41" x14ac:dyDescent="0.3">
      <c r="A820" s="19" t="s">
        <v>887</v>
      </c>
      <c r="B820">
        <v>37</v>
      </c>
      <c r="C820" s="19" t="s">
        <v>802</v>
      </c>
      <c r="D820" s="19" t="s">
        <v>55</v>
      </c>
      <c r="E820" s="19" t="s">
        <v>48</v>
      </c>
      <c r="F820">
        <v>1192</v>
      </c>
      <c r="G820" s="19" t="s">
        <v>735</v>
      </c>
      <c r="H820">
        <v>5</v>
      </c>
      <c r="I820">
        <v>2</v>
      </c>
      <c r="J820" s="19" t="s">
        <v>58</v>
      </c>
      <c r="K820">
        <v>460</v>
      </c>
      <c r="L820">
        <v>4</v>
      </c>
      <c r="M820" s="19" t="s">
        <v>51</v>
      </c>
      <c r="N820">
        <v>3</v>
      </c>
      <c r="O820">
        <v>2</v>
      </c>
      <c r="P820" s="19" t="s">
        <v>120</v>
      </c>
      <c r="Q820">
        <v>4</v>
      </c>
      <c r="R820" s="19" t="s">
        <v>113</v>
      </c>
      <c r="S820">
        <v>18100</v>
      </c>
      <c r="T820" s="19" t="s">
        <v>54</v>
      </c>
      <c r="U820">
        <v>113.12</v>
      </c>
      <c r="V820">
        <v>7</v>
      </c>
      <c r="W820" s="19" t="s">
        <v>55</v>
      </c>
      <c r="X820">
        <v>16</v>
      </c>
      <c r="Y820">
        <v>3</v>
      </c>
      <c r="Z820">
        <v>3</v>
      </c>
      <c r="AA820">
        <v>2</v>
      </c>
      <c r="AB820">
        <v>8</v>
      </c>
      <c r="AC820">
        <v>2</v>
      </c>
      <c r="AD820">
        <v>2</v>
      </c>
      <c r="AE820">
        <v>6</v>
      </c>
      <c r="AF820">
        <v>2</v>
      </c>
      <c r="AG820">
        <v>0</v>
      </c>
      <c r="AH820">
        <v>4</v>
      </c>
      <c r="AI820">
        <v>0</v>
      </c>
      <c r="AJ820" s="19" t="s">
        <v>1569</v>
      </c>
      <c r="AK820" s="19" t="s">
        <v>1562</v>
      </c>
      <c r="AL820">
        <v>1</v>
      </c>
      <c r="AM820" s="19" t="s">
        <v>1565</v>
      </c>
      <c r="AN820">
        <v>-0.59137909786413401</v>
      </c>
      <c r="AO820">
        <v>217200</v>
      </c>
    </row>
    <row r="821" spans="1:41" x14ac:dyDescent="0.3">
      <c r="A821" s="19" t="s">
        <v>888</v>
      </c>
      <c r="B821">
        <v>37</v>
      </c>
      <c r="C821" s="19" t="s">
        <v>802</v>
      </c>
      <c r="D821" s="19" t="s">
        <v>55</v>
      </c>
      <c r="E821" s="19" t="s">
        <v>48</v>
      </c>
      <c r="F821">
        <v>1319</v>
      </c>
      <c r="G821" s="19" t="s">
        <v>735</v>
      </c>
      <c r="H821">
        <v>6</v>
      </c>
      <c r="I821">
        <v>3</v>
      </c>
      <c r="J821" s="19" t="s">
        <v>58</v>
      </c>
      <c r="K821">
        <v>474</v>
      </c>
      <c r="L821">
        <v>3</v>
      </c>
      <c r="M821" s="19" t="s">
        <v>51</v>
      </c>
      <c r="N821">
        <v>4</v>
      </c>
      <c r="O821">
        <v>2</v>
      </c>
      <c r="P821" s="19" t="s">
        <v>67</v>
      </c>
      <c r="Q821">
        <v>1</v>
      </c>
      <c r="R821" s="19" t="s">
        <v>113</v>
      </c>
      <c r="S821">
        <v>58091</v>
      </c>
      <c r="T821" s="19" t="s">
        <v>64</v>
      </c>
      <c r="U821">
        <v>363.07</v>
      </c>
      <c r="V821">
        <v>4</v>
      </c>
      <c r="W821" s="19" t="s">
        <v>47</v>
      </c>
      <c r="X821">
        <v>13</v>
      </c>
      <c r="Y821">
        <v>3</v>
      </c>
      <c r="Z821">
        <v>1</v>
      </c>
      <c r="AA821">
        <v>2</v>
      </c>
      <c r="AB821">
        <v>13</v>
      </c>
      <c r="AC821">
        <v>2</v>
      </c>
      <c r="AD821">
        <v>3</v>
      </c>
      <c r="AE821">
        <v>7</v>
      </c>
      <c r="AF821">
        <v>7</v>
      </c>
      <c r="AG821">
        <v>6</v>
      </c>
      <c r="AH821">
        <v>7</v>
      </c>
      <c r="AI821">
        <v>0</v>
      </c>
      <c r="AJ821" s="19" t="s">
        <v>1569</v>
      </c>
      <c r="AK821" s="19" t="s">
        <v>1570</v>
      </c>
      <c r="AL821">
        <v>3</v>
      </c>
      <c r="AM821" s="19" t="s">
        <v>1568</v>
      </c>
      <c r="AN821">
        <v>0.1649396527273583</v>
      </c>
      <c r="AO821">
        <v>697092</v>
      </c>
    </row>
    <row r="822" spans="1:41" x14ac:dyDescent="0.3">
      <c r="A822" s="19" t="s">
        <v>889</v>
      </c>
      <c r="B822">
        <v>37</v>
      </c>
      <c r="C822" s="19" t="s">
        <v>802</v>
      </c>
      <c r="D822" s="19" t="s">
        <v>55</v>
      </c>
      <c r="E822" s="19" t="s">
        <v>48</v>
      </c>
      <c r="F822">
        <v>921</v>
      </c>
      <c r="G822" s="19" t="s">
        <v>735</v>
      </c>
      <c r="H822">
        <v>10</v>
      </c>
      <c r="I822">
        <v>3</v>
      </c>
      <c r="J822" s="19" t="s">
        <v>58</v>
      </c>
      <c r="K822">
        <v>486</v>
      </c>
      <c r="L822">
        <v>3</v>
      </c>
      <c r="M822" s="19" t="s">
        <v>59</v>
      </c>
      <c r="N822">
        <v>3</v>
      </c>
      <c r="O822">
        <v>1</v>
      </c>
      <c r="P822" s="19" t="s">
        <v>52</v>
      </c>
      <c r="Q822">
        <v>1</v>
      </c>
      <c r="R822" s="19" t="s">
        <v>113</v>
      </c>
      <c r="S822">
        <v>22949</v>
      </c>
      <c r="T822" s="19" t="s">
        <v>54</v>
      </c>
      <c r="U822">
        <v>143.43</v>
      </c>
      <c r="V822">
        <v>6</v>
      </c>
      <c r="W822" s="19" t="s">
        <v>55</v>
      </c>
      <c r="X822">
        <v>20</v>
      </c>
      <c r="Y822">
        <v>4</v>
      </c>
      <c r="Z822">
        <v>2</v>
      </c>
      <c r="AA822">
        <v>1</v>
      </c>
      <c r="AB822">
        <v>17</v>
      </c>
      <c r="AC822">
        <v>3</v>
      </c>
      <c r="AD822">
        <v>3</v>
      </c>
      <c r="AE822">
        <v>5</v>
      </c>
      <c r="AF822">
        <v>4</v>
      </c>
      <c r="AG822">
        <v>0</v>
      </c>
      <c r="AH822">
        <v>3</v>
      </c>
      <c r="AI822">
        <v>0</v>
      </c>
      <c r="AJ822" s="19" t="s">
        <v>1567</v>
      </c>
      <c r="AK822" s="19" t="s">
        <v>1562</v>
      </c>
      <c r="AL822">
        <v>1</v>
      </c>
      <c r="AM822" s="19" t="s">
        <v>1565</v>
      </c>
      <c r="AN822">
        <v>-0.55628897025038382</v>
      </c>
      <c r="AO822">
        <v>275388</v>
      </c>
    </row>
    <row r="823" spans="1:41" x14ac:dyDescent="0.3">
      <c r="A823" s="19" t="s">
        <v>890</v>
      </c>
      <c r="B823">
        <v>37</v>
      </c>
      <c r="C823" s="19" t="s">
        <v>802</v>
      </c>
      <c r="D823" s="19" t="s">
        <v>55</v>
      </c>
      <c r="E823" s="19" t="s">
        <v>48</v>
      </c>
      <c r="F823">
        <v>1107</v>
      </c>
      <c r="G823" s="19" t="s">
        <v>735</v>
      </c>
      <c r="H823">
        <v>14</v>
      </c>
      <c r="I823">
        <v>3</v>
      </c>
      <c r="J823" s="19" t="s">
        <v>50</v>
      </c>
      <c r="K823">
        <v>515</v>
      </c>
      <c r="L823">
        <v>4</v>
      </c>
      <c r="M823" s="19" t="s">
        <v>59</v>
      </c>
      <c r="N823">
        <v>3</v>
      </c>
      <c r="O823">
        <v>1</v>
      </c>
      <c r="P823" s="19" t="s">
        <v>52</v>
      </c>
      <c r="Q823">
        <v>1</v>
      </c>
      <c r="R823" s="19" t="s">
        <v>113</v>
      </c>
      <c r="S823">
        <v>71080</v>
      </c>
      <c r="T823" s="19" t="s">
        <v>64</v>
      </c>
      <c r="U823">
        <v>444.25</v>
      </c>
      <c r="V823">
        <v>1</v>
      </c>
      <c r="W823" s="19" t="s">
        <v>55</v>
      </c>
      <c r="X823">
        <v>12</v>
      </c>
      <c r="Y823">
        <v>3</v>
      </c>
      <c r="Z823">
        <v>3</v>
      </c>
      <c r="AA823">
        <v>1</v>
      </c>
      <c r="AB823">
        <v>18</v>
      </c>
      <c r="AC823">
        <v>2</v>
      </c>
      <c r="AD823">
        <v>2</v>
      </c>
      <c r="AE823">
        <v>18</v>
      </c>
      <c r="AF823">
        <v>7</v>
      </c>
      <c r="AG823">
        <v>12</v>
      </c>
      <c r="AH823">
        <v>17</v>
      </c>
      <c r="AI823">
        <v>0</v>
      </c>
      <c r="AJ823" s="19" t="s">
        <v>1571</v>
      </c>
      <c r="AK823" s="19" t="s">
        <v>1570</v>
      </c>
      <c r="AL823">
        <v>3</v>
      </c>
      <c r="AM823" s="19" t="s">
        <v>1568</v>
      </c>
      <c r="AN823">
        <v>0.3743073769925801</v>
      </c>
      <c r="AO823">
        <v>852960</v>
      </c>
    </row>
    <row r="824" spans="1:41" x14ac:dyDescent="0.3">
      <c r="A824" s="19" t="s">
        <v>891</v>
      </c>
      <c r="B824">
        <v>37</v>
      </c>
      <c r="C824" s="19" t="s">
        <v>802</v>
      </c>
      <c r="D824" s="19" t="s">
        <v>55</v>
      </c>
      <c r="E824" s="19" t="s">
        <v>48</v>
      </c>
      <c r="F824">
        <v>1305</v>
      </c>
      <c r="G824" s="19" t="s">
        <v>735</v>
      </c>
      <c r="H824">
        <v>10</v>
      </c>
      <c r="I824">
        <v>4</v>
      </c>
      <c r="J824" s="19" t="s">
        <v>50</v>
      </c>
      <c r="K824">
        <v>518</v>
      </c>
      <c r="L824">
        <v>3</v>
      </c>
      <c r="M824" s="19" t="s">
        <v>51</v>
      </c>
      <c r="N824">
        <v>3</v>
      </c>
      <c r="O824">
        <v>2</v>
      </c>
      <c r="P824" s="19" t="s">
        <v>120</v>
      </c>
      <c r="Q824">
        <v>2</v>
      </c>
      <c r="R824" s="19" t="s">
        <v>53</v>
      </c>
      <c r="S824">
        <v>38744</v>
      </c>
      <c r="T824" s="19" t="s">
        <v>72</v>
      </c>
      <c r="U824">
        <v>242.15</v>
      </c>
      <c r="V824">
        <v>2</v>
      </c>
      <c r="W824" s="19" t="s">
        <v>47</v>
      </c>
      <c r="X824">
        <v>12</v>
      </c>
      <c r="Y824">
        <v>3</v>
      </c>
      <c r="Z824">
        <v>4</v>
      </c>
      <c r="AA824">
        <v>0</v>
      </c>
      <c r="AB824">
        <v>18</v>
      </c>
      <c r="AC824">
        <v>2</v>
      </c>
      <c r="AD824">
        <v>2</v>
      </c>
      <c r="AE824">
        <v>1</v>
      </c>
      <c r="AF824">
        <v>0</v>
      </c>
      <c r="AG824">
        <v>0</v>
      </c>
      <c r="AH824">
        <v>1</v>
      </c>
      <c r="AI824">
        <v>0</v>
      </c>
      <c r="AJ824" s="19" t="s">
        <v>1561</v>
      </c>
      <c r="AK824" s="19" t="s">
        <v>1562</v>
      </c>
      <c r="AL824">
        <v>3</v>
      </c>
      <c r="AM824" s="19" t="s">
        <v>1568</v>
      </c>
      <c r="AN824">
        <v>-0.12532551202475173</v>
      </c>
      <c r="AO824">
        <v>464928</v>
      </c>
    </row>
    <row r="825" spans="1:41" x14ac:dyDescent="0.3">
      <c r="A825" s="19" t="s">
        <v>892</v>
      </c>
      <c r="B825">
        <v>37</v>
      </c>
      <c r="C825" s="19" t="s">
        <v>802</v>
      </c>
      <c r="D825" s="19" t="s">
        <v>55</v>
      </c>
      <c r="E825" s="19" t="s">
        <v>66</v>
      </c>
      <c r="F825">
        <v>1063</v>
      </c>
      <c r="G825" s="19" t="s">
        <v>735</v>
      </c>
      <c r="H825">
        <v>25</v>
      </c>
      <c r="I825">
        <v>5</v>
      </c>
      <c r="J825" s="19" t="s">
        <v>58</v>
      </c>
      <c r="K825">
        <v>529</v>
      </c>
      <c r="L825">
        <v>2</v>
      </c>
      <c r="M825" s="19" t="s">
        <v>59</v>
      </c>
      <c r="N825">
        <v>3</v>
      </c>
      <c r="O825">
        <v>2</v>
      </c>
      <c r="P825" s="19" t="s">
        <v>67</v>
      </c>
      <c r="Q825">
        <v>3</v>
      </c>
      <c r="R825" s="19" t="s">
        <v>113</v>
      </c>
      <c r="S825">
        <v>46543</v>
      </c>
      <c r="T825" s="19" t="s">
        <v>72</v>
      </c>
      <c r="U825">
        <v>290.89</v>
      </c>
      <c r="V825">
        <v>3</v>
      </c>
      <c r="W825" s="19" t="s">
        <v>47</v>
      </c>
      <c r="X825">
        <v>15</v>
      </c>
      <c r="Y825">
        <v>3</v>
      </c>
      <c r="Z825">
        <v>1</v>
      </c>
      <c r="AA825">
        <v>2</v>
      </c>
      <c r="AB825">
        <v>15</v>
      </c>
      <c r="AC825">
        <v>2</v>
      </c>
      <c r="AD825">
        <v>3</v>
      </c>
      <c r="AE825">
        <v>13</v>
      </c>
      <c r="AF825">
        <v>11</v>
      </c>
      <c r="AG825">
        <v>10</v>
      </c>
      <c r="AH825">
        <v>7</v>
      </c>
      <c r="AI825">
        <v>0</v>
      </c>
      <c r="AJ825" s="19" t="s">
        <v>1571</v>
      </c>
      <c r="AK825" s="19" t="s">
        <v>1570</v>
      </c>
      <c r="AL825">
        <v>2</v>
      </c>
      <c r="AM825" s="19" t="s">
        <v>1564</v>
      </c>
      <c r="AN825">
        <v>-6.6640507877477786E-2</v>
      </c>
      <c r="AO825">
        <v>558516</v>
      </c>
    </row>
    <row r="826" spans="1:41" x14ac:dyDescent="0.3">
      <c r="A826" s="19" t="s">
        <v>893</v>
      </c>
      <c r="B826">
        <v>37</v>
      </c>
      <c r="C826" s="19" t="s">
        <v>802</v>
      </c>
      <c r="D826" s="19" t="s">
        <v>55</v>
      </c>
      <c r="E826" s="19" t="s">
        <v>48</v>
      </c>
      <c r="F826">
        <v>799</v>
      </c>
      <c r="G826" s="19" t="s">
        <v>735</v>
      </c>
      <c r="H826">
        <v>1</v>
      </c>
      <c r="I826">
        <v>3</v>
      </c>
      <c r="J826" s="19" t="s">
        <v>77</v>
      </c>
      <c r="K826">
        <v>623</v>
      </c>
      <c r="L826">
        <v>2</v>
      </c>
      <c r="M826" s="19" t="s">
        <v>59</v>
      </c>
      <c r="N826">
        <v>3</v>
      </c>
      <c r="O826">
        <v>3</v>
      </c>
      <c r="P826" s="19" t="s">
        <v>120</v>
      </c>
      <c r="Q826">
        <v>4</v>
      </c>
      <c r="R826" s="19" t="s">
        <v>53</v>
      </c>
      <c r="S826">
        <v>93193</v>
      </c>
      <c r="T826" s="19" t="s">
        <v>70</v>
      </c>
      <c r="U826">
        <v>582.46</v>
      </c>
      <c r="V826">
        <v>4</v>
      </c>
      <c r="W826" s="19" t="s">
        <v>55</v>
      </c>
      <c r="X826">
        <v>17</v>
      </c>
      <c r="Y826">
        <v>3</v>
      </c>
      <c r="Z826">
        <v>4</v>
      </c>
      <c r="AA826">
        <v>0</v>
      </c>
      <c r="AB826">
        <v>12</v>
      </c>
      <c r="AC826">
        <v>3</v>
      </c>
      <c r="AD826">
        <v>4</v>
      </c>
      <c r="AE826">
        <v>6</v>
      </c>
      <c r="AF826">
        <v>5</v>
      </c>
      <c r="AG826">
        <v>1</v>
      </c>
      <c r="AH826">
        <v>2</v>
      </c>
      <c r="AI826">
        <v>0</v>
      </c>
      <c r="AJ826" s="19" t="s">
        <v>1569</v>
      </c>
      <c r="AK826" s="19" t="s">
        <v>1562</v>
      </c>
      <c r="AL826">
        <v>0</v>
      </c>
      <c r="AM826" s="19" t="s">
        <v>1563</v>
      </c>
      <c r="AN826">
        <v>1.1039009797098212</v>
      </c>
      <c r="AO826">
        <v>1118316</v>
      </c>
    </row>
    <row r="827" spans="1:41" x14ac:dyDescent="0.3">
      <c r="A827" s="19" t="s">
        <v>894</v>
      </c>
      <c r="B827">
        <v>37</v>
      </c>
      <c r="C827" s="19" t="s">
        <v>802</v>
      </c>
      <c r="D827" s="19" t="s">
        <v>55</v>
      </c>
      <c r="E827" s="19" t="s">
        <v>66</v>
      </c>
      <c r="F827">
        <v>142</v>
      </c>
      <c r="G827" s="19" t="s">
        <v>63</v>
      </c>
      <c r="H827">
        <v>9</v>
      </c>
      <c r="I827">
        <v>4</v>
      </c>
      <c r="J827" s="19" t="s">
        <v>58</v>
      </c>
      <c r="K827">
        <v>626</v>
      </c>
      <c r="L827">
        <v>1</v>
      </c>
      <c r="M827" s="19" t="s">
        <v>51</v>
      </c>
      <c r="N827">
        <v>3</v>
      </c>
      <c r="O827">
        <v>3</v>
      </c>
      <c r="P827" s="19" t="s">
        <v>145</v>
      </c>
      <c r="Q827">
        <v>2</v>
      </c>
      <c r="R827" s="19" t="s">
        <v>53</v>
      </c>
      <c r="S827">
        <v>37187</v>
      </c>
      <c r="T827" s="19" t="s">
        <v>72</v>
      </c>
      <c r="U827">
        <v>232.42</v>
      </c>
      <c r="V827">
        <v>1</v>
      </c>
      <c r="W827" s="19" t="s">
        <v>55</v>
      </c>
      <c r="X827">
        <v>13</v>
      </c>
      <c r="Y827">
        <v>3</v>
      </c>
      <c r="Z827">
        <v>4</v>
      </c>
      <c r="AA827">
        <v>1</v>
      </c>
      <c r="AB827">
        <v>9</v>
      </c>
      <c r="AC827">
        <v>6</v>
      </c>
      <c r="AD827">
        <v>3</v>
      </c>
      <c r="AE827">
        <v>9</v>
      </c>
      <c r="AF827">
        <v>5</v>
      </c>
      <c r="AG827">
        <v>7</v>
      </c>
      <c r="AH827">
        <v>7</v>
      </c>
      <c r="AI827">
        <v>0</v>
      </c>
      <c r="AJ827" s="19" t="s">
        <v>1569</v>
      </c>
      <c r="AK827" s="19" t="s">
        <v>1570</v>
      </c>
      <c r="AL827">
        <v>2</v>
      </c>
      <c r="AM827" s="19" t="s">
        <v>1564</v>
      </c>
      <c r="AN827">
        <v>-0.24197841248787494</v>
      </c>
      <c r="AO827">
        <v>446244</v>
      </c>
    </row>
    <row r="828" spans="1:41" x14ac:dyDescent="0.3">
      <c r="A828" s="19" t="s">
        <v>895</v>
      </c>
      <c r="B828">
        <v>37</v>
      </c>
      <c r="C828" s="19" t="s">
        <v>802</v>
      </c>
      <c r="D828" s="19" t="s">
        <v>55</v>
      </c>
      <c r="E828" s="19" t="s">
        <v>48</v>
      </c>
      <c r="F828">
        <v>446</v>
      </c>
      <c r="G828" s="19" t="s">
        <v>735</v>
      </c>
      <c r="H828">
        <v>1</v>
      </c>
      <c r="I828">
        <v>4</v>
      </c>
      <c r="J828" s="19" t="s">
        <v>50</v>
      </c>
      <c r="K828">
        <v>635</v>
      </c>
      <c r="L828">
        <v>2</v>
      </c>
      <c r="M828" s="19" t="s">
        <v>59</v>
      </c>
      <c r="N828">
        <v>3</v>
      </c>
      <c r="O828">
        <v>2</v>
      </c>
      <c r="P828" s="19" t="s">
        <v>120</v>
      </c>
      <c r="Q828">
        <v>2</v>
      </c>
      <c r="R828" s="19" t="s">
        <v>113</v>
      </c>
      <c r="S828">
        <v>8239</v>
      </c>
      <c r="T828" s="19" t="s">
        <v>54</v>
      </c>
      <c r="U828">
        <v>51.49</v>
      </c>
      <c r="V828">
        <v>6</v>
      </c>
      <c r="W828" s="19" t="s">
        <v>55</v>
      </c>
      <c r="X828">
        <v>12</v>
      </c>
      <c r="Y828">
        <v>3</v>
      </c>
      <c r="Z828">
        <v>2</v>
      </c>
      <c r="AA828">
        <v>1</v>
      </c>
      <c r="AB828">
        <v>8</v>
      </c>
      <c r="AC828">
        <v>2</v>
      </c>
      <c r="AD828">
        <v>2</v>
      </c>
      <c r="AE828">
        <v>6</v>
      </c>
      <c r="AF828">
        <v>5</v>
      </c>
      <c r="AG828">
        <v>4</v>
      </c>
      <c r="AH828">
        <v>3</v>
      </c>
      <c r="AI828">
        <v>0</v>
      </c>
      <c r="AJ828" s="19" t="s">
        <v>1569</v>
      </c>
      <c r="AK828" s="19" t="s">
        <v>1570</v>
      </c>
      <c r="AL828">
        <v>3</v>
      </c>
      <c r="AM828" s="19" t="s">
        <v>1568</v>
      </c>
      <c r="AN828">
        <v>-0.81399847443660767</v>
      </c>
      <c r="AO828">
        <v>98868</v>
      </c>
    </row>
    <row r="829" spans="1:41" x14ac:dyDescent="0.3">
      <c r="A829" s="19" t="s">
        <v>896</v>
      </c>
      <c r="B829">
        <v>37</v>
      </c>
      <c r="C829" s="19" t="s">
        <v>802</v>
      </c>
      <c r="D829" s="19" t="s">
        <v>55</v>
      </c>
      <c r="E829" s="19" t="s">
        <v>48</v>
      </c>
      <c r="F829">
        <v>558</v>
      </c>
      <c r="G829" s="19" t="s">
        <v>63</v>
      </c>
      <c r="H829">
        <v>2</v>
      </c>
      <c r="I829">
        <v>3</v>
      </c>
      <c r="J829" s="19" t="s">
        <v>63</v>
      </c>
      <c r="K829">
        <v>656</v>
      </c>
      <c r="L829">
        <v>4</v>
      </c>
      <c r="M829" s="19" t="s">
        <v>51</v>
      </c>
      <c r="N829">
        <v>3</v>
      </c>
      <c r="O829">
        <v>2</v>
      </c>
      <c r="P829" s="19" t="s">
        <v>145</v>
      </c>
      <c r="Q829">
        <v>3</v>
      </c>
      <c r="R829" s="19" t="s">
        <v>113</v>
      </c>
      <c r="S829">
        <v>15489</v>
      </c>
      <c r="T829" s="19" t="s">
        <v>54</v>
      </c>
      <c r="U829">
        <v>96.81</v>
      </c>
      <c r="V829">
        <v>4</v>
      </c>
      <c r="W829" s="19" t="s">
        <v>47</v>
      </c>
      <c r="X829">
        <v>11</v>
      </c>
      <c r="Y829">
        <v>3</v>
      </c>
      <c r="Z829">
        <v>3</v>
      </c>
      <c r="AA829">
        <v>1</v>
      </c>
      <c r="AB829">
        <v>17</v>
      </c>
      <c r="AC829">
        <v>3</v>
      </c>
      <c r="AD829">
        <v>2</v>
      </c>
      <c r="AE829">
        <v>3</v>
      </c>
      <c r="AF829">
        <v>0</v>
      </c>
      <c r="AG829">
        <v>1</v>
      </c>
      <c r="AH829">
        <v>0</v>
      </c>
      <c r="AI829">
        <v>0</v>
      </c>
      <c r="AJ829" s="19" t="s">
        <v>1566</v>
      </c>
      <c r="AK829" s="19" t="s">
        <v>1562</v>
      </c>
      <c r="AL829">
        <v>2</v>
      </c>
      <c r="AM829" s="19" t="s">
        <v>1564</v>
      </c>
      <c r="AN829">
        <v>-0.68427148280379424</v>
      </c>
      <c r="AO829">
        <v>185868</v>
      </c>
    </row>
    <row r="830" spans="1:41" x14ac:dyDescent="0.3">
      <c r="A830" s="19" t="s">
        <v>897</v>
      </c>
      <c r="B830">
        <v>37</v>
      </c>
      <c r="C830" s="19" t="s">
        <v>802</v>
      </c>
      <c r="D830" s="19" t="s">
        <v>55</v>
      </c>
      <c r="E830" s="19" t="s">
        <v>48</v>
      </c>
      <c r="F830">
        <v>482</v>
      </c>
      <c r="G830" s="19" t="s">
        <v>735</v>
      </c>
      <c r="H830">
        <v>3</v>
      </c>
      <c r="I830">
        <v>3</v>
      </c>
      <c r="J830" s="19" t="s">
        <v>82</v>
      </c>
      <c r="K830">
        <v>689</v>
      </c>
      <c r="L830">
        <v>3</v>
      </c>
      <c r="M830" s="19" t="s">
        <v>51</v>
      </c>
      <c r="N830">
        <v>3</v>
      </c>
      <c r="O830">
        <v>3</v>
      </c>
      <c r="P830" s="19" t="s">
        <v>120</v>
      </c>
      <c r="Q830">
        <v>3</v>
      </c>
      <c r="R830" s="19" t="s">
        <v>113</v>
      </c>
      <c r="S830">
        <v>59017</v>
      </c>
      <c r="T830" s="19" t="s">
        <v>64</v>
      </c>
      <c r="U830">
        <v>368.86</v>
      </c>
      <c r="V830">
        <v>1</v>
      </c>
      <c r="W830" s="19" t="s">
        <v>55</v>
      </c>
      <c r="X830">
        <v>15</v>
      </c>
      <c r="Y830">
        <v>3</v>
      </c>
      <c r="Z830">
        <v>3</v>
      </c>
      <c r="AA830">
        <v>1</v>
      </c>
      <c r="AB830">
        <v>10</v>
      </c>
      <c r="AC830">
        <v>2</v>
      </c>
      <c r="AD830">
        <v>3</v>
      </c>
      <c r="AE830">
        <v>10</v>
      </c>
      <c r="AF830">
        <v>7</v>
      </c>
      <c r="AG830">
        <v>7</v>
      </c>
      <c r="AH830">
        <v>8</v>
      </c>
      <c r="AI830">
        <v>0</v>
      </c>
      <c r="AJ830" s="19" t="s">
        <v>1569</v>
      </c>
      <c r="AK830" s="19" t="s">
        <v>1570</v>
      </c>
      <c r="AL830">
        <v>1</v>
      </c>
      <c r="AM830" s="19" t="s">
        <v>1565</v>
      </c>
      <c r="AN830">
        <v>0.33235247410786772</v>
      </c>
      <c r="AO830">
        <v>708204</v>
      </c>
    </row>
    <row r="831" spans="1:41" x14ac:dyDescent="0.3">
      <c r="A831" s="19" t="s">
        <v>898</v>
      </c>
      <c r="B831">
        <v>37</v>
      </c>
      <c r="C831" s="19" t="s">
        <v>802</v>
      </c>
      <c r="D831" s="19" t="s">
        <v>55</v>
      </c>
      <c r="E831" s="19" t="s">
        <v>48</v>
      </c>
      <c r="F831">
        <v>1225</v>
      </c>
      <c r="G831" s="19" t="s">
        <v>735</v>
      </c>
      <c r="H831">
        <v>10</v>
      </c>
      <c r="I831">
        <v>2</v>
      </c>
      <c r="J831" s="19" t="s">
        <v>50</v>
      </c>
      <c r="K831">
        <v>715</v>
      </c>
      <c r="L831">
        <v>4</v>
      </c>
      <c r="M831" s="19" t="s">
        <v>51</v>
      </c>
      <c r="N831">
        <v>4</v>
      </c>
      <c r="O831">
        <v>1</v>
      </c>
      <c r="P831" s="19" t="s">
        <v>67</v>
      </c>
      <c r="Q831">
        <v>4</v>
      </c>
      <c r="R831" s="19" t="s">
        <v>53</v>
      </c>
      <c r="S831">
        <v>62877</v>
      </c>
      <c r="T831" s="19" t="s">
        <v>64</v>
      </c>
      <c r="U831">
        <v>392.98</v>
      </c>
      <c r="V831">
        <v>3</v>
      </c>
      <c r="W831" s="19" t="s">
        <v>55</v>
      </c>
      <c r="X831">
        <v>17</v>
      </c>
      <c r="Y831">
        <v>3</v>
      </c>
      <c r="Z831">
        <v>1</v>
      </c>
      <c r="AA831">
        <v>0</v>
      </c>
      <c r="AB831">
        <v>4</v>
      </c>
      <c r="AC831">
        <v>2</v>
      </c>
      <c r="AD831">
        <v>3</v>
      </c>
      <c r="AE831">
        <v>1</v>
      </c>
      <c r="AF831">
        <v>0</v>
      </c>
      <c r="AG831">
        <v>0</v>
      </c>
      <c r="AH831">
        <v>0</v>
      </c>
      <c r="AI831">
        <v>0</v>
      </c>
      <c r="AJ831" s="19" t="s">
        <v>1561</v>
      </c>
      <c r="AK831" s="19" t="s">
        <v>1562</v>
      </c>
      <c r="AL831">
        <v>0</v>
      </c>
      <c r="AM831" s="19" t="s">
        <v>1563</v>
      </c>
      <c r="AN831">
        <v>0.26091667460601659</v>
      </c>
      <c r="AO831">
        <v>754524</v>
      </c>
    </row>
    <row r="832" spans="1:41" x14ac:dyDescent="0.3">
      <c r="A832" s="19" t="s">
        <v>899</v>
      </c>
      <c r="B832">
        <v>37</v>
      </c>
      <c r="C832" s="19" t="s">
        <v>802</v>
      </c>
      <c r="D832" s="19" t="s">
        <v>55</v>
      </c>
      <c r="E832" s="19" t="s">
        <v>48</v>
      </c>
      <c r="F832">
        <v>571</v>
      </c>
      <c r="G832" s="19" t="s">
        <v>735</v>
      </c>
      <c r="H832">
        <v>10</v>
      </c>
      <c r="I832">
        <v>1</v>
      </c>
      <c r="J832" s="19" t="s">
        <v>50</v>
      </c>
      <c r="K832">
        <v>802</v>
      </c>
      <c r="L832">
        <v>4</v>
      </c>
      <c r="M832" s="19" t="s">
        <v>59</v>
      </c>
      <c r="N832">
        <v>3</v>
      </c>
      <c r="O832">
        <v>1</v>
      </c>
      <c r="P832" s="19" t="s">
        <v>67</v>
      </c>
      <c r="Q832">
        <v>1</v>
      </c>
      <c r="R832" s="19" t="s">
        <v>113</v>
      </c>
      <c r="S832">
        <v>44125</v>
      </c>
      <c r="T832" s="19" t="s">
        <v>72</v>
      </c>
      <c r="U832">
        <v>275.77999999999997</v>
      </c>
      <c r="V832">
        <v>0</v>
      </c>
      <c r="W832" s="19" t="s">
        <v>47</v>
      </c>
      <c r="X832">
        <v>13</v>
      </c>
      <c r="Y832">
        <v>3</v>
      </c>
      <c r="Z832">
        <v>2</v>
      </c>
      <c r="AA832">
        <v>2</v>
      </c>
      <c r="AB832">
        <v>6</v>
      </c>
      <c r="AC832">
        <v>3</v>
      </c>
      <c r="AD832">
        <v>2</v>
      </c>
      <c r="AE832">
        <v>5</v>
      </c>
      <c r="AF832">
        <v>3</v>
      </c>
      <c r="AG832">
        <v>4</v>
      </c>
      <c r="AH832">
        <v>3</v>
      </c>
      <c r="AI832">
        <v>0</v>
      </c>
      <c r="AJ832" s="19" t="s">
        <v>1567</v>
      </c>
      <c r="AK832" s="19" t="s">
        <v>1570</v>
      </c>
      <c r="AL832">
        <v>4</v>
      </c>
      <c r="AM832" s="19" t="s">
        <v>1568</v>
      </c>
      <c r="AN832">
        <v>-0.11513036138825833</v>
      </c>
      <c r="AO832">
        <v>529500</v>
      </c>
    </row>
    <row r="833" spans="1:41" x14ac:dyDescent="0.3">
      <c r="A833" s="19" t="s">
        <v>900</v>
      </c>
      <c r="B833">
        <v>37</v>
      </c>
      <c r="C833" s="19" t="s">
        <v>802</v>
      </c>
      <c r="D833" s="19" t="s">
        <v>55</v>
      </c>
      <c r="E833" s="19" t="s">
        <v>48</v>
      </c>
      <c r="F833">
        <v>342</v>
      </c>
      <c r="G833" s="19" t="s">
        <v>63</v>
      </c>
      <c r="H833">
        <v>16</v>
      </c>
      <c r="I833">
        <v>4</v>
      </c>
      <c r="J833" s="19" t="s">
        <v>63</v>
      </c>
      <c r="K833">
        <v>868</v>
      </c>
      <c r="L833">
        <v>4</v>
      </c>
      <c r="M833" s="19" t="s">
        <v>51</v>
      </c>
      <c r="N833">
        <v>2</v>
      </c>
      <c r="O833">
        <v>2</v>
      </c>
      <c r="P833" s="19" t="s">
        <v>145</v>
      </c>
      <c r="Q833">
        <v>3</v>
      </c>
      <c r="R833" s="19" t="s">
        <v>113</v>
      </c>
      <c r="S833">
        <v>50922</v>
      </c>
      <c r="T833" s="19" t="s">
        <v>64</v>
      </c>
      <c r="U833">
        <v>318.26</v>
      </c>
      <c r="V833">
        <v>4</v>
      </c>
      <c r="W833" s="19" t="s">
        <v>55</v>
      </c>
      <c r="X833">
        <v>19</v>
      </c>
      <c r="Y833">
        <v>3</v>
      </c>
      <c r="Z833">
        <v>4</v>
      </c>
      <c r="AA833">
        <v>2</v>
      </c>
      <c r="AB833">
        <v>9</v>
      </c>
      <c r="AC833">
        <v>2</v>
      </c>
      <c r="AD833">
        <v>3</v>
      </c>
      <c r="AE833">
        <v>1</v>
      </c>
      <c r="AF833">
        <v>0</v>
      </c>
      <c r="AG833">
        <v>0</v>
      </c>
      <c r="AH833">
        <v>0</v>
      </c>
      <c r="AI833">
        <v>0</v>
      </c>
      <c r="AJ833" s="19" t="s">
        <v>1561</v>
      </c>
      <c r="AK833" s="19" t="s">
        <v>1562</v>
      </c>
      <c r="AL833">
        <v>0</v>
      </c>
      <c r="AM833" s="19" t="s">
        <v>1563</v>
      </c>
      <c r="AN833">
        <v>3.7996484774045554E-2</v>
      </c>
      <c r="AO833">
        <v>611064</v>
      </c>
    </row>
    <row r="834" spans="1:41" x14ac:dyDescent="0.3">
      <c r="A834" s="19" t="s">
        <v>901</v>
      </c>
      <c r="B834">
        <v>37</v>
      </c>
      <c r="C834" s="19" t="s">
        <v>802</v>
      </c>
      <c r="D834" s="19" t="s">
        <v>55</v>
      </c>
      <c r="E834" s="19" t="s">
        <v>62</v>
      </c>
      <c r="F834">
        <v>1231</v>
      </c>
      <c r="G834" s="19" t="s">
        <v>63</v>
      </c>
      <c r="H834">
        <v>21</v>
      </c>
      <c r="I834">
        <v>2</v>
      </c>
      <c r="J834" s="19" t="s">
        <v>58</v>
      </c>
      <c r="K834">
        <v>900</v>
      </c>
      <c r="L834">
        <v>3</v>
      </c>
      <c r="M834" s="19" t="s">
        <v>59</v>
      </c>
      <c r="N834">
        <v>3</v>
      </c>
      <c r="O834">
        <v>1</v>
      </c>
      <c r="P834" s="19" t="s">
        <v>60</v>
      </c>
      <c r="Q834">
        <v>4</v>
      </c>
      <c r="R834" s="19" t="s">
        <v>113</v>
      </c>
      <c r="S834">
        <v>95074</v>
      </c>
      <c r="T834" s="19" t="s">
        <v>70</v>
      </c>
      <c r="U834">
        <v>594.21</v>
      </c>
      <c r="V834">
        <v>5</v>
      </c>
      <c r="W834" s="19" t="s">
        <v>55</v>
      </c>
      <c r="X834">
        <v>15</v>
      </c>
      <c r="Y834">
        <v>3</v>
      </c>
      <c r="Z834">
        <v>2</v>
      </c>
      <c r="AA834">
        <v>1</v>
      </c>
      <c r="AB834">
        <v>10</v>
      </c>
      <c r="AC834">
        <v>3</v>
      </c>
      <c r="AD834">
        <v>3</v>
      </c>
      <c r="AE834">
        <v>5</v>
      </c>
      <c r="AF834">
        <v>4</v>
      </c>
      <c r="AG834">
        <v>0</v>
      </c>
      <c r="AH834">
        <v>0</v>
      </c>
      <c r="AI834">
        <v>0</v>
      </c>
      <c r="AJ834" s="19" t="s">
        <v>1567</v>
      </c>
      <c r="AK834" s="19" t="s">
        <v>1562</v>
      </c>
      <c r="AL834">
        <v>0</v>
      </c>
      <c r="AM834" s="19" t="s">
        <v>1563</v>
      </c>
      <c r="AN834">
        <v>0.92743102307714032</v>
      </c>
      <c r="AO834">
        <v>1140888</v>
      </c>
    </row>
    <row r="835" spans="1:41" x14ac:dyDescent="0.3">
      <c r="A835" s="19" t="s">
        <v>902</v>
      </c>
      <c r="B835">
        <v>37</v>
      </c>
      <c r="C835" s="19" t="s">
        <v>802</v>
      </c>
      <c r="D835" s="19" t="s">
        <v>55</v>
      </c>
      <c r="E835" s="19" t="s">
        <v>66</v>
      </c>
      <c r="F835">
        <v>1252</v>
      </c>
      <c r="G835" s="19" t="s">
        <v>63</v>
      </c>
      <c r="H835">
        <v>19</v>
      </c>
      <c r="I835">
        <v>2</v>
      </c>
      <c r="J835" s="19" t="s">
        <v>58</v>
      </c>
      <c r="K835">
        <v>904</v>
      </c>
      <c r="L835">
        <v>1</v>
      </c>
      <c r="M835" s="19" t="s">
        <v>51</v>
      </c>
      <c r="N835">
        <v>3</v>
      </c>
      <c r="O835">
        <v>3</v>
      </c>
      <c r="P835" s="19" t="s">
        <v>145</v>
      </c>
      <c r="Q835">
        <v>2</v>
      </c>
      <c r="R835" s="19" t="s">
        <v>53</v>
      </c>
      <c r="S835">
        <v>33049</v>
      </c>
      <c r="T835" s="19" t="s">
        <v>72</v>
      </c>
      <c r="U835">
        <v>206.56</v>
      </c>
      <c r="V835">
        <v>1</v>
      </c>
      <c r="W835" s="19" t="s">
        <v>47</v>
      </c>
      <c r="X835">
        <v>13</v>
      </c>
      <c r="Y835">
        <v>3</v>
      </c>
      <c r="Z835">
        <v>4</v>
      </c>
      <c r="AA835">
        <v>0</v>
      </c>
      <c r="AB835">
        <v>10</v>
      </c>
      <c r="AC835">
        <v>2</v>
      </c>
      <c r="AD835">
        <v>3</v>
      </c>
      <c r="AE835">
        <v>10</v>
      </c>
      <c r="AF835">
        <v>0</v>
      </c>
      <c r="AG835">
        <v>0</v>
      </c>
      <c r="AH835">
        <v>9</v>
      </c>
      <c r="AI835">
        <v>0</v>
      </c>
      <c r="AJ835" s="19" t="s">
        <v>1569</v>
      </c>
      <c r="AK835" s="19" t="s">
        <v>1562</v>
      </c>
      <c r="AL835">
        <v>2</v>
      </c>
      <c r="AM835" s="19" t="s">
        <v>1564</v>
      </c>
      <c r="AN835">
        <v>-0.32632760250387982</v>
      </c>
      <c r="AO835">
        <v>396588</v>
      </c>
    </row>
    <row r="836" spans="1:41" x14ac:dyDescent="0.3">
      <c r="A836" s="19" t="s">
        <v>903</v>
      </c>
      <c r="B836">
        <v>37</v>
      </c>
      <c r="C836" s="19" t="s">
        <v>802</v>
      </c>
      <c r="D836" s="19" t="s">
        <v>47</v>
      </c>
      <c r="E836" s="19" t="s">
        <v>48</v>
      </c>
      <c r="F836">
        <v>625</v>
      </c>
      <c r="G836" s="19" t="s">
        <v>63</v>
      </c>
      <c r="H836">
        <v>1</v>
      </c>
      <c r="I836">
        <v>4</v>
      </c>
      <c r="J836" s="19" t="s">
        <v>50</v>
      </c>
      <c r="K836">
        <v>970</v>
      </c>
      <c r="L836">
        <v>1</v>
      </c>
      <c r="M836" s="19" t="s">
        <v>51</v>
      </c>
      <c r="N836">
        <v>2</v>
      </c>
      <c r="O836">
        <v>3</v>
      </c>
      <c r="P836" s="19" t="s">
        <v>145</v>
      </c>
      <c r="Q836">
        <v>3</v>
      </c>
      <c r="R836" s="19" t="s">
        <v>113</v>
      </c>
      <c r="S836">
        <v>38131</v>
      </c>
      <c r="T836" s="19" t="s">
        <v>72</v>
      </c>
      <c r="U836">
        <v>238.32</v>
      </c>
      <c r="V836">
        <v>5</v>
      </c>
      <c r="W836" s="19" t="s">
        <v>55</v>
      </c>
      <c r="X836">
        <v>11</v>
      </c>
      <c r="Y836">
        <v>3</v>
      </c>
      <c r="Z836">
        <v>3</v>
      </c>
      <c r="AA836">
        <v>0</v>
      </c>
      <c r="AB836">
        <v>17</v>
      </c>
      <c r="AC836">
        <v>2</v>
      </c>
      <c r="AD836">
        <v>1</v>
      </c>
      <c r="AE836">
        <v>14</v>
      </c>
      <c r="AF836">
        <v>1</v>
      </c>
      <c r="AG836">
        <v>11</v>
      </c>
      <c r="AH836">
        <v>7</v>
      </c>
      <c r="AI836">
        <v>1</v>
      </c>
      <c r="AJ836" s="19" t="s">
        <v>1571</v>
      </c>
      <c r="AK836" s="19" t="s">
        <v>1570</v>
      </c>
      <c r="AL836">
        <v>2</v>
      </c>
      <c r="AM836" s="19" t="s">
        <v>1564</v>
      </c>
      <c r="AN836">
        <v>-0.22273587131457659</v>
      </c>
      <c r="AO836">
        <v>457572</v>
      </c>
    </row>
    <row r="837" spans="1:41" x14ac:dyDescent="0.3">
      <c r="A837" s="19" t="s">
        <v>904</v>
      </c>
      <c r="B837">
        <v>37</v>
      </c>
      <c r="C837" s="19" t="s">
        <v>802</v>
      </c>
      <c r="D837" s="19" t="s">
        <v>47</v>
      </c>
      <c r="E837" s="19" t="s">
        <v>48</v>
      </c>
      <c r="F837">
        <v>1141</v>
      </c>
      <c r="G837" s="19" t="s">
        <v>735</v>
      </c>
      <c r="H837">
        <v>11</v>
      </c>
      <c r="I837">
        <v>2</v>
      </c>
      <c r="J837" s="19" t="s">
        <v>58</v>
      </c>
      <c r="K837">
        <v>1033</v>
      </c>
      <c r="L837">
        <v>1</v>
      </c>
      <c r="M837" s="19" t="s">
        <v>59</v>
      </c>
      <c r="N837">
        <v>1</v>
      </c>
      <c r="O837">
        <v>2</v>
      </c>
      <c r="P837" s="19" t="s">
        <v>168</v>
      </c>
      <c r="Q837">
        <v>2</v>
      </c>
      <c r="R837" s="19" t="s">
        <v>113</v>
      </c>
      <c r="S837">
        <v>43944</v>
      </c>
      <c r="T837" s="19" t="s">
        <v>72</v>
      </c>
      <c r="U837">
        <v>274.64999999999998</v>
      </c>
      <c r="V837">
        <v>5</v>
      </c>
      <c r="W837" s="19" t="s">
        <v>55</v>
      </c>
      <c r="X837">
        <v>15</v>
      </c>
      <c r="Y837">
        <v>3</v>
      </c>
      <c r="Z837">
        <v>1</v>
      </c>
      <c r="AA837">
        <v>0</v>
      </c>
      <c r="AB837">
        <v>15</v>
      </c>
      <c r="AC837">
        <v>2</v>
      </c>
      <c r="AD837">
        <v>1</v>
      </c>
      <c r="AE837">
        <v>1</v>
      </c>
      <c r="AF837">
        <v>0</v>
      </c>
      <c r="AG837">
        <v>0</v>
      </c>
      <c r="AH837">
        <v>0</v>
      </c>
      <c r="AI837">
        <v>1</v>
      </c>
      <c r="AJ837" s="19" t="s">
        <v>1561</v>
      </c>
      <c r="AK837" s="19" t="s">
        <v>1562</v>
      </c>
      <c r="AL837">
        <v>2</v>
      </c>
      <c r="AM837" s="19" t="s">
        <v>1564</v>
      </c>
      <c r="AN837">
        <v>-8.8093346456226018E-2</v>
      </c>
      <c r="AO837">
        <v>527328</v>
      </c>
    </row>
    <row r="838" spans="1:41" x14ac:dyDescent="0.3">
      <c r="A838" s="19" t="s">
        <v>905</v>
      </c>
      <c r="B838">
        <v>37</v>
      </c>
      <c r="C838" s="19" t="s">
        <v>802</v>
      </c>
      <c r="D838" s="19" t="s">
        <v>55</v>
      </c>
      <c r="E838" s="19" t="s">
        <v>48</v>
      </c>
      <c r="F838">
        <v>124</v>
      </c>
      <c r="G838" s="19" t="s">
        <v>735</v>
      </c>
      <c r="H838">
        <v>3</v>
      </c>
      <c r="I838">
        <v>3</v>
      </c>
      <c r="J838" s="19" t="s">
        <v>82</v>
      </c>
      <c r="K838">
        <v>1062</v>
      </c>
      <c r="L838">
        <v>4</v>
      </c>
      <c r="M838" s="19" t="s">
        <v>59</v>
      </c>
      <c r="N838">
        <v>3</v>
      </c>
      <c r="O838">
        <v>2</v>
      </c>
      <c r="P838" s="19" t="s">
        <v>168</v>
      </c>
      <c r="Q838">
        <v>2</v>
      </c>
      <c r="R838" s="19" t="s">
        <v>53</v>
      </c>
      <c r="S838">
        <v>74963</v>
      </c>
      <c r="T838" s="19" t="s">
        <v>64</v>
      </c>
      <c r="U838">
        <v>468.52</v>
      </c>
      <c r="V838">
        <v>3</v>
      </c>
      <c r="W838" s="19" t="s">
        <v>55</v>
      </c>
      <c r="X838">
        <v>15</v>
      </c>
      <c r="Y838">
        <v>3</v>
      </c>
      <c r="Z838">
        <v>1</v>
      </c>
      <c r="AA838">
        <v>0</v>
      </c>
      <c r="AB838">
        <v>8</v>
      </c>
      <c r="AC838">
        <v>3</v>
      </c>
      <c r="AD838">
        <v>2</v>
      </c>
      <c r="AE838">
        <v>4</v>
      </c>
      <c r="AF838">
        <v>3</v>
      </c>
      <c r="AG838">
        <v>0</v>
      </c>
      <c r="AH838">
        <v>1</v>
      </c>
      <c r="AI838">
        <v>0</v>
      </c>
      <c r="AJ838" s="19" t="s">
        <v>1567</v>
      </c>
      <c r="AK838" s="19" t="s">
        <v>1562</v>
      </c>
      <c r="AL838">
        <v>2</v>
      </c>
      <c r="AM838" s="19" t="s">
        <v>1564</v>
      </c>
      <c r="AN838">
        <v>0.55559936440929203</v>
      </c>
      <c r="AO838">
        <v>899556</v>
      </c>
    </row>
    <row r="839" spans="1:41" x14ac:dyDescent="0.3">
      <c r="A839" s="19" t="s">
        <v>906</v>
      </c>
      <c r="B839">
        <v>37</v>
      </c>
      <c r="C839" s="19" t="s">
        <v>802</v>
      </c>
      <c r="D839" s="19" t="s">
        <v>55</v>
      </c>
      <c r="E839" s="19" t="s">
        <v>48</v>
      </c>
      <c r="F839">
        <v>309</v>
      </c>
      <c r="G839" s="19" t="s">
        <v>63</v>
      </c>
      <c r="H839">
        <v>10</v>
      </c>
      <c r="I839">
        <v>4</v>
      </c>
      <c r="J839" s="19" t="s">
        <v>50</v>
      </c>
      <c r="K839">
        <v>1105</v>
      </c>
      <c r="L839">
        <v>4</v>
      </c>
      <c r="M839" s="19" t="s">
        <v>59</v>
      </c>
      <c r="N839">
        <v>2</v>
      </c>
      <c r="O839">
        <v>2</v>
      </c>
      <c r="P839" s="19" t="s">
        <v>145</v>
      </c>
      <c r="Q839">
        <v>4</v>
      </c>
      <c r="R839" s="19" t="s">
        <v>113</v>
      </c>
      <c r="S839">
        <v>25285</v>
      </c>
      <c r="T839" s="19" t="s">
        <v>72</v>
      </c>
      <c r="U839">
        <v>158.03</v>
      </c>
      <c r="V839">
        <v>2</v>
      </c>
      <c r="W839" s="19" t="s">
        <v>47</v>
      </c>
      <c r="X839">
        <v>14</v>
      </c>
      <c r="Y839">
        <v>3</v>
      </c>
      <c r="Z839">
        <v>3</v>
      </c>
      <c r="AA839">
        <v>3</v>
      </c>
      <c r="AB839">
        <v>8</v>
      </c>
      <c r="AC839">
        <v>5</v>
      </c>
      <c r="AD839">
        <v>3</v>
      </c>
      <c r="AE839">
        <v>1</v>
      </c>
      <c r="AF839">
        <v>0</v>
      </c>
      <c r="AG839">
        <v>0</v>
      </c>
      <c r="AH839">
        <v>0</v>
      </c>
      <c r="AI839">
        <v>0</v>
      </c>
      <c r="AJ839" s="19" t="s">
        <v>1561</v>
      </c>
      <c r="AK839" s="19" t="s">
        <v>1562</v>
      </c>
      <c r="AL839">
        <v>1</v>
      </c>
      <c r="AM839" s="19" t="s">
        <v>1565</v>
      </c>
      <c r="AN839">
        <v>-0.48458935003511761</v>
      </c>
      <c r="AO839">
        <v>303420</v>
      </c>
    </row>
    <row r="840" spans="1:41" x14ac:dyDescent="0.3">
      <c r="A840" s="19" t="s">
        <v>907</v>
      </c>
      <c r="B840">
        <v>37</v>
      </c>
      <c r="C840" s="19" t="s">
        <v>802</v>
      </c>
      <c r="D840" s="19" t="s">
        <v>55</v>
      </c>
      <c r="E840" s="19" t="s">
        <v>48</v>
      </c>
      <c r="F840">
        <v>367</v>
      </c>
      <c r="G840" s="19" t="s">
        <v>735</v>
      </c>
      <c r="H840">
        <v>25</v>
      </c>
      <c r="I840">
        <v>2</v>
      </c>
      <c r="J840" s="19" t="s">
        <v>58</v>
      </c>
      <c r="K840">
        <v>1161</v>
      </c>
      <c r="L840">
        <v>3</v>
      </c>
      <c r="M840" s="19" t="s">
        <v>59</v>
      </c>
      <c r="N840">
        <v>2</v>
      </c>
      <c r="O840">
        <v>2</v>
      </c>
      <c r="P840" s="19" t="s">
        <v>168</v>
      </c>
      <c r="Q840">
        <v>4</v>
      </c>
      <c r="R840" s="19" t="s">
        <v>113</v>
      </c>
      <c r="S840">
        <v>38626</v>
      </c>
      <c r="T840" s="19" t="s">
        <v>72</v>
      </c>
      <c r="U840">
        <v>241.41</v>
      </c>
      <c r="V840">
        <v>7</v>
      </c>
      <c r="W840" s="19" t="s">
        <v>55</v>
      </c>
      <c r="X840">
        <v>13</v>
      </c>
      <c r="Y840">
        <v>3</v>
      </c>
      <c r="Z840">
        <v>3</v>
      </c>
      <c r="AA840">
        <v>2</v>
      </c>
      <c r="AB840">
        <v>9</v>
      </c>
      <c r="AC840">
        <v>2</v>
      </c>
      <c r="AD840">
        <v>3</v>
      </c>
      <c r="AE840">
        <v>6</v>
      </c>
      <c r="AF840">
        <v>2</v>
      </c>
      <c r="AG840">
        <v>1</v>
      </c>
      <c r="AH840">
        <v>3</v>
      </c>
      <c r="AI840">
        <v>0</v>
      </c>
      <c r="AJ840" s="19" t="s">
        <v>1569</v>
      </c>
      <c r="AK840" s="19" t="s">
        <v>1562</v>
      </c>
      <c r="AL840">
        <v>0</v>
      </c>
      <c r="AM840" s="19" t="s">
        <v>1563</v>
      </c>
      <c r="AN840">
        <v>-0.19845015474736452</v>
      </c>
      <c r="AO840">
        <v>463512</v>
      </c>
    </row>
    <row r="841" spans="1:41" x14ac:dyDescent="0.3">
      <c r="A841" s="19" t="s">
        <v>908</v>
      </c>
      <c r="B841">
        <v>37</v>
      </c>
      <c r="C841" s="19" t="s">
        <v>802</v>
      </c>
      <c r="D841" s="19" t="s">
        <v>55</v>
      </c>
      <c r="E841" s="19" t="s">
        <v>48</v>
      </c>
      <c r="F841">
        <v>977</v>
      </c>
      <c r="G841" s="19" t="s">
        <v>735</v>
      </c>
      <c r="H841">
        <v>1</v>
      </c>
      <c r="I841">
        <v>3</v>
      </c>
      <c r="J841" s="19" t="s">
        <v>50</v>
      </c>
      <c r="K841">
        <v>1196</v>
      </c>
      <c r="L841">
        <v>4</v>
      </c>
      <c r="M841" s="19" t="s">
        <v>59</v>
      </c>
      <c r="N841">
        <v>2</v>
      </c>
      <c r="O841">
        <v>2</v>
      </c>
      <c r="P841" s="19" t="s">
        <v>120</v>
      </c>
      <c r="Q841">
        <v>4</v>
      </c>
      <c r="R841" s="19" t="s">
        <v>113</v>
      </c>
      <c r="S841">
        <v>43808</v>
      </c>
      <c r="T841" s="19" t="s">
        <v>72</v>
      </c>
      <c r="U841">
        <v>273.8</v>
      </c>
      <c r="V841">
        <v>1</v>
      </c>
      <c r="W841" s="19" t="s">
        <v>55</v>
      </c>
      <c r="X841">
        <v>13</v>
      </c>
      <c r="Y841">
        <v>3</v>
      </c>
      <c r="Z841">
        <v>2</v>
      </c>
      <c r="AA841">
        <v>1</v>
      </c>
      <c r="AB841">
        <v>14</v>
      </c>
      <c r="AC841">
        <v>2</v>
      </c>
      <c r="AD841">
        <v>2</v>
      </c>
      <c r="AE841">
        <v>14</v>
      </c>
      <c r="AF841">
        <v>8</v>
      </c>
      <c r="AG841">
        <v>3</v>
      </c>
      <c r="AH841">
        <v>11</v>
      </c>
      <c r="AI841">
        <v>0</v>
      </c>
      <c r="AJ841" s="19" t="s">
        <v>1571</v>
      </c>
      <c r="AK841" s="19" t="s">
        <v>1570</v>
      </c>
      <c r="AL841">
        <v>2</v>
      </c>
      <c r="AM841" s="19" t="s">
        <v>1564</v>
      </c>
      <c r="AN841">
        <v>-1.1001962388507208E-2</v>
      </c>
      <c r="AO841">
        <v>525696</v>
      </c>
    </row>
    <row r="842" spans="1:41" x14ac:dyDescent="0.3">
      <c r="A842" s="19" t="s">
        <v>909</v>
      </c>
      <c r="B842">
        <v>37</v>
      </c>
      <c r="C842" s="19" t="s">
        <v>802</v>
      </c>
      <c r="D842" s="19" t="s">
        <v>55</v>
      </c>
      <c r="E842" s="19" t="s">
        <v>48</v>
      </c>
      <c r="F842">
        <v>1439</v>
      </c>
      <c r="G842" s="19" t="s">
        <v>735</v>
      </c>
      <c r="H842">
        <v>4</v>
      </c>
      <c r="I842">
        <v>1</v>
      </c>
      <c r="J842" s="19" t="s">
        <v>50</v>
      </c>
      <c r="K842">
        <v>1394</v>
      </c>
      <c r="L842">
        <v>3</v>
      </c>
      <c r="M842" s="19" t="s">
        <v>51</v>
      </c>
      <c r="N842">
        <v>3</v>
      </c>
      <c r="O842">
        <v>1</v>
      </c>
      <c r="P842" s="19" t="s">
        <v>67</v>
      </c>
      <c r="Q842">
        <v>3</v>
      </c>
      <c r="R842" s="19" t="s">
        <v>113</v>
      </c>
      <c r="S842">
        <v>89464</v>
      </c>
      <c r="T842" s="19" t="s">
        <v>70</v>
      </c>
      <c r="U842">
        <v>559.15</v>
      </c>
      <c r="V842">
        <v>7</v>
      </c>
      <c r="W842" s="19" t="s">
        <v>47</v>
      </c>
      <c r="X842">
        <v>15</v>
      </c>
      <c r="Y842">
        <v>3</v>
      </c>
      <c r="Z842">
        <v>4</v>
      </c>
      <c r="AA842">
        <v>0</v>
      </c>
      <c r="AB842">
        <v>8</v>
      </c>
      <c r="AC842">
        <v>2</v>
      </c>
      <c r="AD842">
        <v>3</v>
      </c>
      <c r="AE842">
        <v>6</v>
      </c>
      <c r="AF842">
        <v>4</v>
      </c>
      <c r="AG842">
        <v>1</v>
      </c>
      <c r="AH842">
        <v>3</v>
      </c>
      <c r="AI842">
        <v>0</v>
      </c>
      <c r="AJ842" s="19" t="s">
        <v>1569</v>
      </c>
      <c r="AK842" s="19" t="s">
        <v>1562</v>
      </c>
      <c r="AL842">
        <v>1</v>
      </c>
      <c r="AM842" s="19" t="s">
        <v>1565</v>
      </c>
      <c r="AN842">
        <v>0.79408447249316394</v>
      </c>
      <c r="AO842">
        <v>1073568</v>
      </c>
    </row>
    <row r="843" spans="1:41" x14ac:dyDescent="0.3">
      <c r="A843" s="19" t="s">
        <v>910</v>
      </c>
      <c r="B843">
        <v>37</v>
      </c>
      <c r="C843" s="19" t="s">
        <v>802</v>
      </c>
      <c r="D843" s="19" t="s">
        <v>55</v>
      </c>
      <c r="E843" s="19" t="s">
        <v>48</v>
      </c>
      <c r="F843">
        <v>1462</v>
      </c>
      <c r="G843" s="19" t="s">
        <v>735</v>
      </c>
      <c r="H843">
        <v>11</v>
      </c>
      <c r="I843">
        <v>3</v>
      </c>
      <c r="J843" s="19" t="s">
        <v>58</v>
      </c>
      <c r="K843">
        <v>1411</v>
      </c>
      <c r="L843">
        <v>1</v>
      </c>
      <c r="M843" s="19" t="s">
        <v>59</v>
      </c>
      <c r="N843">
        <v>3</v>
      </c>
      <c r="O843">
        <v>1</v>
      </c>
      <c r="P843" s="19" t="s">
        <v>52</v>
      </c>
      <c r="Q843">
        <v>3</v>
      </c>
      <c r="R843" s="19" t="s">
        <v>53</v>
      </c>
      <c r="S843">
        <v>54871</v>
      </c>
      <c r="T843" s="19" t="s">
        <v>64</v>
      </c>
      <c r="U843">
        <v>342.94</v>
      </c>
      <c r="V843">
        <v>4</v>
      </c>
      <c r="W843" s="19" t="s">
        <v>55</v>
      </c>
      <c r="X843">
        <v>18</v>
      </c>
      <c r="Y843">
        <v>3</v>
      </c>
      <c r="Z843">
        <v>1</v>
      </c>
      <c r="AA843">
        <v>0</v>
      </c>
      <c r="AB843">
        <v>8</v>
      </c>
      <c r="AC843">
        <v>6</v>
      </c>
      <c r="AD843">
        <v>3</v>
      </c>
      <c r="AE843">
        <v>3</v>
      </c>
      <c r="AF843">
        <v>2</v>
      </c>
      <c r="AG843">
        <v>0</v>
      </c>
      <c r="AH843">
        <v>2</v>
      </c>
      <c r="AI843">
        <v>0</v>
      </c>
      <c r="AJ843" s="19" t="s">
        <v>1566</v>
      </c>
      <c r="AK843" s="19" t="s">
        <v>1562</v>
      </c>
      <c r="AL843">
        <v>0</v>
      </c>
      <c r="AM843" s="19" t="s">
        <v>1563</v>
      </c>
      <c r="AN843">
        <v>6.0911931386604695E-2</v>
      </c>
      <c r="AO843">
        <v>658452</v>
      </c>
    </row>
    <row r="844" spans="1:41" x14ac:dyDescent="0.3">
      <c r="A844" s="19" t="s">
        <v>911</v>
      </c>
      <c r="B844">
        <v>37</v>
      </c>
      <c r="C844" s="19" t="s">
        <v>802</v>
      </c>
      <c r="D844" s="19" t="s">
        <v>55</v>
      </c>
      <c r="E844" s="19" t="s">
        <v>66</v>
      </c>
      <c r="F844">
        <v>1413</v>
      </c>
      <c r="G844" s="19" t="s">
        <v>735</v>
      </c>
      <c r="H844">
        <v>5</v>
      </c>
      <c r="I844">
        <v>2</v>
      </c>
      <c r="J844" s="19" t="s">
        <v>77</v>
      </c>
      <c r="K844">
        <v>1440</v>
      </c>
      <c r="L844">
        <v>3</v>
      </c>
      <c r="M844" s="19" t="s">
        <v>51</v>
      </c>
      <c r="N844">
        <v>4</v>
      </c>
      <c r="O844">
        <v>1</v>
      </c>
      <c r="P844" s="19" t="s">
        <v>52</v>
      </c>
      <c r="Q844">
        <v>3</v>
      </c>
      <c r="R844" s="19" t="s">
        <v>53</v>
      </c>
      <c r="S844">
        <v>20198</v>
      </c>
      <c r="T844" s="19" t="s">
        <v>54</v>
      </c>
      <c r="U844">
        <v>126.24</v>
      </c>
      <c r="V844">
        <v>0</v>
      </c>
      <c r="W844" s="19" t="s">
        <v>55</v>
      </c>
      <c r="X844">
        <v>14</v>
      </c>
      <c r="Y844">
        <v>3</v>
      </c>
      <c r="Z844">
        <v>1</v>
      </c>
      <c r="AA844">
        <v>0</v>
      </c>
      <c r="AB844">
        <v>7</v>
      </c>
      <c r="AC844">
        <v>2</v>
      </c>
      <c r="AD844">
        <v>1</v>
      </c>
      <c r="AE844">
        <v>6</v>
      </c>
      <c r="AF844">
        <v>5</v>
      </c>
      <c r="AG844">
        <v>1</v>
      </c>
      <c r="AH844">
        <v>3</v>
      </c>
      <c r="AI844">
        <v>0</v>
      </c>
      <c r="AJ844" s="19" t="s">
        <v>1569</v>
      </c>
      <c r="AK844" s="19" t="s">
        <v>1562</v>
      </c>
      <c r="AL844">
        <v>1</v>
      </c>
      <c r="AM844" s="19" t="s">
        <v>1565</v>
      </c>
      <c r="AN844">
        <v>-0.60947861000990244</v>
      </c>
      <c r="AO844">
        <v>242376</v>
      </c>
    </row>
    <row r="845" spans="1:41" x14ac:dyDescent="0.3">
      <c r="A845" s="19" t="s">
        <v>912</v>
      </c>
      <c r="B845">
        <v>37</v>
      </c>
      <c r="C845" s="19" t="s">
        <v>802</v>
      </c>
      <c r="D845" s="19" t="s">
        <v>55</v>
      </c>
      <c r="E845" s="19" t="s">
        <v>48</v>
      </c>
      <c r="F845">
        <v>674</v>
      </c>
      <c r="G845" s="19" t="s">
        <v>735</v>
      </c>
      <c r="H845">
        <v>13</v>
      </c>
      <c r="I845">
        <v>3</v>
      </c>
      <c r="J845" s="19" t="s">
        <v>58</v>
      </c>
      <c r="K845">
        <v>1543</v>
      </c>
      <c r="L845">
        <v>1</v>
      </c>
      <c r="M845" s="19" t="s">
        <v>51</v>
      </c>
      <c r="N845">
        <v>3</v>
      </c>
      <c r="O845">
        <v>2</v>
      </c>
      <c r="P845" s="19" t="s">
        <v>67</v>
      </c>
      <c r="Q845">
        <v>4</v>
      </c>
      <c r="R845" s="19" t="s">
        <v>113</v>
      </c>
      <c r="S845">
        <v>20758</v>
      </c>
      <c r="T845" s="19" t="s">
        <v>54</v>
      </c>
      <c r="U845">
        <v>129.74</v>
      </c>
      <c r="V845">
        <v>1</v>
      </c>
      <c r="W845" s="19" t="s">
        <v>55</v>
      </c>
      <c r="X845">
        <v>17</v>
      </c>
      <c r="Y845">
        <v>3</v>
      </c>
      <c r="Z845">
        <v>1</v>
      </c>
      <c r="AA845">
        <v>0</v>
      </c>
      <c r="AB845">
        <v>10</v>
      </c>
      <c r="AC845">
        <v>2</v>
      </c>
      <c r="AD845">
        <v>3</v>
      </c>
      <c r="AE845">
        <v>10</v>
      </c>
      <c r="AF845">
        <v>8</v>
      </c>
      <c r="AG845">
        <v>3</v>
      </c>
      <c r="AH845">
        <v>7</v>
      </c>
      <c r="AI845">
        <v>0</v>
      </c>
      <c r="AJ845" s="19" t="s">
        <v>1569</v>
      </c>
      <c r="AK845" s="19" t="s">
        <v>1570</v>
      </c>
      <c r="AL845">
        <v>1</v>
      </c>
      <c r="AM845" s="19" t="s">
        <v>1565</v>
      </c>
      <c r="AN845">
        <v>-0.58372523607246385</v>
      </c>
      <c r="AO845">
        <v>249096</v>
      </c>
    </row>
    <row r="846" spans="1:41" x14ac:dyDescent="0.3">
      <c r="A846" s="19" t="s">
        <v>913</v>
      </c>
      <c r="B846">
        <v>37</v>
      </c>
      <c r="C846" s="19" t="s">
        <v>802</v>
      </c>
      <c r="D846" s="19" t="s">
        <v>55</v>
      </c>
      <c r="E846" s="19" t="s">
        <v>48</v>
      </c>
      <c r="F846">
        <v>671</v>
      </c>
      <c r="G846" s="19" t="s">
        <v>735</v>
      </c>
      <c r="H846">
        <v>19</v>
      </c>
      <c r="I846">
        <v>3</v>
      </c>
      <c r="J846" s="19" t="s">
        <v>50</v>
      </c>
      <c r="K846">
        <v>1631</v>
      </c>
      <c r="L846">
        <v>3</v>
      </c>
      <c r="M846" s="19" t="s">
        <v>51</v>
      </c>
      <c r="N846">
        <v>3</v>
      </c>
      <c r="O846">
        <v>2</v>
      </c>
      <c r="P846" s="19" t="s">
        <v>120</v>
      </c>
      <c r="Q846">
        <v>3</v>
      </c>
      <c r="R846" s="19" t="s">
        <v>113</v>
      </c>
      <c r="S846">
        <v>16254</v>
      </c>
      <c r="T846" s="19" t="s">
        <v>54</v>
      </c>
      <c r="U846">
        <v>101.59</v>
      </c>
      <c r="V846">
        <v>3</v>
      </c>
      <c r="W846" s="19" t="s">
        <v>55</v>
      </c>
      <c r="X846">
        <v>17</v>
      </c>
      <c r="Y846">
        <v>3</v>
      </c>
      <c r="Z846">
        <v>1</v>
      </c>
      <c r="AA846">
        <v>3</v>
      </c>
      <c r="AB846">
        <v>9</v>
      </c>
      <c r="AC846">
        <v>2</v>
      </c>
      <c r="AD846">
        <v>2</v>
      </c>
      <c r="AE846">
        <v>4</v>
      </c>
      <c r="AF846">
        <v>3</v>
      </c>
      <c r="AG846">
        <v>0</v>
      </c>
      <c r="AH846">
        <v>2</v>
      </c>
      <c r="AI846">
        <v>0</v>
      </c>
      <c r="AJ846" s="19" t="s">
        <v>1567</v>
      </c>
      <c r="AK846" s="19" t="s">
        <v>1562</v>
      </c>
      <c r="AL846">
        <v>1</v>
      </c>
      <c r="AM846" s="19" t="s">
        <v>1565</v>
      </c>
      <c r="AN846">
        <v>-0.63305391473390238</v>
      </c>
      <c r="AO846">
        <v>195048</v>
      </c>
    </row>
    <row r="847" spans="1:41" x14ac:dyDescent="0.3">
      <c r="A847" s="19" t="s">
        <v>914</v>
      </c>
      <c r="B847">
        <v>37</v>
      </c>
      <c r="C847" s="19" t="s">
        <v>802</v>
      </c>
      <c r="D847" s="19" t="s">
        <v>55</v>
      </c>
      <c r="E847" s="19" t="s">
        <v>48</v>
      </c>
      <c r="F847">
        <v>1470</v>
      </c>
      <c r="G847" s="19" t="s">
        <v>735</v>
      </c>
      <c r="H847">
        <v>10</v>
      </c>
      <c r="I847">
        <v>3</v>
      </c>
      <c r="J847" s="19" t="s">
        <v>58</v>
      </c>
      <c r="K847">
        <v>1640</v>
      </c>
      <c r="L847">
        <v>2</v>
      </c>
      <c r="M847" s="19" t="s">
        <v>59</v>
      </c>
      <c r="N847">
        <v>3</v>
      </c>
      <c r="O847">
        <v>1</v>
      </c>
      <c r="P847" s="19" t="s">
        <v>67</v>
      </c>
      <c r="Q847">
        <v>2</v>
      </c>
      <c r="R847" s="19" t="s">
        <v>113</v>
      </c>
      <c r="S847">
        <v>45238</v>
      </c>
      <c r="T847" s="19" t="s">
        <v>72</v>
      </c>
      <c r="U847">
        <v>282.74</v>
      </c>
      <c r="V847">
        <v>1</v>
      </c>
      <c r="W847" s="19" t="s">
        <v>55</v>
      </c>
      <c r="X847">
        <v>11</v>
      </c>
      <c r="Y847">
        <v>3</v>
      </c>
      <c r="Z847">
        <v>1</v>
      </c>
      <c r="AA847">
        <v>1</v>
      </c>
      <c r="AB847">
        <v>8</v>
      </c>
      <c r="AC847">
        <v>2</v>
      </c>
      <c r="AD847">
        <v>1</v>
      </c>
      <c r="AE847">
        <v>8</v>
      </c>
      <c r="AF847">
        <v>4</v>
      </c>
      <c r="AG847">
        <v>7</v>
      </c>
      <c r="AH847">
        <v>7</v>
      </c>
      <c r="AI847">
        <v>0</v>
      </c>
      <c r="AJ847" s="19" t="s">
        <v>1569</v>
      </c>
      <c r="AK847" s="19" t="s">
        <v>1570</v>
      </c>
      <c r="AL847">
        <v>3</v>
      </c>
      <c r="AM847" s="19" t="s">
        <v>1568</v>
      </c>
      <c r="AN847">
        <v>-9.2810590107241478E-2</v>
      </c>
      <c r="AO847">
        <v>542856</v>
      </c>
    </row>
    <row r="848" spans="1:41" x14ac:dyDescent="0.3">
      <c r="A848" s="19" t="s">
        <v>915</v>
      </c>
      <c r="B848">
        <v>37</v>
      </c>
      <c r="C848" s="19" t="s">
        <v>802</v>
      </c>
      <c r="D848" s="19" t="s">
        <v>55</v>
      </c>
      <c r="E848" s="19" t="s">
        <v>62</v>
      </c>
      <c r="F848">
        <v>1278</v>
      </c>
      <c r="G848" s="19" t="s">
        <v>63</v>
      </c>
      <c r="H848">
        <v>1</v>
      </c>
      <c r="I848">
        <v>4</v>
      </c>
      <c r="J848" s="19" t="s">
        <v>58</v>
      </c>
      <c r="K848">
        <v>1700</v>
      </c>
      <c r="L848">
        <v>3</v>
      </c>
      <c r="M848" s="19" t="s">
        <v>51</v>
      </c>
      <c r="N848">
        <v>1</v>
      </c>
      <c r="O848">
        <v>2</v>
      </c>
      <c r="P848" s="19" t="s">
        <v>145</v>
      </c>
      <c r="Q848">
        <v>4</v>
      </c>
      <c r="R848" s="19" t="s">
        <v>53</v>
      </c>
      <c r="S848">
        <v>2252</v>
      </c>
      <c r="T848" s="19" t="s">
        <v>54</v>
      </c>
      <c r="U848">
        <v>14.08</v>
      </c>
      <c r="V848">
        <v>1</v>
      </c>
      <c r="W848" s="19" t="s">
        <v>55</v>
      </c>
      <c r="X848">
        <v>14</v>
      </c>
      <c r="Y848">
        <v>3</v>
      </c>
      <c r="Z848">
        <v>3</v>
      </c>
      <c r="AA848">
        <v>2</v>
      </c>
      <c r="AB848">
        <v>6</v>
      </c>
      <c r="AC848">
        <v>2</v>
      </c>
      <c r="AD848">
        <v>2</v>
      </c>
      <c r="AE848">
        <v>6</v>
      </c>
      <c r="AF848">
        <v>3</v>
      </c>
      <c r="AG848">
        <v>1</v>
      </c>
      <c r="AH848">
        <v>3</v>
      </c>
      <c r="AI848">
        <v>0</v>
      </c>
      <c r="AJ848" s="19" t="s">
        <v>1569</v>
      </c>
      <c r="AK848" s="19" t="s">
        <v>1562</v>
      </c>
      <c r="AL848">
        <v>1</v>
      </c>
      <c r="AM848" s="19" t="s">
        <v>1565</v>
      </c>
      <c r="AN848">
        <v>-0.95409512423488574</v>
      </c>
      <c r="AO848">
        <v>27024</v>
      </c>
    </row>
    <row r="849" spans="1:41" x14ac:dyDescent="0.3">
      <c r="A849" s="19" t="s">
        <v>916</v>
      </c>
      <c r="B849">
        <v>37</v>
      </c>
      <c r="C849" s="19" t="s">
        <v>802</v>
      </c>
      <c r="D849" s="19" t="s">
        <v>55</v>
      </c>
      <c r="E849" s="19" t="s">
        <v>48</v>
      </c>
      <c r="F849">
        <v>589</v>
      </c>
      <c r="G849" s="19" t="s">
        <v>63</v>
      </c>
      <c r="H849">
        <v>9</v>
      </c>
      <c r="I849">
        <v>2</v>
      </c>
      <c r="J849" s="19" t="s">
        <v>63</v>
      </c>
      <c r="K849">
        <v>1787</v>
      </c>
      <c r="L849">
        <v>2</v>
      </c>
      <c r="M849" s="19" t="s">
        <v>51</v>
      </c>
      <c r="N849">
        <v>2</v>
      </c>
      <c r="O849">
        <v>2</v>
      </c>
      <c r="P849" s="19" t="s">
        <v>145</v>
      </c>
      <c r="Q849">
        <v>2</v>
      </c>
      <c r="R849" s="19" t="s">
        <v>113</v>
      </c>
      <c r="S849">
        <v>40764</v>
      </c>
      <c r="T849" s="19" t="s">
        <v>72</v>
      </c>
      <c r="U849">
        <v>254.78</v>
      </c>
      <c r="V849">
        <v>1</v>
      </c>
      <c r="W849" s="19" t="s">
        <v>55</v>
      </c>
      <c r="X849">
        <v>14</v>
      </c>
      <c r="Y849">
        <v>3</v>
      </c>
      <c r="Z849">
        <v>1</v>
      </c>
      <c r="AA849">
        <v>2</v>
      </c>
      <c r="AB849">
        <v>5</v>
      </c>
      <c r="AC849">
        <v>2</v>
      </c>
      <c r="AD849">
        <v>3</v>
      </c>
      <c r="AE849">
        <v>5</v>
      </c>
      <c r="AF849">
        <v>2</v>
      </c>
      <c r="AG849">
        <v>0</v>
      </c>
      <c r="AH849">
        <v>3</v>
      </c>
      <c r="AI849">
        <v>0</v>
      </c>
      <c r="AJ849" s="19" t="s">
        <v>1567</v>
      </c>
      <c r="AK849" s="19" t="s">
        <v>1562</v>
      </c>
      <c r="AL849">
        <v>1</v>
      </c>
      <c r="AM849" s="19" t="s">
        <v>1565</v>
      </c>
      <c r="AN849">
        <v>-0.16906467331744252</v>
      </c>
      <c r="AO849">
        <v>489168</v>
      </c>
    </row>
    <row r="850" spans="1:41" x14ac:dyDescent="0.3">
      <c r="A850" s="19" t="s">
        <v>917</v>
      </c>
      <c r="B850">
        <v>37</v>
      </c>
      <c r="C850" s="19" t="s">
        <v>802</v>
      </c>
      <c r="D850" s="19" t="s">
        <v>55</v>
      </c>
      <c r="E850" s="19" t="s">
        <v>48</v>
      </c>
      <c r="F850">
        <v>1239</v>
      </c>
      <c r="G850" s="19" t="s">
        <v>406</v>
      </c>
      <c r="H850">
        <v>8</v>
      </c>
      <c r="I850">
        <v>2</v>
      </c>
      <c r="J850" s="19" t="s">
        <v>82</v>
      </c>
      <c r="K850">
        <v>1794</v>
      </c>
      <c r="L850">
        <v>3</v>
      </c>
      <c r="M850" s="19" t="s">
        <v>51</v>
      </c>
      <c r="N850">
        <v>3</v>
      </c>
      <c r="O850">
        <v>2</v>
      </c>
      <c r="P850" s="19" t="s">
        <v>80</v>
      </c>
      <c r="Q850">
        <v>2</v>
      </c>
      <c r="R850" s="19" t="s">
        <v>113</v>
      </c>
      <c r="S850">
        <v>78709</v>
      </c>
      <c r="T850" s="19" t="s">
        <v>64</v>
      </c>
      <c r="U850">
        <v>491.93</v>
      </c>
      <c r="V850">
        <v>2</v>
      </c>
      <c r="W850" s="19" t="s">
        <v>55</v>
      </c>
      <c r="X850">
        <v>13</v>
      </c>
      <c r="Y850">
        <v>3</v>
      </c>
      <c r="Z850">
        <v>3</v>
      </c>
      <c r="AA850">
        <v>0</v>
      </c>
      <c r="AB850">
        <v>19</v>
      </c>
      <c r="AC850">
        <v>4</v>
      </c>
      <c r="AD850">
        <v>2</v>
      </c>
      <c r="AE850">
        <v>10</v>
      </c>
      <c r="AF850">
        <v>0</v>
      </c>
      <c r="AG850">
        <v>4</v>
      </c>
      <c r="AH850">
        <v>7</v>
      </c>
      <c r="AI850">
        <v>0</v>
      </c>
      <c r="AJ850" s="19" t="s">
        <v>1569</v>
      </c>
      <c r="AK850" s="19" t="s">
        <v>1570</v>
      </c>
      <c r="AL850">
        <v>3</v>
      </c>
      <c r="AM850" s="19" t="s">
        <v>1568</v>
      </c>
      <c r="AN850">
        <v>0.55109846173669508</v>
      </c>
      <c r="AO850">
        <v>944508</v>
      </c>
    </row>
    <row r="851" spans="1:41" x14ac:dyDescent="0.3">
      <c r="A851" s="19" t="s">
        <v>918</v>
      </c>
      <c r="B851">
        <v>37</v>
      </c>
      <c r="C851" s="19" t="s">
        <v>802</v>
      </c>
      <c r="D851" s="19" t="s">
        <v>47</v>
      </c>
      <c r="E851" s="19" t="s">
        <v>48</v>
      </c>
      <c r="F851">
        <v>370</v>
      </c>
      <c r="G851" s="19" t="s">
        <v>735</v>
      </c>
      <c r="H851">
        <v>10</v>
      </c>
      <c r="I851">
        <v>4</v>
      </c>
      <c r="J851" s="19" t="s">
        <v>58</v>
      </c>
      <c r="K851">
        <v>1809</v>
      </c>
      <c r="L851">
        <v>4</v>
      </c>
      <c r="M851" s="19" t="s">
        <v>51</v>
      </c>
      <c r="N851">
        <v>3</v>
      </c>
      <c r="O851">
        <v>2</v>
      </c>
      <c r="P851" s="19" t="s">
        <v>120</v>
      </c>
      <c r="Q851">
        <v>1</v>
      </c>
      <c r="R851" s="19" t="s">
        <v>53</v>
      </c>
      <c r="S851">
        <v>38441</v>
      </c>
      <c r="T851" s="19" t="s">
        <v>72</v>
      </c>
      <c r="U851">
        <v>240.26</v>
      </c>
      <c r="V851">
        <v>1</v>
      </c>
      <c r="W851" s="19" t="s">
        <v>55</v>
      </c>
      <c r="X851">
        <v>15</v>
      </c>
      <c r="Y851">
        <v>3</v>
      </c>
      <c r="Z851">
        <v>2</v>
      </c>
      <c r="AA851">
        <v>0</v>
      </c>
      <c r="AB851">
        <v>10</v>
      </c>
      <c r="AC851">
        <v>4</v>
      </c>
      <c r="AD851">
        <v>1</v>
      </c>
      <c r="AE851">
        <v>10</v>
      </c>
      <c r="AF851">
        <v>3</v>
      </c>
      <c r="AG851">
        <v>0</v>
      </c>
      <c r="AH851">
        <v>8</v>
      </c>
      <c r="AI851">
        <v>1</v>
      </c>
      <c r="AJ851" s="19" t="s">
        <v>1569</v>
      </c>
      <c r="AK851" s="19" t="s">
        <v>1562</v>
      </c>
      <c r="AL851">
        <v>2</v>
      </c>
      <c r="AM851" s="19" t="s">
        <v>1564</v>
      </c>
      <c r="AN851">
        <v>-0.1321659613809488</v>
      </c>
      <c r="AO851">
        <v>461292</v>
      </c>
    </row>
    <row r="852" spans="1:41" x14ac:dyDescent="0.3">
      <c r="A852" s="19" t="s">
        <v>919</v>
      </c>
      <c r="B852">
        <v>37</v>
      </c>
      <c r="C852" s="19" t="s">
        <v>802</v>
      </c>
      <c r="D852" s="19" t="s">
        <v>55</v>
      </c>
      <c r="E852" s="19" t="s">
        <v>48</v>
      </c>
      <c r="F852">
        <v>783</v>
      </c>
      <c r="G852" s="19" t="s">
        <v>735</v>
      </c>
      <c r="H852">
        <v>7</v>
      </c>
      <c r="I852">
        <v>4</v>
      </c>
      <c r="J852" s="19" t="s">
        <v>58</v>
      </c>
      <c r="K852">
        <v>1885</v>
      </c>
      <c r="L852">
        <v>4</v>
      </c>
      <c r="M852" s="19" t="s">
        <v>51</v>
      </c>
      <c r="N852">
        <v>3</v>
      </c>
      <c r="O852">
        <v>2</v>
      </c>
      <c r="P852" s="19" t="s">
        <v>67</v>
      </c>
      <c r="Q852">
        <v>1</v>
      </c>
      <c r="R852" s="19" t="s">
        <v>113</v>
      </c>
      <c r="S852">
        <v>93234</v>
      </c>
      <c r="T852" s="19" t="s">
        <v>70</v>
      </c>
      <c r="U852">
        <v>582.71</v>
      </c>
      <c r="V852">
        <v>5</v>
      </c>
      <c r="W852" s="19" t="s">
        <v>47</v>
      </c>
      <c r="X852">
        <v>22</v>
      </c>
      <c r="Y852">
        <v>4</v>
      </c>
      <c r="Z852">
        <v>3</v>
      </c>
      <c r="AA852">
        <v>1</v>
      </c>
      <c r="AB852">
        <v>16</v>
      </c>
      <c r="AC852">
        <v>2</v>
      </c>
      <c r="AD852">
        <v>3</v>
      </c>
      <c r="AE852">
        <v>5</v>
      </c>
      <c r="AF852">
        <v>3</v>
      </c>
      <c r="AG852">
        <v>0</v>
      </c>
      <c r="AH852">
        <v>4</v>
      </c>
      <c r="AI852">
        <v>0</v>
      </c>
      <c r="AJ852" s="19" t="s">
        <v>1567</v>
      </c>
      <c r="AK852" s="19" t="s">
        <v>1562</v>
      </c>
      <c r="AL852">
        <v>2</v>
      </c>
      <c r="AM852" s="19" t="s">
        <v>1564</v>
      </c>
      <c r="AN852">
        <v>0.86968693226803673</v>
      </c>
      <c r="AO852">
        <v>1118808</v>
      </c>
    </row>
    <row r="853" spans="1:41" x14ac:dyDescent="0.3">
      <c r="A853" s="19" t="s">
        <v>920</v>
      </c>
      <c r="B853">
        <v>37</v>
      </c>
      <c r="C853" s="19" t="s">
        <v>802</v>
      </c>
      <c r="D853" s="19" t="s">
        <v>55</v>
      </c>
      <c r="E853" s="19" t="s">
        <v>48</v>
      </c>
      <c r="F853">
        <v>161</v>
      </c>
      <c r="G853" s="19" t="s">
        <v>735</v>
      </c>
      <c r="H853">
        <v>10</v>
      </c>
      <c r="I853">
        <v>3</v>
      </c>
      <c r="J853" s="19" t="s">
        <v>50</v>
      </c>
      <c r="K853">
        <v>2017</v>
      </c>
      <c r="L853">
        <v>3</v>
      </c>
      <c r="M853" s="19" t="s">
        <v>59</v>
      </c>
      <c r="N853">
        <v>4</v>
      </c>
      <c r="O853">
        <v>3</v>
      </c>
      <c r="P853" s="19" t="s">
        <v>257</v>
      </c>
      <c r="Q853">
        <v>4</v>
      </c>
      <c r="R853" s="19" t="s">
        <v>113</v>
      </c>
      <c r="S853">
        <v>54682</v>
      </c>
      <c r="T853" s="19" t="s">
        <v>64</v>
      </c>
      <c r="U853">
        <v>341.76</v>
      </c>
      <c r="V853">
        <v>1</v>
      </c>
      <c r="W853" s="19" t="s">
        <v>47</v>
      </c>
      <c r="X853">
        <v>25</v>
      </c>
      <c r="Y853">
        <v>4</v>
      </c>
      <c r="Z853">
        <v>1</v>
      </c>
      <c r="AA853">
        <v>1</v>
      </c>
      <c r="AB853">
        <v>16</v>
      </c>
      <c r="AC853">
        <v>2</v>
      </c>
      <c r="AD853">
        <v>3</v>
      </c>
      <c r="AE853">
        <v>16</v>
      </c>
      <c r="AF853">
        <v>11</v>
      </c>
      <c r="AG853">
        <v>6</v>
      </c>
      <c r="AH853">
        <v>8</v>
      </c>
      <c r="AI853">
        <v>0</v>
      </c>
      <c r="AJ853" s="19" t="s">
        <v>1571</v>
      </c>
      <c r="AK853" s="19" t="s">
        <v>1570</v>
      </c>
      <c r="AL853">
        <v>2</v>
      </c>
      <c r="AM853" s="19" t="s">
        <v>1564</v>
      </c>
      <c r="AN853">
        <v>7.9326511468164995E-2</v>
      </c>
      <c r="AO853">
        <v>656184</v>
      </c>
    </row>
    <row r="854" spans="1:41" x14ac:dyDescent="0.3">
      <c r="A854" s="19" t="s">
        <v>921</v>
      </c>
      <c r="B854">
        <v>38</v>
      </c>
      <c r="C854" s="19" t="s">
        <v>802</v>
      </c>
      <c r="D854" s="19" t="s">
        <v>55</v>
      </c>
      <c r="E854" s="19" t="s">
        <v>62</v>
      </c>
      <c r="F854">
        <v>216</v>
      </c>
      <c r="G854" s="19" t="s">
        <v>735</v>
      </c>
      <c r="H854">
        <v>23</v>
      </c>
      <c r="I854">
        <v>3</v>
      </c>
      <c r="J854" s="19" t="s">
        <v>50</v>
      </c>
      <c r="K854">
        <v>12</v>
      </c>
      <c r="L854">
        <v>4</v>
      </c>
      <c r="M854" s="19" t="s">
        <v>51</v>
      </c>
      <c r="N854">
        <v>2</v>
      </c>
      <c r="O854">
        <v>3</v>
      </c>
      <c r="P854" s="19" t="s">
        <v>120</v>
      </c>
      <c r="Q854">
        <v>3</v>
      </c>
      <c r="R854" s="19" t="s">
        <v>53</v>
      </c>
      <c r="S854">
        <v>60494</v>
      </c>
      <c r="T854" s="19" t="s">
        <v>64</v>
      </c>
      <c r="U854">
        <v>378.09</v>
      </c>
      <c r="V854">
        <v>0</v>
      </c>
      <c r="W854" s="19" t="s">
        <v>55</v>
      </c>
      <c r="X854">
        <v>21</v>
      </c>
      <c r="Y854">
        <v>4</v>
      </c>
      <c r="Z854">
        <v>2</v>
      </c>
      <c r="AA854">
        <v>0</v>
      </c>
      <c r="AB854">
        <v>10</v>
      </c>
      <c r="AC854">
        <v>2</v>
      </c>
      <c r="AD854">
        <v>3</v>
      </c>
      <c r="AE854">
        <v>9</v>
      </c>
      <c r="AF854">
        <v>7</v>
      </c>
      <c r="AG854">
        <v>1</v>
      </c>
      <c r="AH854">
        <v>7</v>
      </c>
      <c r="AI854">
        <v>0</v>
      </c>
      <c r="AJ854" s="19" t="s">
        <v>1569</v>
      </c>
      <c r="AK854" s="19" t="s">
        <v>1562</v>
      </c>
      <c r="AL854">
        <v>0</v>
      </c>
      <c r="AM854" s="19" t="s">
        <v>1563</v>
      </c>
      <c r="AN854">
        <v>0.36569684275177239</v>
      </c>
      <c r="AO854">
        <v>725928</v>
      </c>
    </row>
    <row r="855" spans="1:41" x14ac:dyDescent="0.3">
      <c r="A855" s="19" t="s">
        <v>922</v>
      </c>
      <c r="B855">
        <v>38</v>
      </c>
      <c r="C855" s="19" t="s">
        <v>802</v>
      </c>
      <c r="D855" s="19" t="s">
        <v>55</v>
      </c>
      <c r="E855" s="19" t="s">
        <v>48</v>
      </c>
      <c r="F855">
        <v>371</v>
      </c>
      <c r="G855" s="19" t="s">
        <v>735</v>
      </c>
      <c r="H855">
        <v>2</v>
      </c>
      <c r="I855">
        <v>3</v>
      </c>
      <c r="J855" s="19" t="s">
        <v>50</v>
      </c>
      <c r="K855">
        <v>24</v>
      </c>
      <c r="L855">
        <v>4</v>
      </c>
      <c r="M855" s="19" t="s">
        <v>51</v>
      </c>
      <c r="N855">
        <v>3</v>
      </c>
      <c r="O855">
        <v>1</v>
      </c>
      <c r="P855" s="19" t="s">
        <v>67</v>
      </c>
      <c r="Q855">
        <v>4</v>
      </c>
      <c r="R855" s="19" t="s">
        <v>53</v>
      </c>
      <c r="S855">
        <v>82317</v>
      </c>
      <c r="T855" s="19" t="s">
        <v>64</v>
      </c>
      <c r="U855">
        <v>514.48</v>
      </c>
      <c r="V855">
        <v>5</v>
      </c>
      <c r="W855" s="19" t="s">
        <v>47</v>
      </c>
      <c r="X855">
        <v>11</v>
      </c>
      <c r="Y855">
        <v>3</v>
      </c>
      <c r="Z855">
        <v>3</v>
      </c>
      <c r="AA855">
        <v>0</v>
      </c>
      <c r="AB855">
        <v>6</v>
      </c>
      <c r="AC855">
        <v>3</v>
      </c>
      <c r="AD855">
        <v>3</v>
      </c>
      <c r="AE855">
        <v>3</v>
      </c>
      <c r="AF855">
        <v>2</v>
      </c>
      <c r="AG855">
        <v>1</v>
      </c>
      <c r="AH855">
        <v>2</v>
      </c>
      <c r="AI855">
        <v>0</v>
      </c>
      <c r="AJ855" s="19" t="s">
        <v>1566</v>
      </c>
      <c r="AK855" s="19" t="s">
        <v>1562</v>
      </c>
      <c r="AL855">
        <v>1</v>
      </c>
      <c r="AM855" s="19" t="s">
        <v>1565</v>
      </c>
      <c r="AN855">
        <v>0.65076065816663431</v>
      </c>
      <c r="AO855">
        <v>987804</v>
      </c>
    </row>
    <row r="856" spans="1:41" x14ac:dyDescent="0.3">
      <c r="A856" s="19" t="s">
        <v>923</v>
      </c>
      <c r="B856">
        <v>38</v>
      </c>
      <c r="C856" s="19" t="s">
        <v>802</v>
      </c>
      <c r="D856" s="19" t="s">
        <v>55</v>
      </c>
      <c r="E856" s="19" t="s">
        <v>62</v>
      </c>
      <c r="F856">
        <v>653</v>
      </c>
      <c r="G856" s="19" t="s">
        <v>735</v>
      </c>
      <c r="H856">
        <v>29</v>
      </c>
      <c r="I856">
        <v>5</v>
      </c>
      <c r="J856" s="19" t="s">
        <v>50</v>
      </c>
      <c r="K856">
        <v>79</v>
      </c>
      <c r="L856">
        <v>4</v>
      </c>
      <c r="M856" s="19" t="s">
        <v>59</v>
      </c>
      <c r="N856">
        <v>3</v>
      </c>
      <c r="O856">
        <v>2</v>
      </c>
      <c r="P856" s="19" t="s">
        <v>52</v>
      </c>
      <c r="Q856">
        <v>4</v>
      </c>
      <c r="R856" s="19" t="s">
        <v>53</v>
      </c>
      <c r="S856">
        <v>66215</v>
      </c>
      <c r="T856" s="19" t="s">
        <v>64</v>
      </c>
      <c r="U856">
        <v>413.84</v>
      </c>
      <c r="V856">
        <v>1</v>
      </c>
      <c r="W856" s="19" t="s">
        <v>55</v>
      </c>
      <c r="X856">
        <v>11</v>
      </c>
      <c r="Y856">
        <v>3</v>
      </c>
      <c r="Z856">
        <v>4</v>
      </c>
      <c r="AA856">
        <v>0</v>
      </c>
      <c r="AB856">
        <v>10</v>
      </c>
      <c r="AC856">
        <v>2</v>
      </c>
      <c r="AD856">
        <v>3</v>
      </c>
      <c r="AE856">
        <v>10</v>
      </c>
      <c r="AF856">
        <v>3</v>
      </c>
      <c r="AG856">
        <v>9</v>
      </c>
      <c r="AH856">
        <v>9</v>
      </c>
      <c r="AI856">
        <v>0</v>
      </c>
      <c r="AJ856" s="19" t="s">
        <v>1569</v>
      </c>
      <c r="AK856" s="19" t="s">
        <v>1570</v>
      </c>
      <c r="AL856">
        <v>1</v>
      </c>
      <c r="AM856" s="19" t="s">
        <v>1565</v>
      </c>
      <c r="AN856">
        <v>0.28024427360106485</v>
      </c>
      <c r="AO856">
        <v>794580</v>
      </c>
    </row>
    <row r="857" spans="1:41" x14ac:dyDescent="0.3">
      <c r="A857" s="19" t="s">
        <v>924</v>
      </c>
      <c r="B857">
        <v>38</v>
      </c>
      <c r="C857" s="19" t="s">
        <v>802</v>
      </c>
      <c r="D857" s="19" t="s">
        <v>55</v>
      </c>
      <c r="E857" s="19" t="s">
        <v>66</v>
      </c>
      <c r="F857">
        <v>573</v>
      </c>
      <c r="G857" s="19" t="s">
        <v>735</v>
      </c>
      <c r="H857">
        <v>6</v>
      </c>
      <c r="I857">
        <v>3</v>
      </c>
      <c r="J857" s="19" t="s">
        <v>58</v>
      </c>
      <c r="K857">
        <v>107</v>
      </c>
      <c r="L857">
        <v>2</v>
      </c>
      <c r="M857" s="19" t="s">
        <v>59</v>
      </c>
      <c r="N857">
        <v>1</v>
      </c>
      <c r="O857">
        <v>2</v>
      </c>
      <c r="P857" s="19" t="s">
        <v>67</v>
      </c>
      <c r="Q857">
        <v>4</v>
      </c>
      <c r="R857" s="19" t="s">
        <v>53</v>
      </c>
      <c r="S857">
        <v>79587</v>
      </c>
      <c r="T857" s="19" t="s">
        <v>64</v>
      </c>
      <c r="U857">
        <v>497.42</v>
      </c>
      <c r="V857">
        <v>7</v>
      </c>
      <c r="W857" s="19" t="s">
        <v>47</v>
      </c>
      <c r="X857">
        <v>12</v>
      </c>
      <c r="Y857">
        <v>3</v>
      </c>
      <c r="Z857">
        <v>4</v>
      </c>
      <c r="AA857">
        <v>3</v>
      </c>
      <c r="AB857">
        <v>17</v>
      </c>
      <c r="AC857">
        <v>3</v>
      </c>
      <c r="AD857">
        <v>3</v>
      </c>
      <c r="AE857">
        <v>13</v>
      </c>
      <c r="AF857">
        <v>11</v>
      </c>
      <c r="AG857">
        <v>1</v>
      </c>
      <c r="AH857">
        <v>9</v>
      </c>
      <c r="AI857">
        <v>0</v>
      </c>
      <c r="AJ857" s="19" t="s">
        <v>1571</v>
      </c>
      <c r="AK857" s="19" t="s">
        <v>1562</v>
      </c>
      <c r="AL857">
        <v>1</v>
      </c>
      <c r="AM857" s="19" t="s">
        <v>1565</v>
      </c>
      <c r="AN857">
        <v>0.59601404936414015</v>
      </c>
      <c r="AO857">
        <v>955044</v>
      </c>
    </row>
    <row r="858" spans="1:41" x14ac:dyDescent="0.3">
      <c r="A858" s="19" t="s">
        <v>925</v>
      </c>
      <c r="B858">
        <v>38</v>
      </c>
      <c r="C858" s="19" t="s">
        <v>802</v>
      </c>
      <c r="D858" s="19" t="s">
        <v>55</v>
      </c>
      <c r="E858" s="19" t="s">
        <v>48</v>
      </c>
      <c r="F858">
        <v>364</v>
      </c>
      <c r="G858" s="19" t="s">
        <v>735</v>
      </c>
      <c r="H858">
        <v>3</v>
      </c>
      <c r="I858">
        <v>5</v>
      </c>
      <c r="J858" s="19" t="s">
        <v>77</v>
      </c>
      <c r="K858">
        <v>193</v>
      </c>
      <c r="L858">
        <v>4</v>
      </c>
      <c r="M858" s="19" t="s">
        <v>59</v>
      </c>
      <c r="N858">
        <v>3</v>
      </c>
      <c r="O858">
        <v>2</v>
      </c>
      <c r="P858" s="19" t="s">
        <v>67</v>
      </c>
      <c r="Q858">
        <v>3</v>
      </c>
      <c r="R858" s="19" t="s">
        <v>53</v>
      </c>
      <c r="S858">
        <v>7949</v>
      </c>
      <c r="T858" s="19" t="s">
        <v>54</v>
      </c>
      <c r="U858">
        <v>49.68</v>
      </c>
      <c r="V858">
        <v>3</v>
      </c>
      <c r="W858" s="19" t="s">
        <v>47</v>
      </c>
      <c r="X858">
        <v>20</v>
      </c>
      <c r="Y858">
        <v>4</v>
      </c>
      <c r="Z858">
        <v>2</v>
      </c>
      <c r="AA858">
        <v>0</v>
      </c>
      <c r="AB858">
        <v>19</v>
      </c>
      <c r="AC858">
        <v>2</v>
      </c>
      <c r="AD858">
        <v>3</v>
      </c>
      <c r="AE858">
        <v>3</v>
      </c>
      <c r="AF858">
        <v>2</v>
      </c>
      <c r="AG858">
        <v>2</v>
      </c>
      <c r="AH858">
        <v>2</v>
      </c>
      <c r="AI858">
        <v>0</v>
      </c>
      <c r="AJ858" s="19" t="s">
        <v>1566</v>
      </c>
      <c r="AK858" s="19" t="s">
        <v>1562</v>
      </c>
      <c r="AL858">
        <v>1</v>
      </c>
      <c r="AM858" s="19" t="s">
        <v>1565</v>
      </c>
      <c r="AN858">
        <v>-0.84059311598130915</v>
      </c>
      <c r="AO858">
        <v>95388</v>
      </c>
    </row>
    <row r="859" spans="1:41" x14ac:dyDescent="0.3">
      <c r="A859" s="19" t="s">
        <v>926</v>
      </c>
      <c r="B859">
        <v>38</v>
      </c>
      <c r="C859" s="19" t="s">
        <v>802</v>
      </c>
      <c r="D859" s="19" t="s">
        <v>55</v>
      </c>
      <c r="E859" s="19" t="s">
        <v>48</v>
      </c>
      <c r="F859">
        <v>702</v>
      </c>
      <c r="G859" s="19" t="s">
        <v>63</v>
      </c>
      <c r="H859">
        <v>1</v>
      </c>
      <c r="I859">
        <v>4</v>
      </c>
      <c r="J859" s="19" t="s">
        <v>50</v>
      </c>
      <c r="K859">
        <v>230</v>
      </c>
      <c r="L859">
        <v>1</v>
      </c>
      <c r="M859" s="19" t="s">
        <v>59</v>
      </c>
      <c r="N859">
        <v>2</v>
      </c>
      <c r="O859">
        <v>2</v>
      </c>
      <c r="P859" s="19" t="s">
        <v>145</v>
      </c>
      <c r="Q859">
        <v>4</v>
      </c>
      <c r="R859" s="19" t="s">
        <v>53</v>
      </c>
      <c r="S859">
        <v>56393</v>
      </c>
      <c r="T859" s="19" t="s">
        <v>64</v>
      </c>
      <c r="U859">
        <v>352.46</v>
      </c>
      <c r="V859">
        <v>4</v>
      </c>
      <c r="W859" s="19" t="s">
        <v>55</v>
      </c>
      <c r="X859">
        <v>22</v>
      </c>
      <c r="Y859">
        <v>4</v>
      </c>
      <c r="Z859">
        <v>3</v>
      </c>
      <c r="AA859">
        <v>0</v>
      </c>
      <c r="AB859">
        <v>12</v>
      </c>
      <c r="AC859">
        <v>2</v>
      </c>
      <c r="AD859">
        <v>4</v>
      </c>
      <c r="AE859">
        <v>8</v>
      </c>
      <c r="AF859">
        <v>3</v>
      </c>
      <c r="AG859">
        <v>0</v>
      </c>
      <c r="AH859">
        <v>7</v>
      </c>
      <c r="AI859">
        <v>0</v>
      </c>
      <c r="AJ859" s="19" t="s">
        <v>1569</v>
      </c>
      <c r="AK859" s="19" t="s">
        <v>1562</v>
      </c>
      <c r="AL859">
        <v>0</v>
      </c>
      <c r="AM859" s="19" t="s">
        <v>1563</v>
      </c>
      <c r="AN859">
        <v>0.14951761057819313</v>
      </c>
      <c r="AO859">
        <v>676716</v>
      </c>
    </row>
    <row r="860" spans="1:41" x14ac:dyDescent="0.3">
      <c r="A860" s="19" t="s">
        <v>927</v>
      </c>
      <c r="B860">
        <v>38</v>
      </c>
      <c r="C860" s="19" t="s">
        <v>802</v>
      </c>
      <c r="D860" s="19" t="s">
        <v>55</v>
      </c>
      <c r="E860" s="19" t="s">
        <v>48</v>
      </c>
      <c r="F860">
        <v>1380</v>
      </c>
      <c r="G860" s="19" t="s">
        <v>735</v>
      </c>
      <c r="H860">
        <v>9</v>
      </c>
      <c r="I860">
        <v>2</v>
      </c>
      <c r="J860" s="19" t="s">
        <v>50</v>
      </c>
      <c r="K860">
        <v>245</v>
      </c>
      <c r="L860">
        <v>3</v>
      </c>
      <c r="M860" s="19" t="s">
        <v>59</v>
      </c>
      <c r="N860">
        <v>3</v>
      </c>
      <c r="O860">
        <v>1</v>
      </c>
      <c r="P860" s="19" t="s">
        <v>52</v>
      </c>
      <c r="Q860">
        <v>4</v>
      </c>
      <c r="R860" s="19" t="s">
        <v>53</v>
      </c>
      <c r="S860">
        <v>74553</v>
      </c>
      <c r="T860" s="19" t="s">
        <v>64</v>
      </c>
      <c r="U860">
        <v>465.96</v>
      </c>
      <c r="V860">
        <v>1</v>
      </c>
      <c r="W860" s="19" t="s">
        <v>55</v>
      </c>
      <c r="X860">
        <v>12</v>
      </c>
      <c r="Y860">
        <v>3</v>
      </c>
      <c r="Z860">
        <v>3</v>
      </c>
      <c r="AA860">
        <v>0</v>
      </c>
      <c r="AB860">
        <v>2</v>
      </c>
      <c r="AC860">
        <v>3</v>
      </c>
      <c r="AD860">
        <v>3</v>
      </c>
      <c r="AE860">
        <v>2</v>
      </c>
      <c r="AF860">
        <v>2</v>
      </c>
      <c r="AG860">
        <v>2</v>
      </c>
      <c r="AH860">
        <v>1</v>
      </c>
      <c r="AI860">
        <v>0</v>
      </c>
      <c r="AJ860" s="19" t="s">
        <v>1566</v>
      </c>
      <c r="AK860" s="19" t="s">
        <v>1562</v>
      </c>
      <c r="AL860">
        <v>0</v>
      </c>
      <c r="AM860" s="19" t="s">
        <v>1563</v>
      </c>
      <c r="AN860">
        <v>0.44145663867371726</v>
      </c>
      <c r="AO860">
        <v>894636</v>
      </c>
    </row>
    <row r="861" spans="1:41" x14ac:dyDescent="0.3">
      <c r="A861" s="19" t="s">
        <v>928</v>
      </c>
      <c r="B861">
        <v>38</v>
      </c>
      <c r="C861" s="19" t="s">
        <v>802</v>
      </c>
      <c r="D861" s="19" t="s">
        <v>55</v>
      </c>
      <c r="E861" s="19" t="s">
        <v>48</v>
      </c>
      <c r="F861">
        <v>1261</v>
      </c>
      <c r="G861" s="19" t="s">
        <v>735</v>
      </c>
      <c r="H861">
        <v>2</v>
      </c>
      <c r="I861">
        <v>4</v>
      </c>
      <c r="J861" s="19" t="s">
        <v>50</v>
      </c>
      <c r="K861">
        <v>271</v>
      </c>
      <c r="L861">
        <v>4</v>
      </c>
      <c r="M861" s="19" t="s">
        <v>51</v>
      </c>
      <c r="N861">
        <v>3</v>
      </c>
      <c r="O861">
        <v>2</v>
      </c>
      <c r="P861" s="19" t="s">
        <v>120</v>
      </c>
      <c r="Q861">
        <v>3</v>
      </c>
      <c r="R861" s="19" t="s">
        <v>113</v>
      </c>
      <c r="S861">
        <v>7941</v>
      </c>
      <c r="T861" s="19" t="s">
        <v>54</v>
      </c>
      <c r="U861">
        <v>49.63</v>
      </c>
      <c r="V861">
        <v>9</v>
      </c>
      <c r="W861" s="19" t="s">
        <v>55</v>
      </c>
      <c r="X861">
        <v>14</v>
      </c>
      <c r="Y861">
        <v>3</v>
      </c>
      <c r="Z861">
        <v>2</v>
      </c>
      <c r="AA861">
        <v>0</v>
      </c>
      <c r="AB861">
        <v>14</v>
      </c>
      <c r="AC861">
        <v>3</v>
      </c>
      <c r="AD861">
        <v>3</v>
      </c>
      <c r="AE861">
        <v>1</v>
      </c>
      <c r="AF861">
        <v>0</v>
      </c>
      <c r="AG861">
        <v>0</v>
      </c>
      <c r="AH861">
        <v>0</v>
      </c>
      <c r="AI861">
        <v>0</v>
      </c>
      <c r="AJ861" s="19" t="s">
        <v>1561</v>
      </c>
      <c r="AK861" s="19" t="s">
        <v>1562</v>
      </c>
      <c r="AL861">
        <v>0</v>
      </c>
      <c r="AM861" s="19" t="s">
        <v>1563</v>
      </c>
      <c r="AN861">
        <v>-0.82072604509055735</v>
      </c>
      <c r="AO861">
        <v>95292</v>
      </c>
    </row>
    <row r="862" spans="1:41" x14ac:dyDescent="0.3">
      <c r="A862" s="19" t="s">
        <v>929</v>
      </c>
      <c r="B862">
        <v>38</v>
      </c>
      <c r="C862" s="19" t="s">
        <v>802</v>
      </c>
      <c r="D862" s="19" t="s">
        <v>55</v>
      </c>
      <c r="E862" s="19" t="s">
        <v>48</v>
      </c>
      <c r="F862">
        <v>1084</v>
      </c>
      <c r="G862" s="19" t="s">
        <v>735</v>
      </c>
      <c r="H862">
        <v>29</v>
      </c>
      <c r="I862">
        <v>3</v>
      </c>
      <c r="J862" s="19" t="s">
        <v>77</v>
      </c>
      <c r="K862">
        <v>273</v>
      </c>
      <c r="L862">
        <v>4</v>
      </c>
      <c r="M862" s="19" t="s">
        <v>51</v>
      </c>
      <c r="N862">
        <v>3</v>
      </c>
      <c r="O862">
        <v>2</v>
      </c>
      <c r="P862" s="19" t="s">
        <v>120</v>
      </c>
      <c r="Q862">
        <v>4</v>
      </c>
      <c r="R862" s="19" t="s">
        <v>113</v>
      </c>
      <c r="S862">
        <v>26934</v>
      </c>
      <c r="T862" s="19" t="s">
        <v>72</v>
      </c>
      <c r="U862">
        <v>168.34</v>
      </c>
      <c r="V862">
        <v>3</v>
      </c>
      <c r="W862" s="19" t="s">
        <v>55</v>
      </c>
      <c r="X862">
        <v>18</v>
      </c>
      <c r="Y862">
        <v>3</v>
      </c>
      <c r="Z862">
        <v>1</v>
      </c>
      <c r="AA862">
        <v>1</v>
      </c>
      <c r="AB862">
        <v>9</v>
      </c>
      <c r="AC862">
        <v>3</v>
      </c>
      <c r="AD862">
        <v>1</v>
      </c>
      <c r="AE862">
        <v>7</v>
      </c>
      <c r="AF862">
        <v>7</v>
      </c>
      <c r="AG862">
        <v>1</v>
      </c>
      <c r="AH862">
        <v>7</v>
      </c>
      <c r="AI862">
        <v>0</v>
      </c>
      <c r="AJ862" s="19" t="s">
        <v>1569</v>
      </c>
      <c r="AK862" s="19" t="s">
        <v>1562</v>
      </c>
      <c r="AL862">
        <v>1</v>
      </c>
      <c r="AM862" s="19" t="s">
        <v>1565</v>
      </c>
      <c r="AN862">
        <v>-0.39194500673329191</v>
      </c>
      <c r="AO862">
        <v>323208</v>
      </c>
    </row>
    <row r="863" spans="1:41" x14ac:dyDescent="0.3">
      <c r="A863" s="19" t="s">
        <v>930</v>
      </c>
      <c r="B863">
        <v>38</v>
      </c>
      <c r="C863" s="19" t="s">
        <v>802</v>
      </c>
      <c r="D863" s="19" t="s">
        <v>47</v>
      </c>
      <c r="E863" s="19" t="s">
        <v>48</v>
      </c>
      <c r="F863">
        <v>1180</v>
      </c>
      <c r="G863" s="19" t="s">
        <v>735</v>
      </c>
      <c r="H863">
        <v>29</v>
      </c>
      <c r="I863">
        <v>1</v>
      </c>
      <c r="J863" s="19" t="s">
        <v>58</v>
      </c>
      <c r="K863">
        <v>282</v>
      </c>
      <c r="L863">
        <v>2</v>
      </c>
      <c r="M863" s="19" t="s">
        <v>51</v>
      </c>
      <c r="N863">
        <v>3</v>
      </c>
      <c r="O863">
        <v>2</v>
      </c>
      <c r="P863" s="19" t="s">
        <v>168</v>
      </c>
      <c r="Q863">
        <v>1</v>
      </c>
      <c r="R863" s="19" t="s">
        <v>113</v>
      </c>
      <c r="S863">
        <v>24386</v>
      </c>
      <c r="T863" s="19" t="s">
        <v>54</v>
      </c>
      <c r="U863">
        <v>152.41</v>
      </c>
      <c r="V863">
        <v>7</v>
      </c>
      <c r="W863" s="19" t="s">
        <v>47</v>
      </c>
      <c r="X863">
        <v>19</v>
      </c>
      <c r="Y863">
        <v>3</v>
      </c>
      <c r="Z863">
        <v>2</v>
      </c>
      <c r="AA863">
        <v>0</v>
      </c>
      <c r="AB863">
        <v>17</v>
      </c>
      <c r="AC863">
        <v>2</v>
      </c>
      <c r="AD863">
        <v>3</v>
      </c>
      <c r="AE863">
        <v>1</v>
      </c>
      <c r="AF863">
        <v>0</v>
      </c>
      <c r="AG863">
        <v>0</v>
      </c>
      <c r="AH863">
        <v>0</v>
      </c>
      <c r="AI863">
        <v>1</v>
      </c>
      <c r="AJ863" s="19" t="s">
        <v>1561</v>
      </c>
      <c r="AK863" s="19" t="s">
        <v>1562</v>
      </c>
      <c r="AL863">
        <v>2</v>
      </c>
      <c r="AM863" s="19" t="s">
        <v>1564</v>
      </c>
      <c r="AN863">
        <v>-0.4939524018451103</v>
      </c>
      <c r="AO863">
        <v>292632</v>
      </c>
    </row>
    <row r="864" spans="1:41" x14ac:dyDescent="0.3">
      <c r="A864" s="19" t="s">
        <v>931</v>
      </c>
      <c r="B864">
        <v>38</v>
      </c>
      <c r="C864" s="19" t="s">
        <v>802</v>
      </c>
      <c r="D864" s="19" t="s">
        <v>55</v>
      </c>
      <c r="E864" s="19" t="s">
        <v>48</v>
      </c>
      <c r="F864">
        <v>119</v>
      </c>
      <c r="G864" s="19" t="s">
        <v>932</v>
      </c>
      <c r="H864">
        <v>3</v>
      </c>
      <c r="I864">
        <v>3</v>
      </c>
      <c r="J864" s="19" t="s">
        <v>50</v>
      </c>
      <c r="K864">
        <v>307</v>
      </c>
      <c r="L864">
        <v>1</v>
      </c>
      <c r="M864" s="19" t="s">
        <v>51</v>
      </c>
      <c r="N864">
        <v>3</v>
      </c>
      <c r="O864">
        <v>3</v>
      </c>
      <c r="P864" s="19" t="s">
        <v>145</v>
      </c>
      <c r="Q864">
        <v>3</v>
      </c>
      <c r="R864" s="19" t="s">
        <v>113</v>
      </c>
      <c r="S864">
        <v>62886</v>
      </c>
      <c r="T864" s="19" t="s">
        <v>64</v>
      </c>
      <c r="U864">
        <v>393.04</v>
      </c>
      <c r="V864">
        <v>0</v>
      </c>
      <c r="W864" s="19" t="s">
        <v>55</v>
      </c>
      <c r="X864">
        <v>12</v>
      </c>
      <c r="Y864">
        <v>3</v>
      </c>
      <c r="Z864">
        <v>3</v>
      </c>
      <c r="AA864">
        <v>2</v>
      </c>
      <c r="AB864">
        <v>17</v>
      </c>
      <c r="AC864">
        <v>6</v>
      </c>
      <c r="AD864">
        <v>2</v>
      </c>
      <c r="AE864">
        <v>16</v>
      </c>
      <c r="AF864">
        <v>10</v>
      </c>
      <c r="AG864">
        <v>5</v>
      </c>
      <c r="AH864">
        <v>13</v>
      </c>
      <c r="AI864">
        <v>0</v>
      </c>
      <c r="AJ864" s="19" t="s">
        <v>1571</v>
      </c>
      <c r="AK864" s="19" t="s">
        <v>1570</v>
      </c>
      <c r="AL864">
        <v>2</v>
      </c>
      <c r="AM864" s="19" t="s">
        <v>1564</v>
      </c>
      <c r="AN864">
        <v>0.28187123328817854</v>
      </c>
      <c r="AO864">
        <v>754632</v>
      </c>
    </row>
    <row r="865" spans="1:41" x14ac:dyDescent="0.3">
      <c r="A865" s="19" t="s">
        <v>933</v>
      </c>
      <c r="B865">
        <v>38</v>
      </c>
      <c r="C865" s="19" t="s">
        <v>802</v>
      </c>
      <c r="D865" s="19" t="s">
        <v>55</v>
      </c>
      <c r="E865" s="19" t="s">
        <v>66</v>
      </c>
      <c r="F865">
        <v>1327</v>
      </c>
      <c r="G865" s="19" t="s">
        <v>932</v>
      </c>
      <c r="H865">
        <v>2</v>
      </c>
      <c r="I865">
        <v>2</v>
      </c>
      <c r="J865" s="19" t="s">
        <v>50</v>
      </c>
      <c r="K865">
        <v>361</v>
      </c>
      <c r="L865">
        <v>4</v>
      </c>
      <c r="M865" s="19" t="s">
        <v>51</v>
      </c>
      <c r="N865">
        <v>2</v>
      </c>
      <c r="O865">
        <v>2</v>
      </c>
      <c r="P865" s="19" t="s">
        <v>145</v>
      </c>
      <c r="Q865">
        <v>4</v>
      </c>
      <c r="R865" s="19" t="s">
        <v>113</v>
      </c>
      <c r="S865">
        <v>76745</v>
      </c>
      <c r="T865" s="19" t="s">
        <v>64</v>
      </c>
      <c r="U865">
        <v>479.66</v>
      </c>
      <c r="V865">
        <v>3</v>
      </c>
      <c r="W865" s="19" t="s">
        <v>55</v>
      </c>
      <c r="X865">
        <v>18</v>
      </c>
      <c r="Y865">
        <v>3</v>
      </c>
      <c r="Z865">
        <v>4</v>
      </c>
      <c r="AA865">
        <v>1</v>
      </c>
      <c r="AB865">
        <v>13</v>
      </c>
      <c r="AC865">
        <v>0</v>
      </c>
      <c r="AD865">
        <v>3</v>
      </c>
      <c r="AE865">
        <v>8</v>
      </c>
      <c r="AF865">
        <v>7</v>
      </c>
      <c r="AG865">
        <v>7</v>
      </c>
      <c r="AH865">
        <v>5</v>
      </c>
      <c r="AI865">
        <v>0</v>
      </c>
      <c r="AJ865" s="19" t="s">
        <v>1569</v>
      </c>
      <c r="AK865" s="19" t="s">
        <v>1570</v>
      </c>
      <c r="AL865">
        <v>1</v>
      </c>
      <c r="AM865" s="19" t="s">
        <v>1565</v>
      </c>
      <c r="AN865">
        <v>0.56437375248387978</v>
      </c>
      <c r="AO865">
        <v>920940</v>
      </c>
    </row>
    <row r="866" spans="1:41" x14ac:dyDescent="0.3">
      <c r="A866" s="19" t="s">
        <v>934</v>
      </c>
      <c r="B866">
        <v>38</v>
      </c>
      <c r="C866" s="19" t="s">
        <v>802</v>
      </c>
      <c r="D866" s="19" t="s">
        <v>55</v>
      </c>
      <c r="E866" s="19" t="s">
        <v>48</v>
      </c>
      <c r="F866">
        <v>322</v>
      </c>
      <c r="G866" s="19" t="s">
        <v>932</v>
      </c>
      <c r="H866">
        <v>7</v>
      </c>
      <c r="I866">
        <v>2</v>
      </c>
      <c r="J866" s="19" t="s">
        <v>58</v>
      </c>
      <c r="K866">
        <v>382</v>
      </c>
      <c r="L866">
        <v>1</v>
      </c>
      <c r="M866" s="19" t="s">
        <v>59</v>
      </c>
      <c r="N866">
        <v>4</v>
      </c>
      <c r="O866">
        <v>2</v>
      </c>
      <c r="P866" s="19" t="s">
        <v>145</v>
      </c>
      <c r="Q866">
        <v>1</v>
      </c>
      <c r="R866" s="19" t="s">
        <v>113</v>
      </c>
      <c r="S866">
        <v>84251</v>
      </c>
      <c r="T866" s="19" t="s">
        <v>70</v>
      </c>
      <c r="U866">
        <v>526.57000000000005</v>
      </c>
      <c r="V866">
        <v>1</v>
      </c>
      <c r="W866" s="19" t="s">
        <v>47</v>
      </c>
      <c r="X866">
        <v>24</v>
      </c>
      <c r="Y866">
        <v>4</v>
      </c>
      <c r="Z866">
        <v>3</v>
      </c>
      <c r="AA866">
        <v>1</v>
      </c>
      <c r="AB866">
        <v>8</v>
      </c>
      <c r="AC866">
        <v>3</v>
      </c>
      <c r="AD866">
        <v>3</v>
      </c>
      <c r="AE866">
        <v>8</v>
      </c>
      <c r="AF866">
        <v>0</v>
      </c>
      <c r="AG866">
        <v>7</v>
      </c>
      <c r="AH866">
        <v>7</v>
      </c>
      <c r="AI866">
        <v>0</v>
      </c>
      <c r="AJ866" s="19" t="s">
        <v>1569</v>
      </c>
      <c r="AK866" s="19" t="s">
        <v>1570</v>
      </c>
      <c r="AL866">
        <v>3</v>
      </c>
      <c r="AM866" s="19" t="s">
        <v>1568</v>
      </c>
      <c r="AN866">
        <v>0.71737641566902544</v>
      </c>
      <c r="AO866">
        <v>1011012</v>
      </c>
    </row>
    <row r="867" spans="1:41" x14ac:dyDescent="0.3">
      <c r="A867" s="19" t="s">
        <v>935</v>
      </c>
      <c r="B867">
        <v>38</v>
      </c>
      <c r="C867" s="19" t="s">
        <v>802</v>
      </c>
      <c r="D867" s="19" t="s">
        <v>55</v>
      </c>
      <c r="E867" s="19" t="s">
        <v>48</v>
      </c>
      <c r="F867">
        <v>688</v>
      </c>
      <c r="G867" s="19" t="s">
        <v>735</v>
      </c>
      <c r="H867">
        <v>23</v>
      </c>
      <c r="I867">
        <v>4</v>
      </c>
      <c r="J867" s="19" t="s">
        <v>50</v>
      </c>
      <c r="K867">
        <v>393</v>
      </c>
      <c r="L867">
        <v>4</v>
      </c>
      <c r="M867" s="19" t="s">
        <v>51</v>
      </c>
      <c r="N867">
        <v>3</v>
      </c>
      <c r="O867">
        <v>2</v>
      </c>
      <c r="P867" s="19" t="s">
        <v>168</v>
      </c>
      <c r="Q867">
        <v>4</v>
      </c>
      <c r="R867" s="19" t="s">
        <v>113</v>
      </c>
      <c r="S867">
        <v>95456</v>
      </c>
      <c r="T867" s="19" t="s">
        <v>70</v>
      </c>
      <c r="U867">
        <v>596.6</v>
      </c>
      <c r="V867">
        <v>9</v>
      </c>
      <c r="W867" s="19" t="s">
        <v>55</v>
      </c>
      <c r="X867">
        <v>14</v>
      </c>
      <c r="Y867">
        <v>3</v>
      </c>
      <c r="Z867">
        <v>2</v>
      </c>
      <c r="AA867">
        <v>1</v>
      </c>
      <c r="AB867">
        <v>10</v>
      </c>
      <c r="AC867">
        <v>2</v>
      </c>
      <c r="AD867">
        <v>3</v>
      </c>
      <c r="AE867">
        <v>2</v>
      </c>
      <c r="AF867">
        <v>2</v>
      </c>
      <c r="AG867">
        <v>1</v>
      </c>
      <c r="AH867">
        <v>2</v>
      </c>
      <c r="AI867">
        <v>0</v>
      </c>
      <c r="AJ867" s="19" t="s">
        <v>1566</v>
      </c>
      <c r="AK867" s="19" t="s">
        <v>1562</v>
      </c>
      <c r="AL867">
        <v>0</v>
      </c>
      <c r="AM867" s="19" t="s">
        <v>1563</v>
      </c>
      <c r="AN867">
        <v>0.98086113054511403</v>
      </c>
      <c r="AO867">
        <v>1145472</v>
      </c>
    </row>
    <row r="868" spans="1:41" x14ac:dyDescent="0.3">
      <c r="A868" s="19" t="s">
        <v>936</v>
      </c>
      <c r="B868">
        <v>38</v>
      </c>
      <c r="C868" s="19" t="s">
        <v>802</v>
      </c>
      <c r="D868" s="19" t="s">
        <v>55</v>
      </c>
      <c r="E868" s="19" t="s">
        <v>48</v>
      </c>
      <c r="F868">
        <v>849</v>
      </c>
      <c r="G868" s="19" t="s">
        <v>735</v>
      </c>
      <c r="H868">
        <v>25</v>
      </c>
      <c r="I868">
        <v>2</v>
      </c>
      <c r="J868" s="19" t="s">
        <v>50</v>
      </c>
      <c r="K868">
        <v>421</v>
      </c>
      <c r="L868">
        <v>1</v>
      </c>
      <c r="M868" s="19" t="s">
        <v>59</v>
      </c>
      <c r="N868">
        <v>2</v>
      </c>
      <c r="O868">
        <v>3</v>
      </c>
      <c r="P868" s="19" t="s">
        <v>257</v>
      </c>
      <c r="Q868">
        <v>2</v>
      </c>
      <c r="R868" s="19" t="s">
        <v>113</v>
      </c>
      <c r="S868">
        <v>54413</v>
      </c>
      <c r="T868" s="19" t="s">
        <v>64</v>
      </c>
      <c r="U868">
        <v>340.08</v>
      </c>
      <c r="V868">
        <v>3</v>
      </c>
      <c r="W868" s="19" t="s">
        <v>55</v>
      </c>
      <c r="X868">
        <v>17</v>
      </c>
      <c r="Y868">
        <v>3</v>
      </c>
      <c r="Z868">
        <v>3</v>
      </c>
      <c r="AA868">
        <v>1</v>
      </c>
      <c r="AB868">
        <v>19</v>
      </c>
      <c r="AC868">
        <v>2</v>
      </c>
      <c r="AD868">
        <v>3</v>
      </c>
      <c r="AE868">
        <v>10</v>
      </c>
      <c r="AF868">
        <v>8</v>
      </c>
      <c r="AG868">
        <v>0</v>
      </c>
      <c r="AH868">
        <v>1</v>
      </c>
      <c r="AI868">
        <v>0</v>
      </c>
      <c r="AJ868" s="19" t="s">
        <v>1569</v>
      </c>
      <c r="AK868" s="19" t="s">
        <v>1562</v>
      </c>
      <c r="AL868">
        <v>1</v>
      </c>
      <c r="AM868" s="19" t="s">
        <v>1565</v>
      </c>
      <c r="AN868">
        <v>7.4016924555013741E-2</v>
      </c>
      <c r="AO868">
        <v>652956</v>
      </c>
    </row>
    <row r="869" spans="1:41" x14ac:dyDescent="0.3">
      <c r="A869" s="19" t="s">
        <v>937</v>
      </c>
      <c r="B869">
        <v>38</v>
      </c>
      <c r="C869" s="19" t="s">
        <v>802</v>
      </c>
      <c r="D869" s="19" t="s">
        <v>55</v>
      </c>
      <c r="E869" s="19" t="s">
        <v>48</v>
      </c>
      <c r="F869">
        <v>343</v>
      </c>
      <c r="G869" s="19" t="s">
        <v>735</v>
      </c>
      <c r="H869">
        <v>15</v>
      </c>
      <c r="I869">
        <v>2</v>
      </c>
      <c r="J869" s="19" t="s">
        <v>50</v>
      </c>
      <c r="K869">
        <v>461</v>
      </c>
      <c r="L869">
        <v>3</v>
      </c>
      <c r="M869" s="19" t="s">
        <v>51</v>
      </c>
      <c r="N869">
        <v>2</v>
      </c>
      <c r="O869">
        <v>3</v>
      </c>
      <c r="P869" s="19" t="s">
        <v>257</v>
      </c>
      <c r="Q869">
        <v>4</v>
      </c>
      <c r="R869" s="19" t="s">
        <v>113</v>
      </c>
      <c r="S869">
        <v>57800</v>
      </c>
      <c r="T869" s="19" t="s">
        <v>64</v>
      </c>
      <c r="U869">
        <v>361.25</v>
      </c>
      <c r="V869">
        <v>0</v>
      </c>
      <c r="W869" s="19" t="s">
        <v>47</v>
      </c>
      <c r="X869">
        <v>14</v>
      </c>
      <c r="Y869">
        <v>3</v>
      </c>
      <c r="Z869">
        <v>2</v>
      </c>
      <c r="AA869">
        <v>1</v>
      </c>
      <c r="AB869">
        <v>12</v>
      </c>
      <c r="AC869">
        <v>3</v>
      </c>
      <c r="AD869">
        <v>3</v>
      </c>
      <c r="AE869">
        <v>11</v>
      </c>
      <c r="AF869">
        <v>10</v>
      </c>
      <c r="AG869">
        <v>2</v>
      </c>
      <c r="AH869">
        <v>9</v>
      </c>
      <c r="AI869">
        <v>0</v>
      </c>
      <c r="AJ869" s="19" t="s">
        <v>1571</v>
      </c>
      <c r="AK869" s="19" t="s">
        <v>1562</v>
      </c>
      <c r="AL869">
        <v>1</v>
      </c>
      <c r="AM869" s="19" t="s">
        <v>1565</v>
      </c>
      <c r="AN869">
        <v>0.14087034788156863</v>
      </c>
      <c r="AO869">
        <v>693600</v>
      </c>
    </row>
    <row r="870" spans="1:41" x14ac:dyDescent="0.3">
      <c r="A870" s="19" t="s">
        <v>938</v>
      </c>
      <c r="B870">
        <v>38</v>
      </c>
      <c r="C870" s="19" t="s">
        <v>802</v>
      </c>
      <c r="D870" s="19" t="s">
        <v>55</v>
      </c>
      <c r="E870" s="19" t="s">
        <v>62</v>
      </c>
      <c r="F870">
        <v>1490</v>
      </c>
      <c r="G870" s="19" t="s">
        <v>735</v>
      </c>
      <c r="H870">
        <v>2</v>
      </c>
      <c r="I870">
        <v>2</v>
      </c>
      <c r="J870" s="19" t="s">
        <v>50</v>
      </c>
      <c r="K870">
        <v>556</v>
      </c>
      <c r="L870">
        <v>4</v>
      </c>
      <c r="M870" s="19" t="s">
        <v>51</v>
      </c>
      <c r="N870">
        <v>3</v>
      </c>
      <c r="O870">
        <v>1</v>
      </c>
      <c r="P870" s="19" t="s">
        <v>52</v>
      </c>
      <c r="Q870">
        <v>4</v>
      </c>
      <c r="R870" s="19" t="s">
        <v>113</v>
      </c>
      <c r="S870">
        <v>98239</v>
      </c>
      <c r="T870" s="19" t="s">
        <v>70</v>
      </c>
      <c r="U870">
        <v>613.99</v>
      </c>
      <c r="V870">
        <v>1</v>
      </c>
      <c r="W870" s="19" t="s">
        <v>47</v>
      </c>
      <c r="X870">
        <v>23</v>
      </c>
      <c r="Y870">
        <v>4</v>
      </c>
      <c r="Z870">
        <v>3</v>
      </c>
      <c r="AA870">
        <v>1</v>
      </c>
      <c r="AB870">
        <v>1</v>
      </c>
      <c r="AC870">
        <v>3</v>
      </c>
      <c r="AD870">
        <v>3</v>
      </c>
      <c r="AE870">
        <v>1</v>
      </c>
      <c r="AF870">
        <v>0</v>
      </c>
      <c r="AG870">
        <v>0</v>
      </c>
      <c r="AH870">
        <v>0</v>
      </c>
      <c r="AI870">
        <v>0</v>
      </c>
      <c r="AJ870" s="19" t="s">
        <v>1561</v>
      </c>
      <c r="AK870" s="19" t="s">
        <v>1562</v>
      </c>
      <c r="AL870">
        <v>1</v>
      </c>
      <c r="AM870" s="19" t="s">
        <v>1565</v>
      </c>
      <c r="AN870">
        <v>0.89941731019096893</v>
      </c>
      <c r="AO870">
        <v>1178868</v>
      </c>
    </row>
    <row r="871" spans="1:41" x14ac:dyDescent="0.3">
      <c r="A871" s="19" t="s">
        <v>939</v>
      </c>
      <c r="B871">
        <v>38</v>
      </c>
      <c r="C871" s="19" t="s">
        <v>802</v>
      </c>
      <c r="D871" s="19" t="s">
        <v>55</v>
      </c>
      <c r="E871" s="19" t="s">
        <v>48</v>
      </c>
      <c r="F871">
        <v>1495</v>
      </c>
      <c r="G871" s="19" t="s">
        <v>735</v>
      </c>
      <c r="H871">
        <v>10</v>
      </c>
      <c r="I871">
        <v>3</v>
      </c>
      <c r="J871" s="19" t="s">
        <v>58</v>
      </c>
      <c r="K871">
        <v>634</v>
      </c>
      <c r="L871">
        <v>3</v>
      </c>
      <c r="M871" s="19" t="s">
        <v>59</v>
      </c>
      <c r="N871">
        <v>3</v>
      </c>
      <c r="O871">
        <v>2</v>
      </c>
      <c r="P871" s="19" t="s">
        <v>168</v>
      </c>
      <c r="Q871">
        <v>3</v>
      </c>
      <c r="R871" s="19" t="s">
        <v>113</v>
      </c>
      <c r="S871">
        <v>43318</v>
      </c>
      <c r="T871" s="19" t="s">
        <v>72</v>
      </c>
      <c r="U871">
        <v>270.74</v>
      </c>
      <c r="V871">
        <v>3</v>
      </c>
      <c r="W871" s="19" t="s">
        <v>55</v>
      </c>
      <c r="X871">
        <v>19</v>
      </c>
      <c r="Y871">
        <v>3</v>
      </c>
      <c r="Z871">
        <v>3</v>
      </c>
      <c r="AA871">
        <v>1</v>
      </c>
      <c r="AB871">
        <v>18</v>
      </c>
      <c r="AC871">
        <v>4</v>
      </c>
      <c r="AD871">
        <v>3</v>
      </c>
      <c r="AE871">
        <v>1</v>
      </c>
      <c r="AF871">
        <v>0</v>
      </c>
      <c r="AG871">
        <v>0</v>
      </c>
      <c r="AH871">
        <v>0</v>
      </c>
      <c r="AI871">
        <v>0</v>
      </c>
      <c r="AJ871" s="19" t="s">
        <v>1561</v>
      </c>
      <c r="AK871" s="19" t="s">
        <v>1562</v>
      </c>
      <c r="AL871">
        <v>0</v>
      </c>
      <c r="AM871" s="19" t="s">
        <v>1563</v>
      </c>
      <c r="AN871">
        <v>-0.10108382445364097</v>
      </c>
      <c r="AO871">
        <v>519816</v>
      </c>
    </row>
    <row r="872" spans="1:41" x14ac:dyDescent="0.3">
      <c r="A872" s="19" t="s">
        <v>940</v>
      </c>
      <c r="B872">
        <v>38</v>
      </c>
      <c r="C872" s="19" t="s">
        <v>802</v>
      </c>
      <c r="D872" s="19" t="s">
        <v>55</v>
      </c>
      <c r="E872" s="19" t="s">
        <v>48</v>
      </c>
      <c r="F872">
        <v>362</v>
      </c>
      <c r="G872" s="19" t="s">
        <v>735</v>
      </c>
      <c r="H872">
        <v>1</v>
      </c>
      <c r="I872">
        <v>1</v>
      </c>
      <c r="J872" s="19" t="s">
        <v>50</v>
      </c>
      <c r="K872">
        <v>662</v>
      </c>
      <c r="L872">
        <v>3</v>
      </c>
      <c r="M872" s="19" t="s">
        <v>59</v>
      </c>
      <c r="N872">
        <v>3</v>
      </c>
      <c r="O872">
        <v>1</v>
      </c>
      <c r="P872" s="19" t="s">
        <v>67</v>
      </c>
      <c r="Q872">
        <v>1</v>
      </c>
      <c r="R872" s="19" t="s">
        <v>53</v>
      </c>
      <c r="S872">
        <v>71173</v>
      </c>
      <c r="T872" s="19" t="s">
        <v>64</v>
      </c>
      <c r="U872">
        <v>444.83</v>
      </c>
      <c r="V872">
        <v>3</v>
      </c>
      <c r="W872" s="19" t="s">
        <v>55</v>
      </c>
      <c r="X872">
        <v>17</v>
      </c>
      <c r="Y872">
        <v>3</v>
      </c>
      <c r="Z872">
        <v>4</v>
      </c>
      <c r="AA872">
        <v>0</v>
      </c>
      <c r="AB872">
        <v>8</v>
      </c>
      <c r="AC872">
        <v>3</v>
      </c>
      <c r="AD872">
        <v>2</v>
      </c>
      <c r="AE872">
        <v>0</v>
      </c>
      <c r="AF872">
        <v>0</v>
      </c>
      <c r="AG872">
        <v>0</v>
      </c>
      <c r="AH872">
        <v>0</v>
      </c>
      <c r="AI872">
        <v>0</v>
      </c>
      <c r="AJ872" s="19" t="s">
        <v>1561</v>
      </c>
      <c r="AK872" s="19" t="s">
        <v>1562</v>
      </c>
      <c r="AL872">
        <v>2</v>
      </c>
      <c r="AM872" s="19" t="s">
        <v>1564</v>
      </c>
      <c r="AN872">
        <v>0.42728219351645302</v>
      </c>
      <c r="AO872">
        <v>854076</v>
      </c>
    </row>
    <row r="873" spans="1:41" x14ac:dyDescent="0.3">
      <c r="A873" s="19" t="s">
        <v>941</v>
      </c>
      <c r="B873">
        <v>38</v>
      </c>
      <c r="C873" s="19" t="s">
        <v>802</v>
      </c>
      <c r="D873" s="19" t="s">
        <v>55</v>
      </c>
      <c r="E873" s="19" t="s">
        <v>48</v>
      </c>
      <c r="F873">
        <v>243</v>
      </c>
      <c r="G873" s="19" t="s">
        <v>932</v>
      </c>
      <c r="H873">
        <v>7</v>
      </c>
      <c r="I873">
        <v>4</v>
      </c>
      <c r="J873" s="19" t="s">
        <v>63</v>
      </c>
      <c r="K873">
        <v>709</v>
      </c>
      <c r="L873">
        <v>4</v>
      </c>
      <c r="M873" s="19" t="s">
        <v>59</v>
      </c>
      <c r="N873">
        <v>2</v>
      </c>
      <c r="O873">
        <v>2</v>
      </c>
      <c r="P873" s="19" t="s">
        <v>145</v>
      </c>
      <c r="Q873">
        <v>4</v>
      </c>
      <c r="R873" s="19" t="s">
        <v>53</v>
      </c>
      <c r="S873">
        <v>71390</v>
      </c>
      <c r="T873" s="19" t="s">
        <v>64</v>
      </c>
      <c r="U873">
        <v>446.19</v>
      </c>
      <c r="V873">
        <v>0</v>
      </c>
      <c r="W873" s="19" t="s">
        <v>55</v>
      </c>
      <c r="X873">
        <v>20</v>
      </c>
      <c r="Y873">
        <v>4</v>
      </c>
      <c r="Z873">
        <v>1</v>
      </c>
      <c r="AA873">
        <v>0</v>
      </c>
      <c r="AB873">
        <v>8</v>
      </c>
      <c r="AC873">
        <v>2</v>
      </c>
      <c r="AD873">
        <v>3</v>
      </c>
      <c r="AE873">
        <v>7</v>
      </c>
      <c r="AF873">
        <v>7</v>
      </c>
      <c r="AG873">
        <v>0</v>
      </c>
      <c r="AH873">
        <v>5</v>
      </c>
      <c r="AI873">
        <v>0</v>
      </c>
      <c r="AJ873" s="19" t="s">
        <v>1569</v>
      </c>
      <c r="AK873" s="19" t="s">
        <v>1562</v>
      </c>
      <c r="AL873">
        <v>0</v>
      </c>
      <c r="AM873" s="19" t="s">
        <v>1563</v>
      </c>
      <c r="AN873">
        <v>0.45521717623068836</v>
      </c>
      <c r="AO873">
        <v>856680</v>
      </c>
    </row>
    <row r="874" spans="1:41" x14ac:dyDescent="0.3">
      <c r="A874" s="19" t="s">
        <v>942</v>
      </c>
      <c r="B874">
        <v>38</v>
      </c>
      <c r="C874" s="19" t="s">
        <v>802</v>
      </c>
      <c r="D874" s="19" t="s">
        <v>55</v>
      </c>
      <c r="E874" s="19" t="s">
        <v>48</v>
      </c>
      <c r="F874">
        <v>827</v>
      </c>
      <c r="G874" s="19" t="s">
        <v>735</v>
      </c>
      <c r="H874">
        <v>1</v>
      </c>
      <c r="I874">
        <v>4</v>
      </c>
      <c r="J874" s="19" t="s">
        <v>50</v>
      </c>
      <c r="K874">
        <v>724</v>
      </c>
      <c r="L874">
        <v>2</v>
      </c>
      <c r="M874" s="19" t="s">
        <v>59</v>
      </c>
      <c r="N874">
        <v>4</v>
      </c>
      <c r="O874">
        <v>2</v>
      </c>
      <c r="P874" s="19" t="s">
        <v>168</v>
      </c>
      <c r="Q874">
        <v>4</v>
      </c>
      <c r="R874" s="19" t="s">
        <v>53</v>
      </c>
      <c r="S874">
        <v>53329</v>
      </c>
      <c r="T874" s="19" t="s">
        <v>64</v>
      </c>
      <c r="U874">
        <v>333.31</v>
      </c>
      <c r="V874">
        <v>0</v>
      </c>
      <c r="W874" s="19" t="s">
        <v>55</v>
      </c>
      <c r="X874">
        <v>13</v>
      </c>
      <c r="Y874">
        <v>3</v>
      </c>
      <c r="Z874">
        <v>3</v>
      </c>
      <c r="AA874">
        <v>0</v>
      </c>
      <c r="AB874">
        <v>10</v>
      </c>
      <c r="AC874">
        <v>4</v>
      </c>
      <c r="AD874">
        <v>2</v>
      </c>
      <c r="AE874">
        <v>9</v>
      </c>
      <c r="AF874">
        <v>7</v>
      </c>
      <c r="AG874">
        <v>1</v>
      </c>
      <c r="AH874">
        <v>8</v>
      </c>
      <c r="AI874">
        <v>0</v>
      </c>
      <c r="AJ874" s="19" t="s">
        <v>1569</v>
      </c>
      <c r="AK874" s="19" t="s">
        <v>1562</v>
      </c>
      <c r="AL874">
        <v>1</v>
      </c>
      <c r="AM874" s="19" t="s">
        <v>1565</v>
      </c>
      <c r="AN874">
        <v>0.10666006569351726</v>
      </c>
      <c r="AO874">
        <v>639948</v>
      </c>
    </row>
    <row r="875" spans="1:41" x14ac:dyDescent="0.3">
      <c r="A875" s="19" t="s">
        <v>943</v>
      </c>
      <c r="B875">
        <v>38</v>
      </c>
      <c r="C875" s="19" t="s">
        <v>802</v>
      </c>
      <c r="D875" s="19" t="s">
        <v>55</v>
      </c>
      <c r="E875" s="19" t="s">
        <v>48</v>
      </c>
      <c r="F875">
        <v>168</v>
      </c>
      <c r="G875" s="19" t="s">
        <v>735</v>
      </c>
      <c r="H875">
        <v>1</v>
      </c>
      <c r="I875">
        <v>3</v>
      </c>
      <c r="J875" s="19" t="s">
        <v>50</v>
      </c>
      <c r="K875">
        <v>743</v>
      </c>
      <c r="L875">
        <v>3</v>
      </c>
      <c r="M875" s="19" t="s">
        <v>59</v>
      </c>
      <c r="N875">
        <v>3</v>
      </c>
      <c r="O875">
        <v>3</v>
      </c>
      <c r="P875" s="19" t="s">
        <v>120</v>
      </c>
      <c r="Q875">
        <v>3</v>
      </c>
      <c r="R875" s="19" t="s">
        <v>53</v>
      </c>
      <c r="S875">
        <v>44088</v>
      </c>
      <c r="T875" s="19" t="s">
        <v>72</v>
      </c>
      <c r="U875">
        <v>275.55</v>
      </c>
      <c r="V875">
        <v>4</v>
      </c>
      <c r="W875" s="19" t="s">
        <v>47</v>
      </c>
      <c r="X875">
        <v>14</v>
      </c>
      <c r="Y875">
        <v>3</v>
      </c>
      <c r="Z875">
        <v>4</v>
      </c>
      <c r="AA875">
        <v>0</v>
      </c>
      <c r="AB875">
        <v>10</v>
      </c>
      <c r="AC875">
        <v>4</v>
      </c>
      <c r="AD875">
        <v>4</v>
      </c>
      <c r="AE875">
        <v>1</v>
      </c>
      <c r="AF875">
        <v>0</v>
      </c>
      <c r="AG875">
        <v>0</v>
      </c>
      <c r="AH875">
        <v>0</v>
      </c>
      <c r="AI875">
        <v>0</v>
      </c>
      <c r="AJ875" s="19" t="s">
        <v>1561</v>
      </c>
      <c r="AK875" s="19" t="s">
        <v>1562</v>
      </c>
      <c r="AL875">
        <v>1</v>
      </c>
      <c r="AM875" s="19" t="s">
        <v>1565</v>
      </c>
      <c r="AN875">
        <v>-4.680755062648507E-3</v>
      </c>
      <c r="AO875">
        <v>529056</v>
      </c>
    </row>
    <row r="876" spans="1:41" x14ac:dyDescent="0.3">
      <c r="A876" s="19" t="s">
        <v>944</v>
      </c>
      <c r="B876">
        <v>38</v>
      </c>
      <c r="C876" s="19" t="s">
        <v>802</v>
      </c>
      <c r="D876" s="19" t="s">
        <v>55</v>
      </c>
      <c r="E876" s="19" t="s">
        <v>48</v>
      </c>
      <c r="F876">
        <v>268</v>
      </c>
      <c r="G876" s="19" t="s">
        <v>735</v>
      </c>
      <c r="H876">
        <v>2</v>
      </c>
      <c r="I876">
        <v>5</v>
      </c>
      <c r="J876" s="19" t="s">
        <v>58</v>
      </c>
      <c r="K876">
        <v>773</v>
      </c>
      <c r="L876">
        <v>4</v>
      </c>
      <c r="M876" s="19" t="s">
        <v>51</v>
      </c>
      <c r="N876">
        <v>3</v>
      </c>
      <c r="O876">
        <v>1</v>
      </c>
      <c r="P876" s="19" t="s">
        <v>67</v>
      </c>
      <c r="Q876">
        <v>3</v>
      </c>
      <c r="R876" s="19" t="s">
        <v>113</v>
      </c>
      <c r="S876">
        <v>40811</v>
      </c>
      <c r="T876" s="19" t="s">
        <v>72</v>
      </c>
      <c r="U876">
        <v>255.07</v>
      </c>
      <c r="V876">
        <v>6</v>
      </c>
      <c r="W876" s="19" t="s">
        <v>47</v>
      </c>
      <c r="X876">
        <v>13</v>
      </c>
      <c r="Y876">
        <v>3</v>
      </c>
      <c r="Z876">
        <v>2</v>
      </c>
      <c r="AA876">
        <v>1</v>
      </c>
      <c r="AB876">
        <v>6</v>
      </c>
      <c r="AC876">
        <v>0</v>
      </c>
      <c r="AD876">
        <v>1</v>
      </c>
      <c r="AE876">
        <v>1</v>
      </c>
      <c r="AF876">
        <v>0</v>
      </c>
      <c r="AG876">
        <v>0</v>
      </c>
      <c r="AH876">
        <v>1</v>
      </c>
      <c r="AI876">
        <v>0</v>
      </c>
      <c r="AJ876" s="19" t="s">
        <v>1561</v>
      </c>
      <c r="AK876" s="19" t="s">
        <v>1562</v>
      </c>
      <c r="AL876">
        <v>2</v>
      </c>
      <c r="AM876" s="19" t="s">
        <v>1564</v>
      </c>
      <c r="AN876">
        <v>-0.18158833265985747</v>
      </c>
      <c r="AO876">
        <v>489732</v>
      </c>
    </row>
    <row r="877" spans="1:41" x14ac:dyDescent="0.3">
      <c r="A877" s="19" t="s">
        <v>945</v>
      </c>
      <c r="B877">
        <v>38</v>
      </c>
      <c r="C877" s="19" t="s">
        <v>802</v>
      </c>
      <c r="D877" s="19" t="s">
        <v>55</v>
      </c>
      <c r="E877" s="19" t="s">
        <v>62</v>
      </c>
      <c r="F877">
        <v>240</v>
      </c>
      <c r="G877" s="19" t="s">
        <v>735</v>
      </c>
      <c r="H877">
        <v>2</v>
      </c>
      <c r="I877">
        <v>4</v>
      </c>
      <c r="J877" s="19" t="s">
        <v>50</v>
      </c>
      <c r="K877">
        <v>803</v>
      </c>
      <c r="L877">
        <v>1</v>
      </c>
      <c r="M877" s="19" t="s">
        <v>59</v>
      </c>
      <c r="N877">
        <v>4</v>
      </c>
      <c r="O877">
        <v>2</v>
      </c>
      <c r="P877" s="19" t="s">
        <v>120</v>
      </c>
      <c r="Q877">
        <v>1</v>
      </c>
      <c r="R877" s="19" t="s">
        <v>53</v>
      </c>
      <c r="S877">
        <v>56479</v>
      </c>
      <c r="T877" s="19" t="s">
        <v>64</v>
      </c>
      <c r="U877">
        <v>352.99</v>
      </c>
      <c r="V877">
        <v>6</v>
      </c>
      <c r="W877" s="19" t="s">
        <v>47</v>
      </c>
      <c r="X877">
        <v>12</v>
      </c>
      <c r="Y877">
        <v>3</v>
      </c>
      <c r="Z877">
        <v>4</v>
      </c>
      <c r="AA877">
        <v>0</v>
      </c>
      <c r="AB877">
        <v>17</v>
      </c>
      <c r="AC877">
        <v>2</v>
      </c>
      <c r="AD877">
        <v>3</v>
      </c>
      <c r="AE877">
        <v>15</v>
      </c>
      <c r="AF877">
        <v>7</v>
      </c>
      <c r="AG877">
        <v>4</v>
      </c>
      <c r="AH877">
        <v>12</v>
      </c>
      <c r="AI877">
        <v>0</v>
      </c>
      <c r="AJ877" s="19" t="s">
        <v>1571</v>
      </c>
      <c r="AK877" s="19" t="s">
        <v>1570</v>
      </c>
      <c r="AL877">
        <v>3</v>
      </c>
      <c r="AM877" s="19" t="s">
        <v>1568</v>
      </c>
      <c r="AN877">
        <v>0.27505524484704852</v>
      </c>
      <c r="AO877">
        <v>677748</v>
      </c>
    </row>
    <row r="878" spans="1:41" x14ac:dyDescent="0.3">
      <c r="A878" s="19" t="s">
        <v>946</v>
      </c>
      <c r="B878">
        <v>38</v>
      </c>
      <c r="C878" s="19" t="s">
        <v>802</v>
      </c>
      <c r="D878" s="19" t="s">
        <v>55</v>
      </c>
      <c r="E878" s="19" t="s">
        <v>62</v>
      </c>
      <c r="F878">
        <v>471</v>
      </c>
      <c r="G878" s="19" t="s">
        <v>735</v>
      </c>
      <c r="H878">
        <v>12</v>
      </c>
      <c r="I878">
        <v>3</v>
      </c>
      <c r="J878" s="19" t="s">
        <v>50</v>
      </c>
      <c r="K878">
        <v>837</v>
      </c>
      <c r="L878">
        <v>1</v>
      </c>
      <c r="M878" s="19" t="s">
        <v>51</v>
      </c>
      <c r="N878">
        <v>2</v>
      </c>
      <c r="O878">
        <v>2</v>
      </c>
      <c r="P878" s="19" t="s">
        <v>168</v>
      </c>
      <c r="Q878">
        <v>1</v>
      </c>
      <c r="R878" s="19" t="s">
        <v>53</v>
      </c>
      <c r="S878">
        <v>86392</v>
      </c>
      <c r="T878" s="19" t="s">
        <v>70</v>
      </c>
      <c r="U878">
        <v>539.95000000000005</v>
      </c>
      <c r="V878">
        <v>2</v>
      </c>
      <c r="W878" s="19" t="s">
        <v>55</v>
      </c>
      <c r="X878">
        <v>15</v>
      </c>
      <c r="Y878">
        <v>3</v>
      </c>
      <c r="Z878">
        <v>3</v>
      </c>
      <c r="AA878">
        <v>1</v>
      </c>
      <c r="AB878">
        <v>13</v>
      </c>
      <c r="AC878">
        <v>3</v>
      </c>
      <c r="AD878">
        <v>2</v>
      </c>
      <c r="AE878">
        <v>4</v>
      </c>
      <c r="AF878">
        <v>3</v>
      </c>
      <c r="AG878">
        <v>1</v>
      </c>
      <c r="AH878">
        <v>2</v>
      </c>
      <c r="AI878">
        <v>0</v>
      </c>
      <c r="AJ878" s="19" t="s">
        <v>1567</v>
      </c>
      <c r="AK878" s="19" t="s">
        <v>1562</v>
      </c>
      <c r="AL878">
        <v>2</v>
      </c>
      <c r="AM878" s="19" t="s">
        <v>1564</v>
      </c>
      <c r="AN878">
        <v>0.79276896989244772</v>
      </c>
      <c r="AO878">
        <v>1036704</v>
      </c>
    </row>
    <row r="879" spans="1:41" x14ac:dyDescent="0.3">
      <c r="A879" s="19" t="s">
        <v>947</v>
      </c>
      <c r="B879">
        <v>38</v>
      </c>
      <c r="C879" s="19" t="s">
        <v>802</v>
      </c>
      <c r="D879" s="19" t="s">
        <v>55</v>
      </c>
      <c r="E879" s="19" t="s">
        <v>48</v>
      </c>
      <c r="F879">
        <v>395</v>
      </c>
      <c r="G879" s="19" t="s">
        <v>932</v>
      </c>
      <c r="H879">
        <v>9</v>
      </c>
      <c r="I879">
        <v>3</v>
      </c>
      <c r="J879" s="19" t="s">
        <v>63</v>
      </c>
      <c r="K879">
        <v>893</v>
      </c>
      <c r="L879">
        <v>2</v>
      </c>
      <c r="M879" s="19" t="s">
        <v>51</v>
      </c>
      <c r="N879">
        <v>2</v>
      </c>
      <c r="O879">
        <v>1</v>
      </c>
      <c r="P879" s="19" t="s">
        <v>60</v>
      </c>
      <c r="Q879">
        <v>2</v>
      </c>
      <c r="R879" s="19" t="s">
        <v>113</v>
      </c>
      <c r="S879">
        <v>88369</v>
      </c>
      <c r="T879" s="19" t="s">
        <v>70</v>
      </c>
      <c r="U879">
        <v>552.30999999999995</v>
      </c>
      <c r="V879">
        <v>0</v>
      </c>
      <c r="W879" s="19" t="s">
        <v>55</v>
      </c>
      <c r="X879">
        <v>19</v>
      </c>
      <c r="Y879">
        <v>3</v>
      </c>
      <c r="Z879">
        <v>4</v>
      </c>
      <c r="AA879">
        <v>1</v>
      </c>
      <c r="AB879">
        <v>3</v>
      </c>
      <c r="AC879">
        <v>3</v>
      </c>
      <c r="AD879">
        <v>3</v>
      </c>
      <c r="AE879">
        <v>2</v>
      </c>
      <c r="AF879">
        <v>2</v>
      </c>
      <c r="AG879">
        <v>1</v>
      </c>
      <c r="AH879">
        <v>2</v>
      </c>
      <c r="AI879">
        <v>0</v>
      </c>
      <c r="AJ879" s="19" t="s">
        <v>1566</v>
      </c>
      <c r="AK879" s="19" t="s">
        <v>1562</v>
      </c>
      <c r="AL879">
        <v>1</v>
      </c>
      <c r="AM879" s="19" t="s">
        <v>1565</v>
      </c>
      <c r="AN879">
        <v>0.79150085279154991</v>
      </c>
      <c r="AO879">
        <v>1060428</v>
      </c>
    </row>
    <row r="880" spans="1:41" x14ac:dyDescent="0.3">
      <c r="A880" s="19" t="s">
        <v>948</v>
      </c>
      <c r="B880">
        <v>38</v>
      </c>
      <c r="C880" s="19" t="s">
        <v>802</v>
      </c>
      <c r="D880" s="19" t="s">
        <v>55</v>
      </c>
      <c r="E880" s="19" t="s">
        <v>48</v>
      </c>
      <c r="F880">
        <v>1333</v>
      </c>
      <c r="G880" s="19" t="s">
        <v>735</v>
      </c>
      <c r="H880">
        <v>1</v>
      </c>
      <c r="I880">
        <v>3</v>
      </c>
      <c r="J880" s="19" t="s">
        <v>77</v>
      </c>
      <c r="K880">
        <v>950</v>
      </c>
      <c r="L880">
        <v>4</v>
      </c>
      <c r="M880" s="19" t="s">
        <v>59</v>
      </c>
      <c r="N880">
        <v>3</v>
      </c>
      <c r="O880">
        <v>3</v>
      </c>
      <c r="P880" s="19" t="s">
        <v>257</v>
      </c>
      <c r="Q880">
        <v>1</v>
      </c>
      <c r="R880" s="19" t="s">
        <v>113</v>
      </c>
      <c r="S880">
        <v>20963</v>
      </c>
      <c r="T880" s="19" t="s">
        <v>54</v>
      </c>
      <c r="U880">
        <v>131.02000000000001</v>
      </c>
      <c r="V880">
        <v>1</v>
      </c>
      <c r="W880" s="19" t="s">
        <v>55</v>
      </c>
      <c r="X880">
        <v>13</v>
      </c>
      <c r="Y880">
        <v>3</v>
      </c>
      <c r="Z880">
        <v>2</v>
      </c>
      <c r="AA880">
        <v>1</v>
      </c>
      <c r="AB880">
        <v>15</v>
      </c>
      <c r="AC880">
        <v>3</v>
      </c>
      <c r="AD880">
        <v>3</v>
      </c>
      <c r="AE880">
        <v>15</v>
      </c>
      <c r="AF880">
        <v>12</v>
      </c>
      <c r="AG880">
        <v>5</v>
      </c>
      <c r="AH880">
        <v>11</v>
      </c>
      <c r="AI880">
        <v>0</v>
      </c>
      <c r="AJ880" s="19" t="s">
        <v>1571</v>
      </c>
      <c r="AK880" s="19" t="s">
        <v>1570</v>
      </c>
      <c r="AL880">
        <v>2</v>
      </c>
      <c r="AM880" s="19" t="s">
        <v>1564</v>
      </c>
      <c r="AN880">
        <v>-0.58622724735914666</v>
      </c>
      <c r="AO880">
        <v>251556</v>
      </c>
    </row>
    <row r="881" spans="1:41" x14ac:dyDescent="0.3">
      <c r="A881" s="19" t="s">
        <v>949</v>
      </c>
      <c r="B881">
        <v>38</v>
      </c>
      <c r="C881" s="19" t="s">
        <v>802</v>
      </c>
      <c r="D881" s="19" t="s">
        <v>55</v>
      </c>
      <c r="E881" s="19" t="s">
        <v>66</v>
      </c>
      <c r="F881">
        <v>152</v>
      </c>
      <c r="G881" s="19" t="s">
        <v>932</v>
      </c>
      <c r="H881">
        <v>10</v>
      </c>
      <c r="I881">
        <v>3</v>
      </c>
      <c r="J881" s="19" t="s">
        <v>77</v>
      </c>
      <c r="K881">
        <v>983</v>
      </c>
      <c r="L881">
        <v>3</v>
      </c>
      <c r="M881" s="19" t="s">
        <v>59</v>
      </c>
      <c r="N881">
        <v>3</v>
      </c>
      <c r="O881">
        <v>2</v>
      </c>
      <c r="P881" s="19" t="s">
        <v>145</v>
      </c>
      <c r="Q881">
        <v>4</v>
      </c>
      <c r="R881" s="19" t="s">
        <v>53</v>
      </c>
      <c r="S881">
        <v>56123</v>
      </c>
      <c r="T881" s="19" t="s">
        <v>64</v>
      </c>
      <c r="U881">
        <v>350.77</v>
      </c>
      <c r="V881">
        <v>1</v>
      </c>
      <c r="W881" s="19" t="s">
        <v>47</v>
      </c>
      <c r="X881">
        <v>13</v>
      </c>
      <c r="Y881">
        <v>3</v>
      </c>
      <c r="Z881">
        <v>2</v>
      </c>
      <c r="AA881">
        <v>0</v>
      </c>
      <c r="AB881">
        <v>6</v>
      </c>
      <c r="AC881">
        <v>1</v>
      </c>
      <c r="AD881">
        <v>3</v>
      </c>
      <c r="AE881">
        <v>5</v>
      </c>
      <c r="AF881">
        <v>3</v>
      </c>
      <c r="AG881">
        <v>1</v>
      </c>
      <c r="AH881">
        <v>3</v>
      </c>
      <c r="AI881">
        <v>0</v>
      </c>
      <c r="AJ881" s="19" t="s">
        <v>1567</v>
      </c>
      <c r="AK881" s="19" t="s">
        <v>1562</v>
      </c>
      <c r="AL881">
        <v>1</v>
      </c>
      <c r="AM881" s="19" t="s">
        <v>1565</v>
      </c>
      <c r="AN881">
        <v>0.14401391765786414</v>
      </c>
      <c r="AO881">
        <v>673476</v>
      </c>
    </row>
    <row r="882" spans="1:41" x14ac:dyDescent="0.3">
      <c r="A882" s="19" t="s">
        <v>950</v>
      </c>
      <c r="B882">
        <v>38</v>
      </c>
      <c r="C882" s="19" t="s">
        <v>802</v>
      </c>
      <c r="D882" s="19" t="s">
        <v>55</v>
      </c>
      <c r="E882" s="19" t="s">
        <v>62</v>
      </c>
      <c r="F882">
        <v>1391</v>
      </c>
      <c r="G882" s="19" t="s">
        <v>735</v>
      </c>
      <c r="H882">
        <v>10</v>
      </c>
      <c r="I882">
        <v>1</v>
      </c>
      <c r="J882" s="19" t="s">
        <v>58</v>
      </c>
      <c r="K882">
        <v>1006</v>
      </c>
      <c r="L882">
        <v>3</v>
      </c>
      <c r="M882" s="19" t="s">
        <v>51</v>
      </c>
      <c r="N882">
        <v>3</v>
      </c>
      <c r="O882">
        <v>1</v>
      </c>
      <c r="P882" s="19" t="s">
        <v>67</v>
      </c>
      <c r="Q882">
        <v>3</v>
      </c>
      <c r="R882" s="19" t="s">
        <v>113</v>
      </c>
      <c r="S882">
        <v>93705</v>
      </c>
      <c r="T882" s="19" t="s">
        <v>70</v>
      </c>
      <c r="U882">
        <v>585.66</v>
      </c>
      <c r="V882">
        <v>0</v>
      </c>
      <c r="W882" s="19" t="s">
        <v>55</v>
      </c>
      <c r="X882">
        <v>17</v>
      </c>
      <c r="Y882">
        <v>3</v>
      </c>
      <c r="Z882">
        <v>2</v>
      </c>
      <c r="AA882">
        <v>1</v>
      </c>
      <c r="AB882">
        <v>3</v>
      </c>
      <c r="AC882">
        <v>0</v>
      </c>
      <c r="AD882">
        <v>2</v>
      </c>
      <c r="AE882">
        <v>2</v>
      </c>
      <c r="AF882">
        <v>1</v>
      </c>
      <c r="AG882">
        <v>0</v>
      </c>
      <c r="AH882">
        <v>2</v>
      </c>
      <c r="AI882">
        <v>0</v>
      </c>
      <c r="AJ882" s="19" t="s">
        <v>1566</v>
      </c>
      <c r="AK882" s="19" t="s">
        <v>1562</v>
      </c>
      <c r="AL882">
        <v>1</v>
      </c>
      <c r="AM882" s="19" t="s">
        <v>1565</v>
      </c>
      <c r="AN882">
        <v>0.87913222631418142</v>
      </c>
      <c r="AO882">
        <v>1124460</v>
      </c>
    </row>
    <row r="883" spans="1:41" x14ac:dyDescent="0.3">
      <c r="A883" s="19" t="s">
        <v>951</v>
      </c>
      <c r="B883">
        <v>38</v>
      </c>
      <c r="C883" s="19" t="s">
        <v>802</v>
      </c>
      <c r="D883" s="19" t="s">
        <v>55</v>
      </c>
      <c r="E883" s="19" t="s">
        <v>48</v>
      </c>
      <c r="F883">
        <v>1035</v>
      </c>
      <c r="G883" s="19" t="s">
        <v>932</v>
      </c>
      <c r="H883">
        <v>3</v>
      </c>
      <c r="I883">
        <v>4</v>
      </c>
      <c r="J883" s="19" t="s">
        <v>50</v>
      </c>
      <c r="K883">
        <v>1036</v>
      </c>
      <c r="L883">
        <v>2</v>
      </c>
      <c r="M883" s="19" t="s">
        <v>51</v>
      </c>
      <c r="N883">
        <v>3</v>
      </c>
      <c r="O883">
        <v>2</v>
      </c>
      <c r="P883" s="19" t="s">
        <v>145</v>
      </c>
      <c r="Q883">
        <v>4</v>
      </c>
      <c r="R883" s="19" t="s">
        <v>53</v>
      </c>
      <c r="S883">
        <v>74477</v>
      </c>
      <c r="T883" s="19" t="s">
        <v>64</v>
      </c>
      <c r="U883">
        <v>465.48</v>
      </c>
      <c r="V883">
        <v>8</v>
      </c>
      <c r="W883" s="19" t="s">
        <v>47</v>
      </c>
      <c r="X883">
        <v>12</v>
      </c>
      <c r="Y883">
        <v>3</v>
      </c>
      <c r="Z883">
        <v>3</v>
      </c>
      <c r="AA883">
        <v>0</v>
      </c>
      <c r="AB883">
        <v>19</v>
      </c>
      <c r="AC883">
        <v>1</v>
      </c>
      <c r="AD883">
        <v>3</v>
      </c>
      <c r="AE883">
        <v>1</v>
      </c>
      <c r="AF883">
        <v>0</v>
      </c>
      <c r="AG883">
        <v>0</v>
      </c>
      <c r="AH883">
        <v>0</v>
      </c>
      <c r="AI883">
        <v>0</v>
      </c>
      <c r="AJ883" s="19" t="s">
        <v>1561</v>
      </c>
      <c r="AK883" s="19" t="s">
        <v>1562</v>
      </c>
      <c r="AL883">
        <v>1</v>
      </c>
      <c r="AM883" s="19" t="s">
        <v>1565</v>
      </c>
      <c r="AN883">
        <v>0.51814273195311633</v>
      </c>
      <c r="AO883">
        <v>893724</v>
      </c>
    </row>
    <row r="884" spans="1:41" x14ac:dyDescent="0.3">
      <c r="A884" s="19" t="s">
        <v>952</v>
      </c>
      <c r="B884">
        <v>38</v>
      </c>
      <c r="C884" s="19" t="s">
        <v>802</v>
      </c>
      <c r="D884" s="19" t="s">
        <v>55</v>
      </c>
      <c r="E884" s="19" t="s">
        <v>62</v>
      </c>
      <c r="F884">
        <v>1186</v>
      </c>
      <c r="G884" s="19" t="s">
        <v>735</v>
      </c>
      <c r="H884">
        <v>3</v>
      </c>
      <c r="I884">
        <v>4</v>
      </c>
      <c r="J884" s="19" t="s">
        <v>82</v>
      </c>
      <c r="K884">
        <v>1060</v>
      </c>
      <c r="L884">
        <v>3</v>
      </c>
      <c r="M884" s="19" t="s">
        <v>51</v>
      </c>
      <c r="N884">
        <v>3</v>
      </c>
      <c r="O884">
        <v>1</v>
      </c>
      <c r="P884" s="19" t="s">
        <v>67</v>
      </c>
      <c r="Q884">
        <v>3</v>
      </c>
      <c r="R884" s="19" t="s">
        <v>113</v>
      </c>
      <c r="S884">
        <v>15388</v>
      </c>
      <c r="T884" s="19" t="s">
        <v>54</v>
      </c>
      <c r="U884">
        <v>96.18</v>
      </c>
      <c r="V884">
        <v>3</v>
      </c>
      <c r="W884" s="19" t="s">
        <v>55</v>
      </c>
      <c r="X884">
        <v>16</v>
      </c>
      <c r="Y884">
        <v>3</v>
      </c>
      <c r="Z884">
        <v>1</v>
      </c>
      <c r="AA884">
        <v>1</v>
      </c>
      <c r="AB884">
        <v>8</v>
      </c>
      <c r="AC884">
        <v>2</v>
      </c>
      <c r="AD884">
        <v>3</v>
      </c>
      <c r="AE884">
        <v>2</v>
      </c>
      <c r="AF884">
        <v>2</v>
      </c>
      <c r="AG884">
        <v>2</v>
      </c>
      <c r="AH884">
        <v>2</v>
      </c>
      <c r="AI884">
        <v>0</v>
      </c>
      <c r="AJ884" s="19" t="s">
        <v>1566</v>
      </c>
      <c r="AK884" s="19" t="s">
        <v>1562</v>
      </c>
      <c r="AL884">
        <v>0</v>
      </c>
      <c r="AM884" s="19" t="s">
        <v>1563</v>
      </c>
      <c r="AN884">
        <v>-0.69141362042022703</v>
      </c>
      <c r="AO884">
        <v>184656</v>
      </c>
    </row>
    <row r="885" spans="1:41" x14ac:dyDescent="0.3">
      <c r="A885" s="19" t="s">
        <v>953</v>
      </c>
      <c r="B885">
        <v>38</v>
      </c>
      <c r="C885" s="19" t="s">
        <v>802</v>
      </c>
      <c r="D885" s="19" t="s">
        <v>55</v>
      </c>
      <c r="E885" s="19" t="s">
        <v>48</v>
      </c>
      <c r="F885">
        <v>330</v>
      </c>
      <c r="G885" s="19" t="s">
        <v>735</v>
      </c>
      <c r="H885">
        <v>17</v>
      </c>
      <c r="I885">
        <v>1</v>
      </c>
      <c r="J885" s="19" t="s">
        <v>50</v>
      </c>
      <c r="K885">
        <v>1088</v>
      </c>
      <c r="L885">
        <v>3</v>
      </c>
      <c r="M885" s="19" t="s">
        <v>59</v>
      </c>
      <c r="N885">
        <v>2</v>
      </c>
      <c r="O885">
        <v>3</v>
      </c>
      <c r="P885" s="19" t="s">
        <v>168</v>
      </c>
      <c r="Q885">
        <v>3</v>
      </c>
      <c r="R885" s="19" t="s">
        <v>113</v>
      </c>
      <c r="S885">
        <v>6569</v>
      </c>
      <c r="T885" s="19" t="s">
        <v>54</v>
      </c>
      <c r="U885">
        <v>41.06</v>
      </c>
      <c r="V885">
        <v>0</v>
      </c>
      <c r="W885" s="19" t="s">
        <v>55</v>
      </c>
      <c r="X885">
        <v>18</v>
      </c>
      <c r="Y885">
        <v>3</v>
      </c>
      <c r="Z885">
        <v>1</v>
      </c>
      <c r="AA885">
        <v>1</v>
      </c>
      <c r="AB885">
        <v>20</v>
      </c>
      <c r="AC885">
        <v>4</v>
      </c>
      <c r="AD885">
        <v>2</v>
      </c>
      <c r="AE885">
        <v>19</v>
      </c>
      <c r="AF885">
        <v>9</v>
      </c>
      <c r="AG885">
        <v>1</v>
      </c>
      <c r="AH885">
        <v>9</v>
      </c>
      <c r="AI885">
        <v>0</v>
      </c>
      <c r="AJ885" s="19" t="s">
        <v>1571</v>
      </c>
      <c r="AK885" s="19" t="s">
        <v>1562</v>
      </c>
      <c r="AL885">
        <v>1</v>
      </c>
      <c r="AM885" s="19" t="s">
        <v>1565</v>
      </c>
      <c r="AN885">
        <v>-0.86368298727632775</v>
      </c>
      <c r="AO885">
        <v>78828</v>
      </c>
    </row>
    <row r="886" spans="1:41" x14ac:dyDescent="0.3">
      <c r="A886" s="19" t="s">
        <v>954</v>
      </c>
      <c r="B886">
        <v>38</v>
      </c>
      <c r="C886" s="19" t="s">
        <v>802</v>
      </c>
      <c r="D886" s="19" t="s">
        <v>55</v>
      </c>
      <c r="E886" s="19" t="s">
        <v>48</v>
      </c>
      <c r="F886">
        <v>770</v>
      </c>
      <c r="G886" s="19" t="s">
        <v>932</v>
      </c>
      <c r="H886">
        <v>10</v>
      </c>
      <c r="I886">
        <v>4</v>
      </c>
      <c r="J886" s="19" t="s">
        <v>63</v>
      </c>
      <c r="K886">
        <v>1119</v>
      </c>
      <c r="L886">
        <v>3</v>
      </c>
      <c r="M886" s="19" t="s">
        <v>51</v>
      </c>
      <c r="N886">
        <v>2</v>
      </c>
      <c r="O886">
        <v>3</v>
      </c>
      <c r="P886" s="19" t="s">
        <v>145</v>
      </c>
      <c r="Q886">
        <v>3</v>
      </c>
      <c r="R886" s="19" t="s">
        <v>113</v>
      </c>
      <c r="S886">
        <v>70836</v>
      </c>
      <c r="T886" s="19" t="s">
        <v>64</v>
      </c>
      <c r="U886">
        <v>442.72</v>
      </c>
      <c r="V886">
        <v>0</v>
      </c>
      <c r="W886" s="19" t="s">
        <v>47</v>
      </c>
      <c r="X886">
        <v>14</v>
      </c>
      <c r="Y886">
        <v>3</v>
      </c>
      <c r="Z886">
        <v>2</v>
      </c>
      <c r="AA886">
        <v>2</v>
      </c>
      <c r="AB886">
        <v>9</v>
      </c>
      <c r="AC886">
        <v>2</v>
      </c>
      <c r="AD886">
        <v>3</v>
      </c>
      <c r="AE886">
        <v>8</v>
      </c>
      <c r="AF886">
        <v>7</v>
      </c>
      <c r="AG886">
        <v>2</v>
      </c>
      <c r="AH886">
        <v>7</v>
      </c>
      <c r="AI886">
        <v>0</v>
      </c>
      <c r="AJ886" s="19" t="s">
        <v>1569</v>
      </c>
      <c r="AK886" s="19" t="s">
        <v>1562</v>
      </c>
      <c r="AL886">
        <v>1</v>
      </c>
      <c r="AM886" s="19" t="s">
        <v>1565</v>
      </c>
      <c r="AN886">
        <v>0.4439244137200874</v>
      </c>
      <c r="AO886">
        <v>850032</v>
      </c>
    </row>
    <row r="887" spans="1:41" x14ac:dyDescent="0.3">
      <c r="A887" s="19" t="s">
        <v>955</v>
      </c>
      <c r="B887">
        <v>38</v>
      </c>
      <c r="C887" s="19" t="s">
        <v>802</v>
      </c>
      <c r="D887" s="19" t="s">
        <v>55</v>
      </c>
      <c r="E887" s="19" t="s">
        <v>48</v>
      </c>
      <c r="F887">
        <v>130</v>
      </c>
      <c r="G887" s="19" t="s">
        <v>932</v>
      </c>
      <c r="H887">
        <v>2</v>
      </c>
      <c r="I887">
        <v>2</v>
      </c>
      <c r="J887" s="19" t="s">
        <v>63</v>
      </c>
      <c r="K887">
        <v>1125</v>
      </c>
      <c r="L887">
        <v>4</v>
      </c>
      <c r="M887" s="19" t="s">
        <v>51</v>
      </c>
      <c r="N887">
        <v>3</v>
      </c>
      <c r="O887">
        <v>3</v>
      </c>
      <c r="P887" s="19" t="s">
        <v>145</v>
      </c>
      <c r="Q887">
        <v>2</v>
      </c>
      <c r="R887" s="19" t="s">
        <v>53</v>
      </c>
      <c r="S887">
        <v>37586</v>
      </c>
      <c r="T887" s="19" t="s">
        <v>72</v>
      </c>
      <c r="U887">
        <v>234.91</v>
      </c>
      <c r="V887">
        <v>7</v>
      </c>
      <c r="W887" s="19" t="s">
        <v>55</v>
      </c>
      <c r="X887">
        <v>16</v>
      </c>
      <c r="Y887">
        <v>3</v>
      </c>
      <c r="Z887">
        <v>3</v>
      </c>
      <c r="AA887">
        <v>0</v>
      </c>
      <c r="AB887">
        <v>10</v>
      </c>
      <c r="AC887">
        <v>2</v>
      </c>
      <c r="AD887">
        <v>3</v>
      </c>
      <c r="AE887">
        <v>1</v>
      </c>
      <c r="AF887">
        <v>0</v>
      </c>
      <c r="AG887">
        <v>0</v>
      </c>
      <c r="AH887">
        <v>0</v>
      </c>
      <c r="AI887">
        <v>0</v>
      </c>
      <c r="AJ887" s="19" t="s">
        <v>1561</v>
      </c>
      <c r="AK887" s="19" t="s">
        <v>1562</v>
      </c>
      <c r="AL887">
        <v>1</v>
      </c>
      <c r="AM887" s="19" t="s">
        <v>1565</v>
      </c>
      <c r="AN887">
        <v>-0.23384517739449989</v>
      </c>
      <c r="AO887">
        <v>451032</v>
      </c>
    </row>
    <row r="888" spans="1:41" x14ac:dyDescent="0.3">
      <c r="A888" s="19" t="s">
        <v>956</v>
      </c>
      <c r="B888">
        <v>38</v>
      </c>
      <c r="C888" s="19" t="s">
        <v>802</v>
      </c>
      <c r="D888" s="19" t="s">
        <v>55</v>
      </c>
      <c r="E888" s="19" t="s">
        <v>48</v>
      </c>
      <c r="F888">
        <v>433</v>
      </c>
      <c r="G888" s="19" t="s">
        <v>406</v>
      </c>
      <c r="H888">
        <v>1</v>
      </c>
      <c r="I888">
        <v>3</v>
      </c>
      <c r="J888" s="19" t="s">
        <v>80</v>
      </c>
      <c r="K888">
        <v>1152</v>
      </c>
      <c r="L888">
        <v>3</v>
      </c>
      <c r="M888" s="19" t="s">
        <v>51</v>
      </c>
      <c r="N888">
        <v>4</v>
      </c>
      <c r="O888">
        <v>1</v>
      </c>
      <c r="P888" s="19" t="s">
        <v>80</v>
      </c>
      <c r="Q888">
        <v>3</v>
      </c>
      <c r="R888" s="19" t="s">
        <v>113</v>
      </c>
      <c r="S888">
        <v>13015</v>
      </c>
      <c r="T888" s="19" t="s">
        <v>54</v>
      </c>
      <c r="U888">
        <v>81.34</v>
      </c>
      <c r="V888">
        <v>1</v>
      </c>
      <c r="W888" s="19" t="s">
        <v>55</v>
      </c>
      <c r="X888">
        <v>13</v>
      </c>
      <c r="Y888">
        <v>3</v>
      </c>
      <c r="Z888">
        <v>4</v>
      </c>
      <c r="AA888">
        <v>1</v>
      </c>
      <c r="AB888">
        <v>7</v>
      </c>
      <c r="AC888">
        <v>2</v>
      </c>
      <c r="AD888">
        <v>4</v>
      </c>
      <c r="AE888">
        <v>7</v>
      </c>
      <c r="AF888">
        <v>6</v>
      </c>
      <c r="AG888">
        <v>5</v>
      </c>
      <c r="AH888">
        <v>0</v>
      </c>
      <c r="AI888">
        <v>0</v>
      </c>
      <c r="AJ888" s="19" t="s">
        <v>1569</v>
      </c>
      <c r="AK888" s="19" t="s">
        <v>1570</v>
      </c>
      <c r="AL888">
        <v>1</v>
      </c>
      <c r="AM888" s="19" t="s">
        <v>1565</v>
      </c>
      <c r="AN888">
        <v>-0.74351666925633553</v>
      </c>
      <c r="AO888">
        <v>156180</v>
      </c>
    </row>
    <row r="889" spans="1:41" x14ac:dyDescent="0.3">
      <c r="A889" s="19" t="s">
        <v>957</v>
      </c>
      <c r="B889">
        <v>38</v>
      </c>
      <c r="C889" s="19" t="s">
        <v>802</v>
      </c>
      <c r="D889" s="19" t="s">
        <v>55</v>
      </c>
      <c r="E889" s="19" t="s">
        <v>48</v>
      </c>
      <c r="F889">
        <v>1009</v>
      </c>
      <c r="G889" s="19" t="s">
        <v>932</v>
      </c>
      <c r="H889">
        <v>2</v>
      </c>
      <c r="I889">
        <v>2</v>
      </c>
      <c r="J889" s="19" t="s">
        <v>50</v>
      </c>
      <c r="K889">
        <v>1355</v>
      </c>
      <c r="L889">
        <v>2</v>
      </c>
      <c r="M889" s="19" t="s">
        <v>59</v>
      </c>
      <c r="N889">
        <v>3</v>
      </c>
      <c r="O889">
        <v>2</v>
      </c>
      <c r="P889" s="19" t="s">
        <v>145</v>
      </c>
      <c r="Q889">
        <v>1</v>
      </c>
      <c r="R889" s="19" t="s">
        <v>113</v>
      </c>
      <c r="S889">
        <v>46002</v>
      </c>
      <c r="T889" s="19" t="s">
        <v>72</v>
      </c>
      <c r="U889">
        <v>287.51</v>
      </c>
      <c r="V889">
        <v>3</v>
      </c>
      <c r="W889" s="19" t="s">
        <v>55</v>
      </c>
      <c r="X889">
        <v>15</v>
      </c>
      <c r="Y889">
        <v>3</v>
      </c>
      <c r="Z889">
        <v>4</v>
      </c>
      <c r="AA889">
        <v>1</v>
      </c>
      <c r="AB889">
        <v>11</v>
      </c>
      <c r="AC889">
        <v>3</v>
      </c>
      <c r="AD889">
        <v>3</v>
      </c>
      <c r="AE889">
        <v>7</v>
      </c>
      <c r="AF889">
        <v>7</v>
      </c>
      <c r="AG889">
        <v>1</v>
      </c>
      <c r="AH889">
        <v>7</v>
      </c>
      <c r="AI889">
        <v>0</v>
      </c>
      <c r="AJ889" s="19" t="s">
        <v>1569</v>
      </c>
      <c r="AK889" s="19" t="s">
        <v>1562</v>
      </c>
      <c r="AL889">
        <v>1</v>
      </c>
      <c r="AM889" s="19" t="s">
        <v>1565</v>
      </c>
      <c r="AN889">
        <v>-6.22930306630603E-2</v>
      </c>
      <c r="AO889">
        <v>552024</v>
      </c>
    </row>
    <row r="890" spans="1:41" x14ac:dyDescent="0.3">
      <c r="A890" s="19" t="s">
        <v>958</v>
      </c>
      <c r="B890">
        <v>38</v>
      </c>
      <c r="C890" s="19" t="s">
        <v>802</v>
      </c>
      <c r="D890" s="19" t="s">
        <v>55</v>
      </c>
      <c r="E890" s="19" t="s">
        <v>62</v>
      </c>
      <c r="F890">
        <v>693</v>
      </c>
      <c r="G890" s="19" t="s">
        <v>735</v>
      </c>
      <c r="H890">
        <v>7</v>
      </c>
      <c r="I890">
        <v>3</v>
      </c>
      <c r="J890" s="19" t="s">
        <v>50</v>
      </c>
      <c r="K890">
        <v>1382</v>
      </c>
      <c r="L890">
        <v>4</v>
      </c>
      <c r="M890" s="19" t="s">
        <v>51</v>
      </c>
      <c r="N890">
        <v>4</v>
      </c>
      <c r="O890">
        <v>1</v>
      </c>
      <c r="P890" s="19" t="s">
        <v>67</v>
      </c>
      <c r="Q890">
        <v>3</v>
      </c>
      <c r="R890" s="19" t="s">
        <v>53</v>
      </c>
      <c r="S890">
        <v>7254</v>
      </c>
      <c r="T890" s="19" t="s">
        <v>54</v>
      </c>
      <c r="U890">
        <v>45.34</v>
      </c>
      <c r="V890">
        <v>1</v>
      </c>
      <c r="W890" s="19" t="s">
        <v>55</v>
      </c>
      <c r="X890">
        <v>11</v>
      </c>
      <c r="Y890">
        <v>3</v>
      </c>
      <c r="Z890">
        <v>4</v>
      </c>
      <c r="AA890">
        <v>3</v>
      </c>
      <c r="AB890">
        <v>4</v>
      </c>
      <c r="AC890">
        <v>2</v>
      </c>
      <c r="AD890">
        <v>3</v>
      </c>
      <c r="AE890">
        <v>4</v>
      </c>
      <c r="AF890">
        <v>2</v>
      </c>
      <c r="AG890">
        <v>0</v>
      </c>
      <c r="AH890">
        <v>3</v>
      </c>
      <c r="AI890">
        <v>0</v>
      </c>
      <c r="AJ890" s="19" t="s">
        <v>1567</v>
      </c>
      <c r="AK890" s="19" t="s">
        <v>1562</v>
      </c>
      <c r="AL890">
        <v>0</v>
      </c>
      <c r="AM890" s="19" t="s">
        <v>1563</v>
      </c>
      <c r="AN890">
        <v>-0.85453043946765839</v>
      </c>
      <c r="AO890">
        <v>87048</v>
      </c>
    </row>
    <row r="891" spans="1:41" x14ac:dyDescent="0.3">
      <c r="A891" s="19" t="s">
        <v>959</v>
      </c>
      <c r="B891">
        <v>38</v>
      </c>
      <c r="C891" s="19" t="s">
        <v>802</v>
      </c>
      <c r="D891" s="19" t="s">
        <v>55</v>
      </c>
      <c r="E891" s="19" t="s">
        <v>62</v>
      </c>
      <c r="F891">
        <v>888</v>
      </c>
      <c r="G891" s="19" t="s">
        <v>80</v>
      </c>
      <c r="H891">
        <v>10</v>
      </c>
      <c r="I891">
        <v>4</v>
      </c>
      <c r="J891" s="19" t="s">
        <v>80</v>
      </c>
      <c r="K891">
        <v>1563</v>
      </c>
      <c r="L891">
        <v>3</v>
      </c>
      <c r="M891" s="19" t="s">
        <v>51</v>
      </c>
      <c r="N891">
        <v>3</v>
      </c>
      <c r="O891">
        <v>2</v>
      </c>
      <c r="P891" s="19" t="s">
        <v>80</v>
      </c>
      <c r="Q891">
        <v>3</v>
      </c>
      <c r="R891" s="19" t="s">
        <v>113</v>
      </c>
      <c r="S891">
        <v>18144</v>
      </c>
      <c r="T891" s="19" t="s">
        <v>54</v>
      </c>
      <c r="U891">
        <v>113.4</v>
      </c>
      <c r="V891">
        <v>3</v>
      </c>
      <c r="W891" s="19" t="s">
        <v>55</v>
      </c>
      <c r="X891">
        <v>11</v>
      </c>
      <c r="Y891">
        <v>3</v>
      </c>
      <c r="Z891">
        <v>3</v>
      </c>
      <c r="AA891">
        <v>0</v>
      </c>
      <c r="AB891">
        <v>10</v>
      </c>
      <c r="AC891">
        <v>2</v>
      </c>
      <c r="AD891">
        <v>3</v>
      </c>
      <c r="AE891">
        <v>6</v>
      </c>
      <c r="AF891">
        <v>3</v>
      </c>
      <c r="AG891">
        <v>1</v>
      </c>
      <c r="AH891">
        <v>2</v>
      </c>
      <c r="AI891">
        <v>0</v>
      </c>
      <c r="AJ891" s="19" t="s">
        <v>1569</v>
      </c>
      <c r="AK891" s="19" t="s">
        <v>1562</v>
      </c>
      <c r="AL891">
        <v>0</v>
      </c>
      <c r="AM891" s="19" t="s">
        <v>1563</v>
      </c>
      <c r="AN891">
        <v>-0.64244075658754907</v>
      </c>
      <c r="AO891">
        <v>217728</v>
      </c>
    </row>
    <row r="892" spans="1:41" x14ac:dyDescent="0.3">
      <c r="A892" s="19" t="s">
        <v>960</v>
      </c>
      <c r="B892">
        <v>38</v>
      </c>
      <c r="C892" s="19" t="s">
        <v>802</v>
      </c>
      <c r="D892" s="19" t="s">
        <v>47</v>
      </c>
      <c r="E892" s="19" t="s">
        <v>48</v>
      </c>
      <c r="F892">
        <v>903</v>
      </c>
      <c r="G892" s="19" t="s">
        <v>735</v>
      </c>
      <c r="H892">
        <v>2</v>
      </c>
      <c r="I892">
        <v>3</v>
      </c>
      <c r="J892" s="19" t="s">
        <v>58</v>
      </c>
      <c r="K892">
        <v>1573</v>
      </c>
      <c r="L892">
        <v>3</v>
      </c>
      <c r="M892" s="19" t="s">
        <v>51</v>
      </c>
      <c r="N892">
        <v>3</v>
      </c>
      <c r="O892">
        <v>2</v>
      </c>
      <c r="P892" s="19" t="s">
        <v>120</v>
      </c>
      <c r="Q892">
        <v>2</v>
      </c>
      <c r="R892" s="19" t="s">
        <v>113</v>
      </c>
      <c r="S892">
        <v>25214</v>
      </c>
      <c r="T892" s="19" t="s">
        <v>72</v>
      </c>
      <c r="U892">
        <v>157.59</v>
      </c>
      <c r="V892">
        <v>4</v>
      </c>
      <c r="W892" s="19" t="s">
        <v>55</v>
      </c>
      <c r="X892">
        <v>11</v>
      </c>
      <c r="Y892">
        <v>3</v>
      </c>
      <c r="Z892">
        <v>1</v>
      </c>
      <c r="AA892">
        <v>2</v>
      </c>
      <c r="AB892">
        <v>7</v>
      </c>
      <c r="AC892">
        <v>2</v>
      </c>
      <c r="AD892">
        <v>3</v>
      </c>
      <c r="AE892">
        <v>5</v>
      </c>
      <c r="AF892">
        <v>2</v>
      </c>
      <c r="AG892">
        <v>1</v>
      </c>
      <c r="AH892">
        <v>4</v>
      </c>
      <c r="AI892">
        <v>1</v>
      </c>
      <c r="AJ892" s="19" t="s">
        <v>1567</v>
      </c>
      <c r="AK892" s="19" t="s">
        <v>1562</v>
      </c>
      <c r="AL892">
        <v>1</v>
      </c>
      <c r="AM892" s="19" t="s">
        <v>1565</v>
      </c>
      <c r="AN892">
        <v>-0.43077528030642398</v>
      </c>
      <c r="AO892">
        <v>302568</v>
      </c>
    </row>
    <row r="893" spans="1:41" x14ac:dyDescent="0.3">
      <c r="A893" s="19" t="s">
        <v>961</v>
      </c>
      <c r="B893">
        <v>38</v>
      </c>
      <c r="C893" s="19" t="s">
        <v>802</v>
      </c>
      <c r="D893" s="19" t="s">
        <v>55</v>
      </c>
      <c r="E893" s="19" t="s">
        <v>48</v>
      </c>
      <c r="F893">
        <v>1245</v>
      </c>
      <c r="G893" s="19" t="s">
        <v>932</v>
      </c>
      <c r="H893">
        <v>14</v>
      </c>
      <c r="I893">
        <v>3</v>
      </c>
      <c r="J893" s="19" t="s">
        <v>50</v>
      </c>
      <c r="K893">
        <v>1582</v>
      </c>
      <c r="L893">
        <v>3</v>
      </c>
      <c r="M893" s="19" t="s">
        <v>51</v>
      </c>
      <c r="N893">
        <v>3</v>
      </c>
      <c r="O893">
        <v>2</v>
      </c>
      <c r="P893" s="19" t="s">
        <v>145</v>
      </c>
      <c r="Q893">
        <v>2</v>
      </c>
      <c r="R893" s="19" t="s">
        <v>113</v>
      </c>
      <c r="S893">
        <v>81719</v>
      </c>
      <c r="T893" s="19" t="s">
        <v>64</v>
      </c>
      <c r="U893">
        <v>510.74</v>
      </c>
      <c r="V893">
        <v>0</v>
      </c>
      <c r="W893" s="19" t="s">
        <v>55</v>
      </c>
      <c r="X893">
        <v>11</v>
      </c>
      <c r="Y893">
        <v>3</v>
      </c>
      <c r="Z893">
        <v>4</v>
      </c>
      <c r="AA893">
        <v>1</v>
      </c>
      <c r="AB893">
        <v>10</v>
      </c>
      <c r="AC893">
        <v>3</v>
      </c>
      <c r="AD893">
        <v>3</v>
      </c>
      <c r="AE893">
        <v>9</v>
      </c>
      <c r="AF893">
        <v>8</v>
      </c>
      <c r="AG893">
        <v>7</v>
      </c>
      <c r="AH893">
        <v>7</v>
      </c>
      <c r="AI893">
        <v>0</v>
      </c>
      <c r="AJ893" s="19" t="s">
        <v>1569</v>
      </c>
      <c r="AK893" s="19" t="s">
        <v>1570</v>
      </c>
      <c r="AL893">
        <v>2</v>
      </c>
      <c r="AM893" s="19" t="s">
        <v>1564</v>
      </c>
      <c r="AN893">
        <v>0.66576400650505141</v>
      </c>
      <c r="AO893">
        <v>980628</v>
      </c>
    </row>
    <row r="894" spans="1:41" x14ac:dyDescent="0.3">
      <c r="A894" s="19" t="s">
        <v>962</v>
      </c>
      <c r="B894">
        <v>38</v>
      </c>
      <c r="C894" s="19" t="s">
        <v>802</v>
      </c>
      <c r="D894" s="19" t="s">
        <v>55</v>
      </c>
      <c r="E894" s="19" t="s">
        <v>48</v>
      </c>
      <c r="F894">
        <v>437</v>
      </c>
      <c r="G894" s="19" t="s">
        <v>932</v>
      </c>
      <c r="H894">
        <v>16</v>
      </c>
      <c r="I894">
        <v>3</v>
      </c>
      <c r="J894" s="19" t="s">
        <v>50</v>
      </c>
      <c r="K894">
        <v>1583</v>
      </c>
      <c r="L894">
        <v>2</v>
      </c>
      <c r="M894" s="19" t="s">
        <v>59</v>
      </c>
      <c r="N894">
        <v>3</v>
      </c>
      <c r="O894">
        <v>2</v>
      </c>
      <c r="P894" s="19" t="s">
        <v>145</v>
      </c>
      <c r="Q894">
        <v>2</v>
      </c>
      <c r="R894" s="19" t="s">
        <v>53</v>
      </c>
      <c r="S894">
        <v>72774</v>
      </c>
      <c r="T894" s="19" t="s">
        <v>64</v>
      </c>
      <c r="U894">
        <v>454.84</v>
      </c>
      <c r="V894">
        <v>2</v>
      </c>
      <c r="W894" s="19" t="s">
        <v>55</v>
      </c>
      <c r="X894">
        <v>12</v>
      </c>
      <c r="Y894">
        <v>3</v>
      </c>
      <c r="Z894">
        <v>2</v>
      </c>
      <c r="AA894">
        <v>0</v>
      </c>
      <c r="AB894">
        <v>8</v>
      </c>
      <c r="AC894">
        <v>5</v>
      </c>
      <c r="AD894">
        <v>4</v>
      </c>
      <c r="AE894">
        <v>3</v>
      </c>
      <c r="AF894">
        <v>2</v>
      </c>
      <c r="AG894">
        <v>1</v>
      </c>
      <c r="AH894">
        <v>2</v>
      </c>
      <c r="AI894">
        <v>0</v>
      </c>
      <c r="AJ894" s="19" t="s">
        <v>1566</v>
      </c>
      <c r="AK894" s="19" t="s">
        <v>1562</v>
      </c>
      <c r="AL894">
        <v>1</v>
      </c>
      <c r="AM894" s="19" t="s">
        <v>1565</v>
      </c>
      <c r="AN894">
        <v>0.48342869845933761</v>
      </c>
      <c r="AO894">
        <v>873288</v>
      </c>
    </row>
    <row r="895" spans="1:41" x14ac:dyDescent="0.3">
      <c r="A895" s="19" t="s">
        <v>963</v>
      </c>
      <c r="B895">
        <v>38</v>
      </c>
      <c r="C895" s="19" t="s">
        <v>802</v>
      </c>
      <c r="D895" s="19" t="s">
        <v>55</v>
      </c>
      <c r="E895" s="19" t="s">
        <v>48</v>
      </c>
      <c r="F895">
        <v>397</v>
      </c>
      <c r="G895" s="19" t="s">
        <v>735</v>
      </c>
      <c r="H895">
        <v>2</v>
      </c>
      <c r="I895">
        <v>2</v>
      </c>
      <c r="J895" s="19" t="s">
        <v>58</v>
      </c>
      <c r="K895">
        <v>1638</v>
      </c>
      <c r="L895">
        <v>4</v>
      </c>
      <c r="M895" s="19" t="s">
        <v>59</v>
      </c>
      <c r="N895">
        <v>2</v>
      </c>
      <c r="O895">
        <v>3</v>
      </c>
      <c r="P895" s="19" t="s">
        <v>120</v>
      </c>
      <c r="Q895">
        <v>3</v>
      </c>
      <c r="R895" s="19" t="s">
        <v>113</v>
      </c>
      <c r="S895">
        <v>7090</v>
      </c>
      <c r="T895" s="19" t="s">
        <v>54</v>
      </c>
      <c r="U895">
        <v>44.31</v>
      </c>
      <c r="V895">
        <v>3</v>
      </c>
      <c r="W895" s="19" t="s">
        <v>47</v>
      </c>
      <c r="X895">
        <v>19</v>
      </c>
      <c r="Y895">
        <v>3</v>
      </c>
      <c r="Z895">
        <v>4</v>
      </c>
      <c r="AA895">
        <v>1</v>
      </c>
      <c r="AB895">
        <v>10</v>
      </c>
      <c r="AC895">
        <v>6</v>
      </c>
      <c r="AD895">
        <v>4</v>
      </c>
      <c r="AE895">
        <v>5</v>
      </c>
      <c r="AF895">
        <v>4</v>
      </c>
      <c r="AG895">
        <v>0</v>
      </c>
      <c r="AH895">
        <v>2</v>
      </c>
      <c r="AI895">
        <v>0</v>
      </c>
      <c r="AJ895" s="19" t="s">
        <v>1567</v>
      </c>
      <c r="AK895" s="19" t="s">
        <v>1562</v>
      </c>
      <c r="AL895">
        <v>1</v>
      </c>
      <c r="AM895" s="19" t="s">
        <v>1565</v>
      </c>
      <c r="AN895">
        <v>-0.83993800021307785</v>
      </c>
      <c r="AO895">
        <v>85080</v>
      </c>
    </row>
    <row r="896" spans="1:41" x14ac:dyDescent="0.3">
      <c r="A896" s="19" t="s">
        <v>964</v>
      </c>
      <c r="B896">
        <v>38</v>
      </c>
      <c r="C896" s="19" t="s">
        <v>802</v>
      </c>
      <c r="D896" s="19" t="s">
        <v>55</v>
      </c>
      <c r="E896" s="19" t="s">
        <v>62</v>
      </c>
      <c r="F896">
        <v>1189</v>
      </c>
      <c r="G896" s="19" t="s">
        <v>735</v>
      </c>
      <c r="H896">
        <v>1</v>
      </c>
      <c r="I896">
        <v>3</v>
      </c>
      <c r="J896" s="19" t="s">
        <v>50</v>
      </c>
      <c r="K896">
        <v>1668</v>
      </c>
      <c r="L896">
        <v>4</v>
      </c>
      <c r="M896" s="19" t="s">
        <v>51</v>
      </c>
      <c r="N896">
        <v>3</v>
      </c>
      <c r="O896">
        <v>2</v>
      </c>
      <c r="P896" s="19" t="s">
        <v>67</v>
      </c>
      <c r="Q896">
        <v>4</v>
      </c>
      <c r="R896" s="19" t="s">
        <v>113</v>
      </c>
      <c r="S896">
        <v>12637</v>
      </c>
      <c r="T896" s="19" t="s">
        <v>54</v>
      </c>
      <c r="U896">
        <v>78.98</v>
      </c>
      <c r="V896">
        <v>7</v>
      </c>
      <c r="W896" s="19" t="s">
        <v>55</v>
      </c>
      <c r="X896">
        <v>15</v>
      </c>
      <c r="Y896">
        <v>3</v>
      </c>
      <c r="Z896">
        <v>4</v>
      </c>
      <c r="AA896">
        <v>2</v>
      </c>
      <c r="AB896">
        <v>19</v>
      </c>
      <c r="AC896">
        <v>4</v>
      </c>
      <c r="AD896">
        <v>4</v>
      </c>
      <c r="AE896">
        <v>13</v>
      </c>
      <c r="AF896">
        <v>11</v>
      </c>
      <c r="AG896">
        <v>2</v>
      </c>
      <c r="AH896">
        <v>11</v>
      </c>
      <c r="AI896">
        <v>0</v>
      </c>
      <c r="AJ896" s="19" t="s">
        <v>1571</v>
      </c>
      <c r="AK896" s="19" t="s">
        <v>1562</v>
      </c>
      <c r="AL896">
        <v>0</v>
      </c>
      <c r="AM896" s="19" t="s">
        <v>1563</v>
      </c>
      <c r="AN896">
        <v>-0.74658135698274042</v>
      </c>
      <c r="AO896">
        <v>151644</v>
      </c>
    </row>
    <row r="897" spans="1:41" x14ac:dyDescent="0.3">
      <c r="A897" s="19" t="s">
        <v>965</v>
      </c>
      <c r="B897">
        <v>38</v>
      </c>
      <c r="C897" s="19" t="s">
        <v>802</v>
      </c>
      <c r="D897" s="19" t="s">
        <v>55</v>
      </c>
      <c r="E897" s="19" t="s">
        <v>62</v>
      </c>
      <c r="F897">
        <v>148</v>
      </c>
      <c r="G897" s="19" t="s">
        <v>735</v>
      </c>
      <c r="H897">
        <v>2</v>
      </c>
      <c r="I897">
        <v>3</v>
      </c>
      <c r="J897" s="19" t="s">
        <v>58</v>
      </c>
      <c r="K897">
        <v>1675</v>
      </c>
      <c r="L897">
        <v>4</v>
      </c>
      <c r="M897" s="19" t="s">
        <v>59</v>
      </c>
      <c r="N897">
        <v>2</v>
      </c>
      <c r="O897">
        <v>1</v>
      </c>
      <c r="P897" s="19" t="s">
        <v>52</v>
      </c>
      <c r="Q897">
        <v>2</v>
      </c>
      <c r="R897" s="19" t="s">
        <v>53</v>
      </c>
      <c r="S897">
        <v>23415</v>
      </c>
      <c r="T897" s="19" t="s">
        <v>54</v>
      </c>
      <c r="U897">
        <v>146.34</v>
      </c>
      <c r="V897">
        <v>1</v>
      </c>
      <c r="W897" s="19" t="s">
        <v>55</v>
      </c>
      <c r="X897">
        <v>22</v>
      </c>
      <c r="Y897">
        <v>4</v>
      </c>
      <c r="Z897">
        <v>2</v>
      </c>
      <c r="AA897">
        <v>0</v>
      </c>
      <c r="AB897">
        <v>4</v>
      </c>
      <c r="AC897">
        <v>3</v>
      </c>
      <c r="AD897">
        <v>3</v>
      </c>
      <c r="AE897">
        <v>4</v>
      </c>
      <c r="AF897">
        <v>3</v>
      </c>
      <c r="AG897">
        <v>3</v>
      </c>
      <c r="AH897">
        <v>3</v>
      </c>
      <c r="AI897">
        <v>0</v>
      </c>
      <c r="AJ897" s="19" t="s">
        <v>1567</v>
      </c>
      <c r="AK897" s="19" t="s">
        <v>1570</v>
      </c>
      <c r="AL897">
        <v>2</v>
      </c>
      <c r="AM897" s="19" t="s">
        <v>1564</v>
      </c>
      <c r="AN897">
        <v>-0.54727902036745546</v>
      </c>
      <c r="AO897">
        <v>280980</v>
      </c>
    </row>
    <row r="898" spans="1:41" x14ac:dyDescent="0.3">
      <c r="A898" s="19" t="s">
        <v>966</v>
      </c>
      <c r="B898">
        <v>38</v>
      </c>
      <c r="C898" s="19" t="s">
        <v>802</v>
      </c>
      <c r="D898" s="19" t="s">
        <v>55</v>
      </c>
      <c r="E898" s="19" t="s">
        <v>48</v>
      </c>
      <c r="F898">
        <v>1495</v>
      </c>
      <c r="G898" s="19" t="s">
        <v>735</v>
      </c>
      <c r="H898">
        <v>4</v>
      </c>
      <c r="I898">
        <v>2</v>
      </c>
      <c r="J898" s="19" t="s">
        <v>58</v>
      </c>
      <c r="K898">
        <v>1687</v>
      </c>
      <c r="L898">
        <v>4</v>
      </c>
      <c r="M898" s="19" t="s">
        <v>59</v>
      </c>
      <c r="N898">
        <v>3</v>
      </c>
      <c r="O898">
        <v>1</v>
      </c>
      <c r="P898" s="19" t="s">
        <v>52</v>
      </c>
      <c r="Q898">
        <v>3</v>
      </c>
      <c r="R898" s="19" t="s">
        <v>113</v>
      </c>
      <c r="S898">
        <v>25071</v>
      </c>
      <c r="T898" s="19" t="s">
        <v>72</v>
      </c>
      <c r="U898">
        <v>156.69</v>
      </c>
      <c r="V898">
        <v>7</v>
      </c>
      <c r="W898" s="19" t="s">
        <v>55</v>
      </c>
      <c r="X898">
        <v>19</v>
      </c>
      <c r="Y898">
        <v>3</v>
      </c>
      <c r="Z898">
        <v>4</v>
      </c>
      <c r="AA898">
        <v>1</v>
      </c>
      <c r="AB898">
        <v>7</v>
      </c>
      <c r="AC898">
        <v>5</v>
      </c>
      <c r="AD898">
        <v>2</v>
      </c>
      <c r="AE898">
        <v>0</v>
      </c>
      <c r="AF898">
        <v>0</v>
      </c>
      <c r="AG898">
        <v>0</v>
      </c>
      <c r="AH898">
        <v>0</v>
      </c>
      <c r="AI898">
        <v>0</v>
      </c>
      <c r="AJ898" s="19" t="s">
        <v>1561</v>
      </c>
      <c r="AK898" s="19" t="s">
        <v>1562</v>
      </c>
      <c r="AL898">
        <v>1</v>
      </c>
      <c r="AM898" s="19" t="s">
        <v>1565</v>
      </c>
      <c r="AN898">
        <v>-0.51526082936717821</v>
      </c>
      <c r="AO898">
        <v>300852</v>
      </c>
    </row>
    <row r="899" spans="1:41" x14ac:dyDescent="0.3">
      <c r="A899" s="19" t="s">
        <v>967</v>
      </c>
      <c r="B899">
        <v>38</v>
      </c>
      <c r="C899" s="19" t="s">
        <v>802</v>
      </c>
      <c r="D899" s="19" t="s">
        <v>55</v>
      </c>
      <c r="E899" s="19" t="s">
        <v>62</v>
      </c>
      <c r="F899">
        <v>594</v>
      </c>
      <c r="G899" s="19" t="s">
        <v>735</v>
      </c>
      <c r="H899">
        <v>2</v>
      </c>
      <c r="I899">
        <v>2</v>
      </c>
      <c r="J899" s="19" t="s">
        <v>58</v>
      </c>
      <c r="K899">
        <v>1760</v>
      </c>
      <c r="L899">
        <v>3</v>
      </c>
      <c r="M899" s="19" t="s">
        <v>59</v>
      </c>
      <c r="N899">
        <v>2</v>
      </c>
      <c r="O899">
        <v>1</v>
      </c>
      <c r="P899" s="19" t="s">
        <v>52</v>
      </c>
      <c r="Q899">
        <v>2</v>
      </c>
      <c r="R899" s="19" t="s">
        <v>113</v>
      </c>
      <c r="S899">
        <v>59243</v>
      </c>
      <c r="T899" s="19" t="s">
        <v>64</v>
      </c>
      <c r="U899">
        <v>370.27</v>
      </c>
      <c r="V899">
        <v>4</v>
      </c>
      <c r="W899" s="19" t="s">
        <v>55</v>
      </c>
      <c r="X899">
        <v>14</v>
      </c>
      <c r="Y899">
        <v>3</v>
      </c>
      <c r="Z899">
        <v>2</v>
      </c>
      <c r="AA899">
        <v>1</v>
      </c>
      <c r="AB899">
        <v>9</v>
      </c>
      <c r="AC899">
        <v>4</v>
      </c>
      <c r="AD899">
        <v>2</v>
      </c>
      <c r="AE899">
        <v>6</v>
      </c>
      <c r="AF899">
        <v>1</v>
      </c>
      <c r="AG899">
        <v>0</v>
      </c>
      <c r="AH899">
        <v>5</v>
      </c>
      <c r="AI899">
        <v>0</v>
      </c>
      <c r="AJ899" s="19" t="s">
        <v>1569</v>
      </c>
      <c r="AK899" s="19" t="s">
        <v>1562</v>
      </c>
      <c r="AL899">
        <v>2</v>
      </c>
      <c r="AM899" s="19" t="s">
        <v>1564</v>
      </c>
      <c r="AN899">
        <v>0.14544304917236103</v>
      </c>
      <c r="AO899">
        <v>710916</v>
      </c>
    </row>
    <row r="900" spans="1:41" x14ac:dyDescent="0.3">
      <c r="A900" s="19" t="s">
        <v>968</v>
      </c>
      <c r="B900">
        <v>38</v>
      </c>
      <c r="C900" s="19" t="s">
        <v>802</v>
      </c>
      <c r="D900" s="19" t="s">
        <v>55</v>
      </c>
      <c r="E900" s="19" t="s">
        <v>48</v>
      </c>
      <c r="F900">
        <v>833</v>
      </c>
      <c r="G900" s="19" t="s">
        <v>735</v>
      </c>
      <c r="H900">
        <v>18</v>
      </c>
      <c r="I900">
        <v>3</v>
      </c>
      <c r="J900" s="19" t="s">
        <v>58</v>
      </c>
      <c r="K900">
        <v>1766</v>
      </c>
      <c r="L900">
        <v>2</v>
      </c>
      <c r="M900" s="19" t="s">
        <v>51</v>
      </c>
      <c r="N900">
        <v>1</v>
      </c>
      <c r="O900">
        <v>2</v>
      </c>
      <c r="P900" s="19" t="s">
        <v>168</v>
      </c>
      <c r="Q900">
        <v>4</v>
      </c>
      <c r="R900" s="19" t="s">
        <v>113</v>
      </c>
      <c r="S900">
        <v>42240</v>
      </c>
      <c r="T900" s="19" t="s">
        <v>72</v>
      </c>
      <c r="U900">
        <v>264</v>
      </c>
      <c r="V900">
        <v>3</v>
      </c>
      <c r="W900" s="19" t="s">
        <v>47</v>
      </c>
      <c r="X900">
        <v>16</v>
      </c>
      <c r="Y900">
        <v>3</v>
      </c>
      <c r="Z900">
        <v>3</v>
      </c>
      <c r="AA900">
        <v>1</v>
      </c>
      <c r="AB900">
        <v>15</v>
      </c>
      <c r="AC900">
        <v>2</v>
      </c>
      <c r="AD900">
        <v>3</v>
      </c>
      <c r="AE900">
        <v>1</v>
      </c>
      <c r="AF900">
        <v>0</v>
      </c>
      <c r="AG900">
        <v>1</v>
      </c>
      <c r="AH900">
        <v>0</v>
      </c>
      <c r="AI900">
        <v>0</v>
      </c>
      <c r="AJ900" s="19" t="s">
        <v>1561</v>
      </c>
      <c r="AK900" s="19" t="s">
        <v>1562</v>
      </c>
      <c r="AL900">
        <v>1</v>
      </c>
      <c r="AM900" s="19" t="s">
        <v>1565</v>
      </c>
      <c r="AN900">
        <v>-0.12345400860893381</v>
      </c>
      <c r="AO900">
        <v>506880</v>
      </c>
    </row>
    <row r="901" spans="1:41" x14ac:dyDescent="0.3">
      <c r="A901" s="19" t="s">
        <v>969</v>
      </c>
      <c r="B901">
        <v>38</v>
      </c>
      <c r="C901" s="19" t="s">
        <v>802</v>
      </c>
      <c r="D901" s="19" t="s">
        <v>55</v>
      </c>
      <c r="E901" s="19" t="s">
        <v>48</v>
      </c>
      <c r="F901">
        <v>1153</v>
      </c>
      <c r="G901" s="19" t="s">
        <v>735</v>
      </c>
      <c r="H901">
        <v>6</v>
      </c>
      <c r="I901">
        <v>2</v>
      </c>
      <c r="J901" s="19" t="s">
        <v>82</v>
      </c>
      <c r="K901">
        <v>1782</v>
      </c>
      <c r="L901">
        <v>4</v>
      </c>
      <c r="M901" s="19" t="s">
        <v>59</v>
      </c>
      <c r="N901">
        <v>2</v>
      </c>
      <c r="O901">
        <v>1</v>
      </c>
      <c r="P901" s="19" t="s">
        <v>52</v>
      </c>
      <c r="Q901">
        <v>3</v>
      </c>
      <c r="R901" s="19" t="s">
        <v>113</v>
      </c>
      <c r="S901">
        <v>84807</v>
      </c>
      <c r="T901" s="19" t="s">
        <v>70</v>
      </c>
      <c r="U901">
        <v>530.04</v>
      </c>
      <c r="V901">
        <v>1</v>
      </c>
      <c r="W901" s="19" t="s">
        <v>55</v>
      </c>
      <c r="X901">
        <v>11</v>
      </c>
      <c r="Y901">
        <v>3</v>
      </c>
      <c r="Z901">
        <v>2</v>
      </c>
      <c r="AA901">
        <v>1</v>
      </c>
      <c r="AB901">
        <v>5</v>
      </c>
      <c r="AC901">
        <v>3</v>
      </c>
      <c r="AD901">
        <v>3</v>
      </c>
      <c r="AE901">
        <v>5</v>
      </c>
      <c r="AF901">
        <v>4</v>
      </c>
      <c r="AG901">
        <v>0</v>
      </c>
      <c r="AH901">
        <v>4</v>
      </c>
      <c r="AI901">
        <v>0</v>
      </c>
      <c r="AJ901" s="19" t="s">
        <v>1567</v>
      </c>
      <c r="AK901" s="19" t="s">
        <v>1562</v>
      </c>
      <c r="AL901">
        <v>0</v>
      </c>
      <c r="AM901" s="19" t="s">
        <v>1563</v>
      </c>
      <c r="AN901">
        <v>0.63971420541094171</v>
      </c>
      <c r="AO901">
        <v>1017684</v>
      </c>
    </row>
    <row r="902" spans="1:41" x14ac:dyDescent="0.3">
      <c r="A902" s="19" t="s">
        <v>970</v>
      </c>
      <c r="B902">
        <v>38</v>
      </c>
      <c r="C902" s="19" t="s">
        <v>802</v>
      </c>
      <c r="D902" s="19" t="s">
        <v>55</v>
      </c>
      <c r="E902" s="19" t="s">
        <v>66</v>
      </c>
      <c r="F902">
        <v>1336</v>
      </c>
      <c r="G902" s="19" t="s">
        <v>80</v>
      </c>
      <c r="H902">
        <v>2</v>
      </c>
      <c r="I902">
        <v>3</v>
      </c>
      <c r="J902" s="19" t="s">
        <v>80</v>
      </c>
      <c r="K902">
        <v>1805</v>
      </c>
      <c r="L902">
        <v>1</v>
      </c>
      <c r="M902" s="19" t="s">
        <v>51</v>
      </c>
      <c r="N902">
        <v>3</v>
      </c>
      <c r="O902">
        <v>1</v>
      </c>
      <c r="P902" s="19" t="s">
        <v>80</v>
      </c>
      <c r="Q902">
        <v>2</v>
      </c>
      <c r="R902" s="19" t="s">
        <v>53</v>
      </c>
      <c r="S902">
        <v>34434</v>
      </c>
      <c r="T902" s="19" t="s">
        <v>72</v>
      </c>
      <c r="U902">
        <v>215.21</v>
      </c>
      <c r="V902">
        <v>5</v>
      </c>
      <c r="W902" s="19" t="s">
        <v>55</v>
      </c>
      <c r="X902">
        <v>13</v>
      </c>
      <c r="Y902">
        <v>3</v>
      </c>
      <c r="Z902">
        <v>4</v>
      </c>
      <c r="AA902">
        <v>3</v>
      </c>
      <c r="AB902">
        <v>13</v>
      </c>
      <c r="AC902">
        <v>3</v>
      </c>
      <c r="AD902">
        <v>3</v>
      </c>
      <c r="AE902">
        <v>11</v>
      </c>
      <c r="AF902">
        <v>10</v>
      </c>
      <c r="AG902">
        <v>3</v>
      </c>
      <c r="AH902">
        <v>8</v>
      </c>
      <c r="AI902">
        <v>0</v>
      </c>
      <c r="AJ902" s="19" t="s">
        <v>1571</v>
      </c>
      <c r="AK902" s="19" t="s">
        <v>1570</v>
      </c>
      <c r="AL902">
        <v>2</v>
      </c>
      <c r="AM902" s="19" t="s">
        <v>1564</v>
      </c>
      <c r="AN902">
        <v>-0.32141782475394987</v>
      </c>
      <c r="AO902">
        <v>413208</v>
      </c>
    </row>
    <row r="903" spans="1:41" x14ac:dyDescent="0.3">
      <c r="A903" s="19" t="s">
        <v>971</v>
      </c>
      <c r="B903">
        <v>38</v>
      </c>
      <c r="C903" s="19" t="s">
        <v>802</v>
      </c>
      <c r="D903" s="19" t="s">
        <v>55</v>
      </c>
      <c r="E903" s="19" t="s">
        <v>48</v>
      </c>
      <c r="F903">
        <v>723</v>
      </c>
      <c r="G903" s="19" t="s">
        <v>932</v>
      </c>
      <c r="H903">
        <v>2</v>
      </c>
      <c r="I903">
        <v>4</v>
      </c>
      <c r="J903" s="19" t="s">
        <v>63</v>
      </c>
      <c r="K903">
        <v>1835</v>
      </c>
      <c r="L903">
        <v>2</v>
      </c>
      <c r="M903" s="19" t="s">
        <v>59</v>
      </c>
      <c r="N903">
        <v>1</v>
      </c>
      <c r="O903">
        <v>2</v>
      </c>
      <c r="P903" s="19" t="s">
        <v>60</v>
      </c>
      <c r="Q903">
        <v>4</v>
      </c>
      <c r="R903" s="19" t="s">
        <v>113</v>
      </c>
      <c r="S903">
        <v>70724</v>
      </c>
      <c r="T903" s="19" t="s">
        <v>64</v>
      </c>
      <c r="U903">
        <v>442.02</v>
      </c>
      <c r="V903">
        <v>2</v>
      </c>
      <c r="W903" s="19" t="s">
        <v>47</v>
      </c>
      <c r="X903">
        <v>20</v>
      </c>
      <c r="Y903">
        <v>4</v>
      </c>
      <c r="Z903">
        <v>1</v>
      </c>
      <c r="AA903">
        <v>2</v>
      </c>
      <c r="AB903">
        <v>20</v>
      </c>
      <c r="AC903">
        <v>4</v>
      </c>
      <c r="AD903">
        <v>2</v>
      </c>
      <c r="AE903">
        <v>4</v>
      </c>
      <c r="AF903">
        <v>2</v>
      </c>
      <c r="AG903">
        <v>0</v>
      </c>
      <c r="AH903">
        <v>3</v>
      </c>
      <c r="AI903">
        <v>0</v>
      </c>
      <c r="AJ903" s="19" t="s">
        <v>1567</v>
      </c>
      <c r="AK903" s="19" t="s">
        <v>1562</v>
      </c>
      <c r="AL903">
        <v>2</v>
      </c>
      <c r="AM903" s="19" t="s">
        <v>1564</v>
      </c>
      <c r="AN903">
        <v>0.4337845433673525</v>
      </c>
      <c r="AO903">
        <v>848688</v>
      </c>
    </row>
    <row r="904" spans="1:41" x14ac:dyDescent="0.3">
      <c r="A904" s="19" t="s">
        <v>972</v>
      </c>
      <c r="B904">
        <v>38</v>
      </c>
      <c r="C904" s="19" t="s">
        <v>802</v>
      </c>
      <c r="D904" s="19" t="s">
        <v>55</v>
      </c>
      <c r="E904" s="19" t="s">
        <v>62</v>
      </c>
      <c r="F904">
        <v>1394</v>
      </c>
      <c r="G904" s="19" t="s">
        <v>735</v>
      </c>
      <c r="H904">
        <v>8</v>
      </c>
      <c r="I904">
        <v>3</v>
      </c>
      <c r="J904" s="19" t="s">
        <v>58</v>
      </c>
      <c r="K904">
        <v>1937</v>
      </c>
      <c r="L904">
        <v>4</v>
      </c>
      <c r="M904" s="19" t="s">
        <v>59</v>
      </c>
      <c r="N904">
        <v>2</v>
      </c>
      <c r="O904">
        <v>2</v>
      </c>
      <c r="P904" s="19" t="s">
        <v>67</v>
      </c>
      <c r="Q904">
        <v>2</v>
      </c>
      <c r="R904" s="19" t="s">
        <v>53</v>
      </c>
      <c r="S904">
        <v>76697</v>
      </c>
      <c r="T904" s="19" t="s">
        <v>64</v>
      </c>
      <c r="U904">
        <v>479.36</v>
      </c>
      <c r="V904">
        <v>1</v>
      </c>
      <c r="W904" s="19" t="s">
        <v>47</v>
      </c>
      <c r="X904">
        <v>16</v>
      </c>
      <c r="Y904">
        <v>3</v>
      </c>
      <c r="Z904">
        <v>3</v>
      </c>
      <c r="AA904">
        <v>1</v>
      </c>
      <c r="AB904">
        <v>20</v>
      </c>
      <c r="AC904">
        <v>3</v>
      </c>
      <c r="AD904">
        <v>3</v>
      </c>
      <c r="AE904">
        <v>20</v>
      </c>
      <c r="AF904">
        <v>11</v>
      </c>
      <c r="AG904">
        <v>0</v>
      </c>
      <c r="AH904">
        <v>7</v>
      </c>
      <c r="AI904">
        <v>0</v>
      </c>
      <c r="AJ904" s="19" t="s">
        <v>1571</v>
      </c>
      <c r="AK904" s="19" t="s">
        <v>1562</v>
      </c>
      <c r="AL904">
        <v>2</v>
      </c>
      <c r="AM904" s="19" t="s">
        <v>1564</v>
      </c>
      <c r="AN904">
        <v>0.538058848104357</v>
      </c>
      <c r="AO904">
        <v>920364</v>
      </c>
    </row>
    <row r="905" spans="1:41" x14ac:dyDescent="0.3">
      <c r="A905" s="19" t="s">
        <v>973</v>
      </c>
      <c r="B905">
        <v>38</v>
      </c>
      <c r="C905" s="19" t="s">
        <v>802</v>
      </c>
      <c r="D905" s="19" t="s">
        <v>55</v>
      </c>
      <c r="E905" s="19" t="s">
        <v>48</v>
      </c>
      <c r="F905">
        <v>1206</v>
      </c>
      <c r="G905" s="19" t="s">
        <v>735</v>
      </c>
      <c r="H905">
        <v>9</v>
      </c>
      <c r="I905">
        <v>2</v>
      </c>
      <c r="J905" s="19" t="s">
        <v>50</v>
      </c>
      <c r="K905">
        <v>1940</v>
      </c>
      <c r="L905">
        <v>2</v>
      </c>
      <c r="M905" s="19" t="s">
        <v>51</v>
      </c>
      <c r="N905">
        <v>3</v>
      </c>
      <c r="O905">
        <v>1</v>
      </c>
      <c r="P905" s="19" t="s">
        <v>67</v>
      </c>
      <c r="Q905">
        <v>4</v>
      </c>
      <c r="R905" s="19" t="s">
        <v>113</v>
      </c>
      <c r="S905">
        <v>29732</v>
      </c>
      <c r="T905" s="19" t="s">
        <v>72</v>
      </c>
      <c r="U905">
        <v>185.82</v>
      </c>
      <c r="V905">
        <v>2</v>
      </c>
      <c r="W905" s="19" t="s">
        <v>55</v>
      </c>
      <c r="X905">
        <v>19</v>
      </c>
      <c r="Y905">
        <v>3</v>
      </c>
      <c r="Z905">
        <v>4</v>
      </c>
      <c r="AA905">
        <v>2</v>
      </c>
      <c r="AB905">
        <v>10</v>
      </c>
      <c r="AC905">
        <v>0</v>
      </c>
      <c r="AD905">
        <v>4</v>
      </c>
      <c r="AE905">
        <v>5</v>
      </c>
      <c r="AF905">
        <v>2</v>
      </c>
      <c r="AG905">
        <v>0</v>
      </c>
      <c r="AH905">
        <v>3</v>
      </c>
      <c r="AI905">
        <v>0</v>
      </c>
      <c r="AJ905" s="19" t="s">
        <v>1567</v>
      </c>
      <c r="AK905" s="19" t="s">
        <v>1562</v>
      </c>
      <c r="AL905">
        <v>0</v>
      </c>
      <c r="AM905" s="19" t="s">
        <v>1563</v>
      </c>
      <c r="AN905">
        <v>-0.40376330662426507</v>
      </c>
      <c r="AO905">
        <v>356784</v>
      </c>
    </row>
    <row r="906" spans="1:41" x14ac:dyDescent="0.3">
      <c r="A906" s="19" t="s">
        <v>974</v>
      </c>
      <c r="B906">
        <v>38</v>
      </c>
      <c r="C906" s="19" t="s">
        <v>802</v>
      </c>
      <c r="D906" s="19" t="s">
        <v>55</v>
      </c>
      <c r="E906" s="19" t="s">
        <v>48</v>
      </c>
      <c r="F906">
        <v>1404</v>
      </c>
      <c r="G906" s="19" t="s">
        <v>932</v>
      </c>
      <c r="H906">
        <v>1</v>
      </c>
      <c r="I906">
        <v>3</v>
      </c>
      <c r="J906" s="19" t="s">
        <v>50</v>
      </c>
      <c r="K906">
        <v>1961</v>
      </c>
      <c r="L906">
        <v>1</v>
      </c>
      <c r="M906" s="19" t="s">
        <v>51</v>
      </c>
      <c r="N906">
        <v>2</v>
      </c>
      <c r="O906">
        <v>1</v>
      </c>
      <c r="P906" s="19" t="s">
        <v>60</v>
      </c>
      <c r="Q906">
        <v>1</v>
      </c>
      <c r="R906" s="19" t="s">
        <v>53</v>
      </c>
      <c r="S906">
        <v>12314</v>
      </c>
      <c r="T906" s="19" t="s">
        <v>54</v>
      </c>
      <c r="U906">
        <v>76.959999999999994</v>
      </c>
      <c r="V906">
        <v>4</v>
      </c>
      <c r="W906" s="19" t="s">
        <v>55</v>
      </c>
      <c r="X906">
        <v>14</v>
      </c>
      <c r="Y906">
        <v>3</v>
      </c>
      <c r="Z906">
        <v>1</v>
      </c>
      <c r="AA906">
        <v>0</v>
      </c>
      <c r="AB906">
        <v>20</v>
      </c>
      <c r="AC906">
        <v>3</v>
      </c>
      <c r="AD906">
        <v>2</v>
      </c>
      <c r="AE906">
        <v>1</v>
      </c>
      <c r="AF906">
        <v>0</v>
      </c>
      <c r="AG906">
        <v>0</v>
      </c>
      <c r="AH906">
        <v>0</v>
      </c>
      <c r="AI906">
        <v>0</v>
      </c>
      <c r="AJ906" s="19" t="s">
        <v>1561</v>
      </c>
      <c r="AK906" s="19" t="s">
        <v>1562</v>
      </c>
      <c r="AL906">
        <v>2</v>
      </c>
      <c r="AM906" s="19" t="s">
        <v>1564</v>
      </c>
      <c r="AN906">
        <v>-0.75035881925477099</v>
      </c>
      <c r="AO906">
        <v>147768</v>
      </c>
    </row>
    <row r="907" spans="1:41" x14ac:dyDescent="0.3">
      <c r="A907" s="19" t="s">
        <v>975</v>
      </c>
      <c r="B907">
        <v>38</v>
      </c>
      <c r="C907" s="19" t="s">
        <v>802</v>
      </c>
      <c r="D907" s="19" t="s">
        <v>55</v>
      </c>
      <c r="E907" s="19" t="s">
        <v>62</v>
      </c>
      <c r="F907">
        <v>1444</v>
      </c>
      <c r="G907" s="19" t="s">
        <v>80</v>
      </c>
      <c r="H907">
        <v>1</v>
      </c>
      <c r="I907">
        <v>4</v>
      </c>
      <c r="J907" s="19" t="s">
        <v>82</v>
      </c>
      <c r="K907">
        <v>1972</v>
      </c>
      <c r="L907">
        <v>4</v>
      </c>
      <c r="M907" s="19" t="s">
        <v>51</v>
      </c>
      <c r="N907">
        <v>3</v>
      </c>
      <c r="O907">
        <v>1</v>
      </c>
      <c r="P907" s="19" t="s">
        <v>80</v>
      </c>
      <c r="Q907">
        <v>2</v>
      </c>
      <c r="R907" s="19" t="s">
        <v>113</v>
      </c>
      <c r="S907">
        <v>24954</v>
      </c>
      <c r="T907" s="19" t="s">
        <v>54</v>
      </c>
      <c r="U907">
        <v>155.96</v>
      </c>
      <c r="V907">
        <v>0</v>
      </c>
      <c r="W907" s="19" t="s">
        <v>47</v>
      </c>
      <c r="X907">
        <v>11</v>
      </c>
      <c r="Y907">
        <v>3</v>
      </c>
      <c r="Z907">
        <v>2</v>
      </c>
      <c r="AA907">
        <v>1</v>
      </c>
      <c r="AB907">
        <v>7</v>
      </c>
      <c r="AC907">
        <v>2</v>
      </c>
      <c r="AD907">
        <v>3</v>
      </c>
      <c r="AE907">
        <v>6</v>
      </c>
      <c r="AF907">
        <v>2</v>
      </c>
      <c r="AG907">
        <v>1</v>
      </c>
      <c r="AH907">
        <v>2</v>
      </c>
      <c r="AI907">
        <v>0</v>
      </c>
      <c r="AJ907" s="19" t="s">
        <v>1569</v>
      </c>
      <c r="AK907" s="19" t="s">
        <v>1562</v>
      </c>
      <c r="AL907">
        <v>2</v>
      </c>
      <c r="AM907" s="19" t="s">
        <v>1564</v>
      </c>
      <c r="AN907">
        <v>-0.50823779981733364</v>
      </c>
      <c r="AO907">
        <v>299448</v>
      </c>
    </row>
    <row r="908" spans="1:41" x14ac:dyDescent="0.3">
      <c r="A908" s="19" t="s">
        <v>976</v>
      </c>
      <c r="B908">
        <v>38</v>
      </c>
      <c r="C908" s="19" t="s">
        <v>802</v>
      </c>
      <c r="D908" s="19" t="s">
        <v>55</v>
      </c>
      <c r="E908" s="19" t="s">
        <v>48</v>
      </c>
      <c r="F908">
        <v>1321</v>
      </c>
      <c r="G908" s="19" t="s">
        <v>932</v>
      </c>
      <c r="H908">
        <v>1</v>
      </c>
      <c r="I908">
        <v>4</v>
      </c>
      <c r="J908" s="19" t="s">
        <v>50</v>
      </c>
      <c r="K908">
        <v>1995</v>
      </c>
      <c r="L908">
        <v>4</v>
      </c>
      <c r="M908" s="19" t="s">
        <v>51</v>
      </c>
      <c r="N908">
        <v>3</v>
      </c>
      <c r="O908">
        <v>2</v>
      </c>
      <c r="P908" s="19" t="s">
        <v>145</v>
      </c>
      <c r="Q908">
        <v>2</v>
      </c>
      <c r="R908" s="19" t="s">
        <v>113</v>
      </c>
      <c r="S908">
        <v>58108</v>
      </c>
      <c r="T908" s="19" t="s">
        <v>64</v>
      </c>
      <c r="U908">
        <v>363.18</v>
      </c>
      <c r="V908">
        <v>0</v>
      </c>
      <c r="W908" s="19" t="s">
        <v>55</v>
      </c>
      <c r="X908">
        <v>15</v>
      </c>
      <c r="Y908">
        <v>3</v>
      </c>
      <c r="Z908">
        <v>1</v>
      </c>
      <c r="AA908">
        <v>2</v>
      </c>
      <c r="AB908">
        <v>16</v>
      </c>
      <c r="AC908">
        <v>3</v>
      </c>
      <c r="AD908">
        <v>3</v>
      </c>
      <c r="AE908">
        <v>15</v>
      </c>
      <c r="AF908">
        <v>13</v>
      </c>
      <c r="AG908">
        <v>5</v>
      </c>
      <c r="AH908">
        <v>8</v>
      </c>
      <c r="AI908">
        <v>0</v>
      </c>
      <c r="AJ908" s="19" t="s">
        <v>1571</v>
      </c>
      <c r="AK908" s="19" t="s">
        <v>1570</v>
      </c>
      <c r="AL908">
        <v>2</v>
      </c>
      <c r="AM908" s="19" t="s">
        <v>1564</v>
      </c>
      <c r="AN908">
        <v>0.1844762526462087</v>
      </c>
      <c r="AO908">
        <v>697296</v>
      </c>
    </row>
    <row r="909" spans="1:41" x14ac:dyDescent="0.3">
      <c r="A909" s="19" t="s">
        <v>977</v>
      </c>
      <c r="B909">
        <v>38</v>
      </c>
      <c r="C909" s="19" t="s">
        <v>802</v>
      </c>
      <c r="D909" s="19" t="s">
        <v>55</v>
      </c>
      <c r="E909" s="19" t="s">
        <v>62</v>
      </c>
      <c r="F909">
        <v>508</v>
      </c>
      <c r="G909" s="19" t="s">
        <v>735</v>
      </c>
      <c r="H909">
        <v>6</v>
      </c>
      <c r="I909">
        <v>4</v>
      </c>
      <c r="J909" s="19" t="s">
        <v>50</v>
      </c>
      <c r="K909">
        <v>1997</v>
      </c>
      <c r="L909">
        <v>1</v>
      </c>
      <c r="M909" s="19" t="s">
        <v>51</v>
      </c>
      <c r="N909">
        <v>2</v>
      </c>
      <c r="O909">
        <v>2</v>
      </c>
      <c r="P909" s="19" t="s">
        <v>120</v>
      </c>
      <c r="Q909">
        <v>3</v>
      </c>
      <c r="R909" s="19" t="s">
        <v>113</v>
      </c>
      <c r="S909">
        <v>88044</v>
      </c>
      <c r="T909" s="19" t="s">
        <v>70</v>
      </c>
      <c r="U909">
        <v>550.28</v>
      </c>
      <c r="V909">
        <v>2</v>
      </c>
      <c r="W909" s="19" t="s">
        <v>55</v>
      </c>
      <c r="X909">
        <v>11</v>
      </c>
      <c r="Y909">
        <v>3</v>
      </c>
      <c r="Z909">
        <v>4</v>
      </c>
      <c r="AA909">
        <v>1</v>
      </c>
      <c r="AB909">
        <v>10</v>
      </c>
      <c r="AC909">
        <v>1</v>
      </c>
      <c r="AD909">
        <v>3</v>
      </c>
      <c r="AE909">
        <v>8</v>
      </c>
      <c r="AF909">
        <v>3</v>
      </c>
      <c r="AG909">
        <v>7</v>
      </c>
      <c r="AH909">
        <v>7</v>
      </c>
      <c r="AI909">
        <v>0</v>
      </c>
      <c r="AJ909" s="19" t="s">
        <v>1569</v>
      </c>
      <c r="AK909" s="19" t="s">
        <v>1570</v>
      </c>
      <c r="AL909">
        <v>1</v>
      </c>
      <c r="AM909" s="19" t="s">
        <v>1565</v>
      </c>
      <c r="AN909">
        <v>0.9876584921353696</v>
      </c>
      <c r="AO909">
        <v>1056528</v>
      </c>
    </row>
    <row r="910" spans="1:41" x14ac:dyDescent="0.3">
      <c r="A910" s="19" t="s">
        <v>978</v>
      </c>
      <c r="B910">
        <v>38</v>
      </c>
      <c r="C910" s="19" t="s">
        <v>802</v>
      </c>
      <c r="D910" s="19" t="s">
        <v>55</v>
      </c>
      <c r="E910" s="19" t="s">
        <v>48</v>
      </c>
      <c r="F910">
        <v>201</v>
      </c>
      <c r="G910" s="19" t="s">
        <v>735</v>
      </c>
      <c r="H910">
        <v>10</v>
      </c>
      <c r="I910">
        <v>3</v>
      </c>
      <c r="J910" s="19" t="s">
        <v>58</v>
      </c>
      <c r="K910">
        <v>2015</v>
      </c>
      <c r="L910">
        <v>2</v>
      </c>
      <c r="M910" s="19" t="s">
        <v>59</v>
      </c>
      <c r="N910">
        <v>1</v>
      </c>
      <c r="O910">
        <v>3</v>
      </c>
      <c r="P910" s="19" t="s">
        <v>257</v>
      </c>
      <c r="Q910">
        <v>3</v>
      </c>
      <c r="R910" s="19" t="s">
        <v>113</v>
      </c>
      <c r="S910">
        <v>88505</v>
      </c>
      <c r="T910" s="19" t="s">
        <v>70</v>
      </c>
      <c r="U910">
        <v>553.16</v>
      </c>
      <c r="V910">
        <v>3</v>
      </c>
      <c r="W910" s="19" t="s">
        <v>55</v>
      </c>
      <c r="X910">
        <v>12</v>
      </c>
      <c r="Y910">
        <v>3</v>
      </c>
      <c r="Z910">
        <v>1</v>
      </c>
      <c r="AA910">
        <v>1</v>
      </c>
      <c r="AB910">
        <v>20</v>
      </c>
      <c r="AC910">
        <v>3</v>
      </c>
      <c r="AD910">
        <v>3</v>
      </c>
      <c r="AE910">
        <v>18</v>
      </c>
      <c r="AF910">
        <v>16</v>
      </c>
      <c r="AG910">
        <v>1</v>
      </c>
      <c r="AH910">
        <v>11</v>
      </c>
      <c r="AI910">
        <v>0</v>
      </c>
      <c r="AJ910" s="19" t="s">
        <v>1571</v>
      </c>
      <c r="AK910" s="19" t="s">
        <v>1562</v>
      </c>
      <c r="AL910">
        <v>0</v>
      </c>
      <c r="AM910" s="19" t="s">
        <v>1563</v>
      </c>
      <c r="AN910">
        <v>0.74693304739201094</v>
      </c>
      <c r="AO910">
        <v>1062060</v>
      </c>
    </row>
    <row r="911" spans="1:41" x14ac:dyDescent="0.3">
      <c r="A911" s="19" t="s">
        <v>979</v>
      </c>
      <c r="B911">
        <v>38</v>
      </c>
      <c r="C911" s="19" t="s">
        <v>802</v>
      </c>
      <c r="D911" s="19" t="s">
        <v>55</v>
      </c>
      <c r="E911" s="19" t="s">
        <v>48</v>
      </c>
      <c r="F911">
        <v>345</v>
      </c>
      <c r="G911" s="19" t="s">
        <v>932</v>
      </c>
      <c r="H911">
        <v>10</v>
      </c>
      <c r="I911">
        <v>2</v>
      </c>
      <c r="J911" s="19" t="s">
        <v>50</v>
      </c>
      <c r="K911">
        <v>2041</v>
      </c>
      <c r="L911">
        <v>1</v>
      </c>
      <c r="M911" s="19" t="s">
        <v>59</v>
      </c>
      <c r="N911">
        <v>3</v>
      </c>
      <c r="O911">
        <v>2</v>
      </c>
      <c r="P911" s="19" t="s">
        <v>145</v>
      </c>
      <c r="Q911">
        <v>4</v>
      </c>
      <c r="R911" s="19" t="s">
        <v>113</v>
      </c>
      <c r="S911">
        <v>37668</v>
      </c>
      <c r="T911" s="19" t="s">
        <v>72</v>
      </c>
      <c r="U911">
        <v>235.42</v>
      </c>
      <c r="V911">
        <v>1</v>
      </c>
      <c r="W911" s="19" t="s">
        <v>55</v>
      </c>
      <c r="X911">
        <v>11</v>
      </c>
      <c r="Y911">
        <v>3</v>
      </c>
      <c r="Z911">
        <v>3</v>
      </c>
      <c r="AA911">
        <v>1</v>
      </c>
      <c r="AB911">
        <v>10</v>
      </c>
      <c r="AC911">
        <v>1</v>
      </c>
      <c r="AD911">
        <v>3</v>
      </c>
      <c r="AE911">
        <v>10</v>
      </c>
      <c r="AF911">
        <v>7</v>
      </c>
      <c r="AG911">
        <v>1</v>
      </c>
      <c r="AH911">
        <v>9</v>
      </c>
      <c r="AI911">
        <v>0</v>
      </c>
      <c r="AJ911" s="19" t="s">
        <v>1569</v>
      </c>
      <c r="AK911" s="19" t="s">
        <v>1562</v>
      </c>
      <c r="AL911">
        <v>0</v>
      </c>
      <c r="AM911" s="19" t="s">
        <v>1563</v>
      </c>
      <c r="AN911">
        <v>-0.23217368547054815</v>
      </c>
      <c r="AO911">
        <v>452016</v>
      </c>
    </row>
    <row r="912" spans="1:41" x14ac:dyDescent="0.3">
      <c r="A912" s="19" t="s">
        <v>980</v>
      </c>
      <c r="B912">
        <v>39</v>
      </c>
      <c r="C912" s="19" t="s">
        <v>802</v>
      </c>
      <c r="D912" s="19" t="s">
        <v>47</v>
      </c>
      <c r="E912" s="19" t="s">
        <v>48</v>
      </c>
      <c r="F912">
        <v>895</v>
      </c>
      <c r="G912" s="19" t="s">
        <v>932</v>
      </c>
      <c r="H912">
        <v>5</v>
      </c>
      <c r="I912">
        <v>3</v>
      </c>
      <c r="J912" s="19" t="s">
        <v>77</v>
      </c>
      <c r="K912">
        <v>42</v>
      </c>
      <c r="L912">
        <v>4</v>
      </c>
      <c r="M912" s="19" t="s">
        <v>51</v>
      </c>
      <c r="N912">
        <v>3</v>
      </c>
      <c r="O912">
        <v>2</v>
      </c>
      <c r="P912" s="19" t="s">
        <v>60</v>
      </c>
      <c r="Q912">
        <v>4</v>
      </c>
      <c r="R912" s="19" t="s">
        <v>113</v>
      </c>
      <c r="S912">
        <v>24061</v>
      </c>
      <c r="T912" s="19" t="s">
        <v>54</v>
      </c>
      <c r="U912">
        <v>150.38</v>
      </c>
      <c r="V912">
        <v>3</v>
      </c>
      <c r="W912" s="19" t="s">
        <v>55</v>
      </c>
      <c r="X912">
        <v>14</v>
      </c>
      <c r="Y912">
        <v>3</v>
      </c>
      <c r="Z912">
        <v>3</v>
      </c>
      <c r="AA912">
        <v>1</v>
      </c>
      <c r="AB912">
        <v>19</v>
      </c>
      <c r="AC912">
        <v>6</v>
      </c>
      <c r="AD912">
        <v>4</v>
      </c>
      <c r="AE912">
        <v>1</v>
      </c>
      <c r="AF912">
        <v>0</v>
      </c>
      <c r="AG912">
        <v>0</v>
      </c>
      <c r="AH912">
        <v>0</v>
      </c>
      <c r="AI912">
        <v>1</v>
      </c>
      <c r="AJ912" s="19" t="s">
        <v>1561</v>
      </c>
      <c r="AK912" s="19" t="s">
        <v>1562</v>
      </c>
      <c r="AL912">
        <v>0</v>
      </c>
      <c r="AM912" s="19" t="s">
        <v>1563</v>
      </c>
      <c r="AN912">
        <v>-0.51221240458738382</v>
      </c>
      <c r="AO912">
        <v>288732</v>
      </c>
    </row>
    <row r="913" spans="1:41" x14ac:dyDescent="0.3">
      <c r="A913" s="19" t="s">
        <v>981</v>
      </c>
      <c r="B913">
        <v>39</v>
      </c>
      <c r="C913" s="19" t="s">
        <v>802</v>
      </c>
      <c r="D913" s="19" t="s">
        <v>55</v>
      </c>
      <c r="E913" s="19" t="s">
        <v>48</v>
      </c>
      <c r="F913">
        <v>1329</v>
      </c>
      <c r="G913" s="19" t="s">
        <v>932</v>
      </c>
      <c r="H913">
        <v>4</v>
      </c>
      <c r="I913">
        <v>4</v>
      </c>
      <c r="J913" s="19" t="s">
        <v>50</v>
      </c>
      <c r="K913">
        <v>182</v>
      </c>
      <c r="L913">
        <v>4</v>
      </c>
      <c r="M913" s="19" t="s">
        <v>59</v>
      </c>
      <c r="N913">
        <v>2</v>
      </c>
      <c r="O913">
        <v>2</v>
      </c>
      <c r="P913" s="19" t="s">
        <v>145</v>
      </c>
      <c r="Q913">
        <v>3</v>
      </c>
      <c r="R913" s="19" t="s">
        <v>113</v>
      </c>
      <c r="S913">
        <v>80252</v>
      </c>
      <c r="T913" s="19" t="s">
        <v>64</v>
      </c>
      <c r="U913">
        <v>501.58</v>
      </c>
      <c r="V913">
        <v>4</v>
      </c>
      <c r="W913" s="19" t="s">
        <v>55</v>
      </c>
      <c r="X913">
        <v>14</v>
      </c>
      <c r="Y913">
        <v>3</v>
      </c>
      <c r="Z913">
        <v>3</v>
      </c>
      <c r="AA913">
        <v>1</v>
      </c>
      <c r="AB913">
        <v>17</v>
      </c>
      <c r="AC913">
        <v>1</v>
      </c>
      <c r="AD913">
        <v>4</v>
      </c>
      <c r="AE913">
        <v>15</v>
      </c>
      <c r="AF913">
        <v>11</v>
      </c>
      <c r="AG913">
        <v>5</v>
      </c>
      <c r="AH913">
        <v>9</v>
      </c>
      <c r="AI913">
        <v>0</v>
      </c>
      <c r="AJ913" s="19" t="s">
        <v>1571</v>
      </c>
      <c r="AK913" s="19" t="s">
        <v>1570</v>
      </c>
      <c r="AL913">
        <v>1</v>
      </c>
      <c r="AM913" s="19" t="s">
        <v>1565</v>
      </c>
      <c r="AN913">
        <v>0.63586060830459734</v>
      </c>
      <c r="AO913">
        <v>963024</v>
      </c>
    </row>
    <row r="914" spans="1:41" x14ac:dyDescent="0.3">
      <c r="A914" s="19" t="s">
        <v>982</v>
      </c>
      <c r="B914">
        <v>39</v>
      </c>
      <c r="C914" s="19" t="s">
        <v>802</v>
      </c>
      <c r="D914" s="19" t="s">
        <v>55</v>
      </c>
      <c r="E914" s="19" t="s">
        <v>48</v>
      </c>
      <c r="F914">
        <v>1431</v>
      </c>
      <c r="G914" s="19" t="s">
        <v>735</v>
      </c>
      <c r="H914">
        <v>1</v>
      </c>
      <c r="I914">
        <v>4</v>
      </c>
      <c r="J914" s="19" t="s">
        <v>58</v>
      </c>
      <c r="K914">
        <v>332</v>
      </c>
      <c r="L914">
        <v>3</v>
      </c>
      <c r="M914" s="19" t="s">
        <v>59</v>
      </c>
      <c r="N914">
        <v>3</v>
      </c>
      <c r="O914">
        <v>1</v>
      </c>
      <c r="P914" s="19" t="s">
        <v>52</v>
      </c>
      <c r="Q914">
        <v>3</v>
      </c>
      <c r="R914" s="19" t="s">
        <v>113</v>
      </c>
      <c r="S914">
        <v>40749</v>
      </c>
      <c r="T914" s="19" t="s">
        <v>72</v>
      </c>
      <c r="U914">
        <v>254.68</v>
      </c>
      <c r="V914">
        <v>7</v>
      </c>
      <c r="W914" s="19" t="s">
        <v>55</v>
      </c>
      <c r="X914">
        <v>14</v>
      </c>
      <c r="Y914">
        <v>3</v>
      </c>
      <c r="Z914">
        <v>3</v>
      </c>
      <c r="AA914">
        <v>3</v>
      </c>
      <c r="AB914">
        <v>7</v>
      </c>
      <c r="AC914">
        <v>1</v>
      </c>
      <c r="AD914">
        <v>3</v>
      </c>
      <c r="AE914">
        <v>3</v>
      </c>
      <c r="AF914">
        <v>2</v>
      </c>
      <c r="AG914">
        <v>1</v>
      </c>
      <c r="AH914">
        <v>2</v>
      </c>
      <c r="AI914">
        <v>0</v>
      </c>
      <c r="AJ914" s="19" t="s">
        <v>1566</v>
      </c>
      <c r="AK914" s="19" t="s">
        <v>1562</v>
      </c>
      <c r="AL914">
        <v>0</v>
      </c>
      <c r="AM914" s="19" t="s">
        <v>1563</v>
      </c>
      <c r="AN914">
        <v>-0.21213208631020475</v>
      </c>
      <c r="AO914">
        <v>488988</v>
      </c>
    </row>
    <row r="915" spans="1:41" x14ac:dyDescent="0.3">
      <c r="A915" s="19" t="s">
        <v>983</v>
      </c>
      <c r="B915">
        <v>39</v>
      </c>
      <c r="C915" s="19" t="s">
        <v>802</v>
      </c>
      <c r="D915" s="19" t="s">
        <v>55</v>
      </c>
      <c r="E915" s="19" t="s">
        <v>62</v>
      </c>
      <c r="F915">
        <v>505</v>
      </c>
      <c r="G915" s="19" t="s">
        <v>735</v>
      </c>
      <c r="H915">
        <v>2</v>
      </c>
      <c r="I915">
        <v>4</v>
      </c>
      <c r="J915" s="19" t="s">
        <v>77</v>
      </c>
      <c r="K915">
        <v>343</v>
      </c>
      <c r="L915">
        <v>3</v>
      </c>
      <c r="M915" s="19" t="s">
        <v>59</v>
      </c>
      <c r="N915">
        <v>3</v>
      </c>
      <c r="O915">
        <v>3</v>
      </c>
      <c r="P915" s="19" t="s">
        <v>168</v>
      </c>
      <c r="Q915">
        <v>3</v>
      </c>
      <c r="R915" s="19" t="s">
        <v>53</v>
      </c>
      <c r="S915">
        <v>17907</v>
      </c>
      <c r="T915" s="19" t="s">
        <v>54</v>
      </c>
      <c r="U915">
        <v>111.92</v>
      </c>
      <c r="V915">
        <v>0</v>
      </c>
      <c r="W915" s="19" t="s">
        <v>55</v>
      </c>
      <c r="X915">
        <v>25</v>
      </c>
      <c r="Y915">
        <v>4</v>
      </c>
      <c r="Z915">
        <v>4</v>
      </c>
      <c r="AA915">
        <v>0</v>
      </c>
      <c r="AB915">
        <v>20</v>
      </c>
      <c r="AC915">
        <v>1</v>
      </c>
      <c r="AD915">
        <v>3</v>
      </c>
      <c r="AE915">
        <v>19</v>
      </c>
      <c r="AF915">
        <v>6</v>
      </c>
      <c r="AG915">
        <v>11</v>
      </c>
      <c r="AH915">
        <v>6</v>
      </c>
      <c r="AI915">
        <v>0</v>
      </c>
      <c r="AJ915" s="19" t="s">
        <v>1571</v>
      </c>
      <c r="AK915" s="19" t="s">
        <v>1570</v>
      </c>
      <c r="AL915">
        <v>1</v>
      </c>
      <c r="AM915" s="19" t="s">
        <v>1565</v>
      </c>
      <c r="AN915">
        <v>-0.62840177396212538</v>
      </c>
      <c r="AO915">
        <v>214884</v>
      </c>
    </row>
    <row r="916" spans="1:41" x14ac:dyDescent="0.3">
      <c r="A916" s="19" t="s">
        <v>984</v>
      </c>
      <c r="B916">
        <v>39</v>
      </c>
      <c r="C916" s="19" t="s">
        <v>802</v>
      </c>
      <c r="D916" s="19" t="s">
        <v>55</v>
      </c>
      <c r="E916" s="19" t="s">
        <v>48</v>
      </c>
      <c r="F916">
        <v>1132</v>
      </c>
      <c r="G916" s="19" t="s">
        <v>735</v>
      </c>
      <c r="H916">
        <v>1</v>
      </c>
      <c r="I916">
        <v>3</v>
      </c>
      <c r="J916" s="19" t="s">
        <v>58</v>
      </c>
      <c r="K916">
        <v>417</v>
      </c>
      <c r="L916">
        <v>3</v>
      </c>
      <c r="M916" s="19" t="s">
        <v>51</v>
      </c>
      <c r="N916">
        <v>4</v>
      </c>
      <c r="O916">
        <v>3</v>
      </c>
      <c r="P916" s="19" t="s">
        <v>168</v>
      </c>
      <c r="Q916">
        <v>4</v>
      </c>
      <c r="R916" s="19" t="s">
        <v>113</v>
      </c>
      <c r="S916">
        <v>19777</v>
      </c>
      <c r="T916" s="19" t="s">
        <v>54</v>
      </c>
      <c r="U916">
        <v>123.61</v>
      </c>
      <c r="V916">
        <v>0</v>
      </c>
      <c r="W916" s="19" t="s">
        <v>55</v>
      </c>
      <c r="X916">
        <v>17</v>
      </c>
      <c r="Y916">
        <v>3</v>
      </c>
      <c r="Z916">
        <v>1</v>
      </c>
      <c r="AA916">
        <v>3</v>
      </c>
      <c r="AB916">
        <v>19</v>
      </c>
      <c r="AC916">
        <v>5</v>
      </c>
      <c r="AD916">
        <v>2</v>
      </c>
      <c r="AE916">
        <v>18</v>
      </c>
      <c r="AF916">
        <v>10</v>
      </c>
      <c r="AG916">
        <v>3</v>
      </c>
      <c r="AH916">
        <v>7</v>
      </c>
      <c r="AI916">
        <v>0</v>
      </c>
      <c r="AJ916" s="19" t="s">
        <v>1571</v>
      </c>
      <c r="AK916" s="19" t="s">
        <v>1570</v>
      </c>
      <c r="AL916">
        <v>2</v>
      </c>
      <c r="AM916" s="19" t="s">
        <v>1564</v>
      </c>
      <c r="AN916">
        <v>-0.58959635246825004</v>
      </c>
      <c r="AO916">
        <v>237324</v>
      </c>
    </row>
    <row r="917" spans="1:41" x14ac:dyDescent="0.3">
      <c r="A917" s="19" t="s">
        <v>985</v>
      </c>
      <c r="B917">
        <v>39</v>
      </c>
      <c r="C917" s="19" t="s">
        <v>802</v>
      </c>
      <c r="D917" s="19" t="s">
        <v>55</v>
      </c>
      <c r="E917" s="19" t="s">
        <v>48</v>
      </c>
      <c r="F917">
        <v>117</v>
      </c>
      <c r="G917" s="19" t="s">
        <v>735</v>
      </c>
      <c r="H917">
        <v>10</v>
      </c>
      <c r="I917">
        <v>1</v>
      </c>
      <c r="J917" s="19" t="s">
        <v>58</v>
      </c>
      <c r="K917">
        <v>429</v>
      </c>
      <c r="L917">
        <v>3</v>
      </c>
      <c r="M917" s="19" t="s">
        <v>51</v>
      </c>
      <c r="N917">
        <v>3</v>
      </c>
      <c r="O917">
        <v>4</v>
      </c>
      <c r="P917" s="19" t="s">
        <v>444</v>
      </c>
      <c r="Q917">
        <v>1</v>
      </c>
      <c r="R917" s="19" t="s">
        <v>113</v>
      </c>
      <c r="S917">
        <v>94229</v>
      </c>
      <c r="T917" s="19" t="s">
        <v>70</v>
      </c>
      <c r="U917">
        <v>588.92999999999995</v>
      </c>
      <c r="V917">
        <v>1</v>
      </c>
      <c r="W917" s="19" t="s">
        <v>47</v>
      </c>
      <c r="X917">
        <v>14</v>
      </c>
      <c r="Y917">
        <v>3</v>
      </c>
      <c r="Z917">
        <v>4</v>
      </c>
      <c r="AA917">
        <v>0</v>
      </c>
      <c r="AB917">
        <v>21</v>
      </c>
      <c r="AC917">
        <v>3</v>
      </c>
      <c r="AD917">
        <v>3</v>
      </c>
      <c r="AE917">
        <v>21</v>
      </c>
      <c r="AF917">
        <v>9</v>
      </c>
      <c r="AG917">
        <v>11</v>
      </c>
      <c r="AH917">
        <v>10</v>
      </c>
      <c r="AI917">
        <v>0</v>
      </c>
      <c r="AJ917" s="19" t="s">
        <v>1571</v>
      </c>
      <c r="AK917" s="19" t="s">
        <v>1570</v>
      </c>
      <c r="AL917">
        <v>3</v>
      </c>
      <c r="AM917" s="19" t="s">
        <v>1568</v>
      </c>
      <c r="AN917">
        <v>0.80521157245707731</v>
      </c>
      <c r="AO917">
        <v>1130748</v>
      </c>
    </row>
    <row r="918" spans="1:41" x14ac:dyDescent="0.3">
      <c r="A918" s="19" t="s">
        <v>986</v>
      </c>
      <c r="B918">
        <v>39</v>
      </c>
      <c r="C918" s="19" t="s">
        <v>802</v>
      </c>
      <c r="D918" s="19" t="s">
        <v>55</v>
      </c>
      <c r="E918" s="19" t="s">
        <v>62</v>
      </c>
      <c r="F918">
        <v>672</v>
      </c>
      <c r="G918" s="19" t="s">
        <v>735</v>
      </c>
      <c r="H918">
        <v>7</v>
      </c>
      <c r="I918">
        <v>2</v>
      </c>
      <c r="J918" s="19" t="s">
        <v>58</v>
      </c>
      <c r="K918">
        <v>444</v>
      </c>
      <c r="L918">
        <v>3</v>
      </c>
      <c r="M918" s="19" t="s">
        <v>51</v>
      </c>
      <c r="N918">
        <v>2</v>
      </c>
      <c r="O918">
        <v>5</v>
      </c>
      <c r="P918" s="19" t="s">
        <v>444</v>
      </c>
      <c r="Q918">
        <v>4</v>
      </c>
      <c r="R918" s="19" t="s">
        <v>113</v>
      </c>
      <c r="S918">
        <v>52745</v>
      </c>
      <c r="T918" s="19" t="s">
        <v>64</v>
      </c>
      <c r="U918">
        <v>329.66</v>
      </c>
      <c r="V918">
        <v>1</v>
      </c>
      <c r="W918" s="19" t="s">
        <v>55</v>
      </c>
      <c r="X918">
        <v>15</v>
      </c>
      <c r="Y918">
        <v>3</v>
      </c>
      <c r="Z918">
        <v>1</v>
      </c>
      <c r="AA918">
        <v>1</v>
      </c>
      <c r="AB918">
        <v>21</v>
      </c>
      <c r="AC918">
        <v>2</v>
      </c>
      <c r="AD918">
        <v>3</v>
      </c>
      <c r="AE918">
        <v>21</v>
      </c>
      <c r="AF918">
        <v>9</v>
      </c>
      <c r="AG918">
        <v>13</v>
      </c>
      <c r="AH918">
        <v>3</v>
      </c>
      <c r="AI918">
        <v>0</v>
      </c>
      <c r="AJ918" s="19" t="s">
        <v>1571</v>
      </c>
      <c r="AK918" s="19" t="s">
        <v>1570</v>
      </c>
      <c r="AL918">
        <v>1</v>
      </c>
      <c r="AM918" s="19" t="s">
        <v>1565</v>
      </c>
      <c r="AN918">
        <v>1.0473255465393298E-2</v>
      </c>
      <c r="AO918">
        <v>632940</v>
      </c>
    </row>
    <row r="919" spans="1:41" x14ac:dyDescent="0.3">
      <c r="A919" s="19" t="s">
        <v>987</v>
      </c>
      <c r="B919">
        <v>39</v>
      </c>
      <c r="C919" s="19" t="s">
        <v>802</v>
      </c>
      <c r="D919" s="19" t="s">
        <v>47</v>
      </c>
      <c r="E919" s="19" t="s">
        <v>48</v>
      </c>
      <c r="F919">
        <v>1162</v>
      </c>
      <c r="G919" s="19" t="s">
        <v>932</v>
      </c>
      <c r="H919">
        <v>3</v>
      </c>
      <c r="I919">
        <v>2</v>
      </c>
      <c r="J919" s="19" t="s">
        <v>58</v>
      </c>
      <c r="K919">
        <v>445</v>
      </c>
      <c r="L919">
        <v>4</v>
      </c>
      <c r="M919" s="19" t="s">
        <v>59</v>
      </c>
      <c r="N919">
        <v>3</v>
      </c>
      <c r="O919">
        <v>2</v>
      </c>
      <c r="P919" s="19" t="s">
        <v>145</v>
      </c>
      <c r="Q919">
        <v>3</v>
      </c>
      <c r="R919" s="19" t="s">
        <v>113</v>
      </c>
      <c r="S919">
        <v>92865</v>
      </c>
      <c r="T919" s="19" t="s">
        <v>70</v>
      </c>
      <c r="U919">
        <v>580.41</v>
      </c>
      <c r="V919">
        <v>4</v>
      </c>
      <c r="W919" s="19" t="s">
        <v>47</v>
      </c>
      <c r="X919">
        <v>18</v>
      </c>
      <c r="Y919">
        <v>3</v>
      </c>
      <c r="Z919">
        <v>1</v>
      </c>
      <c r="AA919">
        <v>0</v>
      </c>
      <c r="AB919">
        <v>12</v>
      </c>
      <c r="AC919">
        <v>3</v>
      </c>
      <c r="AD919">
        <v>2</v>
      </c>
      <c r="AE919">
        <v>1</v>
      </c>
      <c r="AF919">
        <v>0</v>
      </c>
      <c r="AG919">
        <v>0</v>
      </c>
      <c r="AH919">
        <v>0</v>
      </c>
      <c r="AI919">
        <v>1</v>
      </c>
      <c r="AJ919" s="19" t="s">
        <v>1561</v>
      </c>
      <c r="AK919" s="19" t="s">
        <v>1562</v>
      </c>
      <c r="AL919">
        <v>2</v>
      </c>
      <c r="AM919" s="19" t="s">
        <v>1564</v>
      </c>
      <c r="AN919">
        <v>0.89296460387537291</v>
      </c>
      <c r="AO919">
        <v>1114380</v>
      </c>
    </row>
    <row r="920" spans="1:41" x14ac:dyDescent="0.3">
      <c r="A920" s="19" t="s">
        <v>988</v>
      </c>
      <c r="B920">
        <v>39</v>
      </c>
      <c r="C920" s="19" t="s">
        <v>802</v>
      </c>
      <c r="D920" s="19" t="s">
        <v>55</v>
      </c>
      <c r="E920" s="19" t="s">
        <v>62</v>
      </c>
      <c r="F920">
        <v>1218</v>
      </c>
      <c r="G920" s="19" t="s">
        <v>735</v>
      </c>
      <c r="H920">
        <v>1</v>
      </c>
      <c r="I920">
        <v>1</v>
      </c>
      <c r="J920" s="19" t="s">
        <v>50</v>
      </c>
      <c r="K920">
        <v>531</v>
      </c>
      <c r="L920">
        <v>2</v>
      </c>
      <c r="M920" s="19" t="s">
        <v>51</v>
      </c>
      <c r="N920">
        <v>3</v>
      </c>
      <c r="O920">
        <v>5</v>
      </c>
      <c r="P920" s="19" t="s">
        <v>444</v>
      </c>
      <c r="Q920">
        <v>3</v>
      </c>
      <c r="R920" s="19" t="s">
        <v>53</v>
      </c>
      <c r="S920">
        <v>82818</v>
      </c>
      <c r="T920" s="19" t="s">
        <v>64</v>
      </c>
      <c r="U920">
        <v>517.61</v>
      </c>
      <c r="V920">
        <v>1</v>
      </c>
      <c r="W920" s="19" t="s">
        <v>47</v>
      </c>
      <c r="X920">
        <v>14</v>
      </c>
      <c r="Y920">
        <v>3</v>
      </c>
      <c r="Z920">
        <v>3</v>
      </c>
      <c r="AA920">
        <v>1</v>
      </c>
      <c r="AB920">
        <v>21</v>
      </c>
      <c r="AC920">
        <v>3</v>
      </c>
      <c r="AD920">
        <v>3</v>
      </c>
      <c r="AE920">
        <v>21</v>
      </c>
      <c r="AF920">
        <v>8</v>
      </c>
      <c r="AG920">
        <v>1</v>
      </c>
      <c r="AH920">
        <v>6</v>
      </c>
      <c r="AI920">
        <v>0</v>
      </c>
      <c r="AJ920" s="19" t="s">
        <v>1571</v>
      </c>
      <c r="AK920" s="19" t="s">
        <v>1562</v>
      </c>
      <c r="AL920">
        <v>1</v>
      </c>
      <c r="AM920" s="19" t="s">
        <v>1565</v>
      </c>
      <c r="AN920">
        <v>0.58660297793407801</v>
      </c>
      <c r="AO920">
        <v>993816</v>
      </c>
    </row>
    <row r="921" spans="1:41" x14ac:dyDescent="0.3">
      <c r="A921" s="19" t="s">
        <v>989</v>
      </c>
      <c r="B921">
        <v>39</v>
      </c>
      <c r="C921" s="19" t="s">
        <v>802</v>
      </c>
      <c r="D921" s="19" t="s">
        <v>55</v>
      </c>
      <c r="E921" s="19" t="s">
        <v>62</v>
      </c>
      <c r="F921">
        <v>443</v>
      </c>
      <c r="G921" s="19" t="s">
        <v>735</v>
      </c>
      <c r="H921">
        <v>8</v>
      </c>
      <c r="I921">
        <v>1</v>
      </c>
      <c r="J921" s="19" t="s">
        <v>50</v>
      </c>
      <c r="K921">
        <v>602</v>
      </c>
      <c r="L921">
        <v>3</v>
      </c>
      <c r="M921" s="19" t="s">
        <v>59</v>
      </c>
      <c r="N921">
        <v>3</v>
      </c>
      <c r="O921">
        <v>1</v>
      </c>
      <c r="P921" s="19" t="s">
        <v>52</v>
      </c>
      <c r="Q921">
        <v>3</v>
      </c>
      <c r="R921" s="19" t="s">
        <v>113</v>
      </c>
      <c r="S921">
        <v>24624</v>
      </c>
      <c r="T921" s="19" t="s">
        <v>54</v>
      </c>
      <c r="U921">
        <v>153.9</v>
      </c>
      <c r="V921">
        <v>1</v>
      </c>
      <c r="W921" s="19" t="s">
        <v>55</v>
      </c>
      <c r="X921">
        <v>11</v>
      </c>
      <c r="Y921">
        <v>3</v>
      </c>
      <c r="Z921">
        <v>1</v>
      </c>
      <c r="AA921">
        <v>1</v>
      </c>
      <c r="AB921">
        <v>8</v>
      </c>
      <c r="AC921">
        <v>3</v>
      </c>
      <c r="AD921">
        <v>3</v>
      </c>
      <c r="AE921">
        <v>8</v>
      </c>
      <c r="AF921">
        <v>3</v>
      </c>
      <c r="AG921">
        <v>0</v>
      </c>
      <c r="AH921">
        <v>7</v>
      </c>
      <c r="AI921">
        <v>0</v>
      </c>
      <c r="AJ921" s="19" t="s">
        <v>1569</v>
      </c>
      <c r="AK921" s="19" t="s">
        <v>1562</v>
      </c>
      <c r="AL921">
        <v>0</v>
      </c>
      <c r="AM921" s="19" t="s">
        <v>1563</v>
      </c>
      <c r="AN921">
        <v>-0.52390342077848495</v>
      </c>
      <c r="AO921">
        <v>295488</v>
      </c>
    </row>
    <row r="922" spans="1:41" x14ac:dyDescent="0.3">
      <c r="A922" s="19" t="s">
        <v>990</v>
      </c>
      <c r="B922">
        <v>39</v>
      </c>
      <c r="C922" s="19" t="s">
        <v>802</v>
      </c>
      <c r="D922" s="19" t="s">
        <v>55</v>
      </c>
      <c r="E922" s="19" t="s">
        <v>48</v>
      </c>
      <c r="F922">
        <v>408</v>
      </c>
      <c r="G922" s="19" t="s">
        <v>735</v>
      </c>
      <c r="H922">
        <v>2</v>
      </c>
      <c r="I922">
        <v>4</v>
      </c>
      <c r="J922" s="19" t="s">
        <v>77</v>
      </c>
      <c r="K922">
        <v>721</v>
      </c>
      <c r="L922">
        <v>4</v>
      </c>
      <c r="M922" s="19" t="s">
        <v>59</v>
      </c>
      <c r="N922">
        <v>2</v>
      </c>
      <c r="O922">
        <v>2</v>
      </c>
      <c r="P922" s="19" t="s">
        <v>168</v>
      </c>
      <c r="Q922">
        <v>3</v>
      </c>
      <c r="R922" s="19" t="s">
        <v>53</v>
      </c>
      <c r="S922">
        <v>24321</v>
      </c>
      <c r="T922" s="19" t="s">
        <v>54</v>
      </c>
      <c r="U922">
        <v>152.01</v>
      </c>
      <c r="V922">
        <v>1</v>
      </c>
      <c r="W922" s="19" t="s">
        <v>55</v>
      </c>
      <c r="X922">
        <v>11</v>
      </c>
      <c r="Y922">
        <v>3</v>
      </c>
      <c r="Z922">
        <v>1</v>
      </c>
      <c r="AA922">
        <v>0</v>
      </c>
      <c r="AB922">
        <v>20</v>
      </c>
      <c r="AC922">
        <v>4</v>
      </c>
      <c r="AD922">
        <v>3</v>
      </c>
      <c r="AE922">
        <v>20</v>
      </c>
      <c r="AF922">
        <v>7</v>
      </c>
      <c r="AG922">
        <v>11</v>
      </c>
      <c r="AH922">
        <v>10</v>
      </c>
      <c r="AI922">
        <v>0</v>
      </c>
      <c r="AJ922" s="19" t="s">
        <v>1571</v>
      </c>
      <c r="AK922" s="19" t="s">
        <v>1570</v>
      </c>
      <c r="AL922">
        <v>1</v>
      </c>
      <c r="AM922" s="19" t="s">
        <v>1565</v>
      </c>
      <c r="AN922">
        <v>-0.49530125339436265</v>
      </c>
      <c r="AO922">
        <v>291852</v>
      </c>
    </row>
    <row r="923" spans="1:41" x14ac:dyDescent="0.3">
      <c r="A923" s="19" t="s">
        <v>991</v>
      </c>
      <c r="B923">
        <v>39</v>
      </c>
      <c r="C923" s="19" t="s">
        <v>802</v>
      </c>
      <c r="D923" s="19" t="s">
        <v>55</v>
      </c>
      <c r="E923" s="19" t="s">
        <v>48</v>
      </c>
      <c r="F923">
        <v>141</v>
      </c>
      <c r="G923" s="19" t="s">
        <v>406</v>
      </c>
      <c r="H923">
        <v>3</v>
      </c>
      <c r="I923">
        <v>3</v>
      </c>
      <c r="J923" s="19" t="s">
        <v>80</v>
      </c>
      <c r="K923">
        <v>760</v>
      </c>
      <c r="L923">
        <v>3</v>
      </c>
      <c r="M923" s="19" t="s">
        <v>59</v>
      </c>
      <c r="N923">
        <v>4</v>
      </c>
      <c r="O923">
        <v>2</v>
      </c>
      <c r="P923" s="19" t="s">
        <v>80</v>
      </c>
      <c r="Q923">
        <v>2</v>
      </c>
      <c r="R923" s="19" t="s">
        <v>113</v>
      </c>
      <c r="S923">
        <v>11488</v>
      </c>
      <c r="T923" s="19" t="s">
        <v>54</v>
      </c>
      <c r="U923">
        <v>71.8</v>
      </c>
      <c r="V923">
        <v>9</v>
      </c>
      <c r="W923" s="19" t="s">
        <v>55</v>
      </c>
      <c r="X923">
        <v>15</v>
      </c>
      <c r="Y923">
        <v>3</v>
      </c>
      <c r="Z923">
        <v>3</v>
      </c>
      <c r="AA923">
        <v>1</v>
      </c>
      <c r="AB923">
        <v>12</v>
      </c>
      <c r="AC923">
        <v>3</v>
      </c>
      <c r="AD923">
        <v>1</v>
      </c>
      <c r="AE923">
        <v>8</v>
      </c>
      <c r="AF923">
        <v>3</v>
      </c>
      <c r="AG923">
        <v>3</v>
      </c>
      <c r="AH923">
        <v>6</v>
      </c>
      <c r="AI923">
        <v>0</v>
      </c>
      <c r="AJ923" s="19" t="s">
        <v>1569</v>
      </c>
      <c r="AK923" s="19" t="s">
        <v>1570</v>
      </c>
      <c r="AL923">
        <v>3</v>
      </c>
      <c r="AM923" s="19" t="s">
        <v>1568</v>
      </c>
      <c r="AN923">
        <v>-0.77360887410040591</v>
      </c>
      <c r="AO923">
        <v>137856</v>
      </c>
    </row>
    <row r="924" spans="1:41" x14ac:dyDescent="0.3">
      <c r="A924" s="19" t="s">
        <v>992</v>
      </c>
      <c r="B924">
        <v>39</v>
      </c>
      <c r="C924" s="19" t="s">
        <v>802</v>
      </c>
      <c r="D924" s="19" t="s">
        <v>55</v>
      </c>
      <c r="E924" s="19" t="s">
        <v>48</v>
      </c>
      <c r="F924">
        <v>1383</v>
      </c>
      <c r="G924" s="19" t="s">
        <v>406</v>
      </c>
      <c r="H924">
        <v>2</v>
      </c>
      <c r="I924">
        <v>3</v>
      </c>
      <c r="J924" s="19" t="s">
        <v>50</v>
      </c>
      <c r="K924">
        <v>909</v>
      </c>
      <c r="L924">
        <v>4</v>
      </c>
      <c r="M924" s="19" t="s">
        <v>59</v>
      </c>
      <c r="N924">
        <v>2</v>
      </c>
      <c r="O924">
        <v>2</v>
      </c>
      <c r="P924" s="19" t="s">
        <v>80</v>
      </c>
      <c r="Q924">
        <v>4</v>
      </c>
      <c r="R924" s="19" t="s">
        <v>113</v>
      </c>
      <c r="S924">
        <v>23574</v>
      </c>
      <c r="T924" s="19" t="s">
        <v>54</v>
      </c>
      <c r="U924">
        <v>147.34</v>
      </c>
      <c r="V924">
        <v>8</v>
      </c>
      <c r="W924" s="19" t="s">
        <v>55</v>
      </c>
      <c r="X924">
        <v>11</v>
      </c>
      <c r="Y924">
        <v>3</v>
      </c>
      <c r="Z924">
        <v>3</v>
      </c>
      <c r="AA924">
        <v>2</v>
      </c>
      <c r="AB924">
        <v>13</v>
      </c>
      <c r="AC924">
        <v>2</v>
      </c>
      <c r="AD924">
        <v>3</v>
      </c>
      <c r="AE924">
        <v>5</v>
      </c>
      <c r="AF924">
        <v>4</v>
      </c>
      <c r="AG924">
        <v>0</v>
      </c>
      <c r="AH924">
        <v>4</v>
      </c>
      <c r="AI924">
        <v>0</v>
      </c>
      <c r="AJ924" s="19" t="s">
        <v>1567</v>
      </c>
      <c r="AK924" s="19" t="s">
        <v>1562</v>
      </c>
      <c r="AL924">
        <v>0</v>
      </c>
      <c r="AM924" s="19" t="s">
        <v>1563</v>
      </c>
      <c r="AN924">
        <v>-0.53543311264301607</v>
      </c>
      <c r="AO924">
        <v>282888</v>
      </c>
    </row>
    <row r="925" spans="1:41" x14ac:dyDescent="0.3">
      <c r="A925" s="19" t="s">
        <v>993</v>
      </c>
      <c r="B925">
        <v>39</v>
      </c>
      <c r="C925" s="19" t="s">
        <v>802</v>
      </c>
      <c r="D925" s="19" t="s">
        <v>47</v>
      </c>
      <c r="E925" s="19" t="s">
        <v>48</v>
      </c>
      <c r="F925">
        <v>1122</v>
      </c>
      <c r="G925" s="19" t="s">
        <v>735</v>
      </c>
      <c r="H925">
        <v>6</v>
      </c>
      <c r="I925">
        <v>3</v>
      </c>
      <c r="J925" s="19" t="s">
        <v>58</v>
      </c>
      <c r="K925">
        <v>932</v>
      </c>
      <c r="L925">
        <v>4</v>
      </c>
      <c r="M925" s="19" t="s">
        <v>51</v>
      </c>
      <c r="N925">
        <v>3</v>
      </c>
      <c r="O925">
        <v>1</v>
      </c>
      <c r="P925" s="19" t="s">
        <v>52</v>
      </c>
      <c r="Q925">
        <v>1</v>
      </c>
      <c r="R925" s="19" t="s">
        <v>113</v>
      </c>
      <c r="S925">
        <v>6240</v>
      </c>
      <c r="T925" s="19" t="s">
        <v>54</v>
      </c>
      <c r="U925">
        <v>39</v>
      </c>
      <c r="V925">
        <v>7</v>
      </c>
      <c r="W925" s="19" t="s">
        <v>47</v>
      </c>
      <c r="X925">
        <v>21</v>
      </c>
      <c r="Y925">
        <v>4</v>
      </c>
      <c r="Z925">
        <v>4</v>
      </c>
      <c r="AA925">
        <v>0</v>
      </c>
      <c r="AB925">
        <v>8</v>
      </c>
      <c r="AC925">
        <v>2</v>
      </c>
      <c r="AD925">
        <v>1</v>
      </c>
      <c r="AE925">
        <v>2</v>
      </c>
      <c r="AF925">
        <v>2</v>
      </c>
      <c r="AG925">
        <v>2</v>
      </c>
      <c r="AH925">
        <v>2</v>
      </c>
      <c r="AI925">
        <v>1</v>
      </c>
      <c r="AJ925" s="19" t="s">
        <v>1566</v>
      </c>
      <c r="AK925" s="19" t="s">
        <v>1562</v>
      </c>
      <c r="AL925">
        <v>3</v>
      </c>
      <c r="AM925" s="19" t="s">
        <v>1568</v>
      </c>
      <c r="AN925">
        <v>-0.87935174405692595</v>
      </c>
      <c r="AO925">
        <v>74880</v>
      </c>
    </row>
    <row r="926" spans="1:41" x14ac:dyDescent="0.3">
      <c r="A926" s="19" t="s">
        <v>994</v>
      </c>
      <c r="B926">
        <v>39</v>
      </c>
      <c r="C926" s="19" t="s">
        <v>802</v>
      </c>
      <c r="D926" s="19" t="s">
        <v>55</v>
      </c>
      <c r="E926" s="19" t="s">
        <v>48</v>
      </c>
      <c r="F926">
        <v>903</v>
      </c>
      <c r="G926" s="19" t="s">
        <v>932</v>
      </c>
      <c r="H926">
        <v>2</v>
      </c>
      <c r="I926">
        <v>5</v>
      </c>
      <c r="J926" s="19" t="s">
        <v>50</v>
      </c>
      <c r="K926">
        <v>985</v>
      </c>
      <c r="L926">
        <v>1</v>
      </c>
      <c r="M926" s="19" t="s">
        <v>51</v>
      </c>
      <c r="N926">
        <v>4</v>
      </c>
      <c r="O926">
        <v>3</v>
      </c>
      <c r="P926" s="19" t="s">
        <v>145</v>
      </c>
      <c r="Q926">
        <v>3</v>
      </c>
      <c r="R926" s="19" t="s">
        <v>53</v>
      </c>
      <c r="S926">
        <v>44221</v>
      </c>
      <c r="T926" s="19" t="s">
        <v>72</v>
      </c>
      <c r="U926">
        <v>276.38</v>
      </c>
      <c r="V926">
        <v>0</v>
      </c>
      <c r="W926" s="19" t="s">
        <v>55</v>
      </c>
      <c r="X926">
        <v>18</v>
      </c>
      <c r="Y926">
        <v>3</v>
      </c>
      <c r="Z926">
        <v>4</v>
      </c>
      <c r="AA926">
        <v>0</v>
      </c>
      <c r="AB926">
        <v>9</v>
      </c>
      <c r="AC926">
        <v>3</v>
      </c>
      <c r="AD926">
        <v>3</v>
      </c>
      <c r="AE926">
        <v>8</v>
      </c>
      <c r="AF926">
        <v>7</v>
      </c>
      <c r="AG926">
        <v>0</v>
      </c>
      <c r="AH926">
        <v>7</v>
      </c>
      <c r="AI926">
        <v>0</v>
      </c>
      <c r="AJ926" s="19" t="s">
        <v>1569</v>
      </c>
      <c r="AK926" s="19" t="s">
        <v>1562</v>
      </c>
      <c r="AL926">
        <v>0</v>
      </c>
      <c r="AM926" s="19" t="s">
        <v>1563</v>
      </c>
      <c r="AN926">
        <v>-9.8597019889378495E-2</v>
      </c>
      <c r="AO926">
        <v>530652</v>
      </c>
    </row>
    <row r="927" spans="1:41" x14ac:dyDescent="0.3">
      <c r="A927" s="19" t="s">
        <v>995</v>
      </c>
      <c r="B927">
        <v>39</v>
      </c>
      <c r="C927" s="19" t="s">
        <v>802</v>
      </c>
      <c r="D927" s="19" t="s">
        <v>55</v>
      </c>
      <c r="E927" s="19" t="s">
        <v>48</v>
      </c>
      <c r="F927">
        <v>466</v>
      </c>
      <c r="G927" s="19" t="s">
        <v>735</v>
      </c>
      <c r="H927">
        <v>1</v>
      </c>
      <c r="I927">
        <v>1</v>
      </c>
      <c r="J927" s="19" t="s">
        <v>50</v>
      </c>
      <c r="K927">
        <v>1026</v>
      </c>
      <c r="L927">
        <v>4</v>
      </c>
      <c r="M927" s="19" t="s">
        <v>59</v>
      </c>
      <c r="N927">
        <v>2</v>
      </c>
      <c r="O927">
        <v>4</v>
      </c>
      <c r="P927" s="19" t="s">
        <v>120</v>
      </c>
      <c r="Q927">
        <v>4</v>
      </c>
      <c r="R927" s="19" t="s">
        <v>113</v>
      </c>
      <c r="S927">
        <v>11478</v>
      </c>
      <c r="T927" s="19" t="s">
        <v>54</v>
      </c>
      <c r="U927">
        <v>71.739999999999995</v>
      </c>
      <c r="V927">
        <v>1</v>
      </c>
      <c r="W927" s="19" t="s">
        <v>55</v>
      </c>
      <c r="X927">
        <v>16</v>
      </c>
      <c r="Y927">
        <v>3</v>
      </c>
      <c r="Z927">
        <v>3</v>
      </c>
      <c r="AA927">
        <v>1</v>
      </c>
      <c r="AB927">
        <v>21</v>
      </c>
      <c r="AC927">
        <v>3</v>
      </c>
      <c r="AD927">
        <v>3</v>
      </c>
      <c r="AE927">
        <v>21</v>
      </c>
      <c r="AF927">
        <v>6</v>
      </c>
      <c r="AG927">
        <v>11</v>
      </c>
      <c r="AH927">
        <v>8</v>
      </c>
      <c r="AI927">
        <v>0</v>
      </c>
      <c r="AJ927" s="19" t="s">
        <v>1571</v>
      </c>
      <c r="AK927" s="19" t="s">
        <v>1570</v>
      </c>
      <c r="AL927">
        <v>1</v>
      </c>
      <c r="AM927" s="19" t="s">
        <v>1565</v>
      </c>
      <c r="AN927">
        <v>-0.7408756511206922</v>
      </c>
      <c r="AO927">
        <v>137736</v>
      </c>
    </row>
    <row r="928" spans="1:41" x14ac:dyDescent="0.3">
      <c r="A928" s="19" t="s">
        <v>996</v>
      </c>
      <c r="B928">
        <v>39</v>
      </c>
      <c r="C928" s="19" t="s">
        <v>802</v>
      </c>
      <c r="D928" s="19" t="s">
        <v>55</v>
      </c>
      <c r="E928" s="19" t="s">
        <v>62</v>
      </c>
      <c r="F928">
        <v>945</v>
      </c>
      <c r="G928" s="19" t="s">
        <v>735</v>
      </c>
      <c r="H928">
        <v>22</v>
      </c>
      <c r="I928">
        <v>3</v>
      </c>
      <c r="J928" s="19" t="s">
        <v>58</v>
      </c>
      <c r="K928">
        <v>1043</v>
      </c>
      <c r="L928">
        <v>4</v>
      </c>
      <c r="M928" s="19" t="s">
        <v>59</v>
      </c>
      <c r="N928">
        <v>3</v>
      </c>
      <c r="O928">
        <v>3</v>
      </c>
      <c r="P928" s="19" t="s">
        <v>120</v>
      </c>
      <c r="Q928">
        <v>1</v>
      </c>
      <c r="R928" s="19" t="s">
        <v>53</v>
      </c>
      <c r="S928">
        <v>56645</v>
      </c>
      <c r="T928" s="19" t="s">
        <v>64</v>
      </c>
      <c r="U928">
        <v>354.03</v>
      </c>
      <c r="V928">
        <v>1</v>
      </c>
      <c r="W928" s="19" t="s">
        <v>47</v>
      </c>
      <c r="X928">
        <v>13</v>
      </c>
      <c r="Y928">
        <v>3</v>
      </c>
      <c r="Z928">
        <v>3</v>
      </c>
      <c r="AA928">
        <v>0</v>
      </c>
      <c r="AB928">
        <v>21</v>
      </c>
      <c r="AC928">
        <v>2</v>
      </c>
      <c r="AD928">
        <v>3</v>
      </c>
      <c r="AE928">
        <v>21</v>
      </c>
      <c r="AF928">
        <v>6</v>
      </c>
      <c r="AG928">
        <v>2</v>
      </c>
      <c r="AH928">
        <v>8</v>
      </c>
      <c r="AI928">
        <v>0</v>
      </c>
      <c r="AJ928" s="19" t="s">
        <v>1571</v>
      </c>
      <c r="AK928" s="19" t="s">
        <v>1562</v>
      </c>
      <c r="AL928">
        <v>2</v>
      </c>
      <c r="AM928" s="19" t="s">
        <v>1564</v>
      </c>
      <c r="AN928">
        <v>0.27880281776166477</v>
      </c>
      <c r="AO928">
        <v>679740</v>
      </c>
    </row>
    <row r="929" spans="1:41" x14ac:dyDescent="0.3">
      <c r="A929" s="19" t="s">
        <v>997</v>
      </c>
      <c r="B929">
        <v>39</v>
      </c>
      <c r="C929" s="19" t="s">
        <v>802</v>
      </c>
      <c r="D929" s="19" t="s">
        <v>47</v>
      </c>
      <c r="E929" s="19" t="s">
        <v>62</v>
      </c>
      <c r="F929">
        <v>203</v>
      </c>
      <c r="G929" s="19" t="s">
        <v>735</v>
      </c>
      <c r="H929">
        <v>2</v>
      </c>
      <c r="I929">
        <v>3</v>
      </c>
      <c r="J929" s="19" t="s">
        <v>50</v>
      </c>
      <c r="K929">
        <v>1127</v>
      </c>
      <c r="L929">
        <v>1</v>
      </c>
      <c r="M929" s="19" t="s">
        <v>51</v>
      </c>
      <c r="N929">
        <v>3</v>
      </c>
      <c r="O929">
        <v>4</v>
      </c>
      <c r="P929" s="19" t="s">
        <v>168</v>
      </c>
      <c r="Q929">
        <v>4</v>
      </c>
      <c r="R929" s="19" t="s">
        <v>53</v>
      </c>
      <c r="S929">
        <v>20262</v>
      </c>
      <c r="T929" s="19" t="s">
        <v>54</v>
      </c>
      <c r="U929">
        <v>126.64</v>
      </c>
      <c r="V929">
        <v>7</v>
      </c>
      <c r="W929" s="19" t="s">
        <v>55</v>
      </c>
      <c r="X929">
        <v>11</v>
      </c>
      <c r="Y929">
        <v>3</v>
      </c>
      <c r="Z929">
        <v>4</v>
      </c>
      <c r="AA929">
        <v>3</v>
      </c>
      <c r="AB929">
        <v>21</v>
      </c>
      <c r="AC929">
        <v>4</v>
      </c>
      <c r="AD929">
        <v>3</v>
      </c>
      <c r="AE929">
        <v>18</v>
      </c>
      <c r="AF929">
        <v>7</v>
      </c>
      <c r="AG929">
        <v>11</v>
      </c>
      <c r="AH929">
        <v>5</v>
      </c>
      <c r="AI929">
        <v>1</v>
      </c>
      <c r="AJ929" s="19" t="s">
        <v>1571</v>
      </c>
      <c r="AK929" s="19" t="s">
        <v>1570</v>
      </c>
      <c r="AL929">
        <v>1</v>
      </c>
      <c r="AM929" s="19" t="s">
        <v>1565</v>
      </c>
      <c r="AN929">
        <v>-0.57953184475459796</v>
      </c>
      <c r="AO929">
        <v>243144</v>
      </c>
    </row>
    <row r="930" spans="1:41" x14ac:dyDescent="0.3">
      <c r="A930" s="19" t="s">
        <v>998</v>
      </c>
      <c r="B930">
        <v>39</v>
      </c>
      <c r="C930" s="19" t="s">
        <v>802</v>
      </c>
      <c r="D930" s="19" t="s">
        <v>55</v>
      </c>
      <c r="E930" s="19" t="s">
        <v>66</v>
      </c>
      <c r="F930">
        <v>439</v>
      </c>
      <c r="G930" s="19" t="s">
        <v>735</v>
      </c>
      <c r="H930">
        <v>9</v>
      </c>
      <c r="I930">
        <v>3</v>
      </c>
      <c r="J930" s="19" t="s">
        <v>50</v>
      </c>
      <c r="K930">
        <v>1132</v>
      </c>
      <c r="L930">
        <v>3</v>
      </c>
      <c r="M930" s="19" t="s">
        <v>51</v>
      </c>
      <c r="N930">
        <v>3</v>
      </c>
      <c r="O930">
        <v>2</v>
      </c>
      <c r="P930" s="19" t="s">
        <v>52</v>
      </c>
      <c r="Q930">
        <v>2</v>
      </c>
      <c r="R930" s="19" t="s">
        <v>53</v>
      </c>
      <c r="S930">
        <v>53796</v>
      </c>
      <c r="T930" s="19" t="s">
        <v>64</v>
      </c>
      <c r="U930">
        <v>336.22</v>
      </c>
      <c r="V930">
        <v>9</v>
      </c>
      <c r="W930" s="19" t="s">
        <v>55</v>
      </c>
      <c r="X930">
        <v>15</v>
      </c>
      <c r="Y930">
        <v>3</v>
      </c>
      <c r="Z930">
        <v>3</v>
      </c>
      <c r="AA930">
        <v>0</v>
      </c>
      <c r="AB930">
        <v>9</v>
      </c>
      <c r="AC930">
        <v>2</v>
      </c>
      <c r="AD930">
        <v>2</v>
      </c>
      <c r="AE930">
        <v>5</v>
      </c>
      <c r="AF930">
        <v>4</v>
      </c>
      <c r="AG930">
        <v>0</v>
      </c>
      <c r="AH930">
        <v>3</v>
      </c>
      <c r="AI930">
        <v>0</v>
      </c>
      <c r="AJ930" s="19" t="s">
        <v>1567</v>
      </c>
      <c r="AK930" s="19" t="s">
        <v>1562</v>
      </c>
      <c r="AL930">
        <v>2</v>
      </c>
      <c r="AM930" s="19" t="s">
        <v>1564</v>
      </c>
      <c r="AN930">
        <v>4.0127175755386019E-2</v>
      </c>
      <c r="AO930">
        <v>645552</v>
      </c>
    </row>
    <row r="931" spans="1:41" x14ac:dyDescent="0.3">
      <c r="A931" s="19" t="s">
        <v>999</v>
      </c>
      <c r="B931">
        <v>39</v>
      </c>
      <c r="C931" s="19" t="s">
        <v>802</v>
      </c>
      <c r="D931" s="19" t="s">
        <v>55</v>
      </c>
      <c r="E931" s="19" t="s">
        <v>48</v>
      </c>
      <c r="F931">
        <v>412</v>
      </c>
      <c r="G931" s="19" t="s">
        <v>735</v>
      </c>
      <c r="H931">
        <v>13</v>
      </c>
      <c r="I931">
        <v>4</v>
      </c>
      <c r="J931" s="19" t="s">
        <v>58</v>
      </c>
      <c r="K931">
        <v>1307</v>
      </c>
      <c r="L931">
        <v>3</v>
      </c>
      <c r="M931" s="19" t="s">
        <v>59</v>
      </c>
      <c r="N931">
        <v>2</v>
      </c>
      <c r="O931">
        <v>4</v>
      </c>
      <c r="P931" s="19" t="s">
        <v>444</v>
      </c>
      <c r="Q931">
        <v>2</v>
      </c>
      <c r="R931" s="19" t="s">
        <v>113</v>
      </c>
      <c r="S931">
        <v>5432</v>
      </c>
      <c r="T931" s="19" t="s">
        <v>54</v>
      </c>
      <c r="U931">
        <v>33.950000000000003</v>
      </c>
      <c r="V931">
        <v>6</v>
      </c>
      <c r="W931" s="19" t="s">
        <v>47</v>
      </c>
      <c r="X931">
        <v>13</v>
      </c>
      <c r="Y931">
        <v>3</v>
      </c>
      <c r="Z931">
        <v>4</v>
      </c>
      <c r="AA931">
        <v>2</v>
      </c>
      <c r="AB931">
        <v>21</v>
      </c>
      <c r="AC931">
        <v>4</v>
      </c>
      <c r="AD931">
        <v>3</v>
      </c>
      <c r="AE931">
        <v>19</v>
      </c>
      <c r="AF931">
        <v>9</v>
      </c>
      <c r="AG931">
        <v>15</v>
      </c>
      <c r="AH931">
        <v>2</v>
      </c>
      <c r="AI931">
        <v>0</v>
      </c>
      <c r="AJ931" s="19" t="s">
        <v>1571</v>
      </c>
      <c r="AK931" s="19" t="s">
        <v>1570</v>
      </c>
      <c r="AL931">
        <v>3</v>
      </c>
      <c r="AM931" s="19" t="s">
        <v>1568</v>
      </c>
      <c r="AN931">
        <v>-0.89593533560170602</v>
      </c>
      <c r="AO931">
        <v>65184</v>
      </c>
    </row>
    <row r="932" spans="1:41" x14ac:dyDescent="0.3">
      <c r="A932" s="19" t="s">
        <v>1000</v>
      </c>
      <c r="B932">
        <v>39</v>
      </c>
      <c r="C932" s="19" t="s">
        <v>802</v>
      </c>
      <c r="D932" s="19" t="s">
        <v>47</v>
      </c>
      <c r="E932" s="19" t="s">
        <v>48</v>
      </c>
      <c r="F932">
        <v>360</v>
      </c>
      <c r="G932" s="19" t="s">
        <v>735</v>
      </c>
      <c r="H932">
        <v>23</v>
      </c>
      <c r="I932">
        <v>3</v>
      </c>
      <c r="J932" s="19" t="s">
        <v>58</v>
      </c>
      <c r="K932">
        <v>1310</v>
      </c>
      <c r="L932">
        <v>3</v>
      </c>
      <c r="M932" s="19" t="s">
        <v>51</v>
      </c>
      <c r="N932">
        <v>3</v>
      </c>
      <c r="O932">
        <v>1</v>
      </c>
      <c r="P932" s="19" t="s">
        <v>67</v>
      </c>
      <c r="Q932">
        <v>1</v>
      </c>
      <c r="R932" s="19" t="s">
        <v>53</v>
      </c>
      <c r="S932">
        <v>96257</v>
      </c>
      <c r="T932" s="19" t="s">
        <v>70</v>
      </c>
      <c r="U932">
        <v>601.61</v>
      </c>
      <c r="V932">
        <v>0</v>
      </c>
      <c r="W932" s="19" t="s">
        <v>55</v>
      </c>
      <c r="X932">
        <v>13</v>
      </c>
      <c r="Y932">
        <v>3</v>
      </c>
      <c r="Z932">
        <v>1</v>
      </c>
      <c r="AA932">
        <v>0</v>
      </c>
      <c r="AB932">
        <v>6</v>
      </c>
      <c r="AC932">
        <v>2</v>
      </c>
      <c r="AD932">
        <v>3</v>
      </c>
      <c r="AE932">
        <v>5</v>
      </c>
      <c r="AF932">
        <v>2</v>
      </c>
      <c r="AG932">
        <v>0</v>
      </c>
      <c r="AH932">
        <v>3</v>
      </c>
      <c r="AI932">
        <v>1</v>
      </c>
      <c r="AJ932" s="19" t="s">
        <v>1567</v>
      </c>
      <c r="AK932" s="19" t="s">
        <v>1562</v>
      </c>
      <c r="AL932">
        <v>1</v>
      </c>
      <c r="AM932" s="19" t="s">
        <v>1565</v>
      </c>
      <c r="AN932">
        <v>0.93030927600794144</v>
      </c>
      <c r="AO932">
        <v>1155084</v>
      </c>
    </row>
    <row r="933" spans="1:41" x14ac:dyDescent="0.3">
      <c r="A933" s="19" t="s">
        <v>1001</v>
      </c>
      <c r="B933">
        <v>39</v>
      </c>
      <c r="C933" s="19" t="s">
        <v>802</v>
      </c>
      <c r="D933" s="19" t="s">
        <v>55</v>
      </c>
      <c r="E933" s="19" t="s">
        <v>48</v>
      </c>
      <c r="F933">
        <v>524</v>
      </c>
      <c r="G933" s="19" t="s">
        <v>735</v>
      </c>
      <c r="H933">
        <v>18</v>
      </c>
      <c r="I933">
        <v>2</v>
      </c>
      <c r="J933" s="19" t="s">
        <v>50</v>
      </c>
      <c r="K933">
        <v>1322</v>
      </c>
      <c r="L933">
        <v>1</v>
      </c>
      <c r="M933" s="19" t="s">
        <v>51</v>
      </c>
      <c r="N933">
        <v>3</v>
      </c>
      <c r="O933">
        <v>2</v>
      </c>
      <c r="P933" s="19" t="s">
        <v>120</v>
      </c>
      <c r="Q933">
        <v>3</v>
      </c>
      <c r="R933" s="19" t="s">
        <v>53</v>
      </c>
      <c r="S933">
        <v>65291</v>
      </c>
      <c r="T933" s="19" t="s">
        <v>64</v>
      </c>
      <c r="U933">
        <v>408.07</v>
      </c>
      <c r="V933">
        <v>0</v>
      </c>
      <c r="W933" s="19" t="s">
        <v>55</v>
      </c>
      <c r="X933">
        <v>11</v>
      </c>
      <c r="Y933">
        <v>3</v>
      </c>
      <c r="Z933">
        <v>1</v>
      </c>
      <c r="AA933">
        <v>0</v>
      </c>
      <c r="AB933">
        <v>9</v>
      </c>
      <c r="AC933">
        <v>6</v>
      </c>
      <c r="AD933">
        <v>3</v>
      </c>
      <c r="AE933">
        <v>8</v>
      </c>
      <c r="AF933">
        <v>7</v>
      </c>
      <c r="AG933">
        <v>1</v>
      </c>
      <c r="AH933">
        <v>7</v>
      </c>
      <c r="AI933">
        <v>0</v>
      </c>
      <c r="AJ933" s="19" t="s">
        <v>1569</v>
      </c>
      <c r="AK933" s="19" t="s">
        <v>1562</v>
      </c>
      <c r="AL933">
        <v>0</v>
      </c>
      <c r="AM933" s="19" t="s">
        <v>1563</v>
      </c>
      <c r="AN933">
        <v>0.47399266968800163</v>
      </c>
      <c r="AO933">
        <v>783492</v>
      </c>
    </row>
    <row r="934" spans="1:41" x14ac:dyDescent="0.3">
      <c r="A934" s="19" t="s">
        <v>1002</v>
      </c>
      <c r="B934">
        <v>39</v>
      </c>
      <c r="C934" s="19" t="s">
        <v>802</v>
      </c>
      <c r="D934" s="19" t="s">
        <v>55</v>
      </c>
      <c r="E934" s="19" t="s">
        <v>48</v>
      </c>
      <c r="F934">
        <v>1498</v>
      </c>
      <c r="G934" s="19" t="s">
        <v>932</v>
      </c>
      <c r="H934">
        <v>21</v>
      </c>
      <c r="I934">
        <v>4</v>
      </c>
      <c r="J934" s="19" t="s">
        <v>50</v>
      </c>
      <c r="K934">
        <v>1390</v>
      </c>
      <c r="L934">
        <v>1</v>
      </c>
      <c r="M934" s="19" t="s">
        <v>51</v>
      </c>
      <c r="N934">
        <v>2</v>
      </c>
      <c r="O934">
        <v>2</v>
      </c>
      <c r="P934" s="19" t="s">
        <v>145</v>
      </c>
      <c r="Q934">
        <v>4</v>
      </c>
      <c r="R934" s="19" t="s">
        <v>113</v>
      </c>
      <c r="S934">
        <v>80104</v>
      </c>
      <c r="T934" s="19" t="s">
        <v>64</v>
      </c>
      <c r="U934">
        <v>500.65</v>
      </c>
      <c r="V934">
        <v>3</v>
      </c>
      <c r="W934" s="19" t="s">
        <v>47</v>
      </c>
      <c r="X934">
        <v>12</v>
      </c>
      <c r="Y934">
        <v>3</v>
      </c>
      <c r="Z934">
        <v>4</v>
      </c>
      <c r="AA934">
        <v>2</v>
      </c>
      <c r="AB934">
        <v>8</v>
      </c>
      <c r="AC934">
        <v>2</v>
      </c>
      <c r="AD934">
        <v>4</v>
      </c>
      <c r="AE934">
        <v>5</v>
      </c>
      <c r="AF934">
        <v>4</v>
      </c>
      <c r="AG934">
        <v>1</v>
      </c>
      <c r="AH934">
        <v>4</v>
      </c>
      <c r="AI934">
        <v>0</v>
      </c>
      <c r="AJ934" s="19" t="s">
        <v>1567</v>
      </c>
      <c r="AK934" s="19" t="s">
        <v>1562</v>
      </c>
      <c r="AL934">
        <v>1</v>
      </c>
      <c r="AM934" s="19" t="s">
        <v>1565</v>
      </c>
      <c r="AN934">
        <v>0.63284376922234287</v>
      </c>
      <c r="AO934">
        <v>961248</v>
      </c>
    </row>
    <row r="935" spans="1:41" x14ac:dyDescent="0.3">
      <c r="A935" s="19" t="s">
        <v>1003</v>
      </c>
      <c r="B935">
        <v>39</v>
      </c>
      <c r="C935" s="19" t="s">
        <v>802</v>
      </c>
      <c r="D935" s="19" t="s">
        <v>55</v>
      </c>
      <c r="E935" s="19" t="s">
        <v>66</v>
      </c>
      <c r="F935">
        <v>1485</v>
      </c>
      <c r="G935" s="19" t="s">
        <v>735</v>
      </c>
      <c r="H935">
        <v>25</v>
      </c>
      <c r="I935">
        <v>2</v>
      </c>
      <c r="J935" s="19" t="s">
        <v>50</v>
      </c>
      <c r="K935">
        <v>1397</v>
      </c>
      <c r="L935">
        <v>3</v>
      </c>
      <c r="M935" s="19" t="s">
        <v>51</v>
      </c>
      <c r="N935">
        <v>3</v>
      </c>
      <c r="O935">
        <v>3</v>
      </c>
      <c r="P935" s="19" t="s">
        <v>168</v>
      </c>
      <c r="Q935">
        <v>3</v>
      </c>
      <c r="R935" s="19" t="s">
        <v>113</v>
      </c>
      <c r="S935">
        <v>60399</v>
      </c>
      <c r="T935" s="19" t="s">
        <v>64</v>
      </c>
      <c r="U935">
        <v>377.49</v>
      </c>
      <c r="V935">
        <v>3</v>
      </c>
      <c r="W935" s="19" t="s">
        <v>55</v>
      </c>
      <c r="X935">
        <v>21</v>
      </c>
      <c r="Y935">
        <v>4</v>
      </c>
      <c r="Z935">
        <v>2</v>
      </c>
      <c r="AA935">
        <v>1</v>
      </c>
      <c r="AB935">
        <v>13</v>
      </c>
      <c r="AC935">
        <v>2</v>
      </c>
      <c r="AD935">
        <v>3</v>
      </c>
      <c r="AE935">
        <v>6</v>
      </c>
      <c r="AF935">
        <v>4</v>
      </c>
      <c r="AG935">
        <v>0</v>
      </c>
      <c r="AH935">
        <v>5</v>
      </c>
      <c r="AI935">
        <v>0</v>
      </c>
      <c r="AJ935" s="19" t="s">
        <v>1569</v>
      </c>
      <c r="AK935" s="19" t="s">
        <v>1562</v>
      </c>
      <c r="AL935">
        <v>0</v>
      </c>
      <c r="AM935" s="19" t="s">
        <v>1563</v>
      </c>
      <c r="AN935">
        <v>0.25337361112758067</v>
      </c>
      <c r="AO935">
        <v>724788</v>
      </c>
    </row>
    <row r="936" spans="1:41" x14ac:dyDescent="0.3">
      <c r="A936" s="19" t="s">
        <v>1004</v>
      </c>
      <c r="B936">
        <v>39</v>
      </c>
      <c r="C936" s="19" t="s">
        <v>802</v>
      </c>
      <c r="D936" s="19" t="s">
        <v>47</v>
      </c>
      <c r="E936" s="19" t="s">
        <v>66</v>
      </c>
      <c r="F936">
        <v>592</v>
      </c>
      <c r="G936" s="19" t="s">
        <v>735</v>
      </c>
      <c r="H936">
        <v>2</v>
      </c>
      <c r="I936">
        <v>3</v>
      </c>
      <c r="J936" s="19" t="s">
        <v>50</v>
      </c>
      <c r="K936">
        <v>1458</v>
      </c>
      <c r="L936">
        <v>1</v>
      </c>
      <c r="M936" s="19" t="s">
        <v>59</v>
      </c>
      <c r="N936">
        <v>2</v>
      </c>
      <c r="O936">
        <v>1</v>
      </c>
      <c r="P936" s="19" t="s">
        <v>52</v>
      </c>
      <c r="Q936">
        <v>1</v>
      </c>
      <c r="R936" s="19" t="s">
        <v>53</v>
      </c>
      <c r="S936">
        <v>80714</v>
      </c>
      <c r="T936" s="19" t="s">
        <v>64</v>
      </c>
      <c r="U936">
        <v>504.46</v>
      </c>
      <c r="V936">
        <v>2</v>
      </c>
      <c r="W936" s="19" t="s">
        <v>47</v>
      </c>
      <c r="X936">
        <v>23</v>
      </c>
      <c r="Y936">
        <v>4</v>
      </c>
      <c r="Z936">
        <v>2</v>
      </c>
      <c r="AA936">
        <v>0</v>
      </c>
      <c r="AB936">
        <v>11</v>
      </c>
      <c r="AC936">
        <v>2</v>
      </c>
      <c r="AD936">
        <v>4</v>
      </c>
      <c r="AE936">
        <v>1</v>
      </c>
      <c r="AF936">
        <v>0</v>
      </c>
      <c r="AG936">
        <v>0</v>
      </c>
      <c r="AH936">
        <v>0</v>
      </c>
      <c r="AI936">
        <v>1</v>
      </c>
      <c r="AJ936" s="19" t="s">
        <v>1561</v>
      </c>
      <c r="AK936" s="19" t="s">
        <v>1562</v>
      </c>
      <c r="AL936">
        <v>2</v>
      </c>
      <c r="AM936" s="19" t="s">
        <v>1564</v>
      </c>
      <c r="AN936">
        <v>0.56057745676110171</v>
      </c>
      <c r="AO936">
        <v>968568</v>
      </c>
    </row>
    <row r="937" spans="1:41" x14ac:dyDescent="0.3">
      <c r="A937" s="19" t="s">
        <v>1005</v>
      </c>
      <c r="B937">
        <v>39</v>
      </c>
      <c r="C937" s="19" t="s">
        <v>802</v>
      </c>
      <c r="D937" s="19" t="s">
        <v>55</v>
      </c>
      <c r="E937" s="19" t="s">
        <v>48</v>
      </c>
      <c r="F937">
        <v>1089</v>
      </c>
      <c r="G937" s="19" t="s">
        <v>735</v>
      </c>
      <c r="H937">
        <v>6</v>
      </c>
      <c r="I937">
        <v>3</v>
      </c>
      <c r="J937" s="19" t="s">
        <v>50</v>
      </c>
      <c r="K937">
        <v>1525</v>
      </c>
      <c r="L937">
        <v>2</v>
      </c>
      <c r="M937" s="19" t="s">
        <v>59</v>
      </c>
      <c r="N937">
        <v>3</v>
      </c>
      <c r="O937">
        <v>3</v>
      </c>
      <c r="P937" s="19" t="s">
        <v>120</v>
      </c>
      <c r="Q937">
        <v>2</v>
      </c>
      <c r="R937" s="19" t="s">
        <v>53</v>
      </c>
      <c r="S937">
        <v>51428</v>
      </c>
      <c r="T937" s="19" t="s">
        <v>64</v>
      </c>
      <c r="U937">
        <v>321.42</v>
      </c>
      <c r="V937">
        <v>4</v>
      </c>
      <c r="W937" s="19" t="s">
        <v>55</v>
      </c>
      <c r="X937">
        <v>18</v>
      </c>
      <c r="Y937">
        <v>3</v>
      </c>
      <c r="Z937">
        <v>4</v>
      </c>
      <c r="AA937">
        <v>0</v>
      </c>
      <c r="AB937">
        <v>9</v>
      </c>
      <c r="AC937">
        <v>3</v>
      </c>
      <c r="AD937">
        <v>3</v>
      </c>
      <c r="AE937">
        <v>2</v>
      </c>
      <c r="AF937">
        <v>0</v>
      </c>
      <c r="AG937">
        <v>2</v>
      </c>
      <c r="AH937">
        <v>2</v>
      </c>
      <c r="AI937">
        <v>0</v>
      </c>
      <c r="AJ937" s="19" t="s">
        <v>1566</v>
      </c>
      <c r="AK937" s="19" t="s">
        <v>1562</v>
      </c>
      <c r="AL937">
        <v>1</v>
      </c>
      <c r="AM937" s="19" t="s">
        <v>1565</v>
      </c>
      <c r="AN937">
        <v>0.16102517983664744</v>
      </c>
      <c r="AO937">
        <v>617136</v>
      </c>
    </row>
    <row r="938" spans="1:41" x14ac:dyDescent="0.3">
      <c r="A938" s="19" t="s">
        <v>1006</v>
      </c>
      <c r="B938">
        <v>39</v>
      </c>
      <c r="C938" s="19" t="s">
        <v>802</v>
      </c>
      <c r="D938" s="19" t="s">
        <v>55</v>
      </c>
      <c r="E938" s="19" t="s">
        <v>48</v>
      </c>
      <c r="F938">
        <v>1462</v>
      </c>
      <c r="G938" s="19" t="s">
        <v>932</v>
      </c>
      <c r="H938">
        <v>6</v>
      </c>
      <c r="I938">
        <v>3</v>
      </c>
      <c r="J938" s="19" t="s">
        <v>58</v>
      </c>
      <c r="K938">
        <v>1588</v>
      </c>
      <c r="L938">
        <v>4</v>
      </c>
      <c r="M938" s="19" t="s">
        <v>51</v>
      </c>
      <c r="N938">
        <v>4</v>
      </c>
      <c r="O938">
        <v>3</v>
      </c>
      <c r="P938" s="19" t="s">
        <v>145</v>
      </c>
      <c r="Q938">
        <v>3</v>
      </c>
      <c r="R938" s="19" t="s">
        <v>113</v>
      </c>
      <c r="S938">
        <v>88731</v>
      </c>
      <c r="T938" s="19" t="s">
        <v>70</v>
      </c>
      <c r="U938">
        <v>554.57000000000005</v>
      </c>
      <c r="V938">
        <v>2</v>
      </c>
      <c r="W938" s="19" t="s">
        <v>55</v>
      </c>
      <c r="X938">
        <v>11</v>
      </c>
      <c r="Y938">
        <v>3</v>
      </c>
      <c r="Z938">
        <v>1</v>
      </c>
      <c r="AA938">
        <v>1</v>
      </c>
      <c r="AB938">
        <v>11</v>
      </c>
      <c r="AC938">
        <v>3</v>
      </c>
      <c r="AD938">
        <v>3</v>
      </c>
      <c r="AE938">
        <v>7</v>
      </c>
      <c r="AF938">
        <v>6</v>
      </c>
      <c r="AG938">
        <v>7</v>
      </c>
      <c r="AH938">
        <v>6</v>
      </c>
      <c r="AI938">
        <v>0</v>
      </c>
      <c r="AJ938" s="19" t="s">
        <v>1569</v>
      </c>
      <c r="AK938" s="19" t="s">
        <v>1570</v>
      </c>
      <c r="AL938">
        <v>1</v>
      </c>
      <c r="AM938" s="19" t="s">
        <v>1565</v>
      </c>
      <c r="AN938">
        <v>0.80869695005078035</v>
      </c>
      <c r="AO938">
        <v>1064772</v>
      </c>
    </row>
    <row r="939" spans="1:41" x14ac:dyDescent="0.3">
      <c r="A939" s="19" t="s">
        <v>1007</v>
      </c>
      <c r="B939">
        <v>39</v>
      </c>
      <c r="C939" s="19" t="s">
        <v>802</v>
      </c>
      <c r="D939" s="19" t="s">
        <v>55</v>
      </c>
      <c r="E939" s="19" t="s">
        <v>48</v>
      </c>
      <c r="F939">
        <v>1387</v>
      </c>
      <c r="G939" s="19" t="s">
        <v>735</v>
      </c>
      <c r="H939">
        <v>10</v>
      </c>
      <c r="I939">
        <v>5</v>
      </c>
      <c r="J939" s="19" t="s">
        <v>58</v>
      </c>
      <c r="K939">
        <v>1618</v>
      </c>
      <c r="L939">
        <v>2</v>
      </c>
      <c r="M939" s="19" t="s">
        <v>51</v>
      </c>
      <c r="N939">
        <v>3</v>
      </c>
      <c r="O939">
        <v>2</v>
      </c>
      <c r="P939" s="19" t="s">
        <v>120</v>
      </c>
      <c r="Q939">
        <v>1</v>
      </c>
      <c r="R939" s="19" t="s">
        <v>113</v>
      </c>
      <c r="S939">
        <v>1302</v>
      </c>
      <c r="T939" s="19" t="s">
        <v>54</v>
      </c>
      <c r="U939">
        <v>8.14</v>
      </c>
      <c r="V939">
        <v>2</v>
      </c>
      <c r="W939" s="19" t="s">
        <v>55</v>
      </c>
      <c r="X939">
        <v>13</v>
      </c>
      <c r="Y939">
        <v>3</v>
      </c>
      <c r="Z939">
        <v>4</v>
      </c>
      <c r="AA939">
        <v>3</v>
      </c>
      <c r="AB939">
        <v>10</v>
      </c>
      <c r="AC939">
        <v>3</v>
      </c>
      <c r="AD939">
        <v>3</v>
      </c>
      <c r="AE939">
        <v>7</v>
      </c>
      <c r="AF939">
        <v>7</v>
      </c>
      <c r="AG939">
        <v>7</v>
      </c>
      <c r="AH939">
        <v>7</v>
      </c>
      <c r="AI939">
        <v>0</v>
      </c>
      <c r="AJ939" s="19" t="s">
        <v>1569</v>
      </c>
      <c r="AK939" s="19" t="s">
        <v>1570</v>
      </c>
      <c r="AL939">
        <v>2</v>
      </c>
      <c r="AM939" s="19" t="s">
        <v>1564</v>
      </c>
      <c r="AN939">
        <v>-0.97060638593475701</v>
      </c>
      <c r="AO939">
        <v>15624</v>
      </c>
    </row>
    <row r="940" spans="1:41" x14ac:dyDescent="0.3">
      <c r="A940" s="19" t="s">
        <v>1008</v>
      </c>
      <c r="B940">
        <v>39</v>
      </c>
      <c r="C940" s="19" t="s">
        <v>802</v>
      </c>
      <c r="D940" s="19" t="s">
        <v>55</v>
      </c>
      <c r="E940" s="19" t="s">
        <v>48</v>
      </c>
      <c r="F940">
        <v>170</v>
      </c>
      <c r="G940" s="19" t="s">
        <v>735</v>
      </c>
      <c r="H940">
        <v>3</v>
      </c>
      <c r="I940">
        <v>2</v>
      </c>
      <c r="J940" s="19" t="s">
        <v>58</v>
      </c>
      <c r="K940">
        <v>1627</v>
      </c>
      <c r="L940">
        <v>3</v>
      </c>
      <c r="M940" s="19" t="s">
        <v>51</v>
      </c>
      <c r="N940">
        <v>2</v>
      </c>
      <c r="O940">
        <v>2</v>
      </c>
      <c r="P940" s="19" t="s">
        <v>52</v>
      </c>
      <c r="Q940">
        <v>3</v>
      </c>
      <c r="R940" s="19" t="s">
        <v>113</v>
      </c>
      <c r="S940">
        <v>83558</v>
      </c>
      <c r="T940" s="19" t="s">
        <v>70</v>
      </c>
      <c r="U940">
        <v>522.24</v>
      </c>
      <c r="V940">
        <v>0</v>
      </c>
      <c r="W940" s="19" t="s">
        <v>55</v>
      </c>
      <c r="X940">
        <v>15</v>
      </c>
      <c r="Y940">
        <v>3</v>
      </c>
      <c r="Z940">
        <v>4</v>
      </c>
      <c r="AA940">
        <v>1</v>
      </c>
      <c r="AB940">
        <v>11</v>
      </c>
      <c r="AC940">
        <v>3</v>
      </c>
      <c r="AD940">
        <v>3</v>
      </c>
      <c r="AE940">
        <v>10</v>
      </c>
      <c r="AF940">
        <v>8</v>
      </c>
      <c r="AG940">
        <v>0</v>
      </c>
      <c r="AH940">
        <v>7</v>
      </c>
      <c r="AI940">
        <v>0</v>
      </c>
      <c r="AJ940" s="19" t="s">
        <v>1569</v>
      </c>
      <c r="AK940" s="19" t="s">
        <v>1562</v>
      </c>
      <c r="AL940">
        <v>0</v>
      </c>
      <c r="AM940" s="19" t="s">
        <v>1563</v>
      </c>
      <c r="AN940">
        <v>0.6155652195659258</v>
      </c>
      <c r="AO940">
        <v>1002696</v>
      </c>
    </row>
    <row r="941" spans="1:41" x14ac:dyDescent="0.3">
      <c r="A941" s="19" t="s">
        <v>1009</v>
      </c>
      <c r="B941">
        <v>39</v>
      </c>
      <c r="C941" s="19" t="s">
        <v>802</v>
      </c>
      <c r="D941" s="19" t="s">
        <v>55</v>
      </c>
      <c r="E941" s="19" t="s">
        <v>62</v>
      </c>
      <c r="F941">
        <v>711</v>
      </c>
      <c r="G941" s="19" t="s">
        <v>735</v>
      </c>
      <c r="H941">
        <v>4</v>
      </c>
      <c r="I941">
        <v>3</v>
      </c>
      <c r="J941" s="19" t="s">
        <v>58</v>
      </c>
      <c r="K941">
        <v>1633</v>
      </c>
      <c r="L941">
        <v>1</v>
      </c>
      <c r="M941" s="19" t="s">
        <v>59</v>
      </c>
      <c r="N941">
        <v>3</v>
      </c>
      <c r="O941">
        <v>2</v>
      </c>
      <c r="P941" s="19" t="s">
        <v>120</v>
      </c>
      <c r="Q941">
        <v>3</v>
      </c>
      <c r="R941" s="19" t="s">
        <v>53</v>
      </c>
      <c r="S941">
        <v>1055</v>
      </c>
      <c r="T941" s="19" t="s">
        <v>54</v>
      </c>
      <c r="U941">
        <v>6.59</v>
      </c>
      <c r="V941">
        <v>0</v>
      </c>
      <c r="W941" s="19" t="s">
        <v>55</v>
      </c>
      <c r="X941">
        <v>13</v>
      </c>
      <c r="Y941">
        <v>3</v>
      </c>
      <c r="Z941">
        <v>4</v>
      </c>
      <c r="AA941">
        <v>0</v>
      </c>
      <c r="AB941">
        <v>10</v>
      </c>
      <c r="AC941">
        <v>2</v>
      </c>
      <c r="AD941">
        <v>1</v>
      </c>
      <c r="AE941">
        <v>9</v>
      </c>
      <c r="AF941">
        <v>2</v>
      </c>
      <c r="AG941">
        <v>3</v>
      </c>
      <c r="AH941">
        <v>8</v>
      </c>
      <c r="AI941">
        <v>0</v>
      </c>
      <c r="AJ941" s="19" t="s">
        <v>1569</v>
      </c>
      <c r="AK941" s="19" t="s">
        <v>1570</v>
      </c>
      <c r="AL941">
        <v>2</v>
      </c>
      <c r="AM941" s="19" t="s">
        <v>1564</v>
      </c>
      <c r="AN941">
        <v>-0.97618259382578243</v>
      </c>
      <c r="AO941">
        <v>12660</v>
      </c>
    </row>
    <row r="942" spans="1:41" x14ac:dyDescent="0.3">
      <c r="A942" s="19" t="s">
        <v>1010</v>
      </c>
      <c r="B942">
        <v>39</v>
      </c>
      <c r="C942" s="19" t="s">
        <v>802</v>
      </c>
      <c r="D942" s="19" t="s">
        <v>55</v>
      </c>
      <c r="E942" s="19" t="s">
        <v>48</v>
      </c>
      <c r="F942">
        <v>492</v>
      </c>
      <c r="G942" s="19" t="s">
        <v>735</v>
      </c>
      <c r="H942">
        <v>12</v>
      </c>
      <c r="I942">
        <v>3</v>
      </c>
      <c r="J942" s="19" t="s">
        <v>58</v>
      </c>
      <c r="K942">
        <v>1654</v>
      </c>
      <c r="L942">
        <v>4</v>
      </c>
      <c r="M942" s="19" t="s">
        <v>51</v>
      </c>
      <c r="N942">
        <v>3</v>
      </c>
      <c r="O942">
        <v>2</v>
      </c>
      <c r="P942" s="19" t="s">
        <v>120</v>
      </c>
      <c r="Q942">
        <v>2</v>
      </c>
      <c r="R942" s="19" t="s">
        <v>113</v>
      </c>
      <c r="S942">
        <v>9717</v>
      </c>
      <c r="T942" s="19" t="s">
        <v>54</v>
      </c>
      <c r="U942">
        <v>60.73</v>
      </c>
      <c r="V942">
        <v>4</v>
      </c>
      <c r="W942" s="19" t="s">
        <v>55</v>
      </c>
      <c r="X942">
        <v>21</v>
      </c>
      <c r="Y942">
        <v>4</v>
      </c>
      <c r="Z942">
        <v>3</v>
      </c>
      <c r="AA942">
        <v>0</v>
      </c>
      <c r="AB942">
        <v>7</v>
      </c>
      <c r="AC942">
        <v>3</v>
      </c>
      <c r="AD942">
        <v>3</v>
      </c>
      <c r="AE942">
        <v>5</v>
      </c>
      <c r="AF942">
        <v>4</v>
      </c>
      <c r="AG942">
        <v>1</v>
      </c>
      <c r="AH942">
        <v>0</v>
      </c>
      <c r="AI942">
        <v>0</v>
      </c>
      <c r="AJ942" s="19" t="s">
        <v>1567</v>
      </c>
      <c r="AK942" s="19" t="s">
        <v>1562</v>
      </c>
      <c r="AL942">
        <v>1</v>
      </c>
      <c r="AM942" s="19" t="s">
        <v>1565</v>
      </c>
      <c r="AN942">
        <v>-0.78063153005225361</v>
      </c>
      <c r="AO942">
        <v>116604</v>
      </c>
    </row>
    <row r="943" spans="1:41" x14ac:dyDescent="0.3">
      <c r="A943" s="19" t="s">
        <v>1011</v>
      </c>
      <c r="B943">
        <v>39</v>
      </c>
      <c r="C943" s="19" t="s">
        <v>802</v>
      </c>
      <c r="D943" s="19" t="s">
        <v>55</v>
      </c>
      <c r="E943" s="19" t="s">
        <v>66</v>
      </c>
      <c r="F943">
        <v>792</v>
      </c>
      <c r="G943" s="19" t="s">
        <v>735</v>
      </c>
      <c r="H943">
        <v>1</v>
      </c>
      <c r="I943">
        <v>3</v>
      </c>
      <c r="J943" s="19" t="s">
        <v>50</v>
      </c>
      <c r="K943">
        <v>1737</v>
      </c>
      <c r="L943">
        <v>4</v>
      </c>
      <c r="M943" s="19" t="s">
        <v>51</v>
      </c>
      <c r="N943">
        <v>3</v>
      </c>
      <c r="O943">
        <v>2</v>
      </c>
      <c r="P943" s="19" t="s">
        <v>52</v>
      </c>
      <c r="Q943">
        <v>4</v>
      </c>
      <c r="R943" s="19" t="s">
        <v>113</v>
      </c>
      <c r="S943">
        <v>29699</v>
      </c>
      <c r="T943" s="19" t="s">
        <v>72</v>
      </c>
      <c r="U943">
        <v>185.62</v>
      </c>
      <c r="V943">
        <v>1</v>
      </c>
      <c r="W943" s="19" t="s">
        <v>47</v>
      </c>
      <c r="X943">
        <v>15</v>
      </c>
      <c r="Y943">
        <v>3</v>
      </c>
      <c r="Z943">
        <v>4</v>
      </c>
      <c r="AA943">
        <v>1</v>
      </c>
      <c r="AB943">
        <v>9</v>
      </c>
      <c r="AC943">
        <v>2</v>
      </c>
      <c r="AD943">
        <v>3</v>
      </c>
      <c r="AE943">
        <v>9</v>
      </c>
      <c r="AF943">
        <v>8</v>
      </c>
      <c r="AG943">
        <v>5</v>
      </c>
      <c r="AH943">
        <v>8</v>
      </c>
      <c r="AI943">
        <v>0</v>
      </c>
      <c r="AJ943" s="19" t="s">
        <v>1569</v>
      </c>
      <c r="AK943" s="19" t="s">
        <v>1570</v>
      </c>
      <c r="AL943">
        <v>2</v>
      </c>
      <c r="AM943" s="19" t="s">
        <v>1564</v>
      </c>
      <c r="AN943">
        <v>-0.42578003954273164</v>
      </c>
      <c r="AO943">
        <v>356388</v>
      </c>
    </row>
    <row r="944" spans="1:41" x14ac:dyDescent="0.3">
      <c r="A944" s="19" t="s">
        <v>1012</v>
      </c>
      <c r="B944">
        <v>39</v>
      </c>
      <c r="C944" s="19" t="s">
        <v>802</v>
      </c>
      <c r="D944" s="19" t="s">
        <v>55</v>
      </c>
      <c r="E944" s="19" t="s">
        <v>48</v>
      </c>
      <c r="F944">
        <v>1253</v>
      </c>
      <c r="G944" s="19" t="s">
        <v>735</v>
      </c>
      <c r="H944">
        <v>10</v>
      </c>
      <c r="I944">
        <v>1</v>
      </c>
      <c r="J944" s="19" t="s">
        <v>58</v>
      </c>
      <c r="K944">
        <v>1800</v>
      </c>
      <c r="L944">
        <v>3</v>
      </c>
      <c r="M944" s="19" t="s">
        <v>51</v>
      </c>
      <c r="N944">
        <v>3</v>
      </c>
      <c r="O944">
        <v>3</v>
      </c>
      <c r="P944" s="19" t="s">
        <v>257</v>
      </c>
      <c r="Q944">
        <v>3</v>
      </c>
      <c r="R944" s="19" t="s">
        <v>53</v>
      </c>
      <c r="S944">
        <v>74686</v>
      </c>
      <c r="T944" s="19" t="s">
        <v>64</v>
      </c>
      <c r="U944">
        <v>466.79</v>
      </c>
      <c r="V944">
        <v>7</v>
      </c>
      <c r="W944" s="19" t="s">
        <v>55</v>
      </c>
      <c r="X944">
        <v>21</v>
      </c>
      <c r="Y944">
        <v>4</v>
      </c>
      <c r="Z944">
        <v>3</v>
      </c>
      <c r="AA944">
        <v>0</v>
      </c>
      <c r="AB944">
        <v>9</v>
      </c>
      <c r="AC944">
        <v>3</v>
      </c>
      <c r="AD944">
        <v>3</v>
      </c>
      <c r="AE944">
        <v>4</v>
      </c>
      <c r="AF944">
        <v>3</v>
      </c>
      <c r="AG944">
        <v>2</v>
      </c>
      <c r="AH944">
        <v>2</v>
      </c>
      <c r="AI944">
        <v>0</v>
      </c>
      <c r="AJ944" s="19" t="s">
        <v>1567</v>
      </c>
      <c r="AK944" s="19" t="s">
        <v>1562</v>
      </c>
      <c r="AL944">
        <v>0</v>
      </c>
      <c r="AM944" s="19" t="s">
        <v>1563</v>
      </c>
      <c r="AN944">
        <v>0.47417029069001448</v>
      </c>
      <c r="AO944">
        <v>896232</v>
      </c>
    </row>
    <row r="945" spans="1:41" x14ac:dyDescent="0.3">
      <c r="A945" s="19" t="s">
        <v>1013</v>
      </c>
      <c r="B945">
        <v>39</v>
      </c>
      <c r="C945" s="19" t="s">
        <v>802</v>
      </c>
      <c r="D945" s="19" t="s">
        <v>55</v>
      </c>
      <c r="E945" s="19" t="s">
        <v>62</v>
      </c>
      <c r="F945">
        <v>766</v>
      </c>
      <c r="G945" s="19" t="s">
        <v>932</v>
      </c>
      <c r="H945">
        <v>20</v>
      </c>
      <c r="I945">
        <v>3</v>
      </c>
      <c r="J945" s="19" t="s">
        <v>50</v>
      </c>
      <c r="K945">
        <v>1812</v>
      </c>
      <c r="L945">
        <v>3</v>
      </c>
      <c r="M945" s="19" t="s">
        <v>51</v>
      </c>
      <c r="N945">
        <v>3</v>
      </c>
      <c r="O945">
        <v>2</v>
      </c>
      <c r="P945" s="19" t="s">
        <v>145</v>
      </c>
      <c r="Q945">
        <v>4</v>
      </c>
      <c r="R945" s="19" t="s">
        <v>53</v>
      </c>
      <c r="S945">
        <v>68661</v>
      </c>
      <c r="T945" s="19" t="s">
        <v>64</v>
      </c>
      <c r="U945">
        <v>429.13</v>
      </c>
      <c r="V945">
        <v>2</v>
      </c>
      <c r="W945" s="19" t="s">
        <v>55</v>
      </c>
      <c r="X945">
        <v>18</v>
      </c>
      <c r="Y945">
        <v>3</v>
      </c>
      <c r="Z945">
        <v>4</v>
      </c>
      <c r="AA945">
        <v>1</v>
      </c>
      <c r="AB945">
        <v>7</v>
      </c>
      <c r="AC945">
        <v>6</v>
      </c>
      <c r="AD945">
        <v>3</v>
      </c>
      <c r="AE945">
        <v>2</v>
      </c>
      <c r="AF945">
        <v>1</v>
      </c>
      <c r="AG945">
        <v>2</v>
      </c>
      <c r="AH945">
        <v>2</v>
      </c>
      <c r="AI945">
        <v>0</v>
      </c>
      <c r="AJ945" s="19" t="s">
        <v>1566</v>
      </c>
      <c r="AK945" s="19" t="s">
        <v>1562</v>
      </c>
      <c r="AL945">
        <v>0</v>
      </c>
      <c r="AM945" s="19" t="s">
        <v>1563</v>
      </c>
      <c r="AN945">
        <v>0.39958910963965949</v>
      </c>
      <c r="AO945">
        <v>823932</v>
      </c>
    </row>
    <row r="946" spans="1:41" x14ac:dyDescent="0.3">
      <c r="A946" s="19" t="s">
        <v>1014</v>
      </c>
      <c r="B946">
        <v>39</v>
      </c>
      <c r="C946" s="19" t="s">
        <v>802</v>
      </c>
      <c r="D946" s="19" t="s">
        <v>55</v>
      </c>
      <c r="E946" s="19" t="s">
        <v>48</v>
      </c>
      <c r="F946">
        <v>835</v>
      </c>
      <c r="G946" s="19" t="s">
        <v>735</v>
      </c>
      <c r="H946">
        <v>19</v>
      </c>
      <c r="I946">
        <v>4</v>
      </c>
      <c r="J946" s="19" t="s">
        <v>82</v>
      </c>
      <c r="K946">
        <v>1871</v>
      </c>
      <c r="L946">
        <v>4</v>
      </c>
      <c r="M946" s="19" t="s">
        <v>51</v>
      </c>
      <c r="N946">
        <v>3</v>
      </c>
      <c r="O946">
        <v>2</v>
      </c>
      <c r="P946" s="19" t="s">
        <v>67</v>
      </c>
      <c r="Q946">
        <v>4</v>
      </c>
      <c r="R946" s="19" t="s">
        <v>113</v>
      </c>
      <c r="S946">
        <v>45247</v>
      </c>
      <c r="T946" s="19" t="s">
        <v>72</v>
      </c>
      <c r="U946">
        <v>282.79000000000002</v>
      </c>
      <c r="V946">
        <v>8</v>
      </c>
      <c r="W946" s="19" t="s">
        <v>55</v>
      </c>
      <c r="X946">
        <v>14</v>
      </c>
      <c r="Y946">
        <v>3</v>
      </c>
      <c r="Z946">
        <v>2</v>
      </c>
      <c r="AA946">
        <v>3</v>
      </c>
      <c r="AB946">
        <v>7</v>
      </c>
      <c r="AC946">
        <v>2</v>
      </c>
      <c r="AD946">
        <v>3</v>
      </c>
      <c r="AE946">
        <v>2</v>
      </c>
      <c r="AF946">
        <v>2</v>
      </c>
      <c r="AG946">
        <v>2</v>
      </c>
      <c r="AH946">
        <v>2</v>
      </c>
      <c r="AI946">
        <v>0</v>
      </c>
      <c r="AJ946" s="19" t="s">
        <v>1566</v>
      </c>
      <c r="AK946" s="19" t="s">
        <v>1562</v>
      </c>
      <c r="AL946">
        <v>0</v>
      </c>
      <c r="AM946" s="19" t="s">
        <v>1563</v>
      </c>
      <c r="AN946">
        <v>-9.2630106781518978E-2</v>
      </c>
      <c r="AO946">
        <v>542964</v>
      </c>
    </row>
    <row r="947" spans="1:41" x14ac:dyDescent="0.3">
      <c r="A947" s="19" t="s">
        <v>1015</v>
      </c>
      <c r="B947">
        <v>39</v>
      </c>
      <c r="C947" s="19" t="s">
        <v>802</v>
      </c>
      <c r="D947" s="19" t="s">
        <v>55</v>
      </c>
      <c r="E947" s="19" t="s">
        <v>66</v>
      </c>
      <c r="F947">
        <v>1251</v>
      </c>
      <c r="G947" s="19" t="s">
        <v>932</v>
      </c>
      <c r="H947">
        <v>21</v>
      </c>
      <c r="I947">
        <v>4</v>
      </c>
      <c r="J947" s="19" t="s">
        <v>50</v>
      </c>
      <c r="K947">
        <v>1929</v>
      </c>
      <c r="L947">
        <v>1</v>
      </c>
      <c r="M947" s="19" t="s">
        <v>59</v>
      </c>
      <c r="N947">
        <v>1</v>
      </c>
      <c r="O947">
        <v>2</v>
      </c>
      <c r="P947" s="19" t="s">
        <v>145</v>
      </c>
      <c r="Q947">
        <v>3</v>
      </c>
      <c r="R947" s="19" t="s">
        <v>113</v>
      </c>
      <c r="S947">
        <v>17748</v>
      </c>
      <c r="T947" s="19" t="s">
        <v>54</v>
      </c>
      <c r="U947">
        <v>110.92</v>
      </c>
      <c r="V947">
        <v>6</v>
      </c>
      <c r="W947" s="19" t="s">
        <v>55</v>
      </c>
      <c r="X947">
        <v>19</v>
      </c>
      <c r="Y947">
        <v>3</v>
      </c>
      <c r="Z947">
        <v>3</v>
      </c>
      <c r="AA947">
        <v>1</v>
      </c>
      <c r="AB947">
        <v>10</v>
      </c>
      <c r="AC947">
        <v>1</v>
      </c>
      <c r="AD947">
        <v>3</v>
      </c>
      <c r="AE947">
        <v>3</v>
      </c>
      <c r="AF947">
        <v>2</v>
      </c>
      <c r="AG947">
        <v>1</v>
      </c>
      <c r="AH947">
        <v>2</v>
      </c>
      <c r="AI947">
        <v>0</v>
      </c>
      <c r="AJ947" s="19" t="s">
        <v>1566</v>
      </c>
      <c r="AK947" s="19" t="s">
        <v>1562</v>
      </c>
      <c r="AL947">
        <v>0</v>
      </c>
      <c r="AM947" s="19" t="s">
        <v>1563</v>
      </c>
      <c r="AN947">
        <v>-0.63822391870370843</v>
      </c>
      <c r="AO947">
        <v>212976</v>
      </c>
    </row>
    <row r="948" spans="1:41" x14ac:dyDescent="0.3">
      <c r="A948" s="19" t="s">
        <v>1016</v>
      </c>
      <c r="B948">
        <v>39</v>
      </c>
      <c r="C948" s="19" t="s">
        <v>802</v>
      </c>
      <c r="D948" s="19" t="s">
        <v>55</v>
      </c>
      <c r="E948" s="19" t="s">
        <v>48</v>
      </c>
      <c r="F948">
        <v>867</v>
      </c>
      <c r="G948" s="19" t="s">
        <v>735</v>
      </c>
      <c r="H948">
        <v>9</v>
      </c>
      <c r="I948">
        <v>2</v>
      </c>
      <c r="J948" s="19" t="s">
        <v>58</v>
      </c>
      <c r="K948">
        <v>1936</v>
      </c>
      <c r="L948">
        <v>1</v>
      </c>
      <c r="M948" s="19" t="s">
        <v>51</v>
      </c>
      <c r="N948">
        <v>3</v>
      </c>
      <c r="O948">
        <v>2</v>
      </c>
      <c r="P948" s="19" t="s">
        <v>120</v>
      </c>
      <c r="Q948">
        <v>1</v>
      </c>
      <c r="R948" s="19" t="s">
        <v>113</v>
      </c>
      <c r="S948">
        <v>5621</v>
      </c>
      <c r="T948" s="19" t="s">
        <v>54</v>
      </c>
      <c r="U948">
        <v>35.130000000000003</v>
      </c>
      <c r="V948">
        <v>1</v>
      </c>
      <c r="W948" s="19" t="s">
        <v>55</v>
      </c>
      <c r="X948">
        <v>25</v>
      </c>
      <c r="Y948">
        <v>4</v>
      </c>
      <c r="Z948">
        <v>4</v>
      </c>
      <c r="AA948">
        <v>1</v>
      </c>
      <c r="AB948">
        <v>10</v>
      </c>
      <c r="AC948">
        <v>3</v>
      </c>
      <c r="AD948">
        <v>3</v>
      </c>
      <c r="AE948">
        <v>10</v>
      </c>
      <c r="AF948">
        <v>0</v>
      </c>
      <c r="AG948">
        <v>7</v>
      </c>
      <c r="AH948">
        <v>9</v>
      </c>
      <c r="AI948">
        <v>0</v>
      </c>
      <c r="AJ948" s="19" t="s">
        <v>1569</v>
      </c>
      <c r="AK948" s="19" t="s">
        <v>1570</v>
      </c>
      <c r="AL948">
        <v>2</v>
      </c>
      <c r="AM948" s="19" t="s">
        <v>1564</v>
      </c>
      <c r="AN948">
        <v>-0.87310176293338659</v>
      </c>
      <c r="AO948">
        <v>67452</v>
      </c>
    </row>
    <row r="949" spans="1:41" x14ac:dyDescent="0.3">
      <c r="A949" s="19" t="s">
        <v>1017</v>
      </c>
      <c r="B949">
        <v>39</v>
      </c>
      <c r="C949" s="19" t="s">
        <v>802</v>
      </c>
      <c r="D949" s="19" t="s">
        <v>55</v>
      </c>
      <c r="E949" s="19" t="s">
        <v>48</v>
      </c>
      <c r="F949">
        <v>119</v>
      </c>
      <c r="G949" s="19" t="s">
        <v>932</v>
      </c>
      <c r="H949">
        <v>15</v>
      </c>
      <c r="I949">
        <v>4</v>
      </c>
      <c r="J949" s="19" t="s">
        <v>63</v>
      </c>
      <c r="K949">
        <v>1975</v>
      </c>
      <c r="L949">
        <v>2</v>
      </c>
      <c r="M949" s="19" t="s">
        <v>51</v>
      </c>
      <c r="N949">
        <v>3</v>
      </c>
      <c r="O949">
        <v>4</v>
      </c>
      <c r="P949" s="19" t="s">
        <v>145</v>
      </c>
      <c r="Q949">
        <v>1</v>
      </c>
      <c r="R949" s="19" t="s">
        <v>53</v>
      </c>
      <c r="S949">
        <v>16034</v>
      </c>
      <c r="T949" s="19" t="s">
        <v>54</v>
      </c>
      <c r="U949">
        <v>100.21</v>
      </c>
      <c r="V949">
        <v>0</v>
      </c>
      <c r="W949" s="19" t="s">
        <v>55</v>
      </c>
      <c r="X949">
        <v>12</v>
      </c>
      <c r="Y949">
        <v>3</v>
      </c>
      <c r="Z949">
        <v>1</v>
      </c>
      <c r="AA949">
        <v>0</v>
      </c>
      <c r="AB949">
        <v>21</v>
      </c>
      <c r="AC949">
        <v>3</v>
      </c>
      <c r="AD949">
        <v>3</v>
      </c>
      <c r="AE949">
        <v>20</v>
      </c>
      <c r="AF949">
        <v>8</v>
      </c>
      <c r="AG949">
        <v>11</v>
      </c>
      <c r="AH949">
        <v>10</v>
      </c>
      <c r="AI949">
        <v>0</v>
      </c>
      <c r="AJ949" s="19" t="s">
        <v>1571</v>
      </c>
      <c r="AK949" s="19" t="s">
        <v>1570</v>
      </c>
      <c r="AL949">
        <v>2</v>
      </c>
      <c r="AM949" s="19" t="s">
        <v>1564</v>
      </c>
      <c r="AN949">
        <v>-0.67316217672387091</v>
      </c>
      <c r="AO949">
        <v>192408</v>
      </c>
    </row>
    <row r="950" spans="1:41" x14ac:dyDescent="0.3">
      <c r="A950" s="19" t="s">
        <v>1018</v>
      </c>
      <c r="B950">
        <v>39</v>
      </c>
      <c r="C950" s="19" t="s">
        <v>802</v>
      </c>
      <c r="D950" s="19" t="s">
        <v>55</v>
      </c>
      <c r="E950" s="19" t="s">
        <v>48</v>
      </c>
      <c r="F950">
        <v>116</v>
      </c>
      <c r="G950" s="19" t="s">
        <v>735</v>
      </c>
      <c r="H950">
        <v>24</v>
      </c>
      <c r="I950">
        <v>1</v>
      </c>
      <c r="J950" s="19" t="s">
        <v>50</v>
      </c>
      <c r="K950">
        <v>2014</v>
      </c>
      <c r="L950">
        <v>1</v>
      </c>
      <c r="M950" s="19" t="s">
        <v>51</v>
      </c>
      <c r="N950">
        <v>3</v>
      </c>
      <c r="O950">
        <v>2</v>
      </c>
      <c r="P950" s="19" t="s">
        <v>67</v>
      </c>
      <c r="Q950">
        <v>4</v>
      </c>
      <c r="R950" s="19" t="s">
        <v>53</v>
      </c>
      <c r="S950">
        <v>6126</v>
      </c>
      <c r="T950" s="19" t="s">
        <v>54</v>
      </c>
      <c r="U950">
        <v>38.29</v>
      </c>
      <c r="V950">
        <v>7</v>
      </c>
      <c r="W950" s="19" t="s">
        <v>55</v>
      </c>
      <c r="X950">
        <v>13</v>
      </c>
      <c r="Y950">
        <v>3</v>
      </c>
      <c r="Z950">
        <v>1</v>
      </c>
      <c r="AA950">
        <v>0</v>
      </c>
      <c r="AB950">
        <v>18</v>
      </c>
      <c r="AC950">
        <v>2</v>
      </c>
      <c r="AD950">
        <v>3</v>
      </c>
      <c r="AE950">
        <v>7</v>
      </c>
      <c r="AF950">
        <v>7</v>
      </c>
      <c r="AG950">
        <v>1</v>
      </c>
      <c r="AH950">
        <v>7</v>
      </c>
      <c r="AI950">
        <v>0</v>
      </c>
      <c r="AJ950" s="19" t="s">
        <v>1569</v>
      </c>
      <c r="AK950" s="19" t="s">
        <v>1562</v>
      </c>
      <c r="AL950">
        <v>0</v>
      </c>
      <c r="AM950" s="19" t="s">
        <v>1563</v>
      </c>
      <c r="AN950">
        <v>-0.87715101629154613</v>
      </c>
      <c r="AO950">
        <v>73512</v>
      </c>
    </row>
    <row r="951" spans="1:41" x14ac:dyDescent="0.3">
      <c r="A951" s="19" t="s">
        <v>1019</v>
      </c>
      <c r="B951">
        <v>39</v>
      </c>
      <c r="C951" s="19" t="s">
        <v>802</v>
      </c>
      <c r="D951" s="19" t="s">
        <v>55</v>
      </c>
      <c r="E951" s="19" t="s">
        <v>66</v>
      </c>
      <c r="F951">
        <v>105</v>
      </c>
      <c r="G951" s="19" t="s">
        <v>735</v>
      </c>
      <c r="H951">
        <v>9</v>
      </c>
      <c r="I951">
        <v>3</v>
      </c>
      <c r="J951" s="19" t="s">
        <v>50</v>
      </c>
      <c r="K951">
        <v>2022</v>
      </c>
      <c r="L951">
        <v>4</v>
      </c>
      <c r="M951" s="19" t="s">
        <v>51</v>
      </c>
      <c r="N951">
        <v>3</v>
      </c>
      <c r="O951">
        <v>5</v>
      </c>
      <c r="P951" s="19" t="s">
        <v>444</v>
      </c>
      <c r="Q951">
        <v>4</v>
      </c>
      <c r="R951" s="19" t="s">
        <v>53</v>
      </c>
      <c r="S951">
        <v>6122</v>
      </c>
      <c r="T951" s="19" t="s">
        <v>54</v>
      </c>
      <c r="U951">
        <v>38.26</v>
      </c>
      <c r="V951">
        <v>2</v>
      </c>
      <c r="W951" s="19" t="s">
        <v>55</v>
      </c>
      <c r="X951">
        <v>13</v>
      </c>
      <c r="Y951">
        <v>3</v>
      </c>
      <c r="Z951">
        <v>3</v>
      </c>
      <c r="AA951">
        <v>0</v>
      </c>
      <c r="AB951">
        <v>21</v>
      </c>
      <c r="AC951">
        <v>3</v>
      </c>
      <c r="AD951">
        <v>2</v>
      </c>
      <c r="AE951">
        <v>6</v>
      </c>
      <c r="AF951">
        <v>0</v>
      </c>
      <c r="AG951">
        <v>1</v>
      </c>
      <c r="AH951">
        <v>3</v>
      </c>
      <c r="AI951">
        <v>0</v>
      </c>
      <c r="AJ951" s="19" t="s">
        <v>1569</v>
      </c>
      <c r="AK951" s="19" t="s">
        <v>1562</v>
      </c>
      <c r="AL951">
        <v>1</v>
      </c>
      <c r="AM951" s="19" t="s">
        <v>1565</v>
      </c>
      <c r="AN951">
        <v>-0.88271651777497129</v>
      </c>
      <c r="AO951">
        <v>73464</v>
      </c>
    </row>
    <row r="952" spans="1:41" x14ac:dyDescent="0.3">
      <c r="A952" s="19" t="s">
        <v>1020</v>
      </c>
      <c r="B952">
        <v>39</v>
      </c>
      <c r="C952" s="19" t="s">
        <v>802</v>
      </c>
      <c r="D952" s="19" t="s">
        <v>55</v>
      </c>
      <c r="E952" s="19" t="s">
        <v>48</v>
      </c>
      <c r="F952">
        <v>722</v>
      </c>
      <c r="G952" s="19" t="s">
        <v>932</v>
      </c>
      <c r="H952">
        <v>24</v>
      </c>
      <c r="I952">
        <v>1</v>
      </c>
      <c r="J952" s="19" t="s">
        <v>63</v>
      </c>
      <c r="K952">
        <v>2056</v>
      </c>
      <c r="L952">
        <v>2</v>
      </c>
      <c r="M952" s="19" t="s">
        <v>59</v>
      </c>
      <c r="N952">
        <v>2</v>
      </c>
      <c r="O952">
        <v>4</v>
      </c>
      <c r="P952" s="19" t="s">
        <v>145</v>
      </c>
      <c r="Q952">
        <v>4</v>
      </c>
      <c r="R952" s="19" t="s">
        <v>113</v>
      </c>
      <c r="S952">
        <v>19030</v>
      </c>
      <c r="T952" s="19" t="s">
        <v>54</v>
      </c>
      <c r="U952">
        <v>118.94</v>
      </c>
      <c r="V952">
        <v>0</v>
      </c>
      <c r="W952" s="19" t="s">
        <v>55</v>
      </c>
      <c r="X952">
        <v>11</v>
      </c>
      <c r="Y952">
        <v>3</v>
      </c>
      <c r="Z952">
        <v>1</v>
      </c>
      <c r="AA952">
        <v>1</v>
      </c>
      <c r="AB952">
        <v>21</v>
      </c>
      <c r="AC952">
        <v>2</v>
      </c>
      <c r="AD952">
        <v>2</v>
      </c>
      <c r="AE952">
        <v>20</v>
      </c>
      <c r="AF952">
        <v>9</v>
      </c>
      <c r="AG952">
        <v>9</v>
      </c>
      <c r="AH952">
        <v>6</v>
      </c>
      <c r="AI952">
        <v>0</v>
      </c>
      <c r="AJ952" s="19" t="s">
        <v>1571</v>
      </c>
      <c r="AK952" s="19" t="s">
        <v>1570</v>
      </c>
      <c r="AL952">
        <v>2</v>
      </c>
      <c r="AM952" s="19" t="s">
        <v>1564</v>
      </c>
      <c r="AN952">
        <v>-0.61209156935607234</v>
      </c>
      <c r="AO952">
        <v>228360</v>
      </c>
    </row>
    <row r="953" spans="1:41" x14ac:dyDescent="0.3">
      <c r="A953" s="19" t="s">
        <v>1021</v>
      </c>
      <c r="B953">
        <v>39</v>
      </c>
      <c r="C953" s="19" t="s">
        <v>802</v>
      </c>
      <c r="D953" s="19" t="s">
        <v>55</v>
      </c>
      <c r="E953" s="19" t="s">
        <v>48</v>
      </c>
      <c r="F953">
        <v>613</v>
      </c>
      <c r="G953" s="19" t="s">
        <v>735</v>
      </c>
      <c r="H953">
        <v>6</v>
      </c>
      <c r="I953">
        <v>1</v>
      </c>
      <c r="J953" s="19" t="s">
        <v>58</v>
      </c>
      <c r="K953">
        <v>2062</v>
      </c>
      <c r="L953">
        <v>4</v>
      </c>
      <c r="M953" s="19" t="s">
        <v>51</v>
      </c>
      <c r="N953">
        <v>2</v>
      </c>
      <c r="O953">
        <v>3</v>
      </c>
      <c r="P953" s="19" t="s">
        <v>168</v>
      </c>
      <c r="Q953">
        <v>1</v>
      </c>
      <c r="R953" s="19" t="s">
        <v>113</v>
      </c>
      <c r="S953">
        <v>83838</v>
      </c>
      <c r="T953" s="19" t="s">
        <v>70</v>
      </c>
      <c r="U953">
        <v>523.99</v>
      </c>
      <c r="V953">
        <v>4</v>
      </c>
      <c r="W953" s="19" t="s">
        <v>55</v>
      </c>
      <c r="X953">
        <v>15</v>
      </c>
      <c r="Y953">
        <v>3</v>
      </c>
      <c r="Z953">
        <v>1</v>
      </c>
      <c r="AA953">
        <v>1</v>
      </c>
      <c r="AB953">
        <v>9</v>
      </c>
      <c r="AC953">
        <v>5</v>
      </c>
      <c r="AD953">
        <v>3</v>
      </c>
      <c r="AE953">
        <v>7</v>
      </c>
      <c r="AF953">
        <v>7</v>
      </c>
      <c r="AG953">
        <v>1</v>
      </c>
      <c r="AH953">
        <v>7</v>
      </c>
      <c r="AI953">
        <v>0</v>
      </c>
      <c r="AJ953" s="19" t="s">
        <v>1569</v>
      </c>
      <c r="AK953" s="19" t="s">
        <v>1562</v>
      </c>
      <c r="AL953">
        <v>1</v>
      </c>
      <c r="AM953" s="19" t="s">
        <v>1565</v>
      </c>
      <c r="AN953">
        <v>0.73976947978797836</v>
      </c>
      <c r="AO953">
        <v>1006056</v>
      </c>
    </row>
    <row r="954" spans="1:41" x14ac:dyDescent="0.3">
      <c r="A954" s="19" t="s">
        <v>1020</v>
      </c>
      <c r="B954">
        <v>39</v>
      </c>
      <c r="C954" s="19" t="s">
        <v>802</v>
      </c>
      <c r="D954" s="19" t="s">
        <v>55</v>
      </c>
      <c r="E954" s="19" t="s">
        <v>48</v>
      </c>
      <c r="F954">
        <v>722</v>
      </c>
      <c r="G954" s="19" t="s">
        <v>932</v>
      </c>
      <c r="H954">
        <v>24</v>
      </c>
      <c r="I954">
        <v>1</v>
      </c>
      <c r="J954" s="19" t="s">
        <v>63</v>
      </c>
      <c r="K954">
        <v>2056</v>
      </c>
      <c r="L954">
        <v>2</v>
      </c>
      <c r="M954" s="19" t="s">
        <v>59</v>
      </c>
      <c r="N954">
        <v>2</v>
      </c>
      <c r="O954">
        <v>4</v>
      </c>
      <c r="P954" s="19" t="s">
        <v>145</v>
      </c>
      <c r="Q954">
        <v>4</v>
      </c>
      <c r="R954" s="19" t="s">
        <v>113</v>
      </c>
      <c r="S954">
        <v>85717</v>
      </c>
      <c r="T954" s="19" t="s">
        <v>70</v>
      </c>
      <c r="U954">
        <v>535.73</v>
      </c>
      <c r="V954">
        <v>0</v>
      </c>
      <c r="W954" s="19" t="s">
        <v>55</v>
      </c>
      <c r="X954">
        <v>11</v>
      </c>
      <c r="Y954">
        <v>3</v>
      </c>
      <c r="Z954">
        <v>1</v>
      </c>
      <c r="AA954">
        <v>1</v>
      </c>
      <c r="AB954">
        <v>21</v>
      </c>
      <c r="AC954">
        <v>2</v>
      </c>
      <c r="AD954">
        <v>2</v>
      </c>
      <c r="AE954">
        <v>20</v>
      </c>
      <c r="AF954">
        <v>9</v>
      </c>
      <c r="AG954">
        <v>9</v>
      </c>
      <c r="AH954">
        <v>6</v>
      </c>
      <c r="AI954">
        <v>0</v>
      </c>
      <c r="AJ954" s="19" t="s">
        <v>1571</v>
      </c>
      <c r="AK954" s="19" t="s">
        <v>1570</v>
      </c>
      <c r="AL954">
        <v>2</v>
      </c>
      <c r="AM954" s="19" t="s">
        <v>1564</v>
      </c>
      <c r="AN954">
        <v>0.74725942982162641</v>
      </c>
      <c r="AO954">
        <v>1028604</v>
      </c>
    </row>
    <row r="955" spans="1:41" x14ac:dyDescent="0.3">
      <c r="A955" s="19" t="s">
        <v>1021</v>
      </c>
      <c r="B955">
        <v>39</v>
      </c>
      <c r="C955" s="19" t="s">
        <v>802</v>
      </c>
      <c r="D955" s="19" t="s">
        <v>55</v>
      </c>
      <c r="E955" s="19" t="s">
        <v>48</v>
      </c>
      <c r="F955">
        <v>613</v>
      </c>
      <c r="G955" s="19" t="s">
        <v>735</v>
      </c>
      <c r="H955">
        <v>6</v>
      </c>
      <c r="I955">
        <v>1</v>
      </c>
      <c r="J955" s="19" t="s">
        <v>58</v>
      </c>
      <c r="K955">
        <v>2062</v>
      </c>
      <c r="L955">
        <v>4</v>
      </c>
      <c r="M955" s="19" t="s">
        <v>51</v>
      </c>
      <c r="N955">
        <v>2</v>
      </c>
      <c r="O955">
        <v>3</v>
      </c>
      <c r="P955" s="19" t="s">
        <v>168</v>
      </c>
      <c r="Q955">
        <v>1</v>
      </c>
      <c r="R955" s="19" t="s">
        <v>113</v>
      </c>
      <c r="S955">
        <v>56658</v>
      </c>
      <c r="T955" s="19" t="s">
        <v>64</v>
      </c>
      <c r="U955">
        <v>354.11</v>
      </c>
      <c r="V955">
        <v>4</v>
      </c>
      <c r="W955" s="19" t="s">
        <v>55</v>
      </c>
      <c r="X955">
        <v>15</v>
      </c>
      <c r="Y955">
        <v>3</v>
      </c>
      <c r="Z955">
        <v>1</v>
      </c>
      <c r="AA955">
        <v>1</v>
      </c>
      <c r="AB955">
        <v>9</v>
      </c>
      <c r="AC955">
        <v>5</v>
      </c>
      <c r="AD955">
        <v>3</v>
      </c>
      <c r="AE955">
        <v>7</v>
      </c>
      <c r="AF955">
        <v>7</v>
      </c>
      <c r="AG955">
        <v>1</v>
      </c>
      <c r="AH955">
        <v>1</v>
      </c>
      <c r="AI955">
        <v>0</v>
      </c>
      <c r="AJ955" s="19" t="s">
        <v>1569</v>
      </c>
      <c r="AK955" s="19" t="s">
        <v>1562</v>
      </c>
      <c r="AL955">
        <v>1</v>
      </c>
      <c r="AM955" s="19" t="s">
        <v>1565</v>
      </c>
      <c r="AN955">
        <v>0.17574201657753383</v>
      </c>
      <c r="AO955">
        <v>679896</v>
      </c>
    </row>
    <row r="956" spans="1:41" x14ac:dyDescent="0.3">
      <c r="A956" s="19" t="s">
        <v>1022</v>
      </c>
      <c r="B956">
        <v>40</v>
      </c>
      <c r="C956" s="19" t="s">
        <v>802</v>
      </c>
      <c r="D956" s="19" t="s">
        <v>55</v>
      </c>
      <c r="E956" s="19" t="s">
        <v>62</v>
      </c>
      <c r="F956">
        <v>530</v>
      </c>
      <c r="G956" s="19" t="s">
        <v>735</v>
      </c>
      <c r="H956">
        <v>1</v>
      </c>
      <c r="I956">
        <v>4</v>
      </c>
      <c r="J956" s="19" t="s">
        <v>50</v>
      </c>
      <c r="K956">
        <v>119</v>
      </c>
      <c r="L956">
        <v>3</v>
      </c>
      <c r="M956" s="19" t="s">
        <v>51</v>
      </c>
      <c r="N956">
        <v>2</v>
      </c>
      <c r="O956">
        <v>4</v>
      </c>
      <c r="P956" s="19" t="s">
        <v>168</v>
      </c>
      <c r="Q956">
        <v>2</v>
      </c>
      <c r="R956" s="19" t="s">
        <v>113</v>
      </c>
      <c r="S956">
        <v>39638</v>
      </c>
      <c r="T956" s="19" t="s">
        <v>72</v>
      </c>
      <c r="U956">
        <v>247.74</v>
      </c>
      <c r="V956">
        <v>1</v>
      </c>
      <c r="W956" s="19" t="s">
        <v>55</v>
      </c>
      <c r="X956">
        <v>22</v>
      </c>
      <c r="Y956">
        <v>4</v>
      </c>
      <c r="Z956">
        <v>4</v>
      </c>
      <c r="AA956">
        <v>1</v>
      </c>
      <c r="AB956">
        <v>22</v>
      </c>
      <c r="AC956">
        <v>3</v>
      </c>
      <c r="AD956">
        <v>2</v>
      </c>
      <c r="AE956">
        <v>22</v>
      </c>
      <c r="AF956">
        <v>3</v>
      </c>
      <c r="AG956">
        <v>11</v>
      </c>
      <c r="AH956">
        <v>11</v>
      </c>
      <c r="AI956">
        <v>0</v>
      </c>
      <c r="AJ956" s="19" t="s">
        <v>1571</v>
      </c>
      <c r="AK956" s="19" t="s">
        <v>1570</v>
      </c>
      <c r="AL956">
        <v>3</v>
      </c>
      <c r="AM956" s="19" t="s">
        <v>1568</v>
      </c>
      <c r="AN956">
        <v>-0.17744957370362022</v>
      </c>
      <c r="AO956">
        <v>475656</v>
      </c>
    </row>
    <row r="957" spans="1:41" x14ac:dyDescent="0.3">
      <c r="A957" s="19" t="s">
        <v>1023</v>
      </c>
      <c r="B957">
        <v>40</v>
      </c>
      <c r="C957" s="19" t="s">
        <v>802</v>
      </c>
      <c r="D957" s="19" t="s">
        <v>55</v>
      </c>
      <c r="E957" s="19" t="s">
        <v>62</v>
      </c>
      <c r="F957">
        <v>1395</v>
      </c>
      <c r="G957" s="19" t="s">
        <v>735</v>
      </c>
      <c r="H957">
        <v>26</v>
      </c>
      <c r="I957">
        <v>3</v>
      </c>
      <c r="J957" s="19" t="s">
        <v>58</v>
      </c>
      <c r="K957">
        <v>202</v>
      </c>
      <c r="L957">
        <v>2</v>
      </c>
      <c r="M957" s="19" t="s">
        <v>59</v>
      </c>
      <c r="N957">
        <v>3</v>
      </c>
      <c r="O957">
        <v>2</v>
      </c>
      <c r="P957" s="19" t="s">
        <v>67</v>
      </c>
      <c r="Q957">
        <v>2</v>
      </c>
      <c r="R957" s="19" t="s">
        <v>53</v>
      </c>
      <c r="S957">
        <v>68067</v>
      </c>
      <c r="T957" s="19" t="s">
        <v>64</v>
      </c>
      <c r="U957">
        <v>425.42</v>
      </c>
      <c r="V957">
        <v>1</v>
      </c>
      <c r="W957" s="19" t="s">
        <v>55</v>
      </c>
      <c r="X957">
        <v>11</v>
      </c>
      <c r="Y957">
        <v>3</v>
      </c>
      <c r="Z957">
        <v>1</v>
      </c>
      <c r="AA957">
        <v>1</v>
      </c>
      <c r="AB957">
        <v>20</v>
      </c>
      <c r="AC957">
        <v>2</v>
      </c>
      <c r="AD957">
        <v>3</v>
      </c>
      <c r="AE957">
        <v>20</v>
      </c>
      <c r="AF957">
        <v>7</v>
      </c>
      <c r="AG957">
        <v>2</v>
      </c>
      <c r="AH957">
        <v>13</v>
      </c>
      <c r="AI957">
        <v>0</v>
      </c>
      <c r="AJ957" s="19" t="s">
        <v>1571</v>
      </c>
      <c r="AK957" s="19" t="s">
        <v>1562</v>
      </c>
      <c r="AL957">
        <v>1</v>
      </c>
      <c r="AM957" s="19" t="s">
        <v>1565</v>
      </c>
      <c r="AN957">
        <v>0.36499539243932966</v>
      </c>
      <c r="AO957">
        <v>816804</v>
      </c>
    </row>
    <row r="958" spans="1:41" x14ac:dyDescent="0.3">
      <c r="A958" s="19" t="s">
        <v>1024</v>
      </c>
      <c r="B958">
        <v>40</v>
      </c>
      <c r="C958" s="19" t="s">
        <v>802</v>
      </c>
      <c r="D958" s="19" t="s">
        <v>55</v>
      </c>
      <c r="E958" s="19" t="s">
        <v>48</v>
      </c>
      <c r="F958">
        <v>630</v>
      </c>
      <c r="G958" s="19" t="s">
        <v>932</v>
      </c>
      <c r="H958">
        <v>4</v>
      </c>
      <c r="I958">
        <v>4</v>
      </c>
      <c r="J958" s="19" t="s">
        <v>63</v>
      </c>
      <c r="K958">
        <v>215</v>
      </c>
      <c r="L958">
        <v>3</v>
      </c>
      <c r="M958" s="19" t="s">
        <v>51</v>
      </c>
      <c r="N958">
        <v>2</v>
      </c>
      <c r="O958">
        <v>3</v>
      </c>
      <c r="P958" s="19" t="s">
        <v>145</v>
      </c>
      <c r="Q958">
        <v>4</v>
      </c>
      <c r="R958" s="19" t="s">
        <v>113</v>
      </c>
      <c r="S958">
        <v>89869</v>
      </c>
      <c r="T958" s="19" t="s">
        <v>70</v>
      </c>
      <c r="U958">
        <v>561.67999999999995</v>
      </c>
      <c r="V958">
        <v>7</v>
      </c>
      <c r="W958" s="19" t="s">
        <v>55</v>
      </c>
      <c r="X958">
        <v>11</v>
      </c>
      <c r="Y958">
        <v>3</v>
      </c>
      <c r="Z958">
        <v>1</v>
      </c>
      <c r="AA958">
        <v>1</v>
      </c>
      <c r="AB958">
        <v>15</v>
      </c>
      <c r="AC958">
        <v>2</v>
      </c>
      <c r="AD958">
        <v>2</v>
      </c>
      <c r="AE958">
        <v>12</v>
      </c>
      <c r="AF958">
        <v>11</v>
      </c>
      <c r="AG958">
        <v>2</v>
      </c>
      <c r="AH958">
        <v>11</v>
      </c>
      <c r="AI958">
        <v>0</v>
      </c>
      <c r="AJ958" s="19" t="s">
        <v>1571</v>
      </c>
      <c r="AK958" s="19" t="s">
        <v>1562</v>
      </c>
      <c r="AL958">
        <v>1</v>
      </c>
      <c r="AM958" s="19" t="s">
        <v>1565</v>
      </c>
      <c r="AN958">
        <v>0.83189399650757434</v>
      </c>
      <c r="AO958">
        <v>1078428</v>
      </c>
    </row>
    <row r="959" spans="1:41" x14ac:dyDescent="0.3">
      <c r="A959" s="19" t="s">
        <v>1025</v>
      </c>
      <c r="B959">
        <v>40</v>
      </c>
      <c r="C959" s="19" t="s">
        <v>802</v>
      </c>
      <c r="D959" s="19" t="s">
        <v>55</v>
      </c>
      <c r="E959" s="19" t="s">
        <v>48</v>
      </c>
      <c r="F959">
        <v>989</v>
      </c>
      <c r="G959" s="19" t="s">
        <v>735</v>
      </c>
      <c r="H959">
        <v>4</v>
      </c>
      <c r="I959">
        <v>1</v>
      </c>
      <c r="J959" s="19" t="s">
        <v>58</v>
      </c>
      <c r="K959">
        <v>253</v>
      </c>
      <c r="L959">
        <v>4</v>
      </c>
      <c r="M959" s="19" t="s">
        <v>59</v>
      </c>
      <c r="N959">
        <v>3</v>
      </c>
      <c r="O959">
        <v>5</v>
      </c>
      <c r="P959" s="19" t="s">
        <v>444</v>
      </c>
      <c r="Q959">
        <v>3</v>
      </c>
      <c r="R959" s="19" t="s">
        <v>113</v>
      </c>
      <c r="S959">
        <v>35674</v>
      </c>
      <c r="T959" s="19" t="s">
        <v>72</v>
      </c>
      <c r="U959">
        <v>222.96</v>
      </c>
      <c r="V959">
        <v>1</v>
      </c>
      <c r="W959" s="19" t="s">
        <v>55</v>
      </c>
      <c r="X959">
        <v>14</v>
      </c>
      <c r="Y959">
        <v>3</v>
      </c>
      <c r="Z959">
        <v>2</v>
      </c>
      <c r="AA959">
        <v>1</v>
      </c>
      <c r="AB959">
        <v>21</v>
      </c>
      <c r="AC959">
        <v>2</v>
      </c>
      <c r="AD959">
        <v>3</v>
      </c>
      <c r="AE959">
        <v>20</v>
      </c>
      <c r="AF959">
        <v>8</v>
      </c>
      <c r="AG959">
        <v>9</v>
      </c>
      <c r="AH959">
        <v>9</v>
      </c>
      <c r="AI959">
        <v>0</v>
      </c>
      <c r="AJ959" s="19" t="s">
        <v>1571</v>
      </c>
      <c r="AK959" s="19" t="s">
        <v>1570</v>
      </c>
      <c r="AL959">
        <v>1</v>
      </c>
      <c r="AM959" s="19" t="s">
        <v>1565</v>
      </c>
      <c r="AN959">
        <v>-0.3165679606508211</v>
      </c>
      <c r="AO959">
        <v>428088</v>
      </c>
    </row>
    <row r="960" spans="1:41" x14ac:dyDescent="0.3">
      <c r="A960" s="19" t="s">
        <v>1026</v>
      </c>
      <c r="B960">
        <v>40</v>
      </c>
      <c r="C960" s="19" t="s">
        <v>802</v>
      </c>
      <c r="D960" s="19" t="s">
        <v>55</v>
      </c>
      <c r="E960" s="19" t="s">
        <v>48</v>
      </c>
      <c r="F960">
        <v>905</v>
      </c>
      <c r="G960" s="19" t="s">
        <v>735</v>
      </c>
      <c r="H960">
        <v>19</v>
      </c>
      <c r="I960">
        <v>2</v>
      </c>
      <c r="J960" s="19" t="s">
        <v>58</v>
      </c>
      <c r="K960">
        <v>281</v>
      </c>
      <c r="L960">
        <v>3</v>
      </c>
      <c r="M960" s="19" t="s">
        <v>51</v>
      </c>
      <c r="N960">
        <v>3</v>
      </c>
      <c r="O960">
        <v>2</v>
      </c>
      <c r="P960" s="19" t="s">
        <v>52</v>
      </c>
      <c r="Q960">
        <v>4</v>
      </c>
      <c r="R960" s="19" t="s">
        <v>113</v>
      </c>
      <c r="S960">
        <v>36854</v>
      </c>
      <c r="T960" s="19" t="s">
        <v>72</v>
      </c>
      <c r="U960">
        <v>230.34</v>
      </c>
      <c r="V960">
        <v>8</v>
      </c>
      <c r="W960" s="19" t="s">
        <v>47</v>
      </c>
      <c r="X960">
        <v>15</v>
      </c>
      <c r="Y960">
        <v>3</v>
      </c>
      <c r="Z960">
        <v>3</v>
      </c>
      <c r="AA960">
        <v>1</v>
      </c>
      <c r="AB960">
        <v>15</v>
      </c>
      <c r="AC960">
        <v>2</v>
      </c>
      <c r="AD960">
        <v>4</v>
      </c>
      <c r="AE960">
        <v>7</v>
      </c>
      <c r="AF960">
        <v>2</v>
      </c>
      <c r="AG960">
        <v>3</v>
      </c>
      <c r="AH960">
        <v>7</v>
      </c>
      <c r="AI960">
        <v>0</v>
      </c>
      <c r="AJ960" s="19" t="s">
        <v>1569</v>
      </c>
      <c r="AK960" s="19" t="s">
        <v>1570</v>
      </c>
      <c r="AL960">
        <v>2</v>
      </c>
      <c r="AM960" s="19" t="s">
        <v>1564</v>
      </c>
      <c r="AN960">
        <v>-0.28744057299262032</v>
      </c>
      <c r="AO960">
        <v>442248</v>
      </c>
    </row>
    <row r="961" spans="1:41" x14ac:dyDescent="0.3">
      <c r="A961" s="19" t="s">
        <v>1027</v>
      </c>
      <c r="B961">
        <v>40</v>
      </c>
      <c r="C961" s="19" t="s">
        <v>802</v>
      </c>
      <c r="D961" s="19" t="s">
        <v>55</v>
      </c>
      <c r="E961" s="19" t="s">
        <v>66</v>
      </c>
      <c r="F961">
        <v>1151</v>
      </c>
      <c r="G961" s="19" t="s">
        <v>735</v>
      </c>
      <c r="H961">
        <v>9</v>
      </c>
      <c r="I961">
        <v>5</v>
      </c>
      <c r="J961" s="19" t="s">
        <v>50</v>
      </c>
      <c r="K961">
        <v>287</v>
      </c>
      <c r="L961">
        <v>4</v>
      </c>
      <c r="M961" s="19" t="s">
        <v>51</v>
      </c>
      <c r="N961">
        <v>2</v>
      </c>
      <c r="O961">
        <v>2</v>
      </c>
      <c r="P961" s="19" t="s">
        <v>168</v>
      </c>
      <c r="Q961">
        <v>4</v>
      </c>
      <c r="R961" s="19" t="s">
        <v>113</v>
      </c>
      <c r="S961">
        <v>47271</v>
      </c>
      <c r="T961" s="19" t="s">
        <v>72</v>
      </c>
      <c r="U961">
        <v>295.44</v>
      </c>
      <c r="V961">
        <v>9</v>
      </c>
      <c r="W961" s="19" t="s">
        <v>55</v>
      </c>
      <c r="X961">
        <v>14</v>
      </c>
      <c r="Y961">
        <v>3</v>
      </c>
      <c r="Z961">
        <v>4</v>
      </c>
      <c r="AA961">
        <v>1</v>
      </c>
      <c r="AB961">
        <v>5</v>
      </c>
      <c r="AC961">
        <v>5</v>
      </c>
      <c r="AD961">
        <v>1</v>
      </c>
      <c r="AE961">
        <v>3</v>
      </c>
      <c r="AF961">
        <v>2</v>
      </c>
      <c r="AG961">
        <v>0</v>
      </c>
      <c r="AH961">
        <v>2</v>
      </c>
      <c r="AI961">
        <v>0</v>
      </c>
      <c r="AJ961" s="19" t="s">
        <v>1566</v>
      </c>
      <c r="AK961" s="19" t="s">
        <v>1562</v>
      </c>
      <c r="AL961">
        <v>1</v>
      </c>
      <c r="AM961" s="19" t="s">
        <v>1565</v>
      </c>
      <c r="AN961">
        <v>-1.9052898696801844E-2</v>
      </c>
      <c r="AO961">
        <v>567252</v>
      </c>
    </row>
    <row r="962" spans="1:41" x14ac:dyDescent="0.3">
      <c r="A962" s="19" t="s">
        <v>1028</v>
      </c>
      <c r="B962">
        <v>40</v>
      </c>
      <c r="C962" s="19" t="s">
        <v>802</v>
      </c>
      <c r="D962" s="19" t="s">
        <v>55</v>
      </c>
      <c r="E962" s="19" t="s">
        <v>48</v>
      </c>
      <c r="F962">
        <v>1300</v>
      </c>
      <c r="G962" s="19" t="s">
        <v>735</v>
      </c>
      <c r="H962">
        <v>24</v>
      </c>
      <c r="I962">
        <v>2</v>
      </c>
      <c r="J962" s="19" t="s">
        <v>77</v>
      </c>
      <c r="K962">
        <v>335</v>
      </c>
      <c r="L962">
        <v>1</v>
      </c>
      <c r="M962" s="19" t="s">
        <v>51</v>
      </c>
      <c r="N962">
        <v>3</v>
      </c>
      <c r="O962">
        <v>2</v>
      </c>
      <c r="P962" s="19" t="s">
        <v>67</v>
      </c>
      <c r="Q962">
        <v>4</v>
      </c>
      <c r="R962" s="19" t="s">
        <v>113</v>
      </c>
      <c r="S962">
        <v>74688</v>
      </c>
      <c r="T962" s="19" t="s">
        <v>64</v>
      </c>
      <c r="U962">
        <v>466.8</v>
      </c>
      <c r="V962">
        <v>1</v>
      </c>
      <c r="W962" s="19" t="s">
        <v>55</v>
      </c>
      <c r="X962">
        <v>17</v>
      </c>
      <c r="Y962">
        <v>3</v>
      </c>
      <c r="Z962">
        <v>1</v>
      </c>
      <c r="AA962">
        <v>2</v>
      </c>
      <c r="AB962">
        <v>9</v>
      </c>
      <c r="AC962">
        <v>3</v>
      </c>
      <c r="AD962">
        <v>3</v>
      </c>
      <c r="AE962">
        <v>9</v>
      </c>
      <c r="AF962">
        <v>8</v>
      </c>
      <c r="AG962">
        <v>4</v>
      </c>
      <c r="AH962">
        <v>7</v>
      </c>
      <c r="AI962">
        <v>0</v>
      </c>
      <c r="AJ962" s="19" t="s">
        <v>1569</v>
      </c>
      <c r="AK962" s="19" t="s">
        <v>1570</v>
      </c>
      <c r="AL962">
        <v>1</v>
      </c>
      <c r="AM962" s="19" t="s">
        <v>1565</v>
      </c>
      <c r="AN962">
        <v>0.4977709590625215</v>
      </c>
      <c r="AO962">
        <v>896256</v>
      </c>
    </row>
    <row r="963" spans="1:41" x14ac:dyDescent="0.3">
      <c r="A963" s="19" t="s">
        <v>1029</v>
      </c>
      <c r="B963">
        <v>40</v>
      </c>
      <c r="C963" s="19" t="s">
        <v>802</v>
      </c>
      <c r="D963" s="19" t="s">
        <v>55</v>
      </c>
      <c r="E963" s="19" t="s">
        <v>48</v>
      </c>
      <c r="F963">
        <v>1416</v>
      </c>
      <c r="G963" s="19" t="s">
        <v>735</v>
      </c>
      <c r="H963">
        <v>2</v>
      </c>
      <c r="I963">
        <v>2</v>
      </c>
      <c r="J963" s="19" t="s">
        <v>58</v>
      </c>
      <c r="K963">
        <v>352</v>
      </c>
      <c r="L963">
        <v>1</v>
      </c>
      <c r="M963" s="19" t="s">
        <v>51</v>
      </c>
      <c r="N963">
        <v>3</v>
      </c>
      <c r="O963">
        <v>5</v>
      </c>
      <c r="P963" s="19" t="s">
        <v>257</v>
      </c>
      <c r="Q963">
        <v>3</v>
      </c>
      <c r="R963" s="19" t="s">
        <v>113</v>
      </c>
      <c r="S963">
        <v>39518</v>
      </c>
      <c r="T963" s="19" t="s">
        <v>72</v>
      </c>
      <c r="U963">
        <v>246.99</v>
      </c>
      <c r="V963">
        <v>0</v>
      </c>
      <c r="W963" s="19" t="s">
        <v>55</v>
      </c>
      <c r="X963">
        <v>19</v>
      </c>
      <c r="Y963">
        <v>3</v>
      </c>
      <c r="Z963">
        <v>4</v>
      </c>
      <c r="AA963">
        <v>1</v>
      </c>
      <c r="AB963">
        <v>22</v>
      </c>
      <c r="AC963">
        <v>5</v>
      </c>
      <c r="AD963">
        <v>3</v>
      </c>
      <c r="AE963">
        <v>21</v>
      </c>
      <c r="AF963">
        <v>7</v>
      </c>
      <c r="AG963">
        <v>3</v>
      </c>
      <c r="AH963">
        <v>7</v>
      </c>
      <c r="AI963">
        <v>0</v>
      </c>
      <c r="AJ963" s="19" t="s">
        <v>1571</v>
      </c>
      <c r="AK963" s="19" t="s">
        <v>1570</v>
      </c>
      <c r="AL963">
        <v>1</v>
      </c>
      <c r="AM963" s="19" t="s">
        <v>1565</v>
      </c>
      <c r="AN963">
        <v>-0.21998417979958773</v>
      </c>
      <c r="AO963">
        <v>474216</v>
      </c>
    </row>
    <row r="964" spans="1:41" x14ac:dyDescent="0.3">
      <c r="A964" s="19" t="s">
        <v>1030</v>
      </c>
      <c r="B964">
        <v>40</v>
      </c>
      <c r="C964" s="19" t="s">
        <v>802</v>
      </c>
      <c r="D964" s="19" t="s">
        <v>55</v>
      </c>
      <c r="E964" s="19" t="s">
        <v>48</v>
      </c>
      <c r="F964">
        <v>1124</v>
      </c>
      <c r="G964" s="19" t="s">
        <v>932</v>
      </c>
      <c r="H964">
        <v>1</v>
      </c>
      <c r="I964">
        <v>2</v>
      </c>
      <c r="J964" s="19" t="s">
        <v>58</v>
      </c>
      <c r="K964">
        <v>453</v>
      </c>
      <c r="L964">
        <v>2</v>
      </c>
      <c r="M964" s="19" t="s">
        <v>51</v>
      </c>
      <c r="N964">
        <v>1</v>
      </c>
      <c r="O964">
        <v>2</v>
      </c>
      <c r="P964" s="19" t="s">
        <v>145</v>
      </c>
      <c r="Q964">
        <v>4</v>
      </c>
      <c r="R964" s="19" t="s">
        <v>113</v>
      </c>
      <c r="S964">
        <v>11267</v>
      </c>
      <c r="T964" s="19" t="s">
        <v>54</v>
      </c>
      <c r="U964">
        <v>70.42</v>
      </c>
      <c r="V964">
        <v>2</v>
      </c>
      <c r="W964" s="19" t="s">
        <v>47</v>
      </c>
      <c r="X964">
        <v>22</v>
      </c>
      <c r="Y964">
        <v>4</v>
      </c>
      <c r="Z964">
        <v>3</v>
      </c>
      <c r="AA964">
        <v>3</v>
      </c>
      <c r="AB964">
        <v>6</v>
      </c>
      <c r="AC964">
        <v>2</v>
      </c>
      <c r="AD964">
        <v>2</v>
      </c>
      <c r="AE964">
        <v>4</v>
      </c>
      <c r="AF964">
        <v>3</v>
      </c>
      <c r="AG964">
        <v>0</v>
      </c>
      <c r="AH964">
        <v>2</v>
      </c>
      <c r="AI964">
        <v>0</v>
      </c>
      <c r="AJ964" s="19" t="s">
        <v>1567</v>
      </c>
      <c r="AK964" s="19" t="s">
        <v>1562</v>
      </c>
      <c r="AL964">
        <v>2</v>
      </c>
      <c r="AM964" s="19" t="s">
        <v>1564</v>
      </c>
      <c r="AN964">
        <v>-0.77033293283945703</v>
      </c>
      <c r="AO964">
        <v>135204</v>
      </c>
    </row>
    <row r="965" spans="1:41" x14ac:dyDescent="0.3">
      <c r="A965" s="19" t="s">
        <v>1031</v>
      </c>
      <c r="B965">
        <v>40</v>
      </c>
      <c r="C965" s="19" t="s">
        <v>802</v>
      </c>
      <c r="D965" s="19" t="s">
        <v>55</v>
      </c>
      <c r="E965" s="19" t="s">
        <v>48</v>
      </c>
      <c r="F965">
        <v>1171</v>
      </c>
      <c r="G965" s="19" t="s">
        <v>735</v>
      </c>
      <c r="H965">
        <v>10</v>
      </c>
      <c r="I965">
        <v>4</v>
      </c>
      <c r="J965" s="19" t="s">
        <v>50</v>
      </c>
      <c r="K965">
        <v>483</v>
      </c>
      <c r="L965">
        <v>4</v>
      </c>
      <c r="M965" s="19" t="s">
        <v>59</v>
      </c>
      <c r="N965">
        <v>4</v>
      </c>
      <c r="O965">
        <v>1</v>
      </c>
      <c r="P965" s="19" t="s">
        <v>52</v>
      </c>
      <c r="Q965">
        <v>3</v>
      </c>
      <c r="R965" s="19" t="s">
        <v>113</v>
      </c>
      <c r="S965">
        <v>91825</v>
      </c>
      <c r="T965" s="19" t="s">
        <v>70</v>
      </c>
      <c r="U965">
        <v>573.91</v>
      </c>
      <c r="V965">
        <v>3</v>
      </c>
      <c r="W965" s="19" t="s">
        <v>47</v>
      </c>
      <c r="X965">
        <v>13</v>
      </c>
      <c r="Y965">
        <v>3</v>
      </c>
      <c r="Z965">
        <v>3</v>
      </c>
      <c r="AA965">
        <v>1</v>
      </c>
      <c r="AB965">
        <v>10</v>
      </c>
      <c r="AC965">
        <v>3</v>
      </c>
      <c r="AD965">
        <v>3</v>
      </c>
      <c r="AE965">
        <v>7</v>
      </c>
      <c r="AF965">
        <v>7</v>
      </c>
      <c r="AG965">
        <v>1</v>
      </c>
      <c r="AH965">
        <v>7</v>
      </c>
      <c r="AI965">
        <v>0</v>
      </c>
      <c r="AJ965" s="19" t="s">
        <v>1569</v>
      </c>
      <c r="AK965" s="19" t="s">
        <v>1562</v>
      </c>
      <c r="AL965">
        <v>1</v>
      </c>
      <c r="AM965" s="19" t="s">
        <v>1565</v>
      </c>
      <c r="AN965">
        <v>0.77540482403409772</v>
      </c>
      <c r="AO965">
        <v>1101900</v>
      </c>
    </row>
    <row r="966" spans="1:41" x14ac:dyDescent="0.3">
      <c r="A966" s="19" t="s">
        <v>1032</v>
      </c>
      <c r="B966">
        <v>40</v>
      </c>
      <c r="C966" s="19" t="s">
        <v>802</v>
      </c>
      <c r="D966" s="19" t="s">
        <v>47</v>
      </c>
      <c r="E966" s="19" t="s">
        <v>48</v>
      </c>
      <c r="F966">
        <v>575</v>
      </c>
      <c r="G966" s="19" t="s">
        <v>932</v>
      </c>
      <c r="H966">
        <v>22</v>
      </c>
      <c r="I966">
        <v>2</v>
      </c>
      <c r="J966" s="19" t="s">
        <v>63</v>
      </c>
      <c r="K966">
        <v>492</v>
      </c>
      <c r="L966">
        <v>3</v>
      </c>
      <c r="M966" s="19" t="s">
        <v>51</v>
      </c>
      <c r="N966">
        <v>2</v>
      </c>
      <c r="O966">
        <v>2</v>
      </c>
      <c r="P966" s="19" t="s">
        <v>145</v>
      </c>
      <c r="Q966">
        <v>3</v>
      </c>
      <c r="R966" s="19" t="s">
        <v>113</v>
      </c>
      <c r="S966">
        <v>2062</v>
      </c>
      <c r="T966" s="19" t="s">
        <v>54</v>
      </c>
      <c r="U966">
        <v>12.89</v>
      </c>
      <c r="V966">
        <v>2</v>
      </c>
      <c r="W966" s="19" t="s">
        <v>47</v>
      </c>
      <c r="X966">
        <v>12</v>
      </c>
      <c r="Y966">
        <v>3</v>
      </c>
      <c r="Z966">
        <v>1</v>
      </c>
      <c r="AA966">
        <v>2</v>
      </c>
      <c r="AB966">
        <v>8</v>
      </c>
      <c r="AC966">
        <v>6</v>
      </c>
      <c r="AD966">
        <v>3</v>
      </c>
      <c r="AE966">
        <v>6</v>
      </c>
      <c r="AF966">
        <v>4</v>
      </c>
      <c r="AG966">
        <v>1</v>
      </c>
      <c r="AH966">
        <v>0</v>
      </c>
      <c r="AI966">
        <v>1</v>
      </c>
      <c r="AJ966" s="19" t="s">
        <v>1569</v>
      </c>
      <c r="AK966" s="19" t="s">
        <v>1562</v>
      </c>
      <c r="AL966">
        <v>1</v>
      </c>
      <c r="AM966" s="19" t="s">
        <v>1565</v>
      </c>
      <c r="AN966">
        <v>-0.95796809332696908</v>
      </c>
      <c r="AO966">
        <v>24744</v>
      </c>
    </row>
    <row r="967" spans="1:41" x14ac:dyDescent="0.3">
      <c r="A967" s="19" t="s">
        <v>1033</v>
      </c>
      <c r="B967">
        <v>40</v>
      </c>
      <c r="C967" s="19" t="s">
        <v>802</v>
      </c>
      <c r="D967" s="19" t="s">
        <v>55</v>
      </c>
      <c r="E967" s="19" t="s">
        <v>48</v>
      </c>
      <c r="F967">
        <v>759</v>
      </c>
      <c r="G967" s="19" t="s">
        <v>932</v>
      </c>
      <c r="H967">
        <v>2</v>
      </c>
      <c r="I967">
        <v>2</v>
      </c>
      <c r="J967" s="19" t="s">
        <v>63</v>
      </c>
      <c r="K967">
        <v>516</v>
      </c>
      <c r="L967">
        <v>4</v>
      </c>
      <c r="M967" s="19" t="s">
        <v>59</v>
      </c>
      <c r="N967">
        <v>3</v>
      </c>
      <c r="O967">
        <v>2</v>
      </c>
      <c r="P967" s="19" t="s">
        <v>145</v>
      </c>
      <c r="Q967">
        <v>2</v>
      </c>
      <c r="R967" s="19" t="s">
        <v>113</v>
      </c>
      <c r="S967">
        <v>51448</v>
      </c>
      <c r="T967" s="19" t="s">
        <v>64</v>
      </c>
      <c r="U967">
        <v>321.55</v>
      </c>
      <c r="V967">
        <v>7</v>
      </c>
      <c r="W967" s="19" t="s">
        <v>55</v>
      </c>
      <c r="X967">
        <v>12</v>
      </c>
      <c r="Y967">
        <v>3</v>
      </c>
      <c r="Z967">
        <v>3</v>
      </c>
      <c r="AA967">
        <v>2</v>
      </c>
      <c r="AB967">
        <v>8</v>
      </c>
      <c r="AC967">
        <v>5</v>
      </c>
      <c r="AD967">
        <v>3</v>
      </c>
      <c r="AE967">
        <v>5</v>
      </c>
      <c r="AF967">
        <v>4</v>
      </c>
      <c r="AG967">
        <v>1</v>
      </c>
      <c r="AH967">
        <v>3</v>
      </c>
      <c r="AI967">
        <v>0</v>
      </c>
      <c r="AJ967" s="19" t="s">
        <v>1567</v>
      </c>
      <c r="AK967" s="19" t="s">
        <v>1562</v>
      </c>
      <c r="AL967">
        <v>1</v>
      </c>
      <c r="AM967" s="19" t="s">
        <v>1565</v>
      </c>
      <c r="AN967">
        <v>4.8718493944760528E-2</v>
      </c>
      <c r="AO967">
        <v>617376</v>
      </c>
    </row>
    <row r="968" spans="1:41" x14ac:dyDescent="0.3">
      <c r="A968" s="19" t="s">
        <v>1034</v>
      </c>
      <c r="B968">
        <v>40</v>
      </c>
      <c r="C968" s="19" t="s">
        <v>802</v>
      </c>
      <c r="D968" s="19" t="s">
        <v>55</v>
      </c>
      <c r="E968" s="19" t="s">
        <v>48</v>
      </c>
      <c r="F968">
        <v>555</v>
      </c>
      <c r="G968" s="19" t="s">
        <v>735</v>
      </c>
      <c r="H968">
        <v>2</v>
      </c>
      <c r="I968">
        <v>3</v>
      </c>
      <c r="J968" s="19" t="s">
        <v>58</v>
      </c>
      <c r="K968">
        <v>521</v>
      </c>
      <c r="L968">
        <v>2</v>
      </c>
      <c r="M968" s="19" t="s">
        <v>59</v>
      </c>
      <c r="N968">
        <v>2</v>
      </c>
      <c r="O968">
        <v>2</v>
      </c>
      <c r="P968" s="19" t="s">
        <v>52</v>
      </c>
      <c r="Q968">
        <v>3</v>
      </c>
      <c r="R968" s="19" t="s">
        <v>113</v>
      </c>
      <c r="S968">
        <v>96462</v>
      </c>
      <c r="T968" s="19" t="s">
        <v>70</v>
      </c>
      <c r="U968">
        <v>602.89</v>
      </c>
      <c r="V968">
        <v>6</v>
      </c>
      <c r="W968" s="19" t="s">
        <v>55</v>
      </c>
      <c r="X968">
        <v>22</v>
      </c>
      <c r="Y968">
        <v>4</v>
      </c>
      <c r="Z968">
        <v>2</v>
      </c>
      <c r="AA968">
        <v>1</v>
      </c>
      <c r="AB968">
        <v>20</v>
      </c>
      <c r="AC968">
        <v>3</v>
      </c>
      <c r="AD968">
        <v>3</v>
      </c>
      <c r="AE968">
        <v>1</v>
      </c>
      <c r="AF968">
        <v>0</v>
      </c>
      <c r="AG968">
        <v>0</v>
      </c>
      <c r="AH968">
        <v>0</v>
      </c>
      <c r="AI968">
        <v>0</v>
      </c>
      <c r="AJ968" s="19" t="s">
        <v>1561</v>
      </c>
      <c r="AK968" s="19" t="s">
        <v>1562</v>
      </c>
      <c r="AL968">
        <v>0</v>
      </c>
      <c r="AM968" s="19" t="s">
        <v>1563</v>
      </c>
      <c r="AN968">
        <v>0.86505962576615447</v>
      </c>
      <c r="AO968">
        <v>1157544</v>
      </c>
    </row>
    <row r="969" spans="1:41" x14ac:dyDescent="0.3">
      <c r="A969" s="19" t="s">
        <v>1035</v>
      </c>
      <c r="B969">
        <v>40</v>
      </c>
      <c r="C969" s="19" t="s">
        <v>802</v>
      </c>
      <c r="D969" s="19" t="s">
        <v>55</v>
      </c>
      <c r="E969" s="19" t="s">
        <v>48</v>
      </c>
      <c r="F969">
        <v>1398</v>
      </c>
      <c r="G969" s="19" t="s">
        <v>932</v>
      </c>
      <c r="H969">
        <v>2</v>
      </c>
      <c r="I969">
        <v>4</v>
      </c>
      <c r="J969" s="19" t="s">
        <v>50</v>
      </c>
      <c r="K969">
        <v>558</v>
      </c>
      <c r="L969">
        <v>3</v>
      </c>
      <c r="M969" s="19" t="s">
        <v>59</v>
      </c>
      <c r="N969">
        <v>3</v>
      </c>
      <c r="O969">
        <v>5</v>
      </c>
      <c r="P969" s="19" t="s">
        <v>444</v>
      </c>
      <c r="Q969">
        <v>3</v>
      </c>
      <c r="R969" s="19" t="s">
        <v>113</v>
      </c>
      <c r="S969">
        <v>7229</v>
      </c>
      <c r="T969" s="19" t="s">
        <v>54</v>
      </c>
      <c r="U969">
        <v>45.18</v>
      </c>
      <c r="V969">
        <v>0</v>
      </c>
      <c r="W969" s="19" t="s">
        <v>55</v>
      </c>
      <c r="X969">
        <v>14</v>
      </c>
      <c r="Y969">
        <v>3</v>
      </c>
      <c r="Z969">
        <v>4</v>
      </c>
      <c r="AA969">
        <v>0</v>
      </c>
      <c r="AB969">
        <v>21</v>
      </c>
      <c r="AC969">
        <v>2</v>
      </c>
      <c r="AD969">
        <v>3</v>
      </c>
      <c r="AE969">
        <v>20</v>
      </c>
      <c r="AF969">
        <v>15</v>
      </c>
      <c r="AG969">
        <v>1</v>
      </c>
      <c r="AH969">
        <v>12</v>
      </c>
      <c r="AI969">
        <v>0</v>
      </c>
      <c r="AJ969" s="19" t="s">
        <v>1571</v>
      </c>
      <c r="AK969" s="19" t="s">
        <v>1562</v>
      </c>
      <c r="AL969">
        <v>0</v>
      </c>
      <c r="AM969" s="19" t="s">
        <v>1563</v>
      </c>
      <c r="AN969">
        <v>-0.86150893613121005</v>
      </c>
      <c r="AO969">
        <v>86748</v>
      </c>
    </row>
    <row r="970" spans="1:41" x14ac:dyDescent="0.3">
      <c r="A970" s="19" t="s">
        <v>1036</v>
      </c>
      <c r="B970">
        <v>40</v>
      </c>
      <c r="C970" s="19" t="s">
        <v>802</v>
      </c>
      <c r="D970" s="19" t="s">
        <v>55</v>
      </c>
      <c r="E970" s="19" t="s">
        <v>48</v>
      </c>
      <c r="F970">
        <v>302</v>
      </c>
      <c r="G970" s="19" t="s">
        <v>735</v>
      </c>
      <c r="H970">
        <v>6</v>
      </c>
      <c r="I970">
        <v>3</v>
      </c>
      <c r="J970" s="19" t="s">
        <v>50</v>
      </c>
      <c r="K970">
        <v>601</v>
      </c>
      <c r="L970">
        <v>2</v>
      </c>
      <c r="M970" s="19" t="s">
        <v>59</v>
      </c>
      <c r="N970">
        <v>3</v>
      </c>
      <c r="O970">
        <v>4</v>
      </c>
      <c r="P970" s="19" t="s">
        <v>120</v>
      </c>
      <c r="Q970">
        <v>3</v>
      </c>
      <c r="R970" s="19" t="s">
        <v>53</v>
      </c>
      <c r="S970">
        <v>57793</v>
      </c>
      <c r="T970" s="19" t="s">
        <v>64</v>
      </c>
      <c r="U970">
        <v>361.21</v>
      </c>
      <c r="V970">
        <v>7</v>
      </c>
      <c r="W970" s="19" t="s">
        <v>55</v>
      </c>
      <c r="X970">
        <v>15</v>
      </c>
      <c r="Y970">
        <v>3</v>
      </c>
      <c r="Z970">
        <v>3</v>
      </c>
      <c r="AA970">
        <v>0</v>
      </c>
      <c r="AB970">
        <v>22</v>
      </c>
      <c r="AC970">
        <v>3</v>
      </c>
      <c r="AD970">
        <v>3</v>
      </c>
      <c r="AE970">
        <v>20</v>
      </c>
      <c r="AF970">
        <v>6</v>
      </c>
      <c r="AG970">
        <v>5</v>
      </c>
      <c r="AH970">
        <v>13</v>
      </c>
      <c r="AI970">
        <v>0</v>
      </c>
      <c r="AJ970" s="19" t="s">
        <v>1571</v>
      </c>
      <c r="AK970" s="19" t="s">
        <v>1570</v>
      </c>
      <c r="AL970">
        <v>1</v>
      </c>
      <c r="AM970" s="19" t="s">
        <v>1565</v>
      </c>
      <c r="AN970">
        <v>0.30471976779768545</v>
      </c>
      <c r="AO970">
        <v>693516</v>
      </c>
    </row>
    <row r="971" spans="1:41" x14ac:dyDescent="0.3">
      <c r="A971" s="19" t="s">
        <v>1037</v>
      </c>
      <c r="B971">
        <v>40</v>
      </c>
      <c r="C971" s="19" t="s">
        <v>802</v>
      </c>
      <c r="D971" s="19" t="s">
        <v>55</v>
      </c>
      <c r="E971" s="19" t="s">
        <v>66</v>
      </c>
      <c r="F971">
        <v>1094</v>
      </c>
      <c r="G971" s="19" t="s">
        <v>932</v>
      </c>
      <c r="H971">
        <v>28</v>
      </c>
      <c r="I971">
        <v>3</v>
      </c>
      <c r="J971" s="19" t="s">
        <v>82</v>
      </c>
      <c r="K971">
        <v>615</v>
      </c>
      <c r="L971">
        <v>3</v>
      </c>
      <c r="M971" s="19" t="s">
        <v>51</v>
      </c>
      <c r="N971">
        <v>1</v>
      </c>
      <c r="O971">
        <v>3</v>
      </c>
      <c r="P971" s="19" t="s">
        <v>145</v>
      </c>
      <c r="Q971">
        <v>1</v>
      </c>
      <c r="R971" s="19" t="s">
        <v>53</v>
      </c>
      <c r="S971">
        <v>48915</v>
      </c>
      <c r="T971" s="19" t="s">
        <v>72</v>
      </c>
      <c r="U971">
        <v>305.72000000000003</v>
      </c>
      <c r="V971">
        <v>3</v>
      </c>
      <c r="W971" s="19" t="s">
        <v>55</v>
      </c>
      <c r="X971">
        <v>15</v>
      </c>
      <c r="Y971">
        <v>3</v>
      </c>
      <c r="Z971">
        <v>3</v>
      </c>
      <c r="AA971">
        <v>1</v>
      </c>
      <c r="AB971">
        <v>20</v>
      </c>
      <c r="AC971">
        <v>2</v>
      </c>
      <c r="AD971">
        <v>3</v>
      </c>
      <c r="AE971">
        <v>1</v>
      </c>
      <c r="AF971">
        <v>0</v>
      </c>
      <c r="AG971">
        <v>0</v>
      </c>
      <c r="AH971">
        <v>1</v>
      </c>
      <c r="AI971">
        <v>0</v>
      </c>
      <c r="AJ971" s="19" t="s">
        <v>1561</v>
      </c>
      <c r="AK971" s="19" t="s">
        <v>1562</v>
      </c>
      <c r="AL971">
        <v>1</v>
      </c>
      <c r="AM971" s="19" t="s">
        <v>1565</v>
      </c>
      <c r="AN971">
        <v>-2.914299267066529E-3</v>
      </c>
      <c r="AO971">
        <v>586980</v>
      </c>
    </row>
    <row r="972" spans="1:41" x14ac:dyDescent="0.3">
      <c r="A972" s="19" t="s">
        <v>1038</v>
      </c>
      <c r="B972">
        <v>40</v>
      </c>
      <c r="C972" s="19" t="s">
        <v>802</v>
      </c>
      <c r="D972" s="19" t="s">
        <v>55</v>
      </c>
      <c r="E972" s="19" t="s">
        <v>62</v>
      </c>
      <c r="F972">
        <v>580</v>
      </c>
      <c r="G972" s="19" t="s">
        <v>932</v>
      </c>
      <c r="H972">
        <v>5</v>
      </c>
      <c r="I972">
        <v>4</v>
      </c>
      <c r="J972" s="19" t="s">
        <v>50</v>
      </c>
      <c r="K972">
        <v>729</v>
      </c>
      <c r="L972">
        <v>4</v>
      </c>
      <c r="M972" s="19" t="s">
        <v>51</v>
      </c>
      <c r="N972">
        <v>2</v>
      </c>
      <c r="O972">
        <v>3</v>
      </c>
      <c r="P972" s="19" t="s">
        <v>145</v>
      </c>
      <c r="Q972">
        <v>1</v>
      </c>
      <c r="R972" s="19" t="s">
        <v>113</v>
      </c>
      <c r="S972">
        <v>5632</v>
      </c>
      <c r="T972" s="19" t="s">
        <v>54</v>
      </c>
      <c r="U972">
        <v>35.200000000000003</v>
      </c>
      <c r="V972">
        <v>5</v>
      </c>
      <c r="W972" s="19" t="s">
        <v>47</v>
      </c>
      <c r="X972">
        <v>21</v>
      </c>
      <c r="Y972">
        <v>4</v>
      </c>
      <c r="Z972">
        <v>3</v>
      </c>
      <c r="AA972">
        <v>1</v>
      </c>
      <c r="AB972">
        <v>20</v>
      </c>
      <c r="AC972">
        <v>2</v>
      </c>
      <c r="AD972">
        <v>3</v>
      </c>
      <c r="AE972">
        <v>18</v>
      </c>
      <c r="AF972">
        <v>13</v>
      </c>
      <c r="AG972">
        <v>1</v>
      </c>
      <c r="AH972">
        <v>12</v>
      </c>
      <c r="AI972">
        <v>0</v>
      </c>
      <c r="AJ972" s="19" t="s">
        <v>1571</v>
      </c>
      <c r="AK972" s="19" t="s">
        <v>1562</v>
      </c>
      <c r="AL972">
        <v>2</v>
      </c>
      <c r="AM972" s="19" t="s">
        <v>1564</v>
      </c>
      <c r="AN972">
        <v>-0.8851970424915081</v>
      </c>
      <c r="AO972">
        <v>67584</v>
      </c>
    </row>
    <row r="973" spans="1:41" x14ac:dyDescent="0.3">
      <c r="A973" s="19" t="s">
        <v>1039</v>
      </c>
      <c r="B973">
        <v>40</v>
      </c>
      <c r="C973" s="19" t="s">
        <v>802</v>
      </c>
      <c r="D973" s="19" t="s">
        <v>55</v>
      </c>
      <c r="E973" s="19" t="s">
        <v>48</v>
      </c>
      <c r="F973">
        <v>804</v>
      </c>
      <c r="G973" s="19" t="s">
        <v>735</v>
      </c>
      <c r="H973">
        <v>2</v>
      </c>
      <c r="I973">
        <v>1</v>
      </c>
      <c r="J973" s="19" t="s">
        <v>58</v>
      </c>
      <c r="K973">
        <v>763</v>
      </c>
      <c r="L973">
        <v>4</v>
      </c>
      <c r="M973" s="19" t="s">
        <v>59</v>
      </c>
      <c r="N973">
        <v>2</v>
      </c>
      <c r="O973">
        <v>1</v>
      </c>
      <c r="P973" s="19" t="s">
        <v>67</v>
      </c>
      <c r="Q973">
        <v>4</v>
      </c>
      <c r="R973" s="19" t="s">
        <v>53</v>
      </c>
      <c r="S973">
        <v>4596</v>
      </c>
      <c r="T973" s="19" t="s">
        <v>54</v>
      </c>
      <c r="U973">
        <v>28.72</v>
      </c>
      <c r="V973">
        <v>0</v>
      </c>
      <c r="W973" s="19" t="s">
        <v>47</v>
      </c>
      <c r="X973">
        <v>20</v>
      </c>
      <c r="Y973">
        <v>4</v>
      </c>
      <c r="Z973">
        <v>4</v>
      </c>
      <c r="AA973">
        <v>0</v>
      </c>
      <c r="AB973">
        <v>5</v>
      </c>
      <c r="AC973">
        <v>2</v>
      </c>
      <c r="AD973">
        <v>2</v>
      </c>
      <c r="AE973">
        <v>4</v>
      </c>
      <c r="AF973">
        <v>2</v>
      </c>
      <c r="AG973">
        <v>2</v>
      </c>
      <c r="AH973">
        <v>3</v>
      </c>
      <c r="AI973">
        <v>0</v>
      </c>
      <c r="AJ973" s="19" t="s">
        <v>1567</v>
      </c>
      <c r="AK973" s="19" t="s">
        <v>1562</v>
      </c>
      <c r="AL973">
        <v>2</v>
      </c>
      <c r="AM973" s="19" t="s">
        <v>1564</v>
      </c>
      <c r="AN973">
        <v>-0.90783318166437244</v>
      </c>
      <c r="AO973">
        <v>55152</v>
      </c>
    </row>
    <row r="974" spans="1:41" x14ac:dyDescent="0.3">
      <c r="A974" s="19" t="s">
        <v>1040</v>
      </c>
      <c r="B974">
        <v>40</v>
      </c>
      <c r="C974" s="19" t="s">
        <v>802</v>
      </c>
      <c r="D974" s="19" t="s">
        <v>55</v>
      </c>
      <c r="E974" s="19" t="s">
        <v>62</v>
      </c>
      <c r="F974">
        <v>791</v>
      </c>
      <c r="G974" s="19" t="s">
        <v>735</v>
      </c>
      <c r="H974">
        <v>2</v>
      </c>
      <c r="I974">
        <v>2</v>
      </c>
      <c r="J974" s="19" t="s">
        <v>58</v>
      </c>
      <c r="K974">
        <v>807</v>
      </c>
      <c r="L974">
        <v>3</v>
      </c>
      <c r="M974" s="19" t="s">
        <v>59</v>
      </c>
      <c r="N974">
        <v>4</v>
      </c>
      <c r="O974">
        <v>2</v>
      </c>
      <c r="P974" s="19" t="s">
        <v>168</v>
      </c>
      <c r="Q974">
        <v>2</v>
      </c>
      <c r="R974" s="19" t="s">
        <v>113</v>
      </c>
      <c r="S974">
        <v>7168</v>
      </c>
      <c r="T974" s="19" t="s">
        <v>54</v>
      </c>
      <c r="U974">
        <v>44.8</v>
      </c>
      <c r="V974">
        <v>1</v>
      </c>
      <c r="W974" s="19" t="s">
        <v>55</v>
      </c>
      <c r="X974">
        <v>24</v>
      </c>
      <c r="Y974">
        <v>4</v>
      </c>
      <c r="Z974">
        <v>4</v>
      </c>
      <c r="AA974">
        <v>1</v>
      </c>
      <c r="AB974">
        <v>8</v>
      </c>
      <c r="AC974">
        <v>2</v>
      </c>
      <c r="AD974">
        <v>3</v>
      </c>
      <c r="AE974">
        <v>8</v>
      </c>
      <c r="AF974">
        <v>7</v>
      </c>
      <c r="AG974">
        <v>3</v>
      </c>
      <c r="AH974">
        <v>7</v>
      </c>
      <c r="AI974">
        <v>0</v>
      </c>
      <c r="AJ974" s="19" t="s">
        <v>1569</v>
      </c>
      <c r="AK974" s="19" t="s">
        <v>1570</v>
      </c>
      <c r="AL974">
        <v>2</v>
      </c>
      <c r="AM974" s="19" t="s">
        <v>1564</v>
      </c>
      <c r="AN974">
        <v>-0.85125280146090998</v>
      </c>
      <c r="AO974">
        <v>86016</v>
      </c>
    </row>
    <row r="975" spans="1:41" x14ac:dyDescent="0.3">
      <c r="A975" s="19" t="s">
        <v>1041</v>
      </c>
      <c r="B975">
        <v>40</v>
      </c>
      <c r="C975" s="19" t="s">
        <v>802</v>
      </c>
      <c r="D975" s="19" t="s">
        <v>55</v>
      </c>
      <c r="E975" s="19" t="s">
        <v>62</v>
      </c>
      <c r="F975">
        <v>720</v>
      </c>
      <c r="G975" s="19" t="s">
        <v>735</v>
      </c>
      <c r="H975">
        <v>16</v>
      </c>
      <c r="I975">
        <v>4</v>
      </c>
      <c r="J975" s="19" t="s">
        <v>58</v>
      </c>
      <c r="K975">
        <v>832</v>
      </c>
      <c r="L975">
        <v>1</v>
      </c>
      <c r="M975" s="19" t="s">
        <v>51</v>
      </c>
      <c r="N975">
        <v>2</v>
      </c>
      <c r="O975">
        <v>2</v>
      </c>
      <c r="P975" s="19" t="s">
        <v>52</v>
      </c>
      <c r="Q975">
        <v>3</v>
      </c>
      <c r="R975" s="19" t="s">
        <v>53</v>
      </c>
      <c r="S975">
        <v>8561</v>
      </c>
      <c r="T975" s="19" t="s">
        <v>54</v>
      </c>
      <c r="U975">
        <v>53.51</v>
      </c>
      <c r="V975">
        <v>6</v>
      </c>
      <c r="W975" s="19" t="s">
        <v>55</v>
      </c>
      <c r="X975">
        <v>14</v>
      </c>
      <c r="Y975">
        <v>3</v>
      </c>
      <c r="Z975">
        <v>4</v>
      </c>
      <c r="AA975">
        <v>0</v>
      </c>
      <c r="AB975">
        <v>10</v>
      </c>
      <c r="AC975">
        <v>6</v>
      </c>
      <c r="AD975">
        <v>3</v>
      </c>
      <c r="AE975">
        <v>1</v>
      </c>
      <c r="AF975">
        <v>0</v>
      </c>
      <c r="AG975">
        <v>0</v>
      </c>
      <c r="AH975">
        <v>0</v>
      </c>
      <c r="AI975">
        <v>0</v>
      </c>
      <c r="AJ975" s="19" t="s">
        <v>1561</v>
      </c>
      <c r="AK975" s="19" t="s">
        <v>1562</v>
      </c>
      <c r="AL975">
        <v>0</v>
      </c>
      <c r="AM975" s="19" t="s">
        <v>1563</v>
      </c>
      <c r="AN975">
        <v>-0.83447600654989484</v>
      </c>
      <c r="AO975">
        <v>102732</v>
      </c>
    </row>
    <row r="976" spans="1:41" x14ac:dyDescent="0.3">
      <c r="A976" s="19" t="s">
        <v>1042</v>
      </c>
      <c r="B976">
        <v>40</v>
      </c>
      <c r="C976" s="19" t="s">
        <v>802</v>
      </c>
      <c r="D976" s="19" t="s">
        <v>55</v>
      </c>
      <c r="E976" s="19" t="s">
        <v>48</v>
      </c>
      <c r="F976">
        <v>658</v>
      </c>
      <c r="G976" s="19" t="s">
        <v>932</v>
      </c>
      <c r="H976">
        <v>10</v>
      </c>
      <c r="I976">
        <v>4</v>
      </c>
      <c r="J976" s="19" t="s">
        <v>63</v>
      </c>
      <c r="K976">
        <v>954</v>
      </c>
      <c r="L976">
        <v>1</v>
      </c>
      <c r="M976" s="19" t="s">
        <v>51</v>
      </c>
      <c r="N976">
        <v>2</v>
      </c>
      <c r="O976">
        <v>3</v>
      </c>
      <c r="P976" s="19" t="s">
        <v>145</v>
      </c>
      <c r="Q976">
        <v>2</v>
      </c>
      <c r="R976" s="19" t="s">
        <v>113</v>
      </c>
      <c r="S976">
        <v>74794</v>
      </c>
      <c r="T976" s="19" t="s">
        <v>64</v>
      </c>
      <c r="U976">
        <v>467.46</v>
      </c>
      <c r="V976">
        <v>2</v>
      </c>
      <c r="W976" s="19" t="s">
        <v>55</v>
      </c>
      <c r="X976">
        <v>12</v>
      </c>
      <c r="Y976">
        <v>3</v>
      </c>
      <c r="Z976">
        <v>2</v>
      </c>
      <c r="AA976">
        <v>1</v>
      </c>
      <c r="AB976">
        <v>11</v>
      </c>
      <c r="AC976">
        <v>2</v>
      </c>
      <c r="AD976">
        <v>2</v>
      </c>
      <c r="AE976">
        <v>1</v>
      </c>
      <c r="AF976">
        <v>0</v>
      </c>
      <c r="AG976">
        <v>0</v>
      </c>
      <c r="AH976">
        <v>0</v>
      </c>
      <c r="AI976">
        <v>0</v>
      </c>
      <c r="AJ976" s="19" t="s">
        <v>1561</v>
      </c>
      <c r="AK976" s="19" t="s">
        <v>1562</v>
      </c>
      <c r="AL976">
        <v>2</v>
      </c>
      <c r="AM976" s="19" t="s">
        <v>1564</v>
      </c>
      <c r="AN976">
        <v>0.5246044751225396</v>
      </c>
      <c r="AO976">
        <v>897528</v>
      </c>
    </row>
    <row r="977" spans="1:41" x14ac:dyDescent="0.3">
      <c r="A977" s="19" t="s">
        <v>1043</v>
      </c>
      <c r="B977">
        <v>40</v>
      </c>
      <c r="C977" s="19" t="s">
        <v>802</v>
      </c>
      <c r="D977" s="19" t="s">
        <v>55</v>
      </c>
      <c r="E977" s="19" t="s">
        <v>62</v>
      </c>
      <c r="F977">
        <v>1469</v>
      </c>
      <c r="G977" s="19" t="s">
        <v>735</v>
      </c>
      <c r="H977">
        <v>9</v>
      </c>
      <c r="I977">
        <v>4</v>
      </c>
      <c r="J977" s="19" t="s">
        <v>58</v>
      </c>
      <c r="K977">
        <v>964</v>
      </c>
      <c r="L977">
        <v>4</v>
      </c>
      <c r="M977" s="19" t="s">
        <v>51</v>
      </c>
      <c r="N977">
        <v>3</v>
      </c>
      <c r="O977">
        <v>1</v>
      </c>
      <c r="P977" s="19" t="s">
        <v>67</v>
      </c>
      <c r="Q977">
        <v>2</v>
      </c>
      <c r="R977" s="19" t="s">
        <v>53</v>
      </c>
      <c r="S977">
        <v>83152</v>
      </c>
      <c r="T977" s="19" t="s">
        <v>64</v>
      </c>
      <c r="U977">
        <v>519.70000000000005</v>
      </c>
      <c r="V977">
        <v>8</v>
      </c>
      <c r="W977" s="19" t="s">
        <v>47</v>
      </c>
      <c r="X977">
        <v>14</v>
      </c>
      <c r="Y977">
        <v>3</v>
      </c>
      <c r="Z977">
        <v>4</v>
      </c>
      <c r="AA977">
        <v>1</v>
      </c>
      <c r="AB977">
        <v>3</v>
      </c>
      <c r="AC977">
        <v>2</v>
      </c>
      <c r="AD977">
        <v>3</v>
      </c>
      <c r="AE977">
        <v>1</v>
      </c>
      <c r="AF977">
        <v>1</v>
      </c>
      <c r="AG977">
        <v>0</v>
      </c>
      <c r="AH977">
        <v>0</v>
      </c>
      <c r="AI977">
        <v>0</v>
      </c>
      <c r="AJ977" s="19" t="s">
        <v>1561</v>
      </c>
      <c r="AK977" s="19" t="s">
        <v>1562</v>
      </c>
      <c r="AL977">
        <v>2</v>
      </c>
      <c r="AM977" s="19" t="s">
        <v>1564</v>
      </c>
      <c r="AN977">
        <v>0.66750550005311149</v>
      </c>
      <c r="AO977">
        <v>997824</v>
      </c>
    </row>
    <row r="978" spans="1:41" x14ac:dyDescent="0.3">
      <c r="A978" s="19" t="s">
        <v>1044</v>
      </c>
      <c r="B978">
        <v>40</v>
      </c>
      <c r="C978" s="19" t="s">
        <v>802</v>
      </c>
      <c r="D978" s="19" t="s">
        <v>47</v>
      </c>
      <c r="E978" s="19" t="s">
        <v>66</v>
      </c>
      <c r="F978">
        <v>1479</v>
      </c>
      <c r="G978" s="19" t="s">
        <v>932</v>
      </c>
      <c r="H978">
        <v>24</v>
      </c>
      <c r="I978">
        <v>3</v>
      </c>
      <c r="J978" s="19" t="s">
        <v>50</v>
      </c>
      <c r="K978">
        <v>986</v>
      </c>
      <c r="L978">
        <v>2</v>
      </c>
      <c r="M978" s="19" t="s">
        <v>59</v>
      </c>
      <c r="N978">
        <v>4</v>
      </c>
      <c r="O978">
        <v>4</v>
      </c>
      <c r="P978" s="19" t="s">
        <v>145</v>
      </c>
      <c r="Q978">
        <v>2</v>
      </c>
      <c r="R978" s="19" t="s">
        <v>53</v>
      </c>
      <c r="S978">
        <v>27734</v>
      </c>
      <c r="T978" s="19" t="s">
        <v>72</v>
      </c>
      <c r="U978">
        <v>173.34</v>
      </c>
      <c r="V978">
        <v>4</v>
      </c>
      <c r="W978" s="19" t="s">
        <v>47</v>
      </c>
      <c r="X978">
        <v>16</v>
      </c>
      <c r="Y978">
        <v>3</v>
      </c>
      <c r="Z978">
        <v>4</v>
      </c>
      <c r="AA978">
        <v>0</v>
      </c>
      <c r="AB978">
        <v>22</v>
      </c>
      <c r="AC978">
        <v>2</v>
      </c>
      <c r="AD978">
        <v>2</v>
      </c>
      <c r="AE978">
        <v>1</v>
      </c>
      <c r="AF978">
        <v>0</v>
      </c>
      <c r="AG978">
        <v>0</v>
      </c>
      <c r="AH978">
        <v>0</v>
      </c>
      <c r="AI978">
        <v>1</v>
      </c>
      <c r="AJ978" s="19" t="s">
        <v>1561</v>
      </c>
      <c r="AK978" s="19" t="s">
        <v>1562</v>
      </c>
      <c r="AL978">
        <v>3</v>
      </c>
      <c r="AM978" s="19" t="s">
        <v>1568</v>
      </c>
      <c r="AN978">
        <v>-0.43466881684294845</v>
      </c>
      <c r="AO978">
        <v>332808</v>
      </c>
    </row>
    <row r="979" spans="1:41" x14ac:dyDescent="0.3">
      <c r="A979" s="19" t="s">
        <v>1045</v>
      </c>
      <c r="B979">
        <v>40</v>
      </c>
      <c r="C979" s="19" t="s">
        <v>802</v>
      </c>
      <c r="D979" s="19" t="s">
        <v>55</v>
      </c>
      <c r="E979" s="19" t="s">
        <v>48</v>
      </c>
      <c r="F979">
        <v>300</v>
      </c>
      <c r="G979" s="19" t="s">
        <v>932</v>
      </c>
      <c r="H979">
        <v>26</v>
      </c>
      <c r="I979">
        <v>3</v>
      </c>
      <c r="J979" s="19" t="s">
        <v>63</v>
      </c>
      <c r="K979">
        <v>1066</v>
      </c>
      <c r="L979">
        <v>3</v>
      </c>
      <c r="M979" s="19" t="s">
        <v>51</v>
      </c>
      <c r="N979">
        <v>3</v>
      </c>
      <c r="O979">
        <v>2</v>
      </c>
      <c r="P979" s="19" t="s">
        <v>145</v>
      </c>
      <c r="Q979">
        <v>1</v>
      </c>
      <c r="R979" s="19" t="s">
        <v>113</v>
      </c>
      <c r="S979">
        <v>7371</v>
      </c>
      <c r="T979" s="19" t="s">
        <v>54</v>
      </c>
      <c r="U979">
        <v>46.07</v>
      </c>
      <c r="V979">
        <v>1</v>
      </c>
      <c r="W979" s="19" t="s">
        <v>55</v>
      </c>
      <c r="X979">
        <v>14</v>
      </c>
      <c r="Y979">
        <v>3</v>
      </c>
      <c r="Z979">
        <v>2</v>
      </c>
      <c r="AA979">
        <v>1</v>
      </c>
      <c r="AB979">
        <v>8</v>
      </c>
      <c r="AC979">
        <v>3</v>
      </c>
      <c r="AD979">
        <v>2</v>
      </c>
      <c r="AE979">
        <v>7</v>
      </c>
      <c r="AF979">
        <v>7</v>
      </c>
      <c r="AG979">
        <v>7</v>
      </c>
      <c r="AH979">
        <v>5</v>
      </c>
      <c r="AI979">
        <v>0</v>
      </c>
      <c r="AJ979" s="19" t="s">
        <v>1569</v>
      </c>
      <c r="AK979" s="19" t="s">
        <v>1570</v>
      </c>
      <c r="AL979">
        <v>3</v>
      </c>
      <c r="AM979" s="19" t="s">
        <v>1568</v>
      </c>
      <c r="AN979">
        <v>-0.8497491832750188</v>
      </c>
      <c r="AO979">
        <v>88452</v>
      </c>
    </row>
    <row r="980" spans="1:41" x14ac:dyDescent="0.3">
      <c r="A980" s="19" t="s">
        <v>1046</v>
      </c>
      <c r="B980">
        <v>40</v>
      </c>
      <c r="C980" s="19" t="s">
        <v>802</v>
      </c>
      <c r="D980" s="19" t="s">
        <v>55</v>
      </c>
      <c r="E980" s="19" t="s">
        <v>48</v>
      </c>
      <c r="F980">
        <v>1492</v>
      </c>
      <c r="G980" s="19" t="s">
        <v>735</v>
      </c>
      <c r="H980">
        <v>20</v>
      </c>
      <c r="I980">
        <v>4</v>
      </c>
      <c r="J980" s="19" t="s">
        <v>77</v>
      </c>
      <c r="K980">
        <v>1092</v>
      </c>
      <c r="L980">
        <v>1</v>
      </c>
      <c r="M980" s="19" t="s">
        <v>51</v>
      </c>
      <c r="N980">
        <v>3</v>
      </c>
      <c r="O980">
        <v>3</v>
      </c>
      <c r="P980" s="19" t="s">
        <v>168</v>
      </c>
      <c r="Q980">
        <v>4</v>
      </c>
      <c r="R980" s="19" t="s">
        <v>113</v>
      </c>
      <c r="S980">
        <v>27069</v>
      </c>
      <c r="T980" s="19" t="s">
        <v>72</v>
      </c>
      <c r="U980">
        <v>169.18</v>
      </c>
      <c r="V980">
        <v>4</v>
      </c>
      <c r="W980" s="19" t="s">
        <v>55</v>
      </c>
      <c r="X980">
        <v>20</v>
      </c>
      <c r="Y980">
        <v>4</v>
      </c>
      <c r="Z980">
        <v>4</v>
      </c>
      <c r="AA980">
        <v>1</v>
      </c>
      <c r="AB980">
        <v>14</v>
      </c>
      <c r="AC980">
        <v>6</v>
      </c>
      <c r="AD980">
        <v>3</v>
      </c>
      <c r="AE980">
        <v>11</v>
      </c>
      <c r="AF980">
        <v>10</v>
      </c>
      <c r="AG980">
        <v>11</v>
      </c>
      <c r="AH980">
        <v>1</v>
      </c>
      <c r="AI980">
        <v>0</v>
      </c>
      <c r="AJ980" s="19" t="s">
        <v>1571</v>
      </c>
      <c r="AK980" s="19" t="s">
        <v>1570</v>
      </c>
      <c r="AL980">
        <v>1</v>
      </c>
      <c r="AM980" s="19" t="s">
        <v>1565</v>
      </c>
      <c r="AN980">
        <v>-0.43827596020443249</v>
      </c>
      <c r="AO980">
        <v>324828</v>
      </c>
    </row>
    <row r="981" spans="1:41" x14ac:dyDescent="0.3">
      <c r="A981" s="19" t="s">
        <v>1047</v>
      </c>
      <c r="B981">
        <v>40</v>
      </c>
      <c r="C981" s="19" t="s">
        <v>802</v>
      </c>
      <c r="D981" s="19" t="s">
        <v>55</v>
      </c>
      <c r="E981" s="19" t="s">
        <v>48</v>
      </c>
      <c r="F981">
        <v>1308</v>
      </c>
      <c r="G981" s="19" t="s">
        <v>735</v>
      </c>
      <c r="H981">
        <v>14</v>
      </c>
      <c r="I981">
        <v>3</v>
      </c>
      <c r="J981" s="19" t="s">
        <v>58</v>
      </c>
      <c r="K981">
        <v>1128</v>
      </c>
      <c r="L981">
        <v>3</v>
      </c>
      <c r="M981" s="19" t="s">
        <v>51</v>
      </c>
      <c r="N981">
        <v>2</v>
      </c>
      <c r="O981">
        <v>5</v>
      </c>
      <c r="P981" s="19" t="s">
        <v>257</v>
      </c>
      <c r="Q981">
        <v>3</v>
      </c>
      <c r="R981" s="19" t="s">
        <v>53</v>
      </c>
      <c r="S981">
        <v>80905</v>
      </c>
      <c r="T981" s="19" t="s">
        <v>64</v>
      </c>
      <c r="U981">
        <v>505.66</v>
      </c>
      <c r="V981">
        <v>1</v>
      </c>
      <c r="W981" s="19" t="s">
        <v>55</v>
      </c>
      <c r="X981">
        <v>14</v>
      </c>
      <c r="Y981">
        <v>3</v>
      </c>
      <c r="Z981">
        <v>1</v>
      </c>
      <c r="AA981">
        <v>0</v>
      </c>
      <c r="AB981">
        <v>21</v>
      </c>
      <c r="AC981">
        <v>2</v>
      </c>
      <c r="AD981">
        <v>4</v>
      </c>
      <c r="AE981">
        <v>20</v>
      </c>
      <c r="AF981">
        <v>7</v>
      </c>
      <c r="AG981">
        <v>4</v>
      </c>
      <c r="AH981">
        <v>9</v>
      </c>
      <c r="AI981">
        <v>0</v>
      </c>
      <c r="AJ981" s="19" t="s">
        <v>1571</v>
      </c>
      <c r="AK981" s="19" t="s">
        <v>1570</v>
      </c>
      <c r="AL981">
        <v>1</v>
      </c>
      <c r="AM981" s="19" t="s">
        <v>1565</v>
      </c>
      <c r="AN981">
        <v>0.59692241341450369</v>
      </c>
      <c r="AO981">
        <v>970860</v>
      </c>
    </row>
    <row r="982" spans="1:41" x14ac:dyDescent="0.3">
      <c r="A982" s="19" t="s">
        <v>1048</v>
      </c>
      <c r="B982">
        <v>40</v>
      </c>
      <c r="C982" s="19" t="s">
        <v>802</v>
      </c>
      <c r="D982" s="19" t="s">
        <v>55</v>
      </c>
      <c r="E982" s="19" t="s">
        <v>62</v>
      </c>
      <c r="F982">
        <v>593</v>
      </c>
      <c r="G982" s="19" t="s">
        <v>735</v>
      </c>
      <c r="H982">
        <v>9</v>
      </c>
      <c r="I982">
        <v>4</v>
      </c>
      <c r="J982" s="19" t="s">
        <v>58</v>
      </c>
      <c r="K982">
        <v>1166</v>
      </c>
      <c r="L982">
        <v>2</v>
      </c>
      <c r="M982" s="19" t="s">
        <v>59</v>
      </c>
      <c r="N982">
        <v>3</v>
      </c>
      <c r="O982">
        <v>3</v>
      </c>
      <c r="P982" s="19" t="s">
        <v>257</v>
      </c>
      <c r="Q982">
        <v>3</v>
      </c>
      <c r="R982" s="19" t="s">
        <v>53</v>
      </c>
      <c r="S982">
        <v>13910</v>
      </c>
      <c r="T982" s="19" t="s">
        <v>54</v>
      </c>
      <c r="U982">
        <v>86.94</v>
      </c>
      <c r="V982">
        <v>9</v>
      </c>
      <c r="W982" s="19" t="s">
        <v>55</v>
      </c>
      <c r="X982">
        <v>17</v>
      </c>
      <c r="Y982">
        <v>3</v>
      </c>
      <c r="Z982">
        <v>3</v>
      </c>
      <c r="AA982">
        <v>0</v>
      </c>
      <c r="AB982">
        <v>20</v>
      </c>
      <c r="AC982">
        <v>3</v>
      </c>
      <c r="AD982">
        <v>2</v>
      </c>
      <c r="AE982">
        <v>18</v>
      </c>
      <c r="AF982">
        <v>7</v>
      </c>
      <c r="AG982">
        <v>2</v>
      </c>
      <c r="AH982">
        <v>13</v>
      </c>
      <c r="AI982">
        <v>0</v>
      </c>
      <c r="AJ982" s="19" t="s">
        <v>1571</v>
      </c>
      <c r="AK982" s="19" t="s">
        <v>1562</v>
      </c>
      <c r="AL982">
        <v>1</v>
      </c>
      <c r="AM982" s="19" t="s">
        <v>1565</v>
      </c>
      <c r="AN982">
        <v>-0.72544106333853597</v>
      </c>
      <c r="AO982">
        <v>166920</v>
      </c>
    </row>
    <row r="983" spans="1:41" x14ac:dyDescent="0.3">
      <c r="A983" s="19" t="s">
        <v>1049</v>
      </c>
      <c r="B983">
        <v>40</v>
      </c>
      <c r="C983" s="19" t="s">
        <v>802</v>
      </c>
      <c r="D983" s="19" t="s">
        <v>55</v>
      </c>
      <c r="E983" s="19" t="s">
        <v>62</v>
      </c>
      <c r="F983">
        <v>902</v>
      </c>
      <c r="G983" s="19" t="s">
        <v>735</v>
      </c>
      <c r="H983">
        <v>26</v>
      </c>
      <c r="I983">
        <v>2</v>
      </c>
      <c r="J983" s="19" t="s">
        <v>58</v>
      </c>
      <c r="K983">
        <v>1180</v>
      </c>
      <c r="L983">
        <v>3</v>
      </c>
      <c r="M983" s="19" t="s">
        <v>59</v>
      </c>
      <c r="N983">
        <v>2</v>
      </c>
      <c r="O983">
        <v>2</v>
      </c>
      <c r="P983" s="19" t="s">
        <v>67</v>
      </c>
      <c r="Q983">
        <v>4</v>
      </c>
      <c r="R983" s="19" t="s">
        <v>113</v>
      </c>
      <c r="S983">
        <v>74479</v>
      </c>
      <c r="T983" s="19" t="s">
        <v>64</v>
      </c>
      <c r="U983">
        <v>465.49</v>
      </c>
      <c r="V983">
        <v>3</v>
      </c>
      <c r="W983" s="19" t="s">
        <v>47</v>
      </c>
      <c r="X983">
        <v>13</v>
      </c>
      <c r="Y983">
        <v>3</v>
      </c>
      <c r="Z983">
        <v>4</v>
      </c>
      <c r="AA983">
        <v>1</v>
      </c>
      <c r="AB983">
        <v>16</v>
      </c>
      <c r="AC983">
        <v>3</v>
      </c>
      <c r="AD983">
        <v>1</v>
      </c>
      <c r="AE983">
        <v>1</v>
      </c>
      <c r="AF983">
        <v>1</v>
      </c>
      <c r="AG983">
        <v>0</v>
      </c>
      <c r="AH983">
        <v>0</v>
      </c>
      <c r="AI983">
        <v>0</v>
      </c>
      <c r="AJ983" s="19" t="s">
        <v>1561</v>
      </c>
      <c r="AK983" s="19" t="s">
        <v>1562</v>
      </c>
      <c r="AL983">
        <v>2</v>
      </c>
      <c r="AM983" s="19" t="s">
        <v>1564</v>
      </c>
      <c r="AN983">
        <v>0.49357973516518772</v>
      </c>
      <c r="AO983">
        <v>893748</v>
      </c>
    </row>
    <row r="984" spans="1:41" x14ac:dyDescent="0.3">
      <c r="A984" s="19" t="s">
        <v>1050</v>
      </c>
      <c r="B984">
        <v>40</v>
      </c>
      <c r="C984" s="19" t="s">
        <v>802</v>
      </c>
      <c r="D984" s="19" t="s">
        <v>55</v>
      </c>
      <c r="E984" s="19" t="s">
        <v>62</v>
      </c>
      <c r="F984">
        <v>1184</v>
      </c>
      <c r="G984" s="19" t="s">
        <v>932</v>
      </c>
      <c r="H984">
        <v>2</v>
      </c>
      <c r="I984">
        <v>4</v>
      </c>
      <c r="J984" s="19" t="s">
        <v>58</v>
      </c>
      <c r="K984">
        <v>1212</v>
      </c>
      <c r="L984">
        <v>2</v>
      </c>
      <c r="M984" s="19" t="s">
        <v>51</v>
      </c>
      <c r="N984">
        <v>3</v>
      </c>
      <c r="O984">
        <v>2</v>
      </c>
      <c r="P984" s="19" t="s">
        <v>145</v>
      </c>
      <c r="Q984">
        <v>2</v>
      </c>
      <c r="R984" s="19" t="s">
        <v>113</v>
      </c>
      <c r="S984">
        <v>78735</v>
      </c>
      <c r="T984" s="19" t="s">
        <v>64</v>
      </c>
      <c r="U984">
        <v>492.09</v>
      </c>
      <c r="V984">
        <v>5</v>
      </c>
      <c r="W984" s="19" t="s">
        <v>55</v>
      </c>
      <c r="X984">
        <v>12</v>
      </c>
      <c r="Y984">
        <v>3</v>
      </c>
      <c r="Z984">
        <v>4</v>
      </c>
      <c r="AA984">
        <v>3</v>
      </c>
      <c r="AB984">
        <v>5</v>
      </c>
      <c r="AC984">
        <v>2</v>
      </c>
      <c r="AD984">
        <v>3</v>
      </c>
      <c r="AE984">
        <v>0</v>
      </c>
      <c r="AF984">
        <v>0</v>
      </c>
      <c r="AG984">
        <v>0</v>
      </c>
      <c r="AH984">
        <v>0</v>
      </c>
      <c r="AI984">
        <v>0</v>
      </c>
      <c r="AJ984" s="19" t="s">
        <v>1561</v>
      </c>
      <c r="AK984" s="19" t="s">
        <v>1562</v>
      </c>
      <c r="AL984">
        <v>1</v>
      </c>
      <c r="AM984" s="19" t="s">
        <v>1565</v>
      </c>
      <c r="AN984">
        <v>0.60493800771148964</v>
      </c>
      <c r="AO984">
        <v>944820</v>
      </c>
    </row>
    <row r="985" spans="1:41" x14ac:dyDescent="0.3">
      <c r="A985" s="19" t="s">
        <v>1051</v>
      </c>
      <c r="B985">
        <v>40</v>
      </c>
      <c r="C985" s="19" t="s">
        <v>802</v>
      </c>
      <c r="D985" s="19" t="s">
        <v>55</v>
      </c>
      <c r="E985" s="19" t="s">
        <v>48</v>
      </c>
      <c r="F985">
        <v>107</v>
      </c>
      <c r="G985" s="19" t="s">
        <v>932</v>
      </c>
      <c r="H985">
        <v>10</v>
      </c>
      <c r="I985">
        <v>3</v>
      </c>
      <c r="J985" s="19" t="s">
        <v>77</v>
      </c>
      <c r="K985">
        <v>1239</v>
      </c>
      <c r="L985">
        <v>2</v>
      </c>
      <c r="M985" s="19" t="s">
        <v>59</v>
      </c>
      <c r="N985">
        <v>2</v>
      </c>
      <c r="O985">
        <v>2</v>
      </c>
      <c r="P985" s="19" t="s">
        <v>145</v>
      </c>
      <c r="Q985">
        <v>2</v>
      </c>
      <c r="R985" s="19" t="s">
        <v>113</v>
      </c>
      <c r="S985">
        <v>82264</v>
      </c>
      <c r="T985" s="19" t="s">
        <v>64</v>
      </c>
      <c r="U985">
        <v>514.15</v>
      </c>
      <c r="V985">
        <v>7</v>
      </c>
      <c r="W985" s="19" t="s">
        <v>55</v>
      </c>
      <c r="X985">
        <v>12</v>
      </c>
      <c r="Y985">
        <v>3</v>
      </c>
      <c r="Z985">
        <v>2</v>
      </c>
      <c r="AA985">
        <v>1</v>
      </c>
      <c r="AB985">
        <v>7</v>
      </c>
      <c r="AC985">
        <v>2</v>
      </c>
      <c r="AD985">
        <v>4</v>
      </c>
      <c r="AE985">
        <v>5</v>
      </c>
      <c r="AF985">
        <v>1</v>
      </c>
      <c r="AG985">
        <v>1</v>
      </c>
      <c r="AH985">
        <v>3</v>
      </c>
      <c r="AI985">
        <v>0</v>
      </c>
      <c r="AJ985" s="19" t="s">
        <v>1567</v>
      </c>
      <c r="AK985" s="19" t="s">
        <v>1562</v>
      </c>
      <c r="AL985">
        <v>1</v>
      </c>
      <c r="AM985" s="19" t="s">
        <v>1565</v>
      </c>
      <c r="AN985">
        <v>0.67687331258497474</v>
      </c>
      <c r="AO985">
        <v>987168</v>
      </c>
    </row>
    <row r="986" spans="1:41" x14ac:dyDescent="0.3">
      <c r="A986" s="19" t="s">
        <v>1052</v>
      </c>
      <c r="B986">
        <v>40</v>
      </c>
      <c r="C986" s="19" t="s">
        <v>802</v>
      </c>
      <c r="D986" s="19" t="s">
        <v>47</v>
      </c>
      <c r="E986" s="19" t="s">
        <v>48</v>
      </c>
      <c r="F986">
        <v>299</v>
      </c>
      <c r="G986" s="19" t="s">
        <v>932</v>
      </c>
      <c r="H986">
        <v>25</v>
      </c>
      <c r="I986">
        <v>4</v>
      </c>
      <c r="J986" s="19" t="s">
        <v>63</v>
      </c>
      <c r="K986">
        <v>1318</v>
      </c>
      <c r="L986">
        <v>4</v>
      </c>
      <c r="M986" s="19" t="s">
        <v>51</v>
      </c>
      <c r="N986">
        <v>2</v>
      </c>
      <c r="O986">
        <v>3</v>
      </c>
      <c r="P986" s="19" t="s">
        <v>145</v>
      </c>
      <c r="Q986">
        <v>2</v>
      </c>
      <c r="R986" s="19" t="s">
        <v>53</v>
      </c>
      <c r="S986">
        <v>24275</v>
      </c>
      <c r="T986" s="19" t="s">
        <v>54</v>
      </c>
      <c r="U986">
        <v>151.72</v>
      </c>
      <c r="V986">
        <v>2</v>
      </c>
      <c r="W986" s="19" t="s">
        <v>47</v>
      </c>
      <c r="X986">
        <v>12</v>
      </c>
      <c r="Y986">
        <v>3</v>
      </c>
      <c r="Z986">
        <v>3</v>
      </c>
      <c r="AA986">
        <v>0</v>
      </c>
      <c r="AB986">
        <v>9</v>
      </c>
      <c r="AC986">
        <v>2</v>
      </c>
      <c r="AD986">
        <v>3</v>
      </c>
      <c r="AE986">
        <v>5</v>
      </c>
      <c r="AF986">
        <v>4</v>
      </c>
      <c r="AG986">
        <v>1</v>
      </c>
      <c r="AH986">
        <v>0</v>
      </c>
      <c r="AI986">
        <v>1</v>
      </c>
      <c r="AJ986" s="19" t="s">
        <v>1567</v>
      </c>
      <c r="AK986" s="19" t="s">
        <v>1562</v>
      </c>
      <c r="AL986">
        <v>2</v>
      </c>
      <c r="AM986" s="19" t="s">
        <v>1564</v>
      </c>
      <c r="AN986">
        <v>-0.50517723836671857</v>
      </c>
      <c r="AO986">
        <v>291300</v>
      </c>
    </row>
    <row r="987" spans="1:41" x14ac:dyDescent="0.3">
      <c r="A987" s="19" t="s">
        <v>1053</v>
      </c>
      <c r="B987">
        <v>40</v>
      </c>
      <c r="C987" s="19" t="s">
        <v>802</v>
      </c>
      <c r="D987" s="19" t="s">
        <v>55</v>
      </c>
      <c r="E987" s="19" t="s">
        <v>66</v>
      </c>
      <c r="F987">
        <v>458</v>
      </c>
      <c r="G987" s="19" t="s">
        <v>735</v>
      </c>
      <c r="H987">
        <v>16</v>
      </c>
      <c r="I987">
        <v>2</v>
      </c>
      <c r="J987" s="19" t="s">
        <v>50</v>
      </c>
      <c r="K987">
        <v>1340</v>
      </c>
      <c r="L987">
        <v>3</v>
      </c>
      <c r="M987" s="19" t="s">
        <v>51</v>
      </c>
      <c r="N987">
        <v>3</v>
      </c>
      <c r="O987">
        <v>1</v>
      </c>
      <c r="P987" s="19" t="s">
        <v>67</v>
      </c>
      <c r="Q987">
        <v>3</v>
      </c>
      <c r="R987" s="19" t="s">
        <v>53</v>
      </c>
      <c r="S987">
        <v>73274</v>
      </c>
      <c r="T987" s="19" t="s">
        <v>64</v>
      </c>
      <c r="U987">
        <v>457.96</v>
      </c>
      <c r="V987">
        <v>9</v>
      </c>
      <c r="W987" s="19" t="s">
        <v>55</v>
      </c>
      <c r="X987">
        <v>16</v>
      </c>
      <c r="Y987">
        <v>3</v>
      </c>
      <c r="Z987">
        <v>2</v>
      </c>
      <c r="AA987">
        <v>1</v>
      </c>
      <c r="AB987">
        <v>6</v>
      </c>
      <c r="AC987">
        <v>0</v>
      </c>
      <c r="AD987">
        <v>3</v>
      </c>
      <c r="AE987">
        <v>4</v>
      </c>
      <c r="AF987">
        <v>2</v>
      </c>
      <c r="AG987">
        <v>0</v>
      </c>
      <c r="AH987">
        <v>0</v>
      </c>
      <c r="AI987">
        <v>0</v>
      </c>
      <c r="AJ987" s="19" t="s">
        <v>1567</v>
      </c>
      <c r="AK987" s="19" t="s">
        <v>1562</v>
      </c>
      <c r="AL987">
        <v>0</v>
      </c>
      <c r="AM987" s="19" t="s">
        <v>1563</v>
      </c>
      <c r="AN987">
        <v>0.46941502322122969</v>
      </c>
      <c r="AO987">
        <v>879288</v>
      </c>
    </row>
    <row r="988" spans="1:41" x14ac:dyDescent="0.3">
      <c r="A988" s="19" t="s">
        <v>1054</v>
      </c>
      <c r="B988">
        <v>40</v>
      </c>
      <c r="C988" s="19" t="s">
        <v>802</v>
      </c>
      <c r="D988" s="19" t="s">
        <v>55</v>
      </c>
      <c r="E988" s="19" t="s">
        <v>48</v>
      </c>
      <c r="F988">
        <v>523</v>
      </c>
      <c r="G988" s="19" t="s">
        <v>735</v>
      </c>
      <c r="H988">
        <v>2</v>
      </c>
      <c r="I988">
        <v>3</v>
      </c>
      <c r="J988" s="19" t="s">
        <v>50</v>
      </c>
      <c r="K988">
        <v>1346</v>
      </c>
      <c r="L988">
        <v>3</v>
      </c>
      <c r="M988" s="19" t="s">
        <v>51</v>
      </c>
      <c r="N988">
        <v>3</v>
      </c>
      <c r="O988">
        <v>2</v>
      </c>
      <c r="P988" s="19" t="s">
        <v>67</v>
      </c>
      <c r="Q988">
        <v>4</v>
      </c>
      <c r="R988" s="19" t="s">
        <v>53</v>
      </c>
      <c r="S988">
        <v>82449</v>
      </c>
      <c r="T988" s="19" t="s">
        <v>64</v>
      </c>
      <c r="U988">
        <v>515.30999999999995</v>
      </c>
      <c r="V988">
        <v>1</v>
      </c>
      <c r="W988" s="19" t="s">
        <v>55</v>
      </c>
      <c r="X988">
        <v>13</v>
      </c>
      <c r="Y988">
        <v>3</v>
      </c>
      <c r="Z988">
        <v>3</v>
      </c>
      <c r="AA988">
        <v>0</v>
      </c>
      <c r="AB988">
        <v>9</v>
      </c>
      <c r="AC988">
        <v>4</v>
      </c>
      <c r="AD988">
        <v>3</v>
      </c>
      <c r="AE988">
        <v>9</v>
      </c>
      <c r="AF988">
        <v>8</v>
      </c>
      <c r="AG988">
        <v>8</v>
      </c>
      <c r="AH988">
        <v>8</v>
      </c>
      <c r="AI988">
        <v>0</v>
      </c>
      <c r="AJ988" s="19" t="s">
        <v>1569</v>
      </c>
      <c r="AK988" s="19" t="s">
        <v>1570</v>
      </c>
      <c r="AL988">
        <v>1</v>
      </c>
      <c r="AM988" s="19" t="s">
        <v>1565</v>
      </c>
      <c r="AN988">
        <v>0.6534077469438978</v>
      </c>
      <c r="AO988">
        <v>989388</v>
      </c>
    </row>
    <row r="989" spans="1:41" x14ac:dyDescent="0.3">
      <c r="A989" s="19" t="s">
        <v>1055</v>
      </c>
      <c r="B989">
        <v>40</v>
      </c>
      <c r="C989" s="19" t="s">
        <v>802</v>
      </c>
      <c r="D989" s="19" t="s">
        <v>55</v>
      </c>
      <c r="E989" s="19" t="s">
        <v>48</v>
      </c>
      <c r="F989">
        <v>329</v>
      </c>
      <c r="G989" s="19" t="s">
        <v>735</v>
      </c>
      <c r="H989">
        <v>1</v>
      </c>
      <c r="I989">
        <v>4</v>
      </c>
      <c r="J989" s="19" t="s">
        <v>50</v>
      </c>
      <c r="K989">
        <v>1361</v>
      </c>
      <c r="L989">
        <v>2</v>
      </c>
      <c r="M989" s="19" t="s">
        <v>51</v>
      </c>
      <c r="N989">
        <v>3</v>
      </c>
      <c r="O989">
        <v>1</v>
      </c>
      <c r="P989" s="19" t="s">
        <v>52</v>
      </c>
      <c r="Q989">
        <v>2</v>
      </c>
      <c r="R989" s="19" t="s">
        <v>113</v>
      </c>
      <c r="S989">
        <v>61004</v>
      </c>
      <c r="T989" s="19" t="s">
        <v>64</v>
      </c>
      <c r="U989">
        <v>381.28</v>
      </c>
      <c r="V989">
        <v>3</v>
      </c>
      <c r="W989" s="19" t="s">
        <v>55</v>
      </c>
      <c r="X989">
        <v>22</v>
      </c>
      <c r="Y989">
        <v>4</v>
      </c>
      <c r="Z989">
        <v>3</v>
      </c>
      <c r="AA989">
        <v>1</v>
      </c>
      <c r="AB989">
        <v>7</v>
      </c>
      <c r="AC989">
        <v>3</v>
      </c>
      <c r="AD989">
        <v>3</v>
      </c>
      <c r="AE989">
        <v>4</v>
      </c>
      <c r="AF989">
        <v>2</v>
      </c>
      <c r="AG989">
        <v>0</v>
      </c>
      <c r="AH989">
        <v>3</v>
      </c>
      <c r="AI989">
        <v>0</v>
      </c>
      <c r="AJ989" s="19" t="s">
        <v>1567</v>
      </c>
      <c r="AK989" s="19" t="s">
        <v>1562</v>
      </c>
      <c r="AL989">
        <v>1</v>
      </c>
      <c r="AM989" s="19" t="s">
        <v>1565</v>
      </c>
      <c r="AN989">
        <v>0.1794913790947574</v>
      </c>
      <c r="AO989">
        <v>732048</v>
      </c>
    </row>
    <row r="990" spans="1:41" x14ac:dyDescent="0.3">
      <c r="A990" s="19" t="s">
        <v>1056</v>
      </c>
      <c r="B990">
        <v>40</v>
      </c>
      <c r="C990" s="19" t="s">
        <v>802</v>
      </c>
      <c r="D990" s="19" t="s">
        <v>55</v>
      </c>
      <c r="E990" s="19" t="s">
        <v>48</v>
      </c>
      <c r="F990">
        <v>1202</v>
      </c>
      <c r="G990" s="19" t="s">
        <v>735</v>
      </c>
      <c r="H990">
        <v>2</v>
      </c>
      <c r="I990">
        <v>1</v>
      </c>
      <c r="J990" s="19" t="s">
        <v>58</v>
      </c>
      <c r="K990">
        <v>1375</v>
      </c>
      <c r="L990">
        <v>2</v>
      </c>
      <c r="M990" s="19" t="s">
        <v>59</v>
      </c>
      <c r="N990">
        <v>4</v>
      </c>
      <c r="O990">
        <v>2</v>
      </c>
      <c r="P990" s="19" t="s">
        <v>168</v>
      </c>
      <c r="Q990">
        <v>3</v>
      </c>
      <c r="R990" s="19" t="s">
        <v>113</v>
      </c>
      <c r="S990">
        <v>63981</v>
      </c>
      <c r="T990" s="19" t="s">
        <v>64</v>
      </c>
      <c r="U990">
        <v>399.88</v>
      </c>
      <c r="V990">
        <v>5</v>
      </c>
      <c r="W990" s="19" t="s">
        <v>55</v>
      </c>
      <c r="X990">
        <v>20</v>
      </c>
      <c r="Y990">
        <v>4</v>
      </c>
      <c r="Z990">
        <v>2</v>
      </c>
      <c r="AA990">
        <v>3</v>
      </c>
      <c r="AB990">
        <v>15</v>
      </c>
      <c r="AC990">
        <v>0</v>
      </c>
      <c r="AD990">
        <v>3</v>
      </c>
      <c r="AE990">
        <v>12</v>
      </c>
      <c r="AF990">
        <v>11</v>
      </c>
      <c r="AG990">
        <v>11</v>
      </c>
      <c r="AH990">
        <v>8</v>
      </c>
      <c r="AI990">
        <v>0</v>
      </c>
      <c r="AJ990" s="19" t="s">
        <v>1571</v>
      </c>
      <c r="AK990" s="19" t="s">
        <v>1570</v>
      </c>
      <c r="AL990">
        <v>1</v>
      </c>
      <c r="AM990" s="19" t="s">
        <v>1565</v>
      </c>
      <c r="AN990">
        <v>0.32770570727253329</v>
      </c>
      <c r="AO990">
        <v>767772</v>
      </c>
    </row>
    <row r="991" spans="1:41" x14ac:dyDescent="0.3">
      <c r="A991" s="19" t="s">
        <v>1057</v>
      </c>
      <c r="B991">
        <v>40</v>
      </c>
      <c r="C991" s="19" t="s">
        <v>802</v>
      </c>
      <c r="D991" s="19" t="s">
        <v>55</v>
      </c>
      <c r="E991" s="19" t="s">
        <v>66</v>
      </c>
      <c r="F991">
        <v>663</v>
      </c>
      <c r="G991" s="19" t="s">
        <v>735</v>
      </c>
      <c r="H991">
        <v>9</v>
      </c>
      <c r="I991">
        <v>4</v>
      </c>
      <c r="J991" s="19" t="s">
        <v>82</v>
      </c>
      <c r="K991">
        <v>1449</v>
      </c>
      <c r="L991">
        <v>3</v>
      </c>
      <c r="M991" s="19" t="s">
        <v>51</v>
      </c>
      <c r="N991">
        <v>3</v>
      </c>
      <c r="O991">
        <v>2</v>
      </c>
      <c r="P991" s="19" t="s">
        <v>52</v>
      </c>
      <c r="Q991">
        <v>3</v>
      </c>
      <c r="R991" s="19" t="s">
        <v>53</v>
      </c>
      <c r="S991">
        <v>85659</v>
      </c>
      <c r="T991" s="19" t="s">
        <v>70</v>
      </c>
      <c r="U991">
        <v>535.37</v>
      </c>
      <c r="V991">
        <v>3</v>
      </c>
      <c r="W991" s="19" t="s">
        <v>55</v>
      </c>
      <c r="X991">
        <v>11</v>
      </c>
      <c r="Y991">
        <v>3</v>
      </c>
      <c r="Z991">
        <v>3</v>
      </c>
      <c r="AA991">
        <v>2</v>
      </c>
      <c r="AB991">
        <v>11</v>
      </c>
      <c r="AC991">
        <v>2</v>
      </c>
      <c r="AD991">
        <v>4</v>
      </c>
      <c r="AE991">
        <v>8</v>
      </c>
      <c r="AF991">
        <v>7</v>
      </c>
      <c r="AG991">
        <v>0</v>
      </c>
      <c r="AH991">
        <v>7</v>
      </c>
      <c r="AI991">
        <v>0</v>
      </c>
      <c r="AJ991" s="19" t="s">
        <v>1569</v>
      </c>
      <c r="AK991" s="19" t="s">
        <v>1562</v>
      </c>
      <c r="AL991">
        <v>0</v>
      </c>
      <c r="AM991" s="19" t="s">
        <v>1563</v>
      </c>
      <c r="AN991">
        <v>0.65618733266470763</v>
      </c>
      <c r="AO991">
        <v>1027908</v>
      </c>
    </row>
    <row r="992" spans="1:41" x14ac:dyDescent="0.3">
      <c r="A992" s="19" t="s">
        <v>1058</v>
      </c>
      <c r="B992">
        <v>40</v>
      </c>
      <c r="C992" s="19" t="s">
        <v>802</v>
      </c>
      <c r="D992" s="19" t="s">
        <v>55</v>
      </c>
      <c r="E992" s="19" t="s">
        <v>66</v>
      </c>
      <c r="F992">
        <v>218</v>
      </c>
      <c r="G992" s="19" t="s">
        <v>735</v>
      </c>
      <c r="H992">
        <v>8</v>
      </c>
      <c r="I992">
        <v>1</v>
      </c>
      <c r="J992" s="19" t="s">
        <v>58</v>
      </c>
      <c r="K992">
        <v>1468</v>
      </c>
      <c r="L992">
        <v>4</v>
      </c>
      <c r="M992" s="19" t="s">
        <v>51</v>
      </c>
      <c r="N992">
        <v>2</v>
      </c>
      <c r="O992">
        <v>3</v>
      </c>
      <c r="P992" s="19" t="s">
        <v>257</v>
      </c>
      <c r="Q992">
        <v>2</v>
      </c>
      <c r="R992" s="19" t="s">
        <v>53</v>
      </c>
      <c r="S992">
        <v>55553</v>
      </c>
      <c r="T992" s="19" t="s">
        <v>64</v>
      </c>
      <c r="U992">
        <v>347.21</v>
      </c>
      <c r="V992">
        <v>2</v>
      </c>
      <c r="W992" s="19" t="s">
        <v>55</v>
      </c>
      <c r="X992">
        <v>11</v>
      </c>
      <c r="Y992">
        <v>3</v>
      </c>
      <c r="Z992">
        <v>3</v>
      </c>
      <c r="AA992">
        <v>1</v>
      </c>
      <c r="AB992">
        <v>16</v>
      </c>
      <c r="AC992">
        <v>5</v>
      </c>
      <c r="AD992">
        <v>3</v>
      </c>
      <c r="AE992">
        <v>9</v>
      </c>
      <c r="AF992">
        <v>8</v>
      </c>
      <c r="AG992">
        <v>4</v>
      </c>
      <c r="AH992">
        <v>8</v>
      </c>
      <c r="AI992">
        <v>0</v>
      </c>
      <c r="AJ992" s="19" t="s">
        <v>1569</v>
      </c>
      <c r="AK992" s="19" t="s">
        <v>1570</v>
      </c>
      <c r="AL992">
        <v>2</v>
      </c>
      <c r="AM992" s="19" t="s">
        <v>1564</v>
      </c>
      <c r="AN992">
        <v>9.6518519651639836E-2</v>
      </c>
      <c r="AO992">
        <v>666636</v>
      </c>
    </row>
    <row r="993" spans="1:41" x14ac:dyDescent="0.3">
      <c r="A993" s="19" t="s">
        <v>1059</v>
      </c>
      <c r="B993">
        <v>40</v>
      </c>
      <c r="C993" s="19" t="s">
        <v>802</v>
      </c>
      <c r="D993" s="19" t="s">
        <v>55</v>
      </c>
      <c r="E993" s="19" t="s">
        <v>48</v>
      </c>
      <c r="F993">
        <v>896</v>
      </c>
      <c r="G993" s="19" t="s">
        <v>735</v>
      </c>
      <c r="H993">
        <v>2</v>
      </c>
      <c r="I993">
        <v>3</v>
      </c>
      <c r="J993" s="19" t="s">
        <v>58</v>
      </c>
      <c r="K993">
        <v>1474</v>
      </c>
      <c r="L993">
        <v>3</v>
      </c>
      <c r="M993" s="19" t="s">
        <v>51</v>
      </c>
      <c r="N993">
        <v>3</v>
      </c>
      <c r="O993">
        <v>1</v>
      </c>
      <c r="P993" s="19" t="s">
        <v>67</v>
      </c>
      <c r="Q993">
        <v>3</v>
      </c>
      <c r="R993" s="19" t="s">
        <v>113</v>
      </c>
      <c r="S993">
        <v>49447</v>
      </c>
      <c r="T993" s="19" t="s">
        <v>72</v>
      </c>
      <c r="U993">
        <v>309.04000000000002</v>
      </c>
      <c r="V993">
        <v>2</v>
      </c>
      <c r="W993" s="19" t="s">
        <v>55</v>
      </c>
      <c r="X993">
        <v>14</v>
      </c>
      <c r="Y993">
        <v>3</v>
      </c>
      <c r="Z993">
        <v>3</v>
      </c>
      <c r="AA993">
        <v>1</v>
      </c>
      <c r="AB993">
        <v>8</v>
      </c>
      <c r="AC993">
        <v>3</v>
      </c>
      <c r="AD993">
        <v>4</v>
      </c>
      <c r="AE993">
        <v>3</v>
      </c>
      <c r="AF993">
        <v>1</v>
      </c>
      <c r="AG993">
        <v>1</v>
      </c>
      <c r="AH993">
        <v>2</v>
      </c>
      <c r="AI993">
        <v>0</v>
      </c>
      <c r="AJ993" s="19" t="s">
        <v>1566</v>
      </c>
      <c r="AK993" s="19" t="s">
        <v>1562</v>
      </c>
      <c r="AL993">
        <v>0</v>
      </c>
      <c r="AM993" s="19" t="s">
        <v>1563</v>
      </c>
      <c r="AN993">
        <v>-8.4045547776818094E-3</v>
      </c>
      <c r="AO993">
        <v>593364</v>
      </c>
    </row>
    <row r="994" spans="1:41" x14ac:dyDescent="0.3">
      <c r="A994" s="19" t="s">
        <v>1060</v>
      </c>
      <c r="B994">
        <v>40</v>
      </c>
      <c r="C994" s="19" t="s">
        <v>802</v>
      </c>
      <c r="D994" s="19" t="s">
        <v>47</v>
      </c>
      <c r="E994" s="19" t="s">
        <v>48</v>
      </c>
      <c r="F994">
        <v>676</v>
      </c>
      <c r="G994" s="19" t="s">
        <v>735</v>
      </c>
      <c r="H994">
        <v>9</v>
      </c>
      <c r="I994">
        <v>4</v>
      </c>
      <c r="J994" s="19" t="s">
        <v>50</v>
      </c>
      <c r="K994">
        <v>1534</v>
      </c>
      <c r="L994">
        <v>4</v>
      </c>
      <c r="M994" s="19" t="s">
        <v>51</v>
      </c>
      <c r="N994">
        <v>3</v>
      </c>
      <c r="O994">
        <v>1</v>
      </c>
      <c r="P994" s="19" t="s">
        <v>52</v>
      </c>
      <c r="Q994">
        <v>1</v>
      </c>
      <c r="R994" s="19" t="s">
        <v>53</v>
      </c>
      <c r="S994">
        <v>35529</v>
      </c>
      <c r="T994" s="19" t="s">
        <v>72</v>
      </c>
      <c r="U994">
        <v>222.06</v>
      </c>
      <c r="V994">
        <v>3</v>
      </c>
      <c r="W994" s="19" t="s">
        <v>55</v>
      </c>
      <c r="X994">
        <v>14</v>
      </c>
      <c r="Y994">
        <v>3</v>
      </c>
      <c r="Z994">
        <v>2</v>
      </c>
      <c r="AA994">
        <v>0</v>
      </c>
      <c r="AB994">
        <v>15</v>
      </c>
      <c r="AC994">
        <v>3</v>
      </c>
      <c r="AD994">
        <v>1</v>
      </c>
      <c r="AE994">
        <v>5</v>
      </c>
      <c r="AF994">
        <v>4</v>
      </c>
      <c r="AG994">
        <v>1</v>
      </c>
      <c r="AH994">
        <v>0</v>
      </c>
      <c r="AI994">
        <v>1</v>
      </c>
      <c r="AJ994" s="19" t="s">
        <v>1567</v>
      </c>
      <c r="AK994" s="19" t="s">
        <v>1562</v>
      </c>
      <c r="AL994">
        <v>2</v>
      </c>
      <c r="AM994" s="19" t="s">
        <v>1564</v>
      </c>
      <c r="AN994">
        <v>-0.31305899272412241</v>
      </c>
      <c r="AO994">
        <v>426348</v>
      </c>
    </row>
    <row r="995" spans="1:41" x14ac:dyDescent="0.3">
      <c r="A995" s="19" t="s">
        <v>1061</v>
      </c>
      <c r="B995">
        <v>40</v>
      </c>
      <c r="C995" s="19" t="s">
        <v>802</v>
      </c>
      <c r="D995" s="19" t="s">
        <v>55</v>
      </c>
      <c r="E995" s="19" t="s">
        <v>48</v>
      </c>
      <c r="F995">
        <v>1342</v>
      </c>
      <c r="G995" s="19" t="s">
        <v>932</v>
      </c>
      <c r="H995">
        <v>9</v>
      </c>
      <c r="I995">
        <v>2</v>
      </c>
      <c r="J995" s="19" t="s">
        <v>58</v>
      </c>
      <c r="K995">
        <v>1548</v>
      </c>
      <c r="L995">
        <v>1</v>
      </c>
      <c r="M995" s="19" t="s">
        <v>51</v>
      </c>
      <c r="N995">
        <v>3</v>
      </c>
      <c r="O995">
        <v>2</v>
      </c>
      <c r="P995" s="19" t="s">
        <v>145</v>
      </c>
      <c r="Q995">
        <v>1</v>
      </c>
      <c r="R995" s="19" t="s">
        <v>113</v>
      </c>
      <c r="S995">
        <v>76703</v>
      </c>
      <c r="T995" s="19" t="s">
        <v>64</v>
      </c>
      <c r="U995">
        <v>479.39</v>
      </c>
      <c r="V995">
        <v>0</v>
      </c>
      <c r="W995" s="19" t="s">
        <v>55</v>
      </c>
      <c r="X995">
        <v>12</v>
      </c>
      <c r="Y995">
        <v>3</v>
      </c>
      <c r="Z995">
        <v>4</v>
      </c>
      <c r="AA995">
        <v>0</v>
      </c>
      <c r="AB995">
        <v>9</v>
      </c>
      <c r="AC995">
        <v>5</v>
      </c>
      <c r="AD995">
        <v>4</v>
      </c>
      <c r="AE995">
        <v>8</v>
      </c>
      <c r="AF995">
        <v>4</v>
      </c>
      <c r="AG995">
        <v>7</v>
      </c>
      <c r="AH995">
        <v>1</v>
      </c>
      <c r="AI995">
        <v>0</v>
      </c>
      <c r="AJ995" s="19" t="s">
        <v>1569</v>
      </c>
      <c r="AK995" s="19" t="s">
        <v>1570</v>
      </c>
      <c r="AL995">
        <v>2</v>
      </c>
      <c r="AM995" s="19" t="s">
        <v>1564</v>
      </c>
      <c r="AN995">
        <v>0.56351762247405079</v>
      </c>
      <c r="AO995">
        <v>920436</v>
      </c>
    </row>
    <row r="996" spans="1:41" x14ac:dyDescent="0.3">
      <c r="A996" s="19" t="s">
        <v>1062</v>
      </c>
      <c r="B996">
        <v>40</v>
      </c>
      <c r="C996" s="19" t="s">
        <v>802</v>
      </c>
      <c r="D996" s="19" t="s">
        <v>55</v>
      </c>
      <c r="E996" s="19" t="s">
        <v>48</v>
      </c>
      <c r="F996">
        <v>898</v>
      </c>
      <c r="G996" s="19" t="s">
        <v>406</v>
      </c>
      <c r="H996">
        <v>6</v>
      </c>
      <c r="I996">
        <v>2</v>
      </c>
      <c r="J996" s="19" t="s">
        <v>58</v>
      </c>
      <c r="K996">
        <v>1550</v>
      </c>
      <c r="L996">
        <v>3</v>
      </c>
      <c r="M996" s="19" t="s">
        <v>51</v>
      </c>
      <c r="N996">
        <v>3</v>
      </c>
      <c r="O996">
        <v>4</v>
      </c>
      <c r="P996" s="19" t="s">
        <v>444</v>
      </c>
      <c r="Q996">
        <v>4</v>
      </c>
      <c r="R996" s="19" t="s">
        <v>53</v>
      </c>
      <c r="S996">
        <v>77090</v>
      </c>
      <c r="T996" s="19" t="s">
        <v>64</v>
      </c>
      <c r="U996">
        <v>481.81</v>
      </c>
      <c r="V996">
        <v>1</v>
      </c>
      <c r="W996" s="19" t="s">
        <v>47</v>
      </c>
      <c r="X996">
        <v>21</v>
      </c>
      <c r="Y996">
        <v>4</v>
      </c>
      <c r="Z996">
        <v>4</v>
      </c>
      <c r="AA996">
        <v>0</v>
      </c>
      <c r="AB996">
        <v>21</v>
      </c>
      <c r="AC996">
        <v>2</v>
      </c>
      <c r="AD996">
        <v>3</v>
      </c>
      <c r="AE996">
        <v>21</v>
      </c>
      <c r="AF996">
        <v>7</v>
      </c>
      <c r="AG996">
        <v>7</v>
      </c>
      <c r="AH996">
        <v>7</v>
      </c>
      <c r="AI996">
        <v>0</v>
      </c>
      <c r="AJ996" s="19" t="s">
        <v>1571</v>
      </c>
      <c r="AK996" s="19" t="s">
        <v>1570</v>
      </c>
      <c r="AL996">
        <v>2</v>
      </c>
      <c r="AM996" s="19" t="s">
        <v>1564</v>
      </c>
      <c r="AN996">
        <v>0.47686763226518475</v>
      </c>
      <c r="AO996">
        <v>925080</v>
      </c>
    </row>
    <row r="997" spans="1:41" x14ac:dyDescent="0.3">
      <c r="A997" s="19" t="s">
        <v>1063</v>
      </c>
      <c r="B997">
        <v>40</v>
      </c>
      <c r="C997" s="19" t="s">
        <v>802</v>
      </c>
      <c r="D997" s="19" t="s">
        <v>55</v>
      </c>
      <c r="E997" s="19" t="s">
        <v>66</v>
      </c>
      <c r="F997">
        <v>1142</v>
      </c>
      <c r="G997" s="19" t="s">
        <v>735</v>
      </c>
      <c r="H997">
        <v>8</v>
      </c>
      <c r="I997">
        <v>2</v>
      </c>
      <c r="J997" s="19" t="s">
        <v>50</v>
      </c>
      <c r="K997">
        <v>1552</v>
      </c>
      <c r="L997">
        <v>4</v>
      </c>
      <c r="M997" s="19" t="s">
        <v>51</v>
      </c>
      <c r="N997">
        <v>3</v>
      </c>
      <c r="O997">
        <v>2</v>
      </c>
      <c r="P997" s="19" t="s">
        <v>168</v>
      </c>
      <c r="Q997">
        <v>4</v>
      </c>
      <c r="R997" s="19" t="s">
        <v>53</v>
      </c>
      <c r="S997">
        <v>18260</v>
      </c>
      <c r="T997" s="19" t="s">
        <v>54</v>
      </c>
      <c r="U997">
        <v>114.12</v>
      </c>
      <c r="V997">
        <v>3</v>
      </c>
      <c r="W997" s="19" t="s">
        <v>47</v>
      </c>
      <c r="X997">
        <v>18</v>
      </c>
      <c r="Y997">
        <v>3</v>
      </c>
      <c r="Z997">
        <v>3</v>
      </c>
      <c r="AA997">
        <v>0</v>
      </c>
      <c r="AB997">
        <v>8</v>
      </c>
      <c r="AC997">
        <v>2</v>
      </c>
      <c r="AD997">
        <v>3</v>
      </c>
      <c r="AE997">
        <v>2</v>
      </c>
      <c r="AF997">
        <v>2</v>
      </c>
      <c r="AG997">
        <v>2</v>
      </c>
      <c r="AH997">
        <v>2</v>
      </c>
      <c r="AI997">
        <v>0</v>
      </c>
      <c r="AJ997" s="19" t="s">
        <v>1566</v>
      </c>
      <c r="AK997" s="19" t="s">
        <v>1562</v>
      </c>
      <c r="AL997">
        <v>1</v>
      </c>
      <c r="AM997" s="19" t="s">
        <v>1565</v>
      </c>
      <c r="AN997">
        <v>-0.62107647247157038</v>
      </c>
      <c r="AO997">
        <v>219120</v>
      </c>
    </row>
    <row r="998" spans="1:41" x14ac:dyDescent="0.3">
      <c r="A998" s="19" t="s">
        <v>1064</v>
      </c>
      <c r="B998">
        <v>40</v>
      </c>
      <c r="C998" s="19" t="s">
        <v>802</v>
      </c>
      <c r="D998" s="19" t="s">
        <v>55</v>
      </c>
      <c r="E998" s="19" t="s">
        <v>48</v>
      </c>
      <c r="F998">
        <v>118</v>
      </c>
      <c r="G998" s="19" t="s">
        <v>932</v>
      </c>
      <c r="H998">
        <v>14</v>
      </c>
      <c r="I998">
        <v>2</v>
      </c>
      <c r="J998" s="19" t="s">
        <v>50</v>
      </c>
      <c r="K998">
        <v>1598</v>
      </c>
      <c r="L998">
        <v>4</v>
      </c>
      <c r="M998" s="19" t="s">
        <v>59</v>
      </c>
      <c r="N998">
        <v>3</v>
      </c>
      <c r="O998">
        <v>2</v>
      </c>
      <c r="P998" s="19" t="s">
        <v>145</v>
      </c>
      <c r="Q998">
        <v>1</v>
      </c>
      <c r="R998" s="19" t="s">
        <v>113</v>
      </c>
      <c r="S998">
        <v>4812</v>
      </c>
      <c r="T998" s="19" t="s">
        <v>54</v>
      </c>
      <c r="U998">
        <v>30.08</v>
      </c>
      <c r="V998">
        <v>1</v>
      </c>
      <c r="W998" s="19" t="s">
        <v>55</v>
      </c>
      <c r="X998">
        <v>15</v>
      </c>
      <c r="Y998">
        <v>3</v>
      </c>
      <c r="Z998">
        <v>3</v>
      </c>
      <c r="AA998">
        <v>1</v>
      </c>
      <c r="AB998">
        <v>5</v>
      </c>
      <c r="AC998">
        <v>2</v>
      </c>
      <c r="AD998">
        <v>3</v>
      </c>
      <c r="AE998">
        <v>5</v>
      </c>
      <c r="AF998">
        <v>4</v>
      </c>
      <c r="AG998">
        <v>1</v>
      </c>
      <c r="AH998">
        <v>2</v>
      </c>
      <c r="AI998">
        <v>0</v>
      </c>
      <c r="AJ998" s="19" t="s">
        <v>1567</v>
      </c>
      <c r="AK998" s="19" t="s">
        <v>1562</v>
      </c>
      <c r="AL998">
        <v>1</v>
      </c>
      <c r="AM998" s="19" t="s">
        <v>1565</v>
      </c>
      <c r="AN998">
        <v>-0.90191196173102572</v>
      </c>
      <c r="AO998">
        <v>57744</v>
      </c>
    </row>
    <row r="999" spans="1:41" x14ac:dyDescent="0.3">
      <c r="A999" s="19" t="s">
        <v>1065</v>
      </c>
      <c r="B999">
        <v>40</v>
      </c>
      <c r="C999" s="19" t="s">
        <v>802</v>
      </c>
      <c r="D999" s="19" t="s">
        <v>55</v>
      </c>
      <c r="E999" s="19" t="s">
        <v>48</v>
      </c>
      <c r="F999">
        <v>884</v>
      </c>
      <c r="G999" s="19" t="s">
        <v>735</v>
      </c>
      <c r="H999">
        <v>15</v>
      </c>
      <c r="I999">
        <v>3</v>
      </c>
      <c r="J999" s="19" t="s">
        <v>50</v>
      </c>
      <c r="K999">
        <v>1628</v>
      </c>
      <c r="L999">
        <v>1</v>
      </c>
      <c r="M999" s="19" t="s">
        <v>59</v>
      </c>
      <c r="N999">
        <v>2</v>
      </c>
      <c r="O999">
        <v>3</v>
      </c>
      <c r="P999" s="19" t="s">
        <v>120</v>
      </c>
      <c r="Q999">
        <v>3</v>
      </c>
      <c r="R999" s="19" t="s">
        <v>113</v>
      </c>
      <c r="S999">
        <v>29024</v>
      </c>
      <c r="T999" s="19" t="s">
        <v>72</v>
      </c>
      <c r="U999">
        <v>181.4</v>
      </c>
      <c r="V999">
        <v>1</v>
      </c>
      <c r="W999" s="19" t="s">
        <v>55</v>
      </c>
      <c r="X999">
        <v>13</v>
      </c>
      <c r="Y999">
        <v>3</v>
      </c>
      <c r="Z999">
        <v>4</v>
      </c>
      <c r="AA999">
        <v>2</v>
      </c>
      <c r="AB999">
        <v>18</v>
      </c>
      <c r="AC999">
        <v>2</v>
      </c>
      <c r="AD999">
        <v>3</v>
      </c>
      <c r="AE999">
        <v>18</v>
      </c>
      <c r="AF999">
        <v>15</v>
      </c>
      <c r="AG999">
        <v>14</v>
      </c>
      <c r="AH999">
        <v>12</v>
      </c>
      <c r="AI999">
        <v>0</v>
      </c>
      <c r="AJ999" s="19" t="s">
        <v>1571</v>
      </c>
      <c r="AK999" s="19" t="s">
        <v>1570</v>
      </c>
      <c r="AL999">
        <v>1</v>
      </c>
      <c r="AM999" s="19" t="s">
        <v>1565</v>
      </c>
      <c r="AN999">
        <v>-0.34476170919384663</v>
      </c>
      <c r="AO999">
        <v>348288</v>
      </c>
    </row>
    <row r="1000" spans="1:41" x14ac:dyDescent="0.3">
      <c r="A1000" s="19" t="s">
        <v>1066</v>
      </c>
      <c r="B1000">
        <v>40</v>
      </c>
      <c r="C1000" s="19" t="s">
        <v>802</v>
      </c>
      <c r="D1000" s="19" t="s">
        <v>55</v>
      </c>
      <c r="E1000" s="19" t="s">
        <v>48</v>
      </c>
      <c r="F1000">
        <v>448</v>
      </c>
      <c r="G1000" s="19" t="s">
        <v>735</v>
      </c>
      <c r="H1000">
        <v>16</v>
      </c>
      <c r="I1000">
        <v>3</v>
      </c>
      <c r="J1000" s="19" t="s">
        <v>50</v>
      </c>
      <c r="K1000">
        <v>1641</v>
      </c>
      <c r="L1000">
        <v>3</v>
      </c>
      <c r="M1000" s="19" t="s">
        <v>59</v>
      </c>
      <c r="N1000">
        <v>3</v>
      </c>
      <c r="O1000">
        <v>3</v>
      </c>
      <c r="P1000" s="19" t="s">
        <v>120</v>
      </c>
      <c r="Q1000">
        <v>4</v>
      </c>
      <c r="R1000" s="19" t="s">
        <v>53</v>
      </c>
      <c r="S1000">
        <v>59656</v>
      </c>
      <c r="T1000" s="19" t="s">
        <v>64</v>
      </c>
      <c r="U1000">
        <v>372.85</v>
      </c>
      <c r="V1000">
        <v>6</v>
      </c>
      <c r="W1000" s="19" t="s">
        <v>47</v>
      </c>
      <c r="X1000">
        <v>15</v>
      </c>
      <c r="Y1000">
        <v>3</v>
      </c>
      <c r="Z1000">
        <v>4</v>
      </c>
      <c r="AA1000">
        <v>0</v>
      </c>
      <c r="AB1000">
        <v>18</v>
      </c>
      <c r="AC1000">
        <v>2</v>
      </c>
      <c r="AD1000">
        <v>2</v>
      </c>
      <c r="AE1000">
        <v>4</v>
      </c>
      <c r="AF1000">
        <v>2</v>
      </c>
      <c r="AG1000">
        <v>3</v>
      </c>
      <c r="AH1000">
        <v>3</v>
      </c>
      <c r="AI1000">
        <v>0</v>
      </c>
      <c r="AJ1000" s="19" t="s">
        <v>1567</v>
      </c>
      <c r="AK1000" s="19" t="s">
        <v>1570</v>
      </c>
      <c r="AL1000">
        <v>3</v>
      </c>
      <c r="AM1000" s="19" t="s">
        <v>1568</v>
      </c>
      <c r="AN1000">
        <v>0.34677837225509528</v>
      </c>
      <c r="AO1000">
        <v>715872</v>
      </c>
    </row>
    <row r="1001" spans="1:41" x14ac:dyDescent="0.3">
      <c r="A1001" s="19" t="s">
        <v>1067</v>
      </c>
      <c r="B1001">
        <v>40</v>
      </c>
      <c r="C1001" s="19" t="s">
        <v>802</v>
      </c>
      <c r="D1001" s="19" t="s">
        <v>47</v>
      </c>
      <c r="E1001" s="19" t="s">
        <v>48</v>
      </c>
      <c r="F1001">
        <v>1329</v>
      </c>
      <c r="G1001" s="19" t="s">
        <v>735</v>
      </c>
      <c r="H1001">
        <v>7</v>
      </c>
      <c r="I1001">
        <v>3</v>
      </c>
      <c r="J1001" s="19" t="s">
        <v>50</v>
      </c>
      <c r="K1001">
        <v>1649</v>
      </c>
      <c r="L1001">
        <v>1</v>
      </c>
      <c r="M1001" s="19" t="s">
        <v>51</v>
      </c>
      <c r="N1001">
        <v>3</v>
      </c>
      <c r="O1001">
        <v>1</v>
      </c>
      <c r="P1001" s="19" t="s">
        <v>52</v>
      </c>
      <c r="Q1001">
        <v>1</v>
      </c>
      <c r="R1001" s="19" t="s">
        <v>53</v>
      </c>
      <c r="S1001">
        <v>28285</v>
      </c>
      <c r="T1001" s="19" t="s">
        <v>72</v>
      </c>
      <c r="U1001">
        <v>176.78</v>
      </c>
      <c r="V1001">
        <v>3</v>
      </c>
      <c r="W1001" s="19" t="s">
        <v>47</v>
      </c>
      <c r="X1001">
        <v>14</v>
      </c>
      <c r="Y1001">
        <v>3</v>
      </c>
      <c r="Z1001">
        <v>2</v>
      </c>
      <c r="AA1001">
        <v>0</v>
      </c>
      <c r="AB1001">
        <v>10</v>
      </c>
      <c r="AC1001">
        <v>3</v>
      </c>
      <c r="AD1001">
        <v>1</v>
      </c>
      <c r="AE1001">
        <v>4</v>
      </c>
      <c r="AF1001">
        <v>2</v>
      </c>
      <c r="AG1001">
        <v>0</v>
      </c>
      <c r="AH1001">
        <v>3</v>
      </c>
      <c r="AI1001">
        <v>1</v>
      </c>
      <c r="AJ1001" s="19" t="s">
        <v>1567</v>
      </c>
      <c r="AK1001" s="19" t="s">
        <v>1562</v>
      </c>
      <c r="AL1001">
        <v>3</v>
      </c>
      <c r="AM1001" s="19" t="s">
        <v>1568</v>
      </c>
      <c r="AN1001">
        <v>-0.45311924369393464</v>
      </c>
      <c r="AO1001">
        <v>339420</v>
      </c>
    </row>
    <row r="1002" spans="1:41" x14ac:dyDescent="0.3">
      <c r="A1002" s="19" t="s">
        <v>1068</v>
      </c>
      <c r="B1002">
        <v>40</v>
      </c>
      <c r="C1002" s="19" t="s">
        <v>802</v>
      </c>
      <c r="D1002" s="19" t="s">
        <v>55</v>
      </c>
      <c r="E1002" s="19" t="s">
        <v>48</v>
      </c>
      <c r="F1002">
        <v>369</v>
      </c>
      <c r="G1002" s="19" t="s">
        <v>735</v>
      </c>
      <c r="H1002">
        <v>8</v>
      </c>
      <c r="I1002">
        <v>2</v>
      </c>
      <c r="J1002" s="19" t="s">
        <v>50</v>
      </c>
      <c r="K1002">
        <v>1724</v>
      </c>
      <c r="L1002">
        <v>2</v>
      </c>
      <c r="M1002" s="19" t="s">
        <v>59</v>
      </c>
      <c r="N1002">
        <v>3</v>
      </c>
      <c r="O1002">
        <v>2</v>
      </c>
      <c r="P1002" s="19" t="s">
        <v>120</v>
      </c>
      <c r="Q1002">
        <v>1</v>
      </c>
      <c r="R1002" s="19" t="s">
        <v>113</v>
      </c>
      <c r="S1002">
        <v>93436</v>
      </c>
      <c r="T1002" s="19" t="s">
        <v>70</v>
      </c>
      <c r="U1002">
        <v>583.98</v>
      </c>
      <c r="V1002">
        <v>2</v>
      </c>
      <c r="W1002" s="19" t="s">
        <v>47</v>
      </c>
      <c r="X1002">
        <v>16</v>
      </c>
      <c r="Y1002">
        <v>3</v>
      </c>
      <c r="Z1002">
        <v>2</v>
      </c>
      <c r="AA1002">
        <v>1</v>
      </c>
      <c r="AB1002">
        <v>18</v>
      </c>
      <c r="AC1002">
        <v>3</v>
      </c>
      <c r="AD1002">
        <v>3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 s="19" t="s">
        <v>1561</v>
      </c>
      <c r="AK1002" s="19" t="s">
        <v>1562</v>
      </c>
      <c r="AL1002">
        <v>2</v>
      </c>
      <c r="AM1002" s="19" t="s">
        <v>1564</v>
      </c>
      <c r="AN1002">
        <v>1.1093868846390487</v>
      </c>
      <c r="AO1002">
        <v>1121232</v>
      </c>
    </row>
    <row r="1003" spans="1:41" x14ac:dyDescent="0.3">
      <c r="A1003" s="19" t="s">
        <v>1069</v>
      </c>
      <c r="B1003">
        <v>40</v>
      </c>
      <c r="C1003" s="19" t="s">
        <v>802</v>
      </c>
      <c r="D1003" s="19" t="s">
        <v>55</v>
      </c>
      <c r="E1003" s="19" t="s">
        <v>48</v>
      </c>
      <c r="F1003">
        <v>611</v>
      </c>
      <c r="G1003" s="19" t="s">
        <v>932</v>
      </c>
      <c r="H1003">
        <v>7</v>
      </c>
      <c r="I1003">
        <v>4</v>
      </c>
      <c r="J1003" s="19" t="s">
        <v>58</v>
      </c>
      <c r="K1003">
        <v>1740</v>
      </c>
      <c r="L1003">
        <v>2</v>
      </c>
      <c r="M1003" s="19" t="s">
        <v>51</v>
      </c>
      <c r="N1003">
        <v>3</v>
      </c>
      <c r="O1003">
        <v>5</v>
      </c>
      <c r="P1003" s="19" t="s">
        <v>444</v>
      </c>
      <c r="Q1003">
        <v>2</v>
      </c>
      <c r="R1003" s="19" t="s">
        <v>53</v>
      </c>
      <c r="S1003">
        <v>2605</v>
      </c>
      <c r="T1003" s="19" t="s">
        <v>54</v>
      </c>
      <c r="U1003">
        <v>16.28</v>
      </c>
      <c r="V1003">
        <v>1</v>
      </c>
      <c r="W1003" s="19" t="s">
        <v>55</v>
      </c>
      <c r="X1003">
        <v>14</v>
      </c>
      <c r="Y1003">
        <v>3</v>
      </c>
      <c r="Z1003">
        <v>2</v>
      </c>
      <c r="AA1003">
        <v>0</v>
      </c>
      <c r="AB1003">
        <v>21</v>
      </c>
      <c r="AC1003">
        <v>3</v>
      </c>
      <c r="AD1003">
        <v>2</v>
      </c>
      <c r="AE1003">
        <v>21</v>
      </c>
      <c r="AF1003">
        <v>8</v>
      </c>
      <c r="AG1003">
        <v>12</v>
      </c>
      <c r="AH1003">
        <v>8</v>
      </c>
      <c r="AI1003">
        <v>0</v>
      </c>
      <c r="AJ1003" s="19" t="s">
        <v>1571</v>
      </c>
      <c r="AK1003" s="19" t="s">
        <v>1570</v>
      </c>
      <c r="AL1003">
        <v>3</v>
      </c>
      <c r="AM1003" s="19" t="s">
        <v>1568</v>
      </c>
      <c r="AN1003">
        <v>-0.9500941732773277</v>
      </c>
      <c r="AO1003">
        <v>31260</v>
      </c>
    </row>
    <row r="1004" spans="1:41" x14ac:dyDescent="0.3">
      <c r="A1004" s="19" t="s">
        <v>1070</v>
      </c>
      <c r="B1004">
        <v>40</v>
      </c>
      <c r="C1004" s="19" t="s">
        <v>802</v>
      </c>
      <c r="D1004" s="19" t="s">
        <v>55</v>
      </c>
      <c r="E1004" s="19" t="s">
        <v>48</v>
      </c>
      <c r="F1004">
        <v>616</v>
      </c>
      <c r="G1004" s="19" t="s">
        <v>735</v>
      </c>
      <c r="H1004">
        <v>2</v>
      </c>
      <c r="I1004">
        <v>2</v>
      </c>
      <c r="J1004" s="19" t="s">
        <v>50</v>
      </c>
      <c r="K1004">
        <v>1802</v>
      </c>
      <c r="L1004">
        <v>3</v>
      </c>
      <c r="M1004" s="19" t="s">
        <v>59</v>
      </c>
      <c r="N1004">
        <v>3</v>
      </c>
      <c r="O1004">
        <v>1</v>
      </c>
      <c r="P1004" s="19" t="s">
        <v>52</v>
      </c>
      <c r="Q1004">
        <v>1</v>
      </c>
      <c r="R1004" s="19" t="s">
        <v>113</v>
      </c>
      <c r="S1004">
        <v>72158</v>
      </c>
      <c r="T1004" s="19" t="s">
        <v>64</v>
      </c>
      <c r="U1004">
        <v>450.99</v>
      </c>
      <c r="V1004">
        <v>4</v>
      </c>
      <c r="W1004" s="19" t="s">
        <v>55</v>
      </c>
      <c r="X1004">
        <v>17</v>
      </c>
      <c r="Y1004">
        <v>3</v>
      </c>
      <c r="Z1004">
        <v>4</v>
      </c>
      <c r="AA1004">
        <v>1</v>
      </c>
      <c r="AB1004">
        <v>7</v>
      </c>
      <c r="AC1004">
        <v>5</v>
      </c>
      <c r="AD1004">
        <v>2</v>
      </c>
      <c r="AE1004">
        <v>4</v>
      </c>
      <c r="AF1004">
        <v>3</v>
      </c>
      <c r="AG1004">
        <v>0</v>
      </c>
      <c r="AH1004">
        <v>2</v>
      </c>
      <c r="AI1004">
        <v>0</v>
      </c>
      <c r="AJ1004" s="19" t="s">
        <v>1567</v>
      </c>
      <c r="AK1004" s="19" t="s">
        <v>1562</v>
      </c>
      <c r="AL1004">
        <v>2</v>
      </c>
      <c r="AM1004" s="19" t="s">
        <v>1564</v>
      </c>
      <c r="AN1004">
        <v>0.39515013659300219</v>
      </c>
      <c r="AO1004">
        <v>865896</v>
      </c>
    </row>
    <row r="1005" spans="1:41" x14ac:dyDescent="0.3">
      <c r="A1005" s="19" t="s">
        <v>1071</v>
      </c>
      <c r="B1005">
        <v>40</v>
      </c>
      <c r="C1005" s="19" t="s">
        <v>802</v>
      </c>
      <c r="D1005" s="19" t="s">
        <v>55</v>
      </c>
      <c r="E1005" s="19" t="s">
        <v>48</v>
      </c>
      <c r="F1005">
        <v>1194</v>
      </c>
      <c r="G1005" s="19" t="s">
        <v>735</v>
      </c>
      <c r="H1005">
        <v>1</v>
      </c>
      <c r="I1005">
        <v>3</v>
      </c>
      <c r="J1005" s="19" t="s">
        <v>50</v>
      </c>
      <c r="K1005">
        <v>1822</v>
      </c>
      <c r="L1005">
        <v>3</v>
      </c>
      <c r="M1005" s="19" t="s">
        <v>59</v>
      </c>
      <c r="N1005">
        <v>3</v>
      </c>
      <c r="O1005">
        <v>2</v>
      </c>
      <c r="P1005" s="19" t="s">
        <v>168</v>
      </c>
      <c r="Q1005">
        <v>4</v>
      </c>
      <c r="R1005" s="19" t="s">
        <v>113</v>
      </c>
      <c r="S1005">
        <v>73303</v>
      </c>
      <c r="T1005" s="19" t="s">
        <v>64</v>
      </c>
      <c r="U1005">
        <v>458.14</v>
      </c>
      <c r="V1005">
        <v>4</v>
      </c>
      <c r="W1005" s="19" t="s">
        <v>55</v>
      </c>
      <c r="X1005">
        <v>17</v>
      </c>
      <c r="Y1005">
        <v>3</v>
      </c>
      <c r="Z1005">
        <v>4</v>
      </c>
      <c r="AA1005">
        <v>1</v>
      </c>
      <c r="AB1005">
        <v>12</v>
      </c>
      <c r="AC1005">
        <v>3</v>
      </c>
      <c r="AD1005">
        <v>3</v>
      </c>
      <c r="AE1005">
        <v>5</v>
      </c>
      <c r="AF1005">
        <v>3</v>
      </c>
      <c r="AG1005">
        <v>0</v>
      </c>
      <c r="AH1005">
        <v>3</v>
      </c>
      <c r="AI1005">
        <v>0</v>
      </c>
      <c r="AJ1005" s="19" t="s">
        <v>1567</v>
      </c>
      <c r="AK1005" s="19" t="s">
        <v>1562</v>
      </c>
      <c r="AL1005">
        <v>0</v>
      </c>
      <c r="AM1005" s="19" t="s">
        <v>1563</v>
      </c>
      <c r="AN1005">
        <v>0.52115177099761656</v>
      </c>
      <c r="AO1005">
        <v>879636</v>
      </c>
    </row>
    <row r="1006" spans="1:41" x14ac:dyDescent="0.3">
      <c r="A1006" s="19" t="s">
        <v>1072</v>
      </c>
      <c r="B1006">
        <v>40</v>
      </c>
      <c r="C1006" s="19" t="s">
        <v>802</v>
      </c>
      <c r="D1006" s="19" t="s">
        <v>55</v>
      </c>
      <c r="E1006" s="19" t="s">
        <v>48</v>
      </c>
      <c r="F1006">
        <v>750</v>
      </c>
      <c r="G1006" s="19" t="s">
        <v>735</v>
      </c>
      <c r="H1006">
        <v>12</v>
      </c>
      <c r="I1006">
        <v>3</v>
      </c>
      <c r="J1006" s="19" t="s">
        <v>50</v>
      </c>
      <c r="K1006">
        <v>1829</v>
      </c>
      <c r="L1006">
        <v>2</v>
      </c>
      <c r="M1006" s="19" t="s">
        <v>59</v>
      </c>
      <c r="N1006">
        <v>3</v>
      </c>
      <c r="O1006">
        <v>2</v>
      </c>
      <c r="P1006" s="19" t="s">
        <v>168</v>
      </c>
      <c r="Q1006">
        <v>1</v>
      </c>
      <c r="R1006" s="19" t="s">
        <v>113</v>
      </c>
      <c r="S1006">
        <v>28139</v>
      </c>
      <c r="T1006" s="19" t="s">
        <v>72</v>
      </c>
      <c r="U1006">
        <v>175.87</v>
      </c>
      <c r="V1006">
        <v>2</v>
      </c>
      <c r="W1006" s="19" t="s">
        <v>55</v>
      </c>
      <c r="X1006">
        <v>12</v>
      </c>
      <c r="Y1006">
        <v>3</v>
      </c>
      <c r="Z1006">
        <v>2</v>
      </c>
      <c r="AA1006">
        <v>1</v>
      </c>
      <c r="AB1006">
        <v>15</v>
      </c>
      <c r="AC1006">
        <v>3</v>
      </c>
      <c r="AD1006">
        <v>3</v>
      </c>
      <c r="AE1006">
        <v>7</v>
      </c>
      <c r="AF1006">
        <v>4</v>
      </c>
      <c r="AG1006">
        <v>7</v>
      </c>
      <c r="AH1006">
        <v>7</v>
      </c>
      <c r="AI1006">
        <v>0</v>
      </c>
      <c r="AJ1006" s="19" t="s">
        <v>1569</v>
      </c>
      <c r="AK1006" s="19" t="s">
        <v>1570</v>
      </c>
      <c r="AL1006">
        <v>2</v>
      </c>
      <c r="AM1006" s="19" t="s">
        <v>1564</v>
      </c>
      <c r="AN1006">
        <v>-0.4160717885475092</v>
      </c>
      <c r="AO1006">
        <v>337668</v>
      </c>
    </row>
    <row r="1007" spans="1:41" x14ac:dyDescent="0.3">
      <c r="A1007" s="19" t="s">
        <v>1073</v>
      </c>
      <c r="B1007">
        <v>40</v>
      </c>
      <c r="C1007" s="19" t="s">
        <v>802</v>
      </c>
      <c r="D1007" s="19" t="s">
        <v>55</v>
      </c>
      <c r="E1007" s="19" t="s">
        <v>48</v>
      </c>
      <c r="F1007">
        <v>1137</v>
      </c>
      <c r="G1007" s="19" t="s">
        <v>735</v>
      </c>
      <c r="H1007">
        <v>1</v>
      </c>
      <c r="I1007">
        <v>4</v>
      </c>
      <c r="J1007" s="19" t="s">
        <v>50</v>
      </c>
      <c r="K1007">
        <v>1892</v>
      </c>
      <c r="L1007">
        <v>1</v>
      </c>
      <c r="M1007" s="19" t="s">
        <v>51</v>
      </c>
      <c r="N1007">
        <v>3</v>
      </c>
      <c r="O1007">
        <v>4</v>
      </c>
      <c r="P1007" s="19" t="s">
        <v>444</v>
      </c>
      <c r="Q1007">
        <v>1</v>
      </c>
      <c r="R1007" s="19" t="s">
        <v>113</v>
      </c>
      <c r="S1007">
        <v>78149</v>
      </c>
      <c r="T1007" s="19" t="s">
        <v>64</v>
      </c>
      <c r="U1007">
        <v>488.43</v>
      </c>
      <c r="V1007">
        <v>2</v>
      </c>
      <c r="W1007" s="19" t="s">
        <v>55</v>
      </c>
      <c r="X1007">
        <v>11</v>
      </c>
      <c r="Y1007">
        <v>3</v>
      </c>
      <c r="Z1007">
        <v>1</v>
      </c>
      <c r="AA1007">
        <v>1</v>
      </c>
      <c r="AB1007">
        <v>22</v>
      </c>
      <c r="AC1007">
        <v>3</v>
      </c>
      <c r="AD1007">
        <v>3</v>
      </c>
      <c r="AE1007">
        <v>19</v>
      </c>
      <c r="AF1007">
        <v>7</v>
      </c>
      <c r="AG1007">
        <v>11</v>
      </c>
      <c r="AH1007">
        <v>16</v>
      </c>
      <c r="AI1007">
        <v>0</v>
      </c>
      <c r="AJ1007" s="19" t="s">
        <v>1571</v>
      </c>
      <c r="AK1007" s="19" t="s">
        <v>1570</v>
      </c>
      <c r="AL1007">
        <v>2</v>
      </c>
      <c r="AM1007" s="19" t="s">
        <v>1564</v>
      </c>
      <c r="AN1007">
        <v>0.49715564397317319</v>
      </c>
      <c r="AO1007">
        <v>937788</v>
      </c>
    </row>
    <row r="1008" spans="1:41" x14ac:dyDescent="0.3">
      <c r="A1008" s="19" t="s">
        <v>1074</v>
      </c>
      <c r="B1008">
        <v>40</v>
      </c>
      <c r="C1008" s="19" t="s">
        <v>802</v>
      </c>
      <c r="D1008" s="19" t="s">
        <v>55</v>
      </c>
      <c r="E1008" s="19" t="s">
        <v>62</v>
      </c>
      <c r="F1008">
        <v>692</v>
      </c>
      <c r="G1008" s="19" t="s">
        <v>735</v>
      </c>
      <c r="H1008">
        <v>11</v>
      </c>
      <c r="I1008">
        <v>3</v>
      </c>
      <c r="J1008" s="19" t="s">
        <v>77</v>
      </c>
      <c r="K1008">
        <v>1985</v>
      </c>
      <c r="L1008">
        <v>4</v>
      </c>
      <c r="M1008" s="19" t="s">
        <v>59</v>
      </c>
      <c r="N1008">
        <v>3</v>
      </c>
      <c r="O1008">
        <v>2</v>
      </c>
      <c r="P1008" s="19" t="s">
        <v>52</v>
      </c>
      <c r="Q1008">
        <v>3</v>
      </c>
      <c r="R1008" s="19" t="s">
        <v>113</v>
      </c>
      <c r="S1008">
        <v>57138</v>
      </c>
      <c r="T1008" s="19" t="s">
        <v>64</v>
      </c>
      <c r="U1008">
        <v>357.11</v>
      </c>
      <c r="V1008">
        <v>1</v>
      </c>
      <c r="W1008" s="19" t="s">
        <v>55</v>
      </c>
      <c r="X1008">
        <v>11</v>
      </c>
      <c r="Y1008">
        <v>3</v>
      </c>
      <c r="Z1008">
        <v>1</v>
      </c>
      <c r="AA1008">
        <v>1</v>
      </c>
      <c r="AB1008">
        <v>10</v>
      </c>
      <c r="AC1008">
        <v>2</v>
      </c>
      <c r="AD1008">
        <v>4</v>
      </c>
      <c r="AE1008">
        <v>10</v>
      </c>
      <c r="AF1008">
        <v>9</v>
      </c>
      <c r="AG1008">
        <v>9</v>
      </c>
      <c r="AH1008">
        <v>4</v>
      </c>
      <c r="AI1008">
        <v>0</v>
      </c>
      <c r="AJ1008" s="19" t="s">
        <v>1569</v>
      </c>
      <c r="AK1008" s="19" t="s">
        <v>1570</v>
      </c>
      <c r="AL1008">
        <v>1</v>
      </c>
      <c r="AM1008" s="19" t="s">
        <v>1565</v>
      </c>
      <c r="AN1008">
        <v>0.10474359744797469</v>
      </c>
      <c r="AO1008">
        <v>685656</v>
      </c>
    </row>
    <row r="1009" spans="1:41" x14ac:dyDescent="0.3">
      <c r="A1009" s="19" t="s">
        <v>1075</v>
      </c>
      <c r="B1009">
        <v>40</v>
      </c>
      <c r="C1009" s="19" t="s">
        <v>802</v>
      </c>
      <c r="D1009" s="19" t="s">
        <v>55</v>
      </c>
      <c r="E1009" s="19" t="s">
        <v>48</v>
      </c>
      <c r="F1009">
        <v>444</v>
      </c>
      <c r="G1009" s="19" t="s">
        <v>932</v>
      </c>
      <c r="H1009">
        <v>2</v>
      </c>
      <c r="I1009">
        <v>2</v>
      </c>
      <c r="J1009" s="19" t="s">
        <v>63</v>
      </c>
      <c r="K1009">
        <v>1986</v>
      </c>
      <c r="L1009">
        <v>2</v>
      </c>
      <c r="M1009" s="19" t="s">
        <v>59</v>
      </c>
      <c r="N1009">
        <v>3</v>
      </c>
      <c r="O1009">
        <v>2</v>
      </c>
      <c r="P1009" s="19" t="s">
        <v>145</v>
      </c>
      <c r="Q1009">
        <v>2</v>
      </c>
      <c r="R1009" s="19" t="s">
        <v>113</v>
      </c>
      <c r="S1009">
        <v>77125</v>
      </c>
      <c r="T1009" s="19" t="s">
        <v>64</v>
      </c>
      <c r="U1009">
        <v>482.03</v>
      </c>
      <c r="V1009">
        <v>3</v>
      </c>
      <c r="W1009" s="19" t="s">
        <v>55</v>
      </c>
      <c r="X1009">
        <v>14</v>
      </c>
      <c r="Y1009">
        <v>3</v>
      </c>
      <c r="Z1009">
        <v>3</v>
      </c>
      <c r="AA1009">
        <v>1</v>
      </c>
      <c r="AB1009">
        <v>15</v>
      </c>
      <c r="AC1009">
        <v>4</v>
      </c>
      <c r="AD1009">
        <v>3</v>
      </c>
      <c r="AE1009">
        <v>11</v>
      </c>
      <c r="AF1009">
        <v>8</v>
      </c>
      <c r="AG1009">
        <v>5</v>
      </c>
      <c r="AH1009">
        <v>10</v>
      </c>
      <c r="AI1009">
        <v>0</v>
      </c>
      <c r="AJ1009" s="19" t="s">
        <v>1571</v>
      </c>
      <c r="AK1009" s="19" t="s">
        <v>1570</v>
      </c>
      <c r="AL1009">
        <v>2</v>
      </c>
      <c r="AM1009" s="19" t="s">
        <v>1564</v>
      </c>
      <c r="AN1009">
        <v>0.57211969066804647</v>
      </c>
      <c r="AO1009">
        <v>925500</v>
      </c>
    </row>
    <row r="1010" spans="1:41" x14ac:dyDescent="0.3">
      <c r="A1010" s="19" t="s">
        <v>1076</v>
      </c>
      <c r="B1010">
        <v>40</v>
      </c>
      <c r="C1010" s="19" t="s">
        <v>802</v>
      </c>
      <c r="D1010" s="19" t="s">
        <v>55</v>
      </c>
      <c r="E1010" s="19" t="s">
        <v>48</v>
      </c>
      <c r="F1010">
        <v>543</v>
      </c>
      <c r="G1010" s="19" t="s">
        <v>735</v>
      </c>
      <c r="H1010">
        <v>1</v>
      </c>
      <c r="I1010">
        <v>4</v>
      </c>
      <c r="J1010" s="19" t="s">
        <v>50</v>
      </c>
      <c r="K1010">
        <v>2012</v>
      </c>
      <c r="L1010">
        <v>1</v>
      </c>
      <c r="M1010" s="19" t="s">
        <v>51</v>
      </c>
      <c r="N1010">
        <v>3</v>
      </c>
      <c r="O1010">
        <v>1</v>
      </c>
      <c r="P1010" s="19" t="s">
        <v>52</v>
      </c>
      <c r="Q1010">
        <v>4</v>
      </c>
      <c r="R1010" s="19" t="s">
        <v>113</v>
      </c>
      <c r="S1010">
        <v>14918</v>
      </c>
      <c r="T1010" s="19" t="s">
        <v>54</v>
      </c>
      <c r="U1010">
        <v>93.24</v>
      </c>
      <c r="V1010">
        <v>8</v>
      </c>
      <c r="W1010" s="19" t="s">
        <v>55</v>
      </c>
      <c r="X1010">
        <v>19</v>
      </c>
      <c r="Y1010">
        <v>3</v>
      </c>
      <c r="Z1010">
        <v>3</v>
      </c>
      <c r="AA1010">
        <v>2</v>
      </c>
      <c r="AB1010">
        <v>8</v>
      </c>
      <c r="AC1010">
        <v>3</v>
      </c>
      <c r="AD1010">
        <v>2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 s="19" t="s">
        <v>1561</v>
      </c>
      <c r="AK1010" s="19" t="s">
        <v>1562</v>
      </c>
      <c r="AL1010">
        <v>1</v>
      </c>
      <c r="AM1010" s="19" t="s">
        <v>1565</v>
      </c>
      <c r="AN1010">
        <v>-0.71156559580788814</v>
      </c>
      <c r="AO1010">
        <v>179016</v>
      </c>
    </row>
    <row r="1011" spans="1:41" x14ac:dyDescent="0.3">
      <c r="A1011" s="19" t="s">
        <v>1077</v>
      </c>
      <c r="B1011">
        <v>40</v>
      </c>
      <c r="C1011" s="19" t="s">
        <v>802</v>
      </c>
      <c r="D1011" s="19" t="s">
        <v>55</v>
      </c>
      <c r="E1011" s="19" t="s">
        <v>48</v>
      </c>
      <c r="F1011">
        <v>1322</v>
      </c>
      <c r="G1011" s="19" t="s">
        <v>735</v>
      </c>
      <c r="H1011">
        <v>2</v>
      </c>
      <c r="I1011">
        <v>4</v>
      </c>
      <c r="J1011" s="19" t="s">
        <v>50</v>
      </c>
      <c r="K1011">
        <v>2048</v>
      </c>
      <c r="L1011">
        <v>3</v>
      </c>
      <c r="M1011" s="19" t="s">
        <v>51</v>
      </c>
      <c r="N1011">
        <v>2</v>
      </c>
      <c r="O1011">
        <v>1</v>
      </c>
      <c r="P1011" s="19" t="s">
        <v>67</v>
      </c>
      <c r="Q1011">
        <v>3</v>
      </c>
      <c r="R1011" s="19" t="s">
        <v>53</v>
      </c>
      <c r="S1011">
        <v>86655</v>
      </c>
      <c r="T1011" s="19" t="s">
        <v>70</v>
      </c>
      <c r="U1011">
        <v>541.59</v>
      </c>
      <c r="V1011">
        <v>2</v>
      </c>
      <c r="W1011" s="19" t="s">
        <v>55</v>
      </c>
      <c r="X1011">
        <v>14</v>
      </c>
      <c r="Y1011">
        <v>3</v>
      </c>
      <c r="Z1011">
        <v>4</v>
      </c>
      <c r="AA1011">
        <v>0</v>
      </c>
      <c r="AB1011">
        <v>8</v>
      </c>
      <c r="AC1011">
        <v>2</v>
      </c>
      <c r="AD1011">
        <v>3</v>
      </c>
      <c r="AE1011">
        <v>2</v>
      </c>
      <c r="AF1011">
        <v>2</v>
      </c>
      <c r="AG1011">
        <v>2</v>
      </c>
      <c r="AH1011">
        <v>2</v>
      </c>
      <c r="AI1011">
        <v>0</v>
      </c>
      <c r="AJ1011" s="19" t="s">
        <v>1566</v>
      </c>
      <c r="AK1011" s="19" t="s">
        <v>1562</v>
      </c>
      <c r="AL1011">
        <v>0</v>
      </c>
      <c r="AM1011" s="19" t="s">
        <v>1563</v>
      </c>
      <c r="AN1011">
        <v>0.7377536211648833</v>
      </c>
      <c r="AO1011">
        <v>1039860</v>
      </c>
    </row>
    <row r="1012" spans="1:41" x14ac:dyDescent="0.3">
      <c r="A1012" s="19" t="s">
        <v>1078</v>
      </c>
      <c r="B1012">
        <v>40</v>
      </c>
      <c r="C1012" s="19" t="s">
        <v>802</v>
      </c>
      <c r="D1012" s="19" t="s">
        <v>55</v>
      </c>
      <c r="E1012" s="19" t="s">
        <v>48</v>
      </c>
      <c r="F1012">
        <v>1194</v>
      </c>
      <c r="G1012" s="19" t="s">
        <v>735</v>
      </c>
      <c r="H1012">
        <v>2</v>
      </c>
      <c r="I1012">
        <v>4</v>
      </c>
      <c r="J1012" s="19" t="s">
        <v>58</v>
      </c>
      <c r="K1012">
        <v>2051</v>
      </c>
      <c r="L1012">
        <v>3</v>
      </c>
      <c r="M1012" s="19" t="s">
        <v>59</v>
      </c>
      <c r="N1012">
        <v>3</v>
      </c>
      <c r="O1012">
        <v>1</v>
      </c>
      <c r="P1012" s="19" t="s">
        <v>67</v>
      </c>
      <c r="Q1012">
        <v>3</v>
      </c>
      <c r="R1012" s="19" t="s">
        <v>113</v>
      </c>
      <c r="S1012">
        <v>28446</v>
      </c>
      <c r="T1012" s="19" t="s">
        <v>72</v>
      </c>
      <c r="U1012">
        <v>177.79</v>
      </c>
      <c r="V1012">
        <v>2</v>
      </c>
      <c r="W1012" s="19" t="s">
        <v>55</v>
      </c>
      <c r="X1012">
        <v>14</v>
      </c>
      <c r="Y1012">
        <v>3</v>
      </c>
      <c r="Z1012">
        <v>2</v>
      </c>
      <c r="AA1012">
        <v>3</v>
      </c>
      <c r="AB1012">
        <v>20</v>
      </c>
      <c r="AC1012">
        <v>2</v>
      </c>
      <c r="AD1012">
        <v>3</v>
      </c>
      <c r="AE1012">
        <v>5</v>
      </c>
      <c r="AF1012">
        <v>3</v>
      </c>
      <c r="AG1012">
        <v>0</v>
      </c>
      <c r="AH1012">
        <v>2</v>
      </c>
      <c r="AI1012">
        <v>0</v>
      </c>
      <c r="AJ1012" s="19" t="s">
        <v>1567</v>
      </c>
      <c r="AK1012" s="19" t="s">
        <v>1562</v>
      </c>
      <c r="AL1012">
        <v>0</v>
      </c>
      <c r="AM1012" s="19" t="s">
        <v>1563</v>
      </c>
      <c r="AN1012">
        <v>-0.42955236849972572</v>
      </c>
      <c r="AO1012">
        <v>341352</v>
      </c>
    </row>
    <row r="1013" spans="1:41" x14ac:dyDescent="0.3">
      <c r="A1013" s="19" t="s">
        <v>1079</v>
      </c>
      <c r="B1013">
        <v>41</v>
      </c>
      <c r="C1013" s="19" t="s">
        <v>802</v>
      </c>
      <c r="D1013" s="19" t="s">
        <v>47</v>
      </c>
      <c r="E1013" s="19" t="s">
        <v>48</v>
      </c>
      <c r="F1013">
        <v>1102</v>
      </c>
      <c r="G1013" s="19" t="s">
        <v>932</v>
      </c>
      <c r="H1013">
        <v>1</v>
      </c>
      <c r="I1013">
        <v>2</v>
      </c>
      <c r="J1013" s="19" t="s">
        <v>50</v>
      </c>
      <c r="K1013">
        <v>1</v>
      </c>
      <c r="L1013">
        <v>2</v>
      </c>
      <c r="M1013" s="19" t="s">
        <v>59</v>
      </c>
      <c r="N1013">
        <v>3</v>
      </c>
      <c r="O1013">
        <v>2</v>
      </c>
      <c r="P1013" s="19" t="s">
        <v>145</v>
      </c>
      <c r="Q1013">
        <v>4</v>
      </c>
      <c r="R1013" s="19" t="s">
        <v>53</v>
      </c>
      <c r="S1013">
        <v>14046</v>
      </c>
      <c r="T1013" s="19" t="s">
        <v>54</v>
      </c>
      <c r="U1013">
        <v>87.79</v>
      </c>
      <c r="V1013">
        <v>8</v>
      </c>
      <c r="W1013" s="19" t="s">
        <v>47</v>
      </c>
      <c r="X1013">
        <v>11</v>
      </c>
      <c r="Y1013">
        <v>3</v>
      </c>
      <c r="Z1013">
        <v>1</v>
      </c>
      <c r="AA1013">
        <v>0</v>
      </c>
      <c r="AB1013">
        <v>8</v>
      </c>
      <c r="AC1013">
        <v>0</v>
      </c>
      <c r="AD1013">
        <v>1</v>
      </c>
      <c r="AE1013">
        <v>6</v>
      </c>
      <c r="AF1013">
        <v>4</v>
      </c>
      <c r="AG1013">
        <v>0</v>
      </c>
      <c r="AH1013">
        <v>5</v>
      </c>
      <c r="AI1013">
        <v>1</v>
      </c>
      <c r="AJ1013" s="19" t="s">
        <v>1569</v>
      </c>
      <c r="AK1013" s="19" t="s">
        <v>1562</v>
      </c>
      <c r="AL1013">
        <v>2</v>
      </c>
      <c r="AM1013" s="19" t="s">
        <v>1564</v>
      </c>
      <c r="AN1013">
        <v>-0.71368566385577459</v>
      </c>
      <c r="AO1013">
        <v>168552</v>
      </c>
    </row>
    <row r="1014" spans="1:41" x14ac:dyDescent="0.3">
      <c r="A1014" s="19" t="s">
        <v>1080</v>
      </c>
      <c r="B1014">
        <v>41</v>
      </c>
      <c r="C1014" s="19" t="s">
        <v>802</v>
      </c>
      <c r="D1014" s="19" t="s">
        <v>47</v>
      </c>
      <c r="E1014" s="19" t="s">
        <v>48</v>
      </c>
      <c r="F1014">
        <v>1360</v>
      </c>
      <c r="G1014" s="19" t="s">
        <v>735</v>
      </c>
      <c r="H1014">
        <v>12</v>
      </c>
      <c r="I1014">
        <v>3</v>
      </c>
      <c r="J1014" s="19" t="s">
        <v>77</v>
      </c>
      <c r="K1014">
        <v>58</v>
      </c>
      <c r="L1014">
        <v>2</v>
      </c>
      <c r="M1014" s="19" t="s">
        <v>59</v>
      </c>
      <c r="N1014">
        <v>3</v>
      </c>
      <c r="O1014">
        <v>5</v>
      </c>
      <c r="P1014" s="19" t="s">
        <v>257</v>
      </c>
      <c r="Q1014">
        <v>3</v>
      </c>
      <c r="R1014" s="19" t="s">
        <v>113</v>
      </c>
      <c r="S1014">
        <v>25818</v>
      </c>
      <c r="T1014" s="19" t="s">
        <v>72</v>
      </c>
      <c r="U1014">
        <v>161.36000000000001</v>
      </c>
      <c r="V1014">
        <v>1</v>
      </c>
      <c r="W1014" s="19" t="s">
        <v>55</v>
      </c>
      <c r="X1014">
        <v>12</v>
      </c>
      <c r="Y1014">
        <v>3</v>
      </c>
      <c r="Z1014">
        <v>4</v>
      </c>
      <c r="AA1014">
        <v>0</v>
      </c>
      <c r="AB1014">
        <v>23</v>
      </c>
      <c r="AC1014">
        <v>0</v>
      </c>
      <c r="AD1014">
        <v>3</v>
      </c>
      <c r="AE1014">
        <v>22</v>
      </c>
      <c r="AF1014">
        <v>15</v>
      </c>
      <c r="AG1014">
        <v>15</v>
      </c>
      <c r="AH1014">
        <v>8</v>
      </c>
      <c r="AI1014">
        <v>1</v>
      </c>
      <c r="AJ1014" s="19" t="s">
        <v>1571</v>
      </c>
      <c r="AK1014" s="19" t="s">
        <v>1570</v>
      </c>
      <c r="AL1014">
        <v>1</v>
      </c>
      <c r="AM1014" s="19" t="s">
        <v>1565</v>
      </c>
      <c r="AN1014">
        <v>-0.49039808578535743</v>
      </c>
      <c r="AO1014">
        <v>309816</v>
      </c>
    </row>
    <row r="1015" spans="1:41" x14ac:dyDescent="0.3">
      <c r="A1015" s="19" t="s">
        <v>1081</v>
      </c>
      <c r="B1015">
        <v>41</v>
      </c>
      <c r="C1015" s="19" t="s">
        <v>802</v>
      </c>
      <c r="D1015" s="19" t="s">
        <v>55</v>
      </c>
      <c r="E1015" s="19" t="s">
        <v>48</v>
      </c>
      <c r="F1015">
        <v>802</v>
      </c>
      <c r="G1015" s="19" t="s">
        <v>932</v>
      </c>
      <c r="H1015">
        <v>9</v>
      </c>
      <c r="I1015">
        <v>1</v>
      </c>
      <c r="J1015" s="19" t="s">
        <v>50</v>
      </c>
      <c r="K1015">
        <v>176</v>
      </c>
      <c r="L1015">
        <v>3</v>
      </c>
      <c r="M1015" s="19" t="s">
        <v>51</v>
      </c>
      <c r="N1015">
        <v>3</v>
      </c>
      <c r="O1015">
        <v>3</v>
      </c>
      <c r="P1015" s="19" t="s">
        <v>145</v>
      </c>
      <c r="Q1015">
        <v>3</v>
      </c>
      <c r="R1015" s="19" t="s">
        <v>113</v>
      </c>
      <c r="S1015">
        <v>5324</v>
      </c>
      <c r="T1015" s="19" t="s">
        <v>54</v>
      </c>
      <c r="U1015">
        <v>33.28</v>
      </c>
      <c r="V1015">
        <v>3</v>
      </c>
      <c r="W1015" s="19" t="s">
        <v>47</v>
      </c>
      <c r="X1015">
        <v>13</v>
      </c>
      <c r="Y1015">
        <v>3</v>
      </c>
      <c r="Z1015">
        <v>3</v>
      </c>
      <c r="AA1015">
        <v>1</v>
      </c>
      <c r="AB1015">
        <v>12</v>
      </c>
      <c r="AC1015">
        <v>2</v>
      </c>
      <c r="AD1015">
        <v>3</v>
      </c>
      <c r="AE1015">
        <v>9</v>
      </c>
      <c r="AF1015">
        <v>7</v>
      </c>
      <c r="AG1015">
        <v>0</v>
      </c>
      <c r="AH1015">
        <v>7</v>
      </c>
      <c r="AI1015">
        <v>0</v>
      </c>
      <c r="AJ1015" s="19" t="s">
        <v>1569</v>
      </c>
      <c r="AK1015" s="19" t="s">
        <v>1562</v>
      </c>
      <c r="AL1015">
        <v>1</v>
      </c>
      <c r="AM1015" s="19" t="s">
        <v>1565</v>
      </c>
      <c r="AN1015">
        <v>-0.89147532923025374</v>
      </c>
      <c r="AO1015">
        <v>63888</v>
      </c>
    </row>
    <row r="1016" spans="1:41" x14ac:dyDescent="0.3">
      <c r="A1016" s="19" t="s">
        <v>1082</v>
      </c>
      <c r="B1016">
        <v>41</v>
      </c>
      <c r="C1016" s="19" t="s">
        <v>802</v>
      </c>
      <c r="D1016" s="19" t="s">
        <v>55</v>
      </c>
      <c r="E1016" s="19" t="s">
        <v>62</v>
      </c>
      <c r="F1016">
        <v>857</v>
      </c>
      <c r="G1016" s="19" t="s">
        <v>735</v>
      </c>
      <c r="H1016">
        <v>10</v>
      </c>
      <c r="I1016">
        <v>3</v>
      </c>
      <c r="J1016" s="19" t="s">
        <v>50</v>
      </c>
      <c r="K1016">
        <v>199</v>
      </c>
      <c r="L1016">
        <v>4</v>
      </c>
      <c r="M1016" s="19" t="s">
        <v>51</v>
      </c>
      <c r="N1016">
        <v>2</v>
      </c>
      <c r="O1016">
        <v>4</v>
      </c>
      <c r="P1016" s="19" t="s">
        <v>444</v>
      </c>
      <c r="Q1016">
        <v>1</v>
      </c>
      <c r="R1016" s="19" t="s">
        <v>53</v>
      </c>
      <c r="S1016">
        <v>77323</v>
      </c>
      <c r="T1016" s="19" t="s">
        <v>64</v>
      </c>
      <c r="U1016">
        <v>483.27</v>
      </c>
      <c r="V1016">
        <v>4</v>
      </c>
      <c r="W1016" s="19" t="s">
        <v>55</v>
      </c>
      <c r="X1016">
        <v>13</v>
      </c>
      <c r="Y1016">
        <v>3</v>
      </c>
      <c r="Z1016">
        <v>2</v>
      </c>
      <c r="AA1016">
        <v>1</v>
      </c>
      <c r="AB1016">
        <v>21</v>
      </c>
      <c r="AC1016">
        <v>2</v>
      </c>
      <c r="AD1016">
        <v>2</v>
      </c>
      <c r="AE1016">
        <v>7</v>
      </c>
      <c r="AF1016">
        <v>6</v>
      </c>
      <c r="AG1016">
        <v>7</v>
      </c>
      <c r="AH1016">
        <v>7</v>
      </c>
      <c r="AI1016">
        <v>0</v>
      </c>
      <c r="AJ1016" s="19" t="s">
        <v>1569</v>
      </c>
      <c r="AK1016" s="19" t="s">
        <v>1570</v>
      </c>
      <c r="AL1016">
        <v>3</v>
      </c>
      <c r="AM1016" s="19" t="s">
        <v>1568</v>
      </c>
      <c r="AN1016">
        <v>0.48133137799508213</v>
      </c>
      <c r="AO1016">
        <v>927876</v>
      </c>
    </row>
    <row r="1017" spans="1:41" x14ac:dyDescent="0.3">
      <c r="A1017" s="19" t="s">
        <v>1083</v>
      </c>
      <c r="B1017">
        <v>41</v>
      </c>
      <c r="C1017" s="19" t="s">
        <v>802</v>
      </c>
      <c r="D1017" s="19" t="s">
        <v>55</v>
      </c>
      <c r="E1017" s="19" t="s">
        <v>48</v>
      </c>
      <c r="F1017">
        <v>933</v>
      </c>
      <c r="G1017" s="19" t="s">
        <v>735</v>
      </c>
      <c r="H1017">
        <v>9</v>
      </c>
      <c r="I1017">
        <v>4</v>
      </c>
      <c r="J1017" s="19" t="s">
        <v>50</v>
      </c>
      <c r="K1017">
        <v>200</v>
      </c>
      <c r="L1017">
        <v>3</v>
      </c>
      <c r="M1017" s="19" t="s">
        <v>51</v>
      </c>
      <c r="N1017">
        <v>3</v>
      </c>
      <c r="O1017">
        <v>1</v>
      </c>
      <c r="P1017" s="19" t="s">
        <v>52</v>
      </c>
      <c r="Q1017">
        <v>1</v>
      </c>
      <c r="R1017" s="19" t="s">
        <v>113</v>
      </c>
      <c r="S1017">
        <v>10111</v>
      </c>
      <c r="T1017" s="19" t="s">
        <v>54</v>
      </c>
      <c r="U1017">
        <v>63.19</v>
      </c>
      <c r="V1017">
        <v>2</v>
      </c>
      <c r="W1017" s="19" t="s">
        <v>55</v>
      </c>
      <c r="X1017">
        <v>21</v>
      </c>
      <c r="Y1017">
        <v>4</v>
      </c>
      <c r="Z1017">
        <v>4</v>
      </c>
      <c r="AA1017">
        <v>1</v>
      </c>
      <c r="AB1017">
        <v>7</v>
      </c>
      <c r="AC1017">
        <v>2</v>
      </c>
      <c r="AD1017">
        <v>3</v>
      </c>
      <c r="AE1017">
        <v>5</v>
      </c>
      <c r="AF1017">
        <v>0</v>
      </c>
      <c r="AG1017">
        <v>1</v>
      </c>
      <c r="AH1017">
        <v>4</v>
      </c>
      <c r="AI1017">
        <v>0</v>
      </c>
      <c r="AJ1017" s="19" t="s">
        <v>1567</v>
      </c>
      <c r="AK1017" s="19" t="s">
        <v>1562</v>
      </c>
      <c r="AL1017">
        <v>1</v>
      </c>
      <c r="AM1017" s="19" t="s">
        <v>1565</v>
      </c>
      <c r="AN1017">
        <v>-0.80450728912813763</v>
      </c>
      <c r="AO1017">
        <v>121332</v>
      </c>
    </row>
    <row r="1018" spans="1:41" x14ac:dyDescent="0.3">
      <c r="A1018" s="19" t="s">
        <v>1084</v>
      </c>
      <c r="B1018">
        <v>41</v>
      </c>
      <c r="C1018" s="19" t="s">
        <v>802</v>
      </c>
      <c r="D1018" s="19" t="s">
        <v>55</v>
      </c>
      <c r="E1018" s="19" t="s">
        <v>48</v>
      </c>
      <c r="F1018">
        <v>465</v>
      </c>
      <c r="G1018" s="19" t="s">
        <v>735</v>
      </c>
      <c r="H1018">
        <v>14</v>
      </c>
      <c r="I1018">
        <v>3</v>
      </c>
      <c r="J1018" s="19" t="s">
        <v>50</v>
      </c>
      <c r="K1018">
        <v>227</v>
      </c>
      <c r="L1018">
        <v>1</v>
      </c>
      <c r="M1018" s="19" t="s">
        <v>51</v>
      </c>
      <c r="N1018">
        <v>3</v>
      </c>
      <c r="O1018">
        <v>1</v>
      </c>
      <c r="P1018" s="19" t="s">
        <v>67</v>
      </c>
      <c r="Q1018">
        <v>3</v>
      </c>
      <c r="R1018" s="19" t="s">
        <v>113</v>
      </c>
      <c r="S1018">
        <v>39110</v>
      </c>
      <c r="T1018" s="19" t="s">
        <v>72</v>
      </c>
      <c r="U1018">
        <v>244.44</v>
      </c>
      <c r="V1018">
        <v>4</v>
      </c>
      <c r="W1018" s="19" t="s">
        <v>55</v>
      </c>
      <c r="X1018">
        <v>12</v>
      </c>
      <c r="Y1018">
        <v>3</v>
      </c>
      <c r="Z1018">
        <v>1</v>
      </c>
      <c r="AA1018">
        <v>1</v>
      </c>
      <c r="AB1018">
        <v>13</v>
      </c>
      <c r="AC1018">
        <v>2</v>
      </c>
      <c r="AD1018">
        <v>3</v>
      </c>
      <c r="AE1018">
        <v>9</v>
      </c>
      <c r="AF1018">
        <v>8</v>
      </c>
      <c r="AG1018">
        <v>1</v>
      </c>
      <c r="AH1018">
        <v>8</v>
      </c>
      <c r="AI1018">
        <v>0</v>
      </c>
      <c r="AJ1018" s="19" t="s">
        <v>1569</v>
      </c>
      <c r="AK1018" s="19" t="s">
        <v>1562</v>
      </c>
      <c r="AL1018">
        <v>0</v>
      </c>
      <c r="AM1018" s="19" t="s">
        <v>1563</v>
      </c>
      <c r="AN1018">
        <v>-0.21569968122141153</v>
      </c>
      <c r="AO1018">
        <v>469320</v>
      </c>
    </row>
    <row r="1019" spans="1:41" x14ac:dyDescent="0.3">
      <c r="A1019" s="19" t="s">
        <v>1085</v>
      </c>
      <c r="B1019">
        <v>41</v>
      </c>
      <c r="C1019" s="19" t="s">
        <v>802</v>
      </c>
      <c r="D1019" s="19" t="s">
        <v>47</v>
      </c>
      <c r="E1019" s="19" t="s">
        <v>48</v>
      </c>
      <c r="F1019">
        <v>1356</v>
      </c>
      <c r="G1019" s="19" t="s">
        <v>932</v>
      </c>
      <c r="H1019">
        <v>20</v>
      </c>
      <c r="I1019">
        <v>2</v>
      </c>
      <c r="J1019" s="19" t="s">
        <v>63</v>
      </c>
      <c r="K1019">
        <v>248</v>
      </c>
      <c r="L1019">
        <v>2</v>
      </c>
      <c r="M1019" s="19" t="s">
        <v>59</v>
      </c>
      <c r="N1019">
        <v>3</v>
      </c>
      <c r="O1019">
        <v>1</v>
      </c>
      <c r="P1019" s="19" t="s">
        <v>60</v>
      </c>
      <c r="Q1019">
        <v>2</v>
      </c>
      <c r="R1019" s="19" t="s">
        <v>53</v>
      </c>
      <c r="S1019">
        <v>17389</v>
      </c>
      <c r="T1019" s="19" t="s">
        <v>54</v>
      </c>
      <c r="U1019">
        <v>108.68</v>
      </c>
      <c r="V1019">
        <v>1</v>
      </c>
      <c r="W1019" s="19" t="s">
        <v>47</v>
      </c>
      <c r="X1019">
        <v>22</v>
      </c>
      <c r="Y1019">
        <v>4</v>
      </c>
      <c r="Z1019">
        <v>4</v>
      </c>
      <c r="AA1019">
        <v>0</v>
      </c>
      <c r="AB1019">
        <v>4</v>
      </c>
      <c r="AC1019">
        <v>5</v>
      </c>
      <c r="AD1019">
        <v>2</v>
      </c>
      <c r="AE1019">
        <v>4</v>
      </c>
      <c r="AF1019">
        <v>3</v>
      </c>
      <c r="AG1019">
        <v>0</v>
      </c>
      <c r="AH1019">
        <v>2</v>
      </c>
      <c r="AI1019">
        <v>1</v>
      </c>
      <c r="AJ1019" s="19" t="s">
        <v>1567</v>
      </c>
      <c r="AK1019" s="19" t="s">
        <v>1562</v>
      </c>
      <c r="AL1019">
        <v>3</v>
      </c>
      <c r="AM1019" s="19" t="s">
        <v>1568</v>
      </c>
      <c r="AN1019">
        <v>-0.64747356732347017</v>
      </c>
      <c r="AO1019">
        <v>208668</v>
      </c>
    </row>
    <row r="1020" spans="1:41" x14ac:dyDescent="0.3">
      <c r="A1020" s="19" t="s">
        <v>1086</v>
      </c>
      <c r="B1020">
        <v>41</v>
      </c>
      <c r="C1020" s="19" t="s">
        <v>802</v>
      </c>
      <c r="D1020" s="19" t="s">
        <v>55</v>
      </c>
      <c r="E1020" s="19" t="s">
        <v>48</v>
      </c>
      <c r="F1020">
        <v>896</v>
      </c>
      <c r="G1020" s="19" t="s">
        <v>932</v>
      </c>
      <c r="H1020">
        <v>6</v>
      </c>
      <c r="I1020">
        <v>3</v>
      </c>
      <c r="J1020" s="19" t="s">
        <v>50</v>
      </c>
      <c r="K1020">
        <v>298</v>
      </c>
      <c r="L1020">
        <v>4</v>
      </c>
      <c r="M1020" s="19" t="s">
        <v>59</v>
      </c>
      <c r="N1020">
        <v>3</v>
      </c>
      <c r="O1020">
        <v>3</v>
      </c>
      <c r="P1020" s="19" t="s">
        <v>444</v>
      </c>
      <c r="Q1020">
        <v>4</v>
      </c>
      <c r="R1020" s="19" t="s">
        <v>53</v>
      </c>
      <c r="S1020">
        <v>42427</v>
      </c>
      <c r="T1020" s="19" t="s">
        <v>72</v>
      </c>
      <c r="U1020">
        <v>265.17</v>
      </c>
      <c r="V1020">
        <v>3</v>
      </c>
      <c r="W1020" s="19" t="s">
        <v>47</v>
      </c>
      <c r="X1020">
        <v>18</v>
      </c>
      <c r="Y1020">
        <v>3</v>
      </c>
      <c r="Z1020">
        <v>3</v>
      </c>
      <c r="AA1020">
        <v>0</v>
      </c>
      <c r="AB1020">
        <v>16</v>
      </c>
      <c r="AC1020">
        <v>3</v>
      </c>
      <c r="AD1020">
        <v>3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 s="19" t="s">
        <v>1561</v>
      </c>
      <c r="AK1020" s="19" t="s">
        <v>1562</v>
      </c>
      <c r="AL1020">
        <v>1</v>
      </c>
      <c r="AM1020" s="19" t="s">
        <v>1565</v>
      </c>
      <c r="AN1020">
        <v>-0.18719596531177854</v>
      </c>
      <c r="AO1020">
        <v>509124</v>
      </c>
    </row>
    <row r="1021" spans="1:41" x14ac:dyDescent="0.3">
      <c r="A1021" s="19" t="s">
        <v>1087</v>
      </c>
      <c r="B1021">
        <v>41</v>
      </c>
      <c r="C1021" s="19" t="s">
        <v>802</v>
      </c>
      <c r="D1021" s="19" t="s">
        <v>55</v>
      </c>
      <c r="E1021" s="19" t="s">
        <v>48</v>
      </c>
      <c r="F1021">
        <v>1411</v>
      </c>
      <c r="G1021" s="19" t="s">
        <v>735</v>
      </c>
      <c r="H1021">
        <v>19</v>
      </c>
      <c r="I1021">
        <v>2</v>
      </c>
      <c r="J1021" s="19" t="s">
        <v>50</v>
      </c>
      <c r="K1021">
        <v>334</v>
      </c>
      <c r="L1021">
        <v>3</v>
      </c>
      <c r="M1021" s="19" t="s">
        <v>51</v>
      </c>
      <c r="N1021">
        <v>3</v>
      </c>
      <c r="O1021">
        <v>2</v>
      </c>
      <c r="P1021" s="19" t="s">
        <v>67</v>
      </c>
      <c r="Q1021">
        <v>1</v>
      </c>
      <c r="R1021" s="19" t="s">
        <v>113</v>
      </c>
      <c r="S1021">
        <v>80579</v>
      </c>
      <c r="T1021" s="19" t="s">
        <v>64</v>
      </c>
      <c r="U1021">
        <v>503.62</v>
      </c>
      <c r="V1021">
        <v>2</v>
      </c>
      <c r="W1021" s="19" t="s">
        <v>55</v>
      </c>
      <c r="X1021">
        <v>16</v>
      </c>
      <c r="Y1021">
        <v>3</v>
      </c>
      <c r="Z1021">
        <v>1</v>
      </c>
      <c r="AA1021">
        <v>2</v>
      </c>
      <c r="AB1021">
        <v>17</v>
      </c>
      <c r="AC1021">
        <v>2</v>
      </c>
      <c r="AD1021">
        <v>2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 s="19" t="s">
        <v>1561</v>
      </c>
      <c r="AK1021" s="19" t="s">
        <v>1562</v>
      </c>
      <c r="AL1021">
        <v>2</v>
      </c>
      <c r="AM1021" s="19" t="s">
        <v>1564</v>
      </c>
      <c r="AN1021">
        <v>0.61590732259933212</v>
      </c>
      <c r="AO1021">
        <v>966948</v>
      </c>
    </row>
    <row r="1022" spans="1:41" x14ac:dyDescent="0.3">
      <c r="A1022" s="19" t="s">
        <v>1088</v>
      </c>
      <c r="B1022">
        <v>41</v>
      </c>
      <c r="C1022" s="19" t="s">
        <v>802</v>
      </c>
      <c r="D1022" s="19" t="s">
        <v>55</v>
      </c>
      <c r="E1022" s="19" t="s">
        <v>48</v>
      </c>
      <c r="F1022">
        <v>334</v>
      </c>
      <c r="G1022" s="19" t="s">
        <v>932</v>
      </c>
      <c r="H1022">
        <v>2</v>
      </c>
      <c r="I1022">
        <v>4</v>
      </c>
      <c r="J1022" s="19" t="s">
        <v>50</v>
      </c>
      <c r="K1022">
        <v>410</v>
      </c>
      <c r="L1022">
        <v>4</v>
      </c>
      <c r="M1022" s="19" t="s">
        <v>51</v>
      </c>
      <c r="N1022">
        <v>3</v>
      </c>
      <c r="O1022">
        <v>4</v>
      </c>
      <c r="P1022" s="19" t="s">
        <v>444</v>
      </c>
      <c r="Q1022">
        <v>2</v>
      </c>
      <c r="R1022" s="19" t="s">
        <v>53</v>
      </c>
      <c r="S1022">
        <v>29746</v>
      </c>
      <c r="T1022" s="19" t="s">
        <v>72</v>
      </c>
      <c r="U1022">
        <v>185.91</v>
      </c>
      <c r="V1022">
        <v>1</v>
      </c>
      <c r="W1022" s="19" t="s">
        <v>55</v>
      </c>
      <c r="X1022">
        <v>19</v>
      </c>
      <c r="Y1022">
        <v>3</v>
      </c>
      <c r="Z1022">
        <v>2</v>
      </c>
      <c r="AA1022">
        <v>0</v>
      </c>
      <c r="AB1022">
        <v>22</v>
      </c>
      <c r="AC1022">
        <v>2</v>
      </c>
      <c r="AD1022">
        <v>3</v>
      </c>
      <c r="AE1022">
        <v>22</v>
      </c>
      <c r="AF1022">
        <v>10</v>
      </c>
      <c r="AG1022">
        <v>0</v>
      </c>
      <c r="AH1022">
        <v>4</v>
      </c>
      <c r="AI1022">
        <v>0</v>
      </c>
      <c r="AJ1022" s="19" t="s">
        <v>1571</v>
      </c>
      <c r="AK1022" s="19" t="s">
        <v>1562</v>
      </c>
      <c r="AL1022">
        <v>1</v>
      </c>
      <c r="AM1022" s="19" t="s">
        <v>1565</v>
      </c>
      <c r="AN1022">
        <v>-0.43013484771876787</v>
      </c>
      <c r="AO1022">
        <v>356952</v>
      </c>
    </row>
    <row r="1023" spans="1:41" x14ac:dyDescent="0.3">
      <c r="A1023" s="19" t="s">
        <v>1089</v>
      </c>
      <c r="B1023">
        <v>41</v>
      </c>
      <c r="C1023" s="19" t="s">
        <v>802</v>
      </c>
      <c r="D1023" s="19" t="s">
        <v>55</v>
      </c>
      <c r="E1023" s="19" t="s">
        <v>48</v>
      </c>
      <c r="F1023">
        <v>483</v>
      </c>
      <c r="G1023" s="19" t="s">
        <v>735</v>
      </c>
      <c r="H1023">
        <v>6</v>
      </c>
      <c r="I1023">
        <v>3</v>
      </c>
      <c r="J1023" s="19" t="s">
        <v>58</v>
      </c>
      <c r="K1023">
        <v>466</v>
      </c>
      <c r="L1023">
        <v>4</v>
      </c>
      <c r="M1023" s="19" t="s">
        <v>51</v>
      </c>
      <c r="N1023">
        <v>2</v>
      </c>
      <c r="O1023">
        <v>2</v>
      </c>
      <c r="P1023" s="19" t="s">
        <v>120</v>
      </c>
      <c r="Q1023">
        <v>2</v>
      </c>
      <c r="R1023" s="19" t="s">
        <v>53</v>
      </c>
      <c r="S1023">
        <v>88886</v>
      </c>
      <c r="T1023" s="19" t="s">
        <v>70</v>
      </c>
      <c r="U1023">
        <v>555.54</v>
      </c>
      <c r="V1023">
        <v>6</v>
      </c>
      <c r="W1023" s="19" t="s">
        <v>47</v>
      </c>
      <c r="X1023">
        <v>15</v>
      </c>
      <c r="Y1023">
        <v>3</v>
      </c>
      <c r="Z1023">
        <v>4</v>
      </c>
      <c r="AA1023">
        <v>0</v>
      </c>
      <c r="AB1023">
        <v>8</v>
      </c>
      <c r="AC1023">
        <v>3</v>
      </c>
      <c r="AD1023">
        <v>3</v>
      </c>
      <c r="AE1023">
        <v>5</v>
      </c>
      <c r="AF1023">
        <v>4</v>
      </c>
      <c r="AG1023">
        <v>1</v>
      </c>
      <c r="AH1023">
        <v>2</v>
      </c>
      <c r="AI1023">
        <v>0</v>
      </c>
      <c r="AJ1023" s="19" t="s">
        <v>1567</v>
      </c>
      <c r="AK1023" s="19" t="s">
        <v>1562</v>
      </c>
      <c r="AL1023">
        <v>2</v>
      </c>
      <c r="AM1023" s="19" t="s">
        <v>1564</v>
      </c>
      <c r="AN1023">
        <v>1.0066672655938447</v>
      </c>
      <c r="AO1023">
        <v>1066632</v>
      </c>
    </row>
    <row r="1024" spans="1:41" x14ac:dyDescent="0.3">
      <c r="A1024" s="19" t="s">
        <v>1090</v>
      </c>
      <c r="B1024">
        <v>41</v>
      </c>
      <c r="C1024" s="19" t="s">
        <v>802</v>
      </c>
      <c r="D1024" s="19" t="s">
        <v>47</v>
      </c>
      <c r="E1024" s="19" t="s">
        <v>62</v>
      </c>
      <c r="F1024">
        <v>143</v>
      </c>
      <c r="G1024" s="19" t="s">
        <v>932</v>
      </c>
      <c r="H1024">
        <v>4</v>
      </c>
      <c r="I1024">
        <v>3</v>
      </c>
      <c r="J1024" s="19" t="s">
        <v>63</v>
      </c>
      <c r="K1024">
        <v>488</v>
      </c>
      <c r="L1024">
        <v>1</v>
      </c>
      <c r="M1024" s="19" t="s">
        <v>51</v>
      </c>
      <c r="N1024">
        <v>3</v>
      </c>
      <c r="O1024">
        <v>2</v>
      </c>
      <c r="P1024" s="19" t="s">
        <v>145</v>
      </c>
      <c r="Q1024">
        <v>2</v>
      </c>
      <c r="R1024" s="19" t="s">
        <v>53</v>
      </c>
      <c r="S1024">
        <v>1117</v>
      </c>
      <c r="T1024" s="19" t="s">
        <v>54</v>
      </c>
      <c r="U1024">
        <v>6.98</v>
      </c>
      <c r="V1024">
        <v>1</v>
      </c>
      <c r="W1024" s="19" t="s">
        <v>55</v>
      </c>
      <c r="X1024">
        <v>18</v>
      </c>
      <c r="Y1024">
        <v>3</v>
      </c>
      <c r="Z1024">
        <v>3</v>
      </c>
      <c r="AA1024">
        <v>0</v>
      </c>
      <c r="AB1024">
        <v>8</v>
      </c>
      <c r="AC1024">
        <v>5</v>
      </c>
      <c r="AD1024">
        <v>3</v>
      </c>
      <c r="AE1024">
        <v>8</v>
      </c>
      <c r="AF1024">
        <v>7</v>
      </c>
      <c r="AG1024">
        <v>7</v>
      </c>
      <c r="AH1024">
        <v>7</v>
      </c>
      <c r="AI1024">
        <v>1</v>
      </c>
      <c r="AJ1024" s="19" t="s">
        <v>1569</v>
      </c>
      <c r="AK1024" s="19" t="s">
        <v>1570</v>
      </c>
      <c r="AL1024">
        <v>2</v>
      </c>
      <c r="AM1024" s="19" t="s">
        <v>1564</v>
      </c>
      <c r="AN1024">
        <v>-0.97723101854812044</v>
      </c>
      <c r="AO1024">
        <v>13404</v>
      </c>
    </row>
    <row r="1025" spans="1:41" x14ac:dyDescent="0.3">
      <c r="A1025" s="19" t="s">
        <v>1091</v>
      </c>
      <c r="B1025">
        <v>41</v>
      </c>
      <c r="C1025" s="19" t="s">
        <v>802</v>
      </c>
      <c r="D1025" s="19" t="s">
        <v>55</v>
      </c>
      <c r="E1025" s="19" t="s">
        <v>48</v>
      </c>
      <c r="F1025">
        <v>645</v>
      </c>
      <c r="G1025" s="19" t="s">
        <v>932</v>
      </c>
      <c r="H1025">
        <v>1</v>
      </c>
      <c r="I1025">
        <v>3</v>
      </c>
      <c r="J1025" s="19" t="s">
        <v>63</v>
      </c>
      <c r="K1025">
        <v>534</v>
      </c>
      <c r="L1025">
        <v>2</v>
      </c>
      <c r="M1025" s="19" t="s">
        <v>51</v>
      </c>
      <c r="N1025">
        <v>4</v>
      </c>
      <c r="O1025">
        <v>3</v>
      </c>
      <c r="P1025" s="19" t="s">
        <v>145</v>
      </c>
      <c r="Q1025">
        <v>1</v>
      </c>
      <c r="R1025" s="19" t="s">
        <v>113</v>
      </c>
      <c r="S1025">
        <v>85471</v>
      </c>
      <c r="T1025" s="19" t="s">
        <v>70</v>
      </c>
      <c r="U1025">
        <v>534.19000000000005</v>
      </c>
      <c r="V1025">
        <v>1</v>
      </c>
      <c r="W1025" s="19" t="s">
        <v>55</v>
      </c>
      <c r="X1025">
        <v>16</v>
      </c>
      <c r="Y1025">
        <v>3</v>
      </c>
      <c r="Z1025">
        <v>3</v>
      </c>
      <c r="AA1025">
        <v>1</v>
      </c>
      <c r="AB1025">
        <v>10</v>
      </c>
      <c r="AC1025">
        <v>2</v>
      </c>
      <c r="AD1025">
        <v>3</v>
      </c>
      <c r="AE1025">
        <v>10</v>
      </c>
      <c r="AF1025">
        <v>7</v>
      </c>
      <c r="AG1025">
        <v>0</v>
      </c>
      <c r="AH1025">
        <v>7</v>
      </c>
      <c r="AI1025">
        <v>0</v>
      </c>
      <c r="AJ1025" s="19" t="s">
        <v>1569</v>
      </c>
      <c r="AK1025" s="19" t="s">
        <v>1562</v>
      </c>
      <c r="AL1025">
        <v>1</v>
      </c>
      <c r="AM1025" s="19" t="s">
        <v>1565</v>
      </c>
      <c r="AN1025">
        <v>0.7422449540497712</v>
      </c>
      <c r="AO1025">
        <v>1025652</v>
      </c>
    </row>
    <row r="1026" spans="1:41" x14ac:dyDescent="0.3">
      <c r="A1026" s="19" t="s">
        <v>1092</v>
      </c>
      <c r="B1026">
        <v>41</v>
      </c>
      <c r="C1026" s="19" t="s">
        <v>802</v>
      </c>
      <c r="D1026" s="19" t="s">
        <v>55</v>
      </c>
      <c r="E1026" s="19" t="s">
        <v>66</v>
      </c>
      <c r="F1026">
        <v>267</v>
      </c>
      <c r="G1026" s="19" t="s">
        <v>932</v>
      </c>
      <c r="H1026">
        <v>10</v>
      </c>
      <c r="I1026">
        <v>2</v>
      </c>
      <c r="J1026" s="19" t="s">
        <v>50</v>
      </c>
      <c r="K1026">
        <v>599</v>
      </c>
      <c r="L1026">
        <v>4</v>
      </c>
      <c r="M1026" s="19" t="s">
        <v>51</v>
      </c>
      <c r="N1026">
        <v>3</v>
      </c>
      <c r="O1026">
        <v>2</v>
      </c>
      <c r="P1026" s="19" t="s">
        <v>145</v>
      </c>
      <c r="Q1026">
        <v>4</v>
      </c>
      <c r="R1026" s="19" t="s">
        <v>53</v>
      </c>
      <c r="S1026">
        <v>14234</v>
      </c>
      <c r="T1026" s="19" t="s">
        <v>54</v>
      </c>
      <c r="U1026">
        <v>88.96</v>
      </c>
      <c r="V1026">
        <v>7</v>
      </c>
      <c r="W1026" s="19" t="s">
        <v>55</v>
      </c>
      <c r="X1026">
        <v>14</v>
      </c>
      <c r="Y1026">
        <v>3</v>
      </c>
      <c r="Z1026">
        <v>4</v>
      </c>
      <c r="AA1026">
        <v>0</v>
      </c>
      <c r="AB1026">
        <v>16</v>
      </c>
      <c r="AC1026">
        <v>3</v>
      </c>
      <c r="AD1026">
        <v>3</v>
      </c>
      <c r="AE1026">
        <v>14</v>
      </c>
      <c r="AF1026">
        <v>3</v>
      </c>
      <c r="AG1026">
        <v>1</v>
      </c>
      <c r="AH1026">
        <v>10</v>
      </c>
      <c r="AI1026">
        <v>0</v>
      </c>
      <c r="AJ1026" s="19" t="s">
        <v>1571</v>
      </c>
      <c r="AK1026" s="19" t="s">
        <v>1562</v>
      </c>
      <c r="AL1026">
        <v>0</v>
      </c>
      <c r="AM1026" s="19" t="s">
        <v>1563</v>
      </c>
      <c r="AN1026">
        <v>-0.70985346285939743</v>
      </c>
      <c r="AO1026">
        <v>170808</v>
      </c>
    </row>
    <row r="1027" spans="1:41" x14ac:dyDescent="0.3">
      <c r="A1027" s="19" t="s">
        <v>1093</v>
      </c>
      <c r="B1027">
        <v>41</v>
      </c>
      <c r="C1027" s="19" t="s">
        <v>802</v>
      </c>
      <c r="D1027" s="19" t="s">
        <v>55</v>
      </c>
      <c r="E1027" s="19" t="s">
        <v>66</v>
      </c>
      <c r="F1027">
        <v>509</v>
      </c>
      <c r="G1027" s="19" t="s">
        <v>735</v>
      </c>
      <c r="H1027">
        <v>2</v>
      </c>
      <c r="I1027">
        <v>4</v>
      </c>
      <c r="J1027" s="19" t="s">
        <v>82</v>
      </c>
      <c r="K1027">
        <v>616</v>
      </c>
      <c r="L1027">
        <v>1</v>
      </c>
      <c r="M1027" s="19" t="s">
        <v>59</v>
      </c>
      <c r="N1027">
        <v>2</v>
      </c>
      <c r="O1027">
        <v>2</v>
      </c>
      <c r="P1027" s="19" t="s">
        <v>168</v>
      </c>
      <c r="Q1027">
        <v>3</v>
      </c>
      <c r="R1027" s="19" t="s">
        <v>53</v>
      </c>
      <c r="S1027">
        <v>54441</v>
      </c>
      <c r="T1027" s="19" t="s">
        <v>64</v>
      </c>
      <c r="U1027">
        <v>340.26</v>
      </c>
      <c r="V1027">
        <v>2</v>
      </c>
      <c r="W1027" s="19" t="s">
        <v>47</v>
      </c>
      <c r="X1027">
        <v>17</v>
      </c>
      <c r="Y1027">
        <v>3</v>
      </c>
      <c r="Z1027">
        <v>1</v>
      </c>
      <c r="AA1027">
        <v>0</v>
      </c>
      <c r="AB1027">
        <v>10</v>
      </c>
      <c r="AC1027">
        <v>3</v>
      </c>
      <c r="AD1027">
        <v>3</v>
      </c>
      <c r="AE1027">
        <v>8</v>
      </c>
      <c r="AF1027">
        <v>7</v>
      </c>
      <c r="AG1027">
        <v>0</v>
      </c>
      <c r="AH1027">
        <v>7</v>
      </c>
      <c r="AI1027">
        <v>0</v>
      </c>
      <c r="AJ1027" s="19" t="s">
        <v>1569</v>
      </c>
      <c r="AK1027" s="19" t="s">
        <v>1562</v>
      </c>
      <c r="AL1027">
        <v>1</v>
      </c>
      <c r="AM1027" s="19" t="s">
        <v>1565</v>
      </c>
      <c r="AN1027">
        <v>0.12973580296688056</v>
      </c>
      <c r="AO1027">
        <v>653292</v>
      </c>
    </row>
    <row r="1028" spans="1:41" x14ac:dyDescent="0.3">
      <c r="A1028" s="19" t="s">
        <v>1094</v>
      </c>
      <c r="B1028">
        <v>41</v>
      </c>
      <c r="C1028" s="19" t="s">
        <v>802</v>
      </c>
      <c r="D1028" s="19" t="s">
        <v>55</v>
      </c>
      <c r="E1028" s="19" t="s">
        <v>48</v>
      </c>
      <c r="F1028">
        <v>1276</v>
      </c>
      <c r="G1028" s="19" t="s">
        <v>932</v>
      </c>
      <c r="H1028">
        <v>2</v>
      </c>
      <c r="I1028">
        <v>5</v>
      </c>
      <c r="J1028" s="19" t="s">
        <v>50</v>
      </c>
      <c r="K1028">
        <v>625</v>
      </c>
      <c r="L1028">
        <v>2</v>
      </c>
      <c r="M1028" s="19" t="s">
        <v>59</v>
      </c>
      <c r="N1028">
        <v>3</v>
      </c>
      <c r="O1028">
        <v>4</v>
      </c>
      <c r="P1028" s="19" t="s">
        <v>444</v>
      </c>
      <c r="Q1028">
        <v>1</v>
      </c>
      <c r="R1028" s="19" t="s">
        <v>113</v>
      </c>
      <c r="S1028">
        <v>1846</v>
      </c>
      <c r="T1028" s="19" t="s">
        <v>54</v>
      </c>
      <c r="U1028">
        <v>11.54</v>
      </c>
      <c r="V1028">
        <v>7</v>
      </c>
      <c r="W1028" s="19" t="s">
        <v>55</v>
      </c>
      <c r="X1028">
        <v>16</v>
      </c>
      <c r="Y1028">
        <v>3</v>
      </c>
      <c r="Z1028">
        <v>2</v>
      </c>
      <c r="AA1028">
        <v>1</v>
      </c>
      <c r="AB1028">
        <v>22</v>
      </c>
      <c r="AC1028">
        <v>2</v>
      </c>
      <c r="AD1028">
        <v>3</v>
      </c>
      <c r="AE1028">
        <v>18</v>
      </c>
      <c r="AF1028">
        <v>16</v>
      </c>
      <c r="AG1028">
        <v>11</v>
      </c>
      <c r="AH1028">
        <v>8</v>
      </c>
      <c r="AI1028">
        <v>0</v>
      </c>
      <c r="AJ1028" s="19" t="s">
        <v>1571</v>
      </c>
      <c r="AK1028" s="19" t="s">
        <v>1570</v>
      </c>
      <c r="AL1028">
        <v>2</v>
      </c>
      <c r="AM1028" s="19" t="s">
        <v>1564</v>
      </c>
      <c r="AN1028">
        <v>-0.96463487288673588</v>
      </c>
      <c r="AO1028">
        <v>22152</v>
      </c>
    </row>
    <row r="1029" spans="1:41" x14ac:dyDescent="0.3">
      <c r="A1029" s="19" t="s">
        <v>1095</v>
      </c>
      <c r="B1029">
        <v>41</v>
      </c>
      <c r="C1029" s="19" t="s">
        <v>802</v>
      </c>
      <c r="D1029" s="19" t="s">
        <v>55</v>
      </c>
      <c r="E1029" s="19" t="s">
        <v>48</v>
      </c>
      <c r="F1029">
        <v>427</v>
      </c>
      <c r="G1029" s="19" t="s">
        <v>406</v>
      </c>
      <c r="H1029">
        <v>10</v>
      </c>
      <c r="I1029">
        <v>4</v>
      </c>
      <c r="J1029" s="19" t="s">
        <v>80</v>
      </c>
      <c r="K1029">
        <v>731</v>
      </c>
      <c r="L1029">
        <v>2</v>
      </c>
      <c r="M1029" s="19" t="s">
        <v>51</v>
      </c>
      <c r="N1029">
        <v>2</v>
      </c>
      <c r="O1029">
        <v>5</v>
      </c>
      <c r="P1029" s="19" t="s">
        <v>444</v>
      </c>
      <c r="Q1029">
        <v>4</v>
      </c>
      <c r="R1029" s="19" t="s">
        <v>113</v>
      </c>
      <c r="S1029">
        <v>11954</v>
      </c>
      <c r="T1029" s="19" t="s">
        <v>54</v>
      </c>
      <c r="U1029">
        <v>74.709999999999994</v>
      </c>
      <c r="V1029">
        <v>3</v>
      </c>
      <c r="W1029" s="19" t="s">
        <v>55</v>
      </c>
      <c r="X1029">
        <v>15</v>
      </c>
      <c r="Y1029">
        <v>3</v>
      </c>
      <c r="Z1029">
        <v>2</v>
      </c>
      <c r="AA1029">
        <v>3</v>
      </c>
      <c r="AB1029">
        <v>23</v>
      </c>
      <c r="AC1029">
        <v>2</v>
      </c>
      <c r="AD1029">
        <v>2</v>
      </c>
      <c r="AE1029">
        <v>21</v>
      </c>
      <c r="AF1029">
        <v>6</v>
      </c>
      <c r="AG1029">
        <v>12</v>
      </c>
      <c r="AH1029">
        <v>6</v>
      </c>
      <c r="AI1029">
        <v>0</v>
      </c>
      <c r="AJ1029" s="19" t="s">
        <v>1571</v>
      </c>
      <c r="AK1029" s="19" t="s">
        <v>1570</v>
      </c>
      <c r="AL1029">
        <v>2</v>
      </c>
      <c r="AM1029" s="19" t="s">
        <v>1564</v>
      </c>
      <c r="AN1029">
        <v>-0.77098877057857029</v>
      </c>
      <c r="AO1029">
        <v>143448</v>
      </c>
    </row>
    <row r="1030" spans="1:41" x14ac:dyDescent="0.3">
      <c r="A1030" s="19" t="s">
        <v>1096</v>
      </c>
      <c r="B1030">
        <v>41</v>
      </c>
      <c r="C1030" s="19" t="s">
        <v>802</v>
      </c>
      <c r="D1030" s="19" t="s">
        <v>55</v>
      </c>
      <c r="E1030" s="19" t="s">
        <v>48</v>
      </c>
      <c r="F1030">
        <v>314</v>
      </c>
      <c r="G1030" s="19" t="s">
        <v>406</v>
      </c>
      <c r="H1030">
        <v>1</v>
      </c>
      <c r="I1030">
        <v>3</v>
      </c>
      <c r="J1030" s="19" t="s">
        <v>80</v>
      </c>
      <c r="K1030">
        <v>734</v>
      </c>
      <c r="L1030">
        <v>4</v>
      </c>
      <c r="M1030" s="19" t="s">
        <v>51</v>
      </c>
      <c r="N1030">
        <v>2</v>
      </c>
      <c r="O1030">
        <v>5</v>
      </c>
      <c r="P1030" s="19" t="s">
        <v>444</v>
      </c>
      <c r="Q1030">
        <v>3</v>
      </c>
      <c r="R1030" s="19" t="s">
        <v>113</v>
      </c>
      <c r="S1030">
        <v>80239</v>
      </c>
      <c r="T1030" s="19" t="s">
        <v>64</v>
      </c>
      <c r="U1030">
        <v>501.49</v>
      </c>
      <c r="V1030">
        <v>1</v>
      </c>
      <c r="W1030" s="19" t="s">
        <v>55</v>
      </c>
      <c r="X1030">
        <v>12</v>
      </c>
      <c r="Y1030">
        <v>3</v>
      </c>
      <c r="Z1030">
        <v>2</v>
      </c>
      <c r="AA1030">
        <v>1</v>
      </c>
      <c r="AB1030">
        <v>22</v>
      </c>
      <c r="AC1030">
        <v>3</v>
      </c>
      <c r="AD1030">
        <v>3</v>
      </c>
      <c r="AE1030">
        <v>22</v>
      </c>
      <c r="AF1030">
        <v>7</v>
      </c>
      <c r="AG1030">
        <v>2</v>
      </c>
      <c r="AH1030">
        <v>10</v>
      </c>
      <c r="AI1030">
        <v>0</v>
      </c>
      <c r="AJ1030" s="19" t="s">
        <v>1571</v>
      </c>
      <c r="AK1030" s="19" t="s">
        <v>1562</v>
      </c>
      <c r="AL1030">
        <v>0</v>
      </c>
      <c r="AM1030" s="19" t="s">
        <v>1563</v>
      </c>
      <c r="AN1030">
        <v>0.53719525159328263</v>
      </c>
      <c r="AO1030">
        <v>962868</v>
      </c>
    </row>
    <row r="1031" spans="1:41" x14ac:dyDescent="0.3">
      <c r="A1031" s="19" t="s">
        <v>1097</v>
      </c>
      <c r="B1031">
        <v>41</v>
      </c>
      <c r="C1031" s="19" t="s">
        <v>802</v>
      </c>
      <c r="D1031" s="19" t="s">
        <v>47</v>
      </c>
      <c r="E1031" s="19" t="s">
        <v>48</v>
      </c>
      <c r="F1031">
        <v>1085</v>
      </c>
      <c r="G1031" s="19" t="s">
        <v>735</v>
      </c>
      <c r="H1031">
        <v>2</v>
      </c>
      <c r="I1031">
        <v>4</v>
      </c>
      <c r="J1031" s="19" t="s">
        <v>50</v>
      </c>
      <c r="K1031">
        <v>927</v>
      </c>
      <c r="L1031">
        <v>2</v>
      </c>
      <c r="M1031" s="19" t="s">
        <v>59</v>
      </c>
      <c r="N1031">
        <v>1</v>
      </c>
      <c r="O1031">
        <v>1</v>
      </c>
      <c r="P1031" s="19" t="s">
        <v>52</v>
      </c>
      <c r="Q1031">
        <v>4</v>
      </c>
      <c r="R1031" s="19" t="s">
        <v>113</v>
      </c>
      <c r="S1031">
        <v>47514</v>
      </c>
      <c r="T1031" s="19" t="s">
        <v>72</v>
      </c>
      <c r="U1031">
        <v>296.95999999999998</v>
      </c>
      <c r="V1031">
        <v>4</v>
      </c>
      <c r="W1031" s="19" t="s">
        <v>47</v>
      </c>
      <c r="X1031">
        <v>13</v>
      </c>
      <c r="Y1031">
        <v>3</v>
      </c>
      <c r="Z1031">
        <v>3</v>
      </c>
      <c r="AA1031">
        <v>1</v>
      </c>
      <c r="AB1031">
        <v>10</v>
      </c>
      <c r="AC1031">
        <v>1</v>
      </c>
      <c r="AD1031">
        <v>2</v>
      </c>
      <c r="AE1031">
        <v>7</v>
      </c>
      <c r="AF1031">
        <v>7</v>
      </c>
      <c r="AG1031">
        <v>1</v>
      </c>
      <c r="AH1031">
        <v>0</v>
      </c>
      <c r="AI1031">
        <v>1</v>
      </c>
      <c r="AJ1031" s="19" t="s">
        <v>1569</v>
      </c>
      <c r="AK1031" s="19" t="s">
        <v>1562</v>
      </c>
      <c r="AL1031">
        <v>2</v>
      </c>
      <c r="AM1031" s="19" t="s">
        <v>1564</v>
      </c>
      <c r="AN1031">
        <v>-8.1333135756535599E-2</v>
      </c>
      <c r="AO1031">
        <v>570168</v>
      </c>
    </row>
    <row r="1032" spans="1:41" x14ac:dyDescent="0.3">
      <c r="A1032" s="19" t="s">
        <v>1098</v>
      </c>
      <c r="B1032">
        <v>41</v>
      </c>
      <c r="C1032" s="19" t="s">
        <v>802</v>
      </c>
      <c r="D1032" s="19" t="s">
        <v>55</v>
      </c>
      <c r="E1032" s="19" t="s">
        <v>48</v>
      </c>
      <c r="F1032">
        <v>263</v>
      </c>
      <c r="G1032" s="19" t="s">
        <v>735</v>
      </c>
      <c r="H1032">
        <v>6</v>
      </c>
      <c r="I1032">
        <v>3</v>
      </c>
      <c r="J1032" s="19" t="s">
        <v>58</v>
      </c>
      <c r="K1032">
        <v>957</v>
      </c>
      <c r="L1032">
        <v>4</v>
      </c>
      <c r="M1032" s="19" t="s">
        <v>51</v>
      </c>
      <c r="N1032">
        <v>3</v>
      </c>
      <c r="O1032">
        <v>1</v>
      </c>
      <c r="P1032" s="19" t="s">
        <v>52</v>
      </c>
      <c r="Q1032">
        <v>1</v>
      </c>
      <c r="R1032" s="19" t="s">
        <v>53</v>
      </c>
      <c r="S1032">
        <v>89236</v>
      </c>
      <c r="T1032" s="19" t="s">
        <v>70</v>
      </c>
      <c r="U1032">
        <v>557.72</v>
      </c>
      <c r="V1032">
        <v>2</v>
      </c>
      <c r="W1032" s="19" t="s">
        <v>47</v>
      </c>
      <c r="X1032">
        <v>13</v>
      </c>
      <c r="Y1032">
        <v>3</v>
      </c>
      <c r="Z1032">
        <v>3</v>
      </c>
      <c r="AA1032">
        <v>0</v>
      </c>
      <c r="AB1032">
        <v>20</v>
      </c>
      <c r="AC1032">
        <v>3</v>
      </c>
      <c r="AD1032">
        <v>3</v>
      </c>
      <c r="AE1032">
        <v>18</v>
      </c>
      <c r="AF1032">
        <v>13</v>
      </c>
      <c r="AG1032">
        <v>2</v>
      </c>
      <c r="AH1032">
        <v>17</v>
      </c>
      <c r="AI1032">
        <v>0</v>
      </c>
      <c r="AJ1032" s="19" t="s">
        <v>1571</v>
      </c>
      <c r="AK1032" s="19" t="s">
        <v>1562</v>
      </c>
      <c r="AL1032">
        <v>2</v>
      </c>
      <c r="AM1032" s="19" t="s">
        <v>1564</v>
      </c>
      <c r="AN1032">
        <v>0.72534739861156272</v>
      </c>
      <c r="AO1032">
        <v>1070832</v>
      </c>
    </row>
    <row r="1033" spans="1:41" x14ac:dyDescent="0.3">
      <c r="A1033" s="19" t="s">
        <v>1099</v>
      </c>
      <c r="B1033">
        <v>41</v>
      </c>
      <c r="C1033" s="19" t="s">
        <v>802</v>
      </c>
      <c r="D1033" s="19" t="s">
        <v>55</v>
      </c>
      <c r="E1033" s="19" t="s">
        <v>62</v>
      </c>
      <c r="F1033">
        <v>840</v>
      </c>
      <c r="G1033" s="19" t="s">
        <v>735</v>
      </c>
      <c r="H1033">
        <v>9</v>
      </c>
      <c r="I1033">
        <v>3</v>
      </c>
      <c r="J1033" s="19" t="s">
        <v>58</v>
      </c>
      <c r="K1033">
        <v>999</v>
      </c>
      <c r="L1033">
        <v>1</v>
      </c>
      <c r="M1033" s="19" t="s">
        <v>51</v>
      </c>
      <c r="N1033">
        <v>3</v>
      </c>
      <c r="O1033">
        <v>5</v>
      </c>
      <c r="P1033" s="19" t="s">
        <v>257</v>
      </c>
      <c r="Q1033">
        <v>3</v>
      </c>
      <c r="R1033" s="19" t="s">
        <v>53</v>
      </c>
      <c r="S1033">
        <v>98579</v>
      </c>
      <c r="T1033" s="19" t="s">
        <v>70</v>
      </c>
      <c r="U1033">
        <v>616.12</v>
      </c>
      <c r="V1033">
        <v>2</v>
      </c>
      <c r="W1033" s="19" t="s">
        <v>55</v>
      </c>
      <c r="X1033">
        <v>17</v>
      </c>
      <c r="Y1033">
        <v>3</v>
      </c>
      <c r="Z1033">
        <v>2</v>
      </c>
      <c r="AA1033">
        <v>1</v>
      </c>
      <c r="AB1033">
        <v>21</v>
      </c>
      <c r="AC1033">
        <v>2</v>
      </c>
      <c r="AD1033">
        <v>4</v>
      </c>
      <c r="AE1033">
        <v>18</v>
      </c>
      <c r="AF1033">
        <v>16</v>
      </c>
      <c r="AG1033">
        <v>0</v>
      </c>
      <c r="AH1033">
        <v>11</v>
      </c>
      <c r="AI1033">
        <v>0</v>
      </c>
      <c r="AJ1033" s="19" t="s">
        <v>1571</v>
      </c>
      <c r="AK1033" s="19" t="s">
        <v>1562</v>
      </c>
      <c r="AL1033">
        <v>0</v>
      </c>
      <c r="AM1033" s="19" t="s">
        <v>1563</v>
      </c>
      <c r="AN1033">
        <v>0.94577609037745947</v>
      </c>
      <c r="AO1033">
        <v>1182948</v>
      </c>
    </row>
    <row r="1034" spans="1:41" x14ac:dyDescent="0.3">
      <c r="A1034" s="19" t="s">
        <v>1100</v>
      </c>
      <c r="B1034">
        <v>41</v>
      </c>
      <c r="C1034" s="19" t="s">
        <v>802</v>
      </c>
      <c r="D1034" s="19" t="s">
        <v>55</v>
      </c>
      <c r="E1034" s="19" t="s">
        <v>48</v>
      </c>
      <c r="F1034">
        <v>549</v>
      </c>
      <c r="G1034" s="19" t="s">
        <v>735</v>
      </c>
      <c r="H1034">
        <v>7</v>
      </c>
      <c r="I1034">
        <v>2</v>
      </c>
      <c r="J1034" s="19" t="s">
        <v>58</v>
      </c>
      <c r="K1034">
        <v>1025</v>
      </c>
      <c r="L1034">
        <v>4</v>
      </c>
      <c r="M1034" s="19" t="s">
        <v>59</v>
      </c>
      <c r="N1034">
        <v>3</v>
      </c>
      <c r="O1034">
        <v>2</v>
      </c>
      <c r="P1034" s="19" t="s">
        <v>120</v>
      </c>
      <c r="Q1034">
        <v>3</v>
      </c>
      <c r="R1034" s="19" t="s">
        <v>53</v>
      </c>
      <c r="S1034">
        <v>7469</v>
      </c>
      <c r="T1034" s="19" t="s">
        <v>54</v>
      </c>
      <c r="U1034">
        <v>46.68</v>
      </c>
      <c r="V1034">
        <v>6</v>
      </c>
      <c r="W1034" s="19" t="s">
        <v>55</v>
      </c>
      <c r="X1034">
        <v>14</v>
      </c>
      <c r="Y1034">
        <v>3</v>
      </c>
      <c r="Z1034">
        <v>2</v>
      </c>
      <c r="AA1034">
        <v>0</v>
      </c>
      <c r="AB1034">
        <v>8</v>
      </c>
      <c r="AC1034">
        <v>6</v>
      </c>
      <c r="AD1034">
        <v>3</v>
      </c>
      <c r="AE1034">
        <v>2</v>
      </c>
      <c r="AF1034">
        <v>2</v>
      </c>
      <c r="AG1034">
        <v>2</v>
      </c>
      <c r="AH1034">
        <v>1</v>
      </c>
      <c r="AI1034">
        <v>0</v>
      </c>
      <c r="AJ1034" s="19" t="s">
        <v>1566</v>
      </c>
      <c r="AK1034" s="19" t="s">
        <v>1562</v>
      </c>
      <c r="AL1034">
        <v>0</v>
      </c>
      <c r="AM1034" s="19" t="s">
        <v>1563</v>
      </c>
      <c r="AN1034">
        <v>-0.8313817945827191</v>
      </c>
      <c r="AO1034">
        <v>89628</v>
      </c>
    </row>
    <row r="1035" spans="1:41" x14ac:dyDescent="0.3">
      <c r="A1035" s="19" t="s">
        <v>1101</v>
      </c>
      <c r="B1035">
        <v>41</v>
      </c>
      <c r="C1035" s="19" t="s">
        <v>802</v>
      </c>
      <c r="D1035" s="19" t="s">
        <v>55</v>
      </c>
      <c r="E1035" s="19" t="s">
        <v>66</v>
      </c>
      <c r="F1035">
        <v>247</v>
      </c>
      <c r="G1035" s="19" t="s">
        <v>735</v>
      </c>
      <c r="H1035">
        <v>7</v>
      </c>
      <c r="I1035">
        <v>1</v>
      </c>
      <c r="J1035" s="19" t="s">
        <v>50</v>
      </c>
      <c r="K1035">
        <v>1035</v>
      </c>
      <c r="L1035">
        <v>2</v>
      </c>
      <c r="M1035" s="19" t="s">
        <v>59</v>
      </c>
      <c r="N1035">
        <v>1</v>
      </c>
      <c r="O1035">
        <v>5</v>
      </c>
      <c r="P1035" s="19" t="s">
        <v>257</v>
      </c>
      <c r="Q1035">
        <v>3</v>
      </c>
      <c r="R1035" s="19" t="s">
        <v>53</v>
      </c>
      <c r="S1035">
        <v>31105</v>
      </c>
      <c r="T1035" s="19" t="s">
        <v>72</v>
      </c>
      <c r="U1035">
        <v>194.41</v>
      </c>
      <c r="V1035">
        <v>1</v>
      </c>
      <c r="W1035" s="19" t="s">
        <v>55</v>
      </c>
      <c r="X1035">
        <v>22</v>
      </c>
      <c r="Y1035">
        <v>4</v>
      </c>
      <c r="Z1035">
        <v>2</v>
      </c>
      <c r="AA1035">
        <v>2</v>
      </c>
      <c r="AB1035">
        <v>21</v>
      </c>
      <c r="AC1035">
        <v>3</v>
      </c>
      <c r="AD1035">
        <v>3</v>
      </c>
      <c r="AE1035">
        <v>21</v>
      </c>
      <c r="AF1035">
        <v>16</v>
      </c>
      <c r="AG1035">
        <v>5</v>
      </c>
      <c r="AH1035">
        <v>10</v>
      </c>
      <c r="AI1035">
        <v>0</v>
      </c>
      <c r="AJ1035" s="19" t="s">
        <v>1571</v>
      </c>
      <c r="AK1035" s="19" t="s">
        <v>1570</v>
      </c>
      <c r="AL1035">
        <v>1</v>
      </c>
      <c r="AM1035" s="19" t="s">
        <v>1565</v>
      </c>
      <c r="AN1035">
        <v>-0.38604200396442573</v>
      </c>
      <c r="AO1035">
        <v>373260</v>
      </c>
    </row>
    <row r="1036" spans="1:41" x14ac:dyDescent="0.3">
      <c r="A1036" s="19" t="s">
        <v>1102</v>
      </c>
      <c r="B1036">
        <v>41</v>
      </c>
      <c r="C1036" s="19" t="s">
        <v>802</v>
      </c>
      <c r="D1036" s="19" t="s">
        <v>55</v>
      </c>
      <c r="E1036" s="19" t="s">
        <v>48</v>
      </c>
      <c r="F1036">
        <v>509</v>
      </c>
      <c r="G1036" s="19" t="s">
        <v>735</v>
      </c>
      <c r="H1036">
        <v>7</v>
      </c>
      <c r="I1036">
        <v>2</v>
      </c>
      <c r="J1036" s="19" t="s">
        <v>77</v>
      </c>
      <c r="K1036">
        <v>1085</v>
      </c>
      <c r="L1036">
        <v>2</v>
      </c>
      <c r="M1036" s="19" t="s">
        <v>59</v>
      </c>
      <c r="N1036">
        <v>4</v>
      </c>
      <c r="O1036">
        <v>1</v>
      </c>
      <c r="P1036" s="19" t="s">
        <v>67</v>
      </c>
      <c r="Q1036">
        <v>3</v>
      </c>
      <c r="R1036" s="19" t="s">
        <v>113</v>
      </c>
      <c r="S1036">
        <v>43101</v>
      </c>
      <c r="T1036" s="19" t="s">
        <v>72</v>
      </c>
      <c r="U1036">
        <v>269.38</v>
      </c>
      <c r="V1036">
        <v>1</v>
      </c>
      <c r="W1036" s="19" t="s">
        <v>55</v>
      </c>
      <c r="X1036">
        <v>13</v>
      </c>
      <c r="Y1036">
        <v>3</v>
      </c>
      <c r="Z1036">
        <v>3</v>
      </c>
      <c r="AA1036">
        <v>0</v>
      </c>
      <c r="AB1036">
        <v>10</v>
      </c>
      <c r="AC1036">
        <v>3</v>
      </c>
      <c r="AD1036">
        <v>3</v>
      </c>
      <c r="AE1036">
        <v>10</v>
      </c>
      <c r="AF1036">
        <v>6</v>
      </c>
      <c r="AG1036">
        <v>0</v>
      </c>
      <c r="AH1036">
        <v>8</v>
      </c>
      <c r="AI1036">
        <v>0</v>
      </c>
      <c r="AJ1036" s="19" t="s">
        <v>1569</v>
      </c>
      <c r="AK1036" s="19" t="s">
        <v>1562</v>
      </c>
      <c r="AL1036">
        <v>0</v>
      </c>
      <c r="AM1036" s="19" t="s">
        <v>1563</v>
      </c>
      <c r="AN1036">
        <v>-0.13566535311490815</v>
      </c>
      <c r="AO1036">
        <v>517212</v>
      </c>
    </row>
    <row r="1037" spans="1:41" x14ac:dyDescent="0.3">
      <c r="A1037" s="19" t="s">
        <v>1103</v>
      </c>
      <c r="B1037">
        <v>41</v>
      </c>
      <c r="C1037" s="19" t="s">
        <v>802</v>
      </c>
      <c r="D1037" s="19" t="s">
        <v>55</v>
      </c>
      <c r="E1037" s="19" t="s">
        <v>48</v>
      </c>
      <c r="F1037">
        <v>167</v>
      </c>
      <c r="G1037" s="19" t="s">
        <v>735</v>
      </c>
      <c r="H1037">
        <v>12</v>
      </c>
      <c r="I1037">
        <v>4</v>
      </c>
      <c r="J1037" s="19" t="s">
        <v>50</v>
      </c>
      <c r="K1037">
        <v>1158</v>
      </c>
      <c r="L1037">
        <v>2</v>
      </c>
      <c r="M1037" s="19" t="s">
        <v>51</v>
      </c>
      <c r="N1037">
        <v>3</v>
      </c>
      <c r="O1037">
        <v>1</v>
      </c>
      <c r="P1037" s="19" t="s">
        <v>52</v>
      </c>
      <c r="Q1037">
        <v>4</v>
      </c>
      <c r="R1037" s="19" t="s">
        <v>113</v>
      </c>
      <c r="S1037">
        <v>65323</v>
      </c>
      <c r="T1037" s="19" t="s">
        <v>64</v>
      </c>
      <c r="U1037">
        <v>408.27</v>
      </c>
      <c r="V1037">
        <v>3</v>
      </c>
      <c r="W1037" s="19" t="s">
        <v>47</v>
      </c>
      <c r="X1037">
        <v>11</v>
      </c>
      <c r="Y1037">
        <v>3</v>
      </c>
      <c r="Z1037">
        <v>1</v>
      </c>
      <c r="AA1037">
        <v>1</v>
      </c>
      <c r="AB1037">
        <v>6</v>
      </c>
      <c r="AC1037">
        <v>4</v>
      </c>
      <c r="AD1037">
        <v>3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 s="19" t="s">
        <v>1561</v>
      </c>
      <c r="AK1037" s="19" t="s">
        <v>1562</v>
      </c>
      <c r="AL1037">
        <v>1</v>
      </c>
      <c r="AM1037" s="19" t="s">
        <v>1565</v>
      </c>
      <c r="AN1037">
        <v>0.26299776009125364</v>
      </c>
      <c r="AO1037">
        <v>783876</v>
      </c>
    </row>
    <row r="1038" spans="1:41" x14ac:dyDescent="0.3">
      <c r="A1038" s="19" t="s">
        <v>1104</v>
      </c>
      <c r="B1038">
        <v>41</v>
      </c>
      <c r="C1038" s="19" t="s">
        <v>802</v>
      </c>
      <c r="D1038" s="19" t="s">
        <v>47</v>
      </c>
      <c r="E1038" s="19" t="s">
        <v>66</v>
      </c>
      <c r="F1038">
        <v>906</v>
      </c>
      <c r="G1038" s="19" t="s">
        <v>735</v>
      </c>
      <c r="H1038">
        <v>5</v>
      </c>
      <c r="I1038">
        <v>2</v>
      </c>
      <c r="J1038" s="19" t="s">
        <v>50</v>
      </c>
      <c r="K1038">
        <v>1210</v>
      </c>
      <c r="L1038">
        <v>1</v>
      </c>
      <c r="M1038" s="19" t="s">
        <v>51</v>
      </c>
      <c r="N1038">
        <v>2</v>
      </c>
      <c r="O1038">
        <v>1</v>
      </c>
      <c r="P1038" s="19" t="s">
        <v>67</v>
      </c>
      <c r="Q1038">
        <v>1</v>
      </c>
      <c r="R1038" s="19" t="s">
        <v>53</v>
      </c>
      <c r="S1038">
        <v>92922</v>
      </c>
      <c r="T1038" s="19" t="s">
        <v>70</v>
      </c>
      <c r="U1038">
        <v>580.76</v>
      </c>
      <c r="V1038">
        <v>6</v>
      </c>
      <c r="W1038" s="19" t="s">
        <v>55</v>
      </c>
      <c r="X1038">
        <v>17</v>
      </c>
      <c r="Y1038">
        <v>3</v>
      </c>
      <c r="Z1038">
        <v>1</v>
      </c>
      <c r="AA1038">
        <v>1</v>
      </c>
      <c r="AB1038">
        <v>5</v>
      </c>
      <c r="AC1038">
        <v>2</v>
      </c>
      <c r="AD1038">
        <v>1</v>
      </c>
      <c r="AE1038">
        <v>1</v>
      </c>
      <c r="AF1038">
        <v>0</v>
      </c>
      <c r="AG1038">
        <v>0</v>
      </c>
      <c r="AH1038">
        <v>0</v>
      </c>
      <c r="AI1038">
        <v>1</v>
      </c>
      <c r="AJ1038" s="19" t="s">
        <v>1561</v>
      </c>
      <c r="AK1038" s="19" t="s">
        <v>1562</v>
      </c>
      <c r="AL1038">
        <v>2</v>
      </c>
      <c r="AM1038" s="19" t="s">
        <v>1564</v>
      </c>
      <c r="AN1038">
        <v>0.86343017697632318</v>
      </c>
      <c r="AO1038">
        <v>1115064</v>
      </c>
    </row>
    <row r="1039" spans="1:41" x14ac:dyDescent="0.3">
      <c r="A1039" s="19" t="s">
        <v>1105</v>
      </c>
      <c r="B1039">
        <v>41</v>
      </c>
      <c r="C1039" s="19" t="s">
        <v>802</v>
      </c>
      <c r="D1039" s="19" t="s">
        <v>55</v>
      </c>
      <c r="E1039" s="19" t="s">
        <v>66</v>
      </c>
      <c r="F1039">
        <v>256</v>
      </c>
      <c r="G1039" s="19" t="s">
        <v>932</v>
      </c>
      <c r="H1039">
        <v>10</v>
      </c>
      <c r="I1039">
        <v>2</v>
      </c>
      <c r="J1039" s="19" t="s">
        <v>58</v>
      </c>
      <c r="K1039">
        <v>1329</v>
      </c>
      <c r="L1039">
        <v>3</v>
      </c>
      <c r="M1039" s="19" t="s">
        <v>51</v>
      </c>
      <c r="N1039">
        <v>1</v>
      </c>
      <c r="O1039">
        <v>2</v>
      </c>
      <c r="P1039" s="19" t="s">
        <v>145</v>
      </c>
      <c r="Q1039">
        <v>2</v>
      </c>
      <c r="R1039" s="19" t="s">
        <v>53</v>
      </c>
      <c r="S1039">
        <v>59067</v>
      </c>
      <c r="T1039" s="19" t="s">
        <v>64</v>
      </c>
      <c r="U1039">
        <v>369.17</v>
      </c>
      <c r="V1039">
        <v>1</v>
      </c>
      <c r="W1039" s="19" t="s">
        <v>55</v>
      </c>
      <c r="X1039">
        <v>13</v>
      </c>
      <c r="Y1039">
        <v>3</v>
      </c>
      <c r="Z1039">
        <v>1</v>
      </c>
      <c r="AA1039">
        <v>0</v>
      </c>
      <c r="AB1039">
        <v>19</v>
      </c>
      <c r="AC1039">
        <v>4</v>
      </c>
      <c r="AD1039">
        <v>3</v>
      </c>
      <c r="AE1039">
        <v>19</v>
      </c>
      <c r="AF1039">
        <v>2</v>
      </c>
      <c r="AG1039">
        <v>11</v>
      </c>
      <c r="AH1039">
        <v>9</v>
      </c>
      <c r="AI1039">
        <v>0</v>
      </c>
      <c r="AJ1039" s="19" t="s">
        <v>1571</v>
      </c>
      <c r="AK1039" s="19" t="s">
        <v>1570</v>
      </c>
      <c r="AL1039">
        <v>2</v>
      </c>
      <c r="AM1039" s="19" t="s">
        <v>1564</v>
      </c>
      <c r="AN1039">
        <v>0.20402455453730312</v>
      </c>
      <c r="AO1039">
        <v>708804</v>
      </c>
    </row>
    <row r="1040" spans="1:41" x14ac:dyDescent="0.3">
      <c r="A1040" s="19" t="s">
        <v>1106</v>
      </c>
      <c r="B1040">
        <v>41</v>
      </c>
      <c r="C1040" s="19" t="s">
        <v>802</v>
      </c>
      <c r="D1040" s="19" t="s">
        <v>55</v>
      </c>
      <c r="E1040" s="19" t="s">
        <v>62</v>
      </c>
      <c r="F1040">
        <v>1018</v>
      </c>
      <c r="G1040" s="19" t="s">
        <v>932</v>
      </c>
      <c r="H1040">
        <v>1</v>
      </c>
      <c r="I1040">
        <v>3</v>
      </c>
      <c r="J1040" s="19" t="s">
        <v>63</v>
      </c>
      <c r="K1040">
        <v>1349</v>
      </c>
      <c r="L1040">
        <v>3</v>
      </c>
      <c r="M1040" s="19" t="s">
        <v>59</v>
      </c>
      <c r="N1040">
        <v>3</v>
      </c>
      <c r="O1040">
        <v>2</v>
      </c>
      <c r="P1040" s="19" t="s">
        <v>145</v>
      </c>
      <c r="Q1040">
        <v>1</v>
      </c>
      <c r="R1040" s="19" t="s">
        <v>53</v>
      </c>
      <c r="S1040">
        <v>50376</v>
      </c>
      <c r="T1040" s="19" t="s">
        <v>64</v>
      </c>
      <c r="U1040">
        <v>314.85000000000002</v>
      </c>
      <c r="V1040">
        <v>0</v>
      </c>
      <c r="W1040" s="19" t="s">
        <v>55</v>
      </c>
      <c r="X1040">
        <v>17</v>
      </c>
      <c r="Y1040">
        <v>3</v>
      </c>
      <c r="Z1040">
        <v>4</v>
      </c>
      <c r="AA1040">
        <v>1</v>
      </c>
      <c r="AB1040">
        <v>10</v>
      </c>
      <c r="AC1040">
        <v>2</v>
      </c>
      <c r="AD1040">
        <v>3</v>
      </c>
      <c r="AE1040">
        <v>9</v>
      </c>
      <c r="AF1040">
        <v>3</v>
      </c>
      <c r="AG1040">
        <v>1</v>
      </c>
      <c r="AH1040">
        <v>7</v>
      </c>
      <c r="AI1040">
        <v>0</v>
      </c>
      <c r="AJ1040" s="19" t="s">
        <v>1569</v>
      </c>
      <c r="AK1040" s="19" t="s">
        <v>1562</v>
      </c>
      <c r="AL1040">
        <v>1</v>
      </c>
      <c r="AM1040" s="19" t="s">
        <v>1565</v>
      </c>
      <c r="AN1040">
        <v>2.6866794646269173E-2</v>
      </c>
      <c r="AO1040">
        <v>604512</v>
      </c>
    </row>
    <row r="1041" spans="1:41" x14ac:dyDescent="0.3">
      <c r="A1041" s="19" t="s">
        <v>1107</v>
      </c>
      <c r="B1041">
        <v>41</v>
      </c>
      <c r="C1041" s="19" t="s">
        <v>802</v>
      </c>
      <c r="D1041" s="19" t="s">
        <v>55</v>
      </c>
      <c r="E1041" s="19" t="s">
        <v>62</v>
      </c>
      <c r="F1041">
        <v>1200</v>
      </c>
      <c r="G1041" s="19" t="s">
        <v>735</v>
      </c>
      <c r="H1041">
        <v>22</v>
      </c>
      <c r="I1041">
        <v>3</v>
      </c>
      <c r="J1041" s="19" t="s">
        <v>50</v>
      </c>
      <c r="K1041">
        <v>1392</v>
      </c>
      <c r="L1041">
        <v>4</v>
      </c>
      <c r="M1041" s="19" t="s">
        <v>59</v>
      </c>
      <c r="N1041">
        <v>3</v>
      </c>
      <c r="O1041">
        <v>2</v>
      </c>
      <c r="P1041" s="19" t="s">
        <v>67</v>
      </c>
      <c r="Q1041">
        <v>4</v>
      </c>
      <c r="R1041" s="19" t="s">
        <v>53</v>
      </c>
      <c r="S1041">
        <v>46587</v>
      </c>
      <c r="T1041" s="19" t="s">
        <v>72</v>
      </c>
      <c r="U1041">
        <v>291.17</v>
      </c>
      <c r="V1041">
        <v>3</v>
      </c>
      <c r="W1041" s="19" t="s">
        <v>47</v>
      </c>
      <c r="X1041">
        <v>14</v>
      </c>
      <c r="Y1041">
        <v>3</v>
      </c>
      <c r="Z1041">
        <v>1</v>
      </c>
      <c r="AA1041">
        <v>2</v>
      </c>
      <c r="AB1041">
        <v>12</v>
      </c>
      <c r="AC1041">
        <v>4</v>
      </c>
      <c r="AD1041">
        <v>2</v>
      </c>
      <c r="AE1041">
        <v>6</v>
      </c>
      <c r="AF1041">
        <v>2</v>
      </c>
      <c r="AG1041">
        <v>3</v>
      </c>
      <c r="AH1041">
        <v>3</v>
      </c>
      <c r="AI1041">
        <v>0</v>
      </c>
      <c r="AJ1041" s="19" t="s">
        <v>1569</v>
      </c>
      <c r="AK1041" s="19" t="s">
        <v>1570</v>
      </c>
      <c r="AL1041">
        <v>3</v>
      </c>
      <c r="AM1041" s="19" t="s">
        <v>1568</v>
      </c>
      <c r="AN1041">
        <v>-6.5758144951723302E-2</v>
      </c>
      <c r="AO1041">
        <v>559044</v>
      </c>
    </row>
    <row r="1042" spans="1:41" x14ac:dyDescent="0.3">
      <c r="A1042" s="19" t="s">
        <v>1108</v>
      </c>
      <c r="B1042">
        <v>41</v>
      </c>
      <c r="C1042" s="19" t="s">
        <v>802</v>
      </c>
      <c r="D1042" s="19" t="s">
        <v>55</v>
      </c>
      <c r="E1042" s="19" t="s">
        <v>48</v>
      </c>
      <c r="F1042">
        <v>1283</v>
      </c>
      <c r="G1042" s="19" t="s">
        <v>735</v>
      </c>
      <c r="H1042">
        <v>5</v>
      </c>
      <c r="I1042">
        <v>5</v>
      </c>
      <c r="J1042" s="19" t="s">
        <v>58</v>
      </c>
      <c r="K1042">
        <v>1448</v>
      </c>
      <c r="L1042">
        <v>2</v>
      </c>
      <c r="M1042" s="19" t="s">
        <v>51</v>
      </c>
      <c r="N1042">
        <v>4</v>
      </c>
      <c r="O1042">
        <v>1</v>
      </c>
      <c r="P1042" s="19" t="s">
        <v>67</v>
      </c>
      <c r="Q1042">
        <v>3</v>
      </c>
      <c r="R1042" s="19" t="s">
        <v>113</v>
      </c>
      <c r="S1042">
        <v>37976</v>
      </c>
      <c r="T1042" s="19" t="s">
        <v>72</v>
      </c>
      <c r="U1042">
        <v>237.35</v>
      </c>
      <c r="V1042">
        <v>2</v>
      </c>
      <c r="W1042" s="19" t="s">
        <v>47</v>
      </c>
      <c r="X1042">
        <v>12</v>
      </c>
      <c r="Y1042">
        <v>3</v>
      </c>
      <c r="Z1042">
        <v>1</v>
      </c>
      <c r="AA1042">
        <v>0</v>
      </c>
      <c r="AB1042">
        <v>7</v>
      </c>
      <c r="AC1042">
        <v>5</v>
      </c>
      <c r="AD1042">
        <v>2</v>
      </c>
      <c r="AE1042">
        <v>4</v>
      </c>
      <c r="AF1042">
        <v>2</v>
      </c>
      <c r="AG1042">
        <v>0</v>
      </c>
      <c r="AH1042">
        <v>3</v>
      </c>
      <c r="AI1042">
        <v>0</v>
      </c>
      <c r="AJ1042" s="19" t="s">
        <v>1567</v>
      </c>
      <c r="AK1042" s="19" t="s">
        <v>1562</v>
      </c>
      <c r="AL1042">
        <v>2</v>
      </c>
      <c r="AM1042" s="19" t="s">
        <v>1564</v>
      </c>
      <c r="AN1042">
        <v>-0.23844058026244755</v>
      </c>
      <c r="AO1042">
        <v>455712</v>
      </c>
    </row>
    <row r="1043" spans="1:41" x14ac:dyDescent="0.3">
      <c r="A1043" s="19" t="s">
        <v>1109</v>
      </c>
      <c r="B1043">
        <v>41</v>
      </c>
      <c r="C1043" s="19" t="s">
        <v>802</v>
      </c>
      <c r="D1043" s="19" t="s">
        <v>55</v>
      </c>
      <c r="E1043" s="19" t="s">
        <v>48</v>
      </c>
      <c r="F1043">
        <v>1206</v>
      </c>
      <c r="G1043" s="19" t="s">
        <v>932</v>
      </c>
      <c r="H1043">
        <v>23</v>
      </c>
      <c r="I1043">
        <v>2</v>
      </c>
      <c r="J1043" s="19" t="s">
        <v>50</v>
      </c>
      <c r="K1043">
        <v>1678</v>
      </c>
      <c r="L1043">
        <v>4</v>
      </c>
      <c r="M1043" s="19" t="s">
        <v>51</v>
      </c>
      <c r="N1043">
        <v>3</v>
      </c>
      <c r="O1043">
        <v>3</v>
      </c>
      <c r="P1043" s="19" t="s">
        <v>145</v>
      </c>
      <c r="Q1043">
        <v>3</v>
      </c>
      <c r="R1043" s="19" t="s">
        <v>53</v>
      </c>
      <c r="S1043">
        <v>68584</v>
      </c>
      <c r="T1043" s="19" t="s">
        <v>64</v>
      </c>
      <c r="U1043">
        <v>428.65</v>
      </c>
      <c r="V1043">
        <v>3</v>
      </c>
      <c r="W1043" s="19" t="s">
        <v>47</v>
      </c>
      <c r="X1043">
        <v>16</v>
      </c>
      <c r="Y1043">
        <v>3</v>
      </c>
      <c r="Z1043">
        <v>4</v>
      </c>
      <c r="AA1043">
        <v>0</v>
      </c>
      <c r="AB1043">
        <v>21</v>
      </c>
      <c r="AC1043">
        <v>2</v>
      </c>
      <c r="AD1043">
        <v>3</v>
      </c>
      <c r="AE1043">
        <v>2</v>
      </c>
      <c r="AF1043">
        <v>0</v>
      </c>
      <c r="AG1043">
        <v>0</v>
      </c>
      <c r="AH1043">
        <v>2</v>
      </c>
      <c r="AI1043">
        <v>0</v>
      </c>
      <c r="AJ1043" s="19" t="s">
        <v>1566</v>
      </c>
      <c r="AK1043" s="19" t="s">
        <v>1562</v>
      </c>
      <c r="AL1043">
        <v>1</v>
      </c>
      <c r="AM1043" s="19" t="s">
        <v>1565</v>
      </c>
      <c r="AN1043">
        <v>0.39801953795497308</v>
      </c>
      <c r="AO1043">
        <v>823008</v>
      </c>
    </row>
    <row r="1044" spans="1:41" x14ac:dyDescent="0.3">
      <c r="A1044" s="19" t="s">
        <v>1110</v>
      </c>
      <c r="B1044">
        <v>41</v>
      </c>
      <c r="C1044" s="19" t="s">
        <v>802</v>
      </c>
      <c r="D1044" s="19" t="s">
        <v>55</v>
      </c>
      <c r="E1044" s="19" t="s">
        <v>48</v>
      </c>
      <c r="F1044">
        <v>918</v>
      </c>
      <c r="G1044" s="19" t="s">
        <v>932</v>
      </c>
      <c r="H1044">
        <v>6</v>
      </c>
      <c r="I1044">
        <v>3</v>
      </c>
      <c r="J1044" s="19" t="s">
        <v>63</v>
      </c>
      <c r="K1044">
        <v>1708</v>
      </c>
      <c r="L1044">
        <v>4</v>
      </c>
      <c r="M1044" s="19" t="s">
        <v>51</v>
      </c>
      <c r="N1044">
        <v>3</v>
      </c>
      <c r="O1044">
        <v>3</v>
      </c>
      <c r="P1044" s="19" t="s">
        <v>145</v>
      </c>
      <c r="Q1044">
        <v>3</v>
      </c>
      <c r="R1044" s="19" t="s">
        <v>53</v>
      </c>
      <c r="S1044">
        <v>79477</v>
      </c>
      <c r="T1044" s="19" t="s">
        <v>64</v>
      </c>
      <c r="U1044">
        <v>496.73</v>
      </c>
      <c r="V1044">
        <v>1</v>
      </c>
      <c r="W1044" s="19" t="s">
        <v>55</v>
      </c>
      <c r="X1044">
        <v>12</v>
      </c>
      <c r="Y1044">
        <v>3</v>
      </c>
      <c r="Z1044">
        <v>2</v>
      </c>
      <c r="AA1044">
        <v>0</v>
      </c>
      <c r="AB1044">
        <v>10</v>
      </c>
      <c r="AC1044">
        <v>3</v>
      </c>
      <c r="AD1044">
        <v>3</v>
      </c>
      <c r="AE1044">
        <v>10</v>
      </c>
      <c r="AF1044">
        <v>8</v>
      </c>
      <c r="AG1044">
        <v>8</v>
      </c>
      <c r="AH1044">
        <v>7</v>
      </c>
      <c r="AI1044">
        <v>0</v>
      </c>
      <c r="AJ1044" s="19" t="s">
        <v>1569</v>
      </c>
      <c r="AK1044" s="19" t="s">
        <v>1570</v>
      </c>
      <c r="AL1044">
        <v>1</v>
      </c>
      <c r="AM1044" s="19" t="s">
        <v>1565</v>
      </c>
      <c r="AN1044">
        <v>0.62006297121846787</v>
      </c>
      <c r="AO1044">
        <v>953724</v>
      </c>
    </row>
    <row r="1045" spans="1:41" x14ac:dyDescent="0.3">
      <c r="A1045" s="19" t="s">
        <v>1111</v>
      </c>
      <c r="B1045">
        <v>41</v>
      </c>
      <c r="C1045" s="19" t="s">
        <v>802</v>
      </c>
      <c r="D1045" s="19" t="s">
        <v>55</v>
      </c>
      <c r="E1045" s="19" t="s">
        <v>66</v>
      </c>
      <c r="F1045">
        <v>552</v>
      </c>
      <c r="G1045" s="19" t="s">
        <v>80</v>
      </c>
      <c r="H1045">
        <v>4</v>
      </c>
      <c r="I1045">
        <v>3</v>
      </c>
      <c r="J1045" s="19" t="s">
        <v>80</v>
      </c>
      <c r="K1045">
        <v>1722</v>
      </c>
      <c r="L1045">
        <v>3</v>
      </c>
      <c r="M1045" s="19" t="s">
        <v>51</v>
      </c>
      <c r="N1045">
        <v>1</v>
      </c>
      <c r="O1045">
        <v>2</v>
      </c>
      <c r="P1045" s="19" t="s">
        <v>80</v>
      </c>
      <c r="Q1045">
        <v>2</v>
      </c>
      <c r="R1045" s="19" t="s">
        <v>113</v>
      </c>
      <c r="S1045">
        <v>43533</v>
      </c>
      <c r="T1045" s="19" t="s">
        <v>72</v>
      </c>
      <c r="U1045">
        <v>272.08</v>
      </c>
      <c r="V1045">
        <v>6</v>
      </c>
      <c r="W1045" s="19" t="s">
        <v>55</v>
      </c>
      <c r="X1045">
        <v>19</v>
      </c>
      <c r="Y1045">
        <v>3</v>
      </c>
      <c r="Z1045">
        <v>2</v>
      </c>
      <c r="AA1045">
        <v>1</v>
      </c>
      <c r="AB1045">
        <v>10</v>
      </c>
      <c r="AC1045">
        <v>4</v>
      </c>
      <c r="AD1045">
        <v>3</v>
      </c>
      <c r="AE1045">
        <v>3</v>
      </c>
      <c r="AF1045">
        <v>2</v>
      </c>
      <c r="AG1045">
        <v>1</v>
      </c>
      <c r="AH1045">
        <v>2</v>
      </c>
      <c r="AI1045">
        <v>0</v>
      </c>
      <c r="AJ1045" s="19" t="s">
        <v>1566</v>
      </c>
      <c r="AK1045" s="19" t="s">
        <v>1562</v>
      </c>
      <c r="AL1045">
        <v>1</v>
      </c>
      <c r="AM1045" s="19" t="s">
        <v>1565</v>
      </c>
      <c r="AN1045">
        <v>-0.14210612084026542</v>
      </c>
      <c r="AO1045">
        <v>522396</v>
      </c>
    </row>
    <row r="1046" spans="1:41" x14ac:dyDescent="0.3">
      <c r="A1046" s="19" t="s">
        <v>1112</v>
      </c>
      <c r="B1046">
        <v>41</v>
      </c>
      <c r="C1046" s="19" t="s">
        <v>802</v>
      </c>
      <c r="D1046" s="19" t="s">
        <v>55</v>
      </c>
      <c r="E1046" s="19" t="s">
        <v>48</v>
      </c>
      <c r="F1046">
        <v>548</v>
      </c>
      <c r="G1046" s="19" t="s">
        <v>735</v>
      </c>
      <c r="H1046">
        <v>9</v>
      </c>
      <c r="I1046">
        <v>4</v>
      </c>
      <c r="J1046" s="19" t="s">
        <v>50</v>
      </c>
      <c r="K1046">
        <v>1772</v>
      </c>
      <c r="L1046">
        <v>3</v>
      </c>
      <c r="M1046" s="19" t="s">
        <v>51</v>
      </c>
      <c r="N1046">
        <v>3</v>
      </c>
      <c r="O1046">
        <v>1</v>
      </c>
      <c r="P1046" s="19" t="s">
        <v>52</v>
      </c>
      <c r="Q1046">
        <v>1</v>
      </c>
      <c r="R1046" s="19" t="s">
        <v>113</v>
      </c>
      <c r="S1046">
        <v>2828</v>
      </c>
      <c r="T1046" s="19" t="s">
        <v>54</v>
      </c>
      <c r="U1046">
        <v>17.68</v>
      </c>
      <c r="V1046">
        <v>1</v>
      </c>
      <c r="W1046" s="19" t="s">
        <v>55</v>
      </c>
      <c r="X1046">
        <v>20</v>
      </c>
      <c r="Y1046">
        <v>4</v>
      </c>
      <c r="Z1046">
        <v>2</v>
      </c>
      <c r="AA1046">
        <v>2</v>
      </c>
      <c r="AB1046">
        <v>5</v>
      </c>
      <c r="AC1046">
        <v>2</v>
      </c>
      <c r="AD1046">
        <v>3</v>
      </c>
      <c r="AE1046">
        <v>5</v>
      </c>
      <c r="AF1046">
        <v>3</v>
      </c>
      <c r="AG1046">
        <v>0</v>
      </c>
      <c r="AH1046">
        <v>4</v>
      </c>
      <c r="AI1046">
        <v>0</v>
      </c>
      <c r="AJ1046" s="19" t="s">
        <v>1567</v>
      </c>
      <c r="AK1046" s="19" t="s">
        <v>1562</v>
      </c>
      <c r="AL1046">
        <v>1</v>
      </c>
      <c r="AM1046" s="19" t="s">
        <v>1565</v>
      </c>
      <c r="AN1046">
        <v>-0.945321591697594</v>
      </c>
      <c r="AO1046">
        <v>33936</v>
      </c>
    </row>
    <row r="1047" spans="1:41" x14ac:dyDescent="0.3">
      <c r="A1047" s="19" t="s">
        <v>1113</v>
      </c>
      <c r="B1047">
        <v>41</v>
      </c>
      <c r="C1047" s="19" t="s">
        <v>802</v>
      </c>
      <c r="D1047" s="19" t="s">
        <v>55</v>
      </c>
      <c r="E1047" s="19" t="s">
        <v>48</v>
      </c>
      <c r="F1047">
        <v>447</v>
      </c>
      <c r="G1047" s="19" t="s">
        <v>735</v>
      </c>
      <c r="H1047">
        <v>5</v>
      </c>
      <c r="I1047">
        <v>3</v>
      </c>
      <c r="J1047" s="19" t="s">
        <v>50</v>
      </c>
      <c r="K1047">
        <v>1814</v>
      </c>
      <c r="L1047">
        <v>2</v>
      </c>
      <c r="M1047" s="19" t="s">
        <v>51</v>
      </c>
      <c r="N1047">
        <v>4</v>
      </c>
      <c r="O1047">
        <v>2</v>
      </c>
      <c r="P1047" s="19" t="s">
        <v>168</v>
      </c>
      <c r="Q1047">
        <v>2</v>
      </c>
      <c r="R1047" s="19" t="s">
        <v>53</v>
      </c>
      <c r="S1047">
        <v>2917</v>
      </c>
      <c r="T1047" s="19" t="s">
        <v>54</v>
      </c>
      <c r="U1047">
        <v>18.23</v>
      </c>
      <c r="V1047">
        <v>3</v>
      </c>
      <c r="W1047" s="19" t="s">
        <v>55</v>
      </c>
      <c r="X1047">
        <v>12</v>
      </c>
      <c r="Y1047">
        <v>3</v>
      </c>
      <c r="Z1047">
        <v>1</v>
      </c>
      <c r="AA1047">
        <v>0</v>
      </c>
      <c r="AB1047">
        <v>11</v>
      </c>
      <c r="AC1047">
        <v>3</v>
      </c>
      <c r="AD1047">
        <v>1</v>
      </c>
      <c r="AE1047">
        <v>3</v>
      </c>
      <c r="AF1047">
        <v>2</v>
      </c>
      <c r="AG1047">
        <v>1</v>
      </c>
      <c r="AH1047">
        <v>2</v>
      </c>
      <c r="AI1047">
        <v>0</v>
      </c>
      <c r="AJ1047" s="19" t="s">
        <v>1566</v>
      </c>
      <c r="AK1047" s="19" t="s">
        <v>1562</v>
      </c>
      <c r="AL1047">
        <v>2</v>
      </c>
      <c r="AM1047" s="19" t="s">
        <v>1564</v>
      </c>
      <c r="AN1047">
        <v>-0.9394676927820137</v>
      </c>
      <c r="AO1047">
        <v>35004</v>
      </c>
    </row>
    <row r="1048" spans="1:41" x14ac:dyDescent="0.3">
      <c r="A1048" s="19" t="s">
        <v>1114</v>
      </c>
      <c r="B1048">
        <v>41</v>
      </c>
      <c r="C1048" s="19" t="s">
        <v>802</v>
      </c>
      <c r="D1048" s="19" t="s">
        <v>55</v>
      </c>
      <c r="E1048" s="19" t="s">
        <v>48</v>
      </c>
      <c r="F1048">
        <v>796</v>
      </c>
      <c r="G1048" s="19" t="s">
        <v>932</v>
      </c>
      <c r="H1048">
        <v>4</v>
      </c>
      <c r="I1048">
        <v>1</v>
      </c>
      <c r="J1048" s="19" t="s">
        <v>63</v>
      </c>
      <c r="K1048">
        <v>1815</v>
      </c>
      <c r="L1048">
        <v>3</v>
      </c>
      <c r="M1048" s="19" t="s">
        <v>59</v>
      </c>
      <c r="N1048">
        <v>3</v>
      </c>
      <c r="O1048">
        <v>3</v>
      </c>
      <c r="P1048" s="19" t="s">
        <v>145</v>
      </c>
      <c r="Q1048">
        <v>3</v>
      </c>
      <c r="R1048" s="19" t="s">
        <v>113</v>
      </c>
      <c r="S1048">
        <v>21618</v>
      </c>
      <c r="T1048" s="19" t="s">
        <v>54</v>
      </c>
      <c r="U1048">
        <v>135.11000000000001</v>
      </c>
      <c r="V1048">
        <v>0</v>
      </c>
      <c r="W1048" s="19" t="s">
        <v>47</v>
      </c>
      <c r="X1048">
        <v>13</v>
      </c>
      <c r="Y1048">
        <v>3</v>
      </c>
      <c r="Z1048">
        <v>4</v>
      </c>
      <c r="AA1048">
        <v>1</v>
      </c>
      <c r="AB1048">
        <v>23</v>
      </c>
      <c r="AC1048">
        <v>3</v>
      </c>
      <c r="AD1048">
        <v>4</v>
      </c>
      <c r="AE1048">
        <v>22</v>
      </c>
      <c r="AF1048">
        <v>14</v>
      </c>
      <c r="AG1048">
        <v>13</v>
      </c>
      <c r="AH1048">
        <v>5</v>
      </c>
      <c r="AI1048">
        <v>0</v>
      </c>
      <c r="AJ1048" s="19" t="s">
        <v>1571</v>
      </c>
      <c r="AK1048" s="19" t="s">
        <v>1570</v>
      </c>
      <c r="AL1048">
        <v>2</v>
      </c>
      <c r="AM1048" s="19" t="s">
        <v>1564</v>
      </c>
      <c r="AN1048">
        <v>-0.55933765351232634</v>
      </c>
      <c r="AO1048">
        <v>259416</v>
      </c>
    </row>
    <row r="1049" spans="1:41" x14ac:dyDescent="0.3">
      <c r="A1049" s="19" t="s">
        <v>1115</v>
      </c>
      <c r="B1049">
        <v>41</v>
      </c>
      <c r="C1049" s="19" t="s">
        <v>802</v>
      </c>
      <c r="D1049" s="19" t="s">
        <v>55</v>
      </c>
      <c r="E1049" s="19" t="s">
        <v>48</v>
      </c>
      <c r="F1049">
        <v>337</v>
      </c>
      <c r="G1049" s="19" t="s">
        <v>932</v>
      </c>
      <c r="H1049">
        <v>8</v>
      </c>
      <c r="I1049">
        <v>3</v>
      </c>
      <c r="J1049" s="19" t="s">
        <v>63</v>
      </c>
      <c r="K1049">
        <v>1909</v>
      </c>
      <c r="L1049">
        <v>3</v>
      </c>
      <c r="M1049" s="19" t="s">
        <v>59</v>
      </c>
      <c r="N1049">
        <v>3</v>
      </c>
      <c r="O1049">
        <v>2</v>
      </c>
      <c r="P1049" s="19" t="s">
        <v>145</v>
      </c>
      <c r="Q1049">
        <v>2</v>
      </c>
      <c r="R1049" s="19" t="s">
        <v>113</v>
      </c>
      <c r="S1049">
        <v>33254</v>
      </c>
      <c r="T1049" s="19" t="s">
        <v>72</v>
      </c>
      <c r="U1049">
        <v>207.84</v>
      </c>
      <c r="V1049">
        <v>5</v>
      </c>
      <c r="W1049" s="19" t="s">
        <v>55</v>
      </c>
      <c r="X1049">
        <v>21</v>
      </c>
      <c r="Y1049">
        <v>4</v>
      </c>
      <c r="Z1049">
        <v>3</v>
      </c>
      <c r="AA1049">
        <v>1</v>
      </c>
      <c r="AB1049">
        <v>14</v>
      </c>
      <c r="AC1049">
        <v>3</v>
      </c>
      <c r="AD1049">
        <v>3</v>
      </c>
      <c r="AE1049">
        <v>5</v>
      </c>
      <c r="AF1049">
        <v>4</v>
      </c>
      <c r="AG1049">
        <v>1</v>
      </c>
      <c r="AH1049">
        <v>4</v>
      </c>
      <c r="AI1049">
        <v>0</v>
      </c>
      <c r="AJ1049" s="19" t="s">
        <v>1567</v>
      </c>
      <c r="AK1049" s="19" t="s">
        <v>1562</v>
      </c>
      <c r="AL1049">
        <v>1</v>
      </c>
      <c r="AM1049" s="19" t="s">
        <v>1565</v>
      </c>
      <c r="AN1049">
        <v>-0.32214887269400044</v>
      </c>
      <c r="AO1049">
        <v>399048</v>
      </c>
    </row>
    <row r="1050" spans="1:41" x14ac:dyDescent="0.3">
      <c r="A1050" s="19" t="s">
        <v>1116</v>
      </c>
      <c r="B1050">
        <v>41</v>
      </c>
      <c r="C1050" s="19" t="s">
        <v>802</v>
      </c>
      <c r="D1050" s="19" t="s">
        <v>55</v>
      </c>
      <c r="E1050" s="19" t="s">
        <v>48</v>
      </c>
      <c r="F1050">
        <v>642</v>
      </c>
      <c r="G1050" s="19" t="s">
        <v>735</v>
      </c>
      <c r="H1050">
        <v>1</v>
      </c>
      <c r="I1050">
        <v>3</v>
      </c>
      <c r="J1050" s="19" t="s">
        <v>50</v>
      </c>
      <c r="K1050">
        <v>1999</v>
      </c>
      <c r="L1050">
        <v>4</v>
      </c>
      <c r="M1050" s="19" t="s">
        <v>51</v>
      </c>
      <c r="N1050">
        <v>3</v>
      </c>
      <c r="O1050">
        <v>1</v>
      </c>
      <c r="P1050" s="19" t="s">
        <v>67</v>
      </c>
      <c r="Q1050">
        <v>4</v>
      </c>
      <c r="R1050" s="19" t="s">
        <v>113</v>
      </c>
      <c r="S1050">
        <v>48362</v>
      </c>
      <c r="T1050" s="19" t="s">
        <v>72</v>
      </c>
      <c r="U1050">
        <v>302.26</v>
      </c>
      <c r="V1050">
        <v>3</v>
      </c>
      <c r="W1050" s="19" t="s">
        <v>55</v>
      </c>
      <c r="X1050">
        <v>22</v>
      </c>
      <c r="Y1050">
        <v>4</v>
      </c>
      <c r="Z1050">
        <v>1</v>
      </c>
      <c r="AA1050">
        <v>1</v>
      </c>
      <c r="AB1050">
        <v>12</v>
      </c>
      <c r="AC1050">
        <v>3</v>
      </c>
      <c r="AD1050">
        <v>3</v>
      </c>
      <c r="AE1050">
        <v>5</v>
      </c>
      <c r="AF1050">
        <v>3</v>
      </c>
      <c r="AG1050">
        <v>1</v>
      </c>
      <c r="AH1050">
        <v>0</v>
      </c>
      <c r="AI1050">
        <v>0</v>
      </c>
      <c r="AJ1050" s="19" t="s">
        <v>1567</v>
      </c>
      <c r="AK1050" s="19" t="s">
        <v>1562</v>
      </c>
      <c r="AL1050">
        <v>0</v>
      </c>
      <c r="AM1050" s="19" t="s">
        <v>1563</v>
      </c>
      <c r="AN1050">
        <v>-3.0162822378673078E-2</v>
      </c>
      <c r="AO1050">
        <v>580344</v>
      </c>
    </row>
    <row r="1051" spans="1:41" x14ac:dyDescent="0.3">
      <c r="A1051" s="19" t="s">
        <v>1117</v>
      </c>
      <c r="B1051">
        <v>41</v>
      </c>
      <c r="C1051" s="19" t="s">
        <v>802</v>
      </c>
      <c r="D1051" s="19" t="s">
        <v>55</v>
      </c>
      <c r="E1051" s="19" t="s">
        <v>48</v>
      </c>
      <c r="F1051">
        <v>582</v>
      </c>
      <c r="G1051" s="19" t="s">
        <v>735</v>
      </c>
      <c r="H1051">
        <v>28</v>
      </c>
      <c r="I1051">
        <v>4</v>
      </c>
      <c r="J1051" s="19" t="s">
        <v>50</v>
      </c>
      <c r="K1051">
        <v>2034</v>
      </c>
      <c r="L1051">
        <v>1</v>
      </c>
      <c r="M1051" s="19" t="s">
        <v>59</v>
      </c>
      <c r="N1051">
        <v>2</v>
      </c>
      <c r="O1051">
        <v>4</v>
      </c>
      <c r="P1051" s="19" t="s">
        <v>120</v>
      </c>
      <c r="Q1051">
        <v>2</v>
      </c>
      <c r="R1051" s="19" t="s">
        <v>113</v>
      </c>
      <c r="S1051">
        <v>21128</v>
      </c>
      <c r="T1051" s="19" t="s">
        <v>54</v>
      </c>
      <c r="U1051">
        <v>132.05000000000001</v>
      </c>
      <c r="V1051">
        <v>0</v>
      </c>
      <c r="W1051" s="19" t="s">
        <v>55</v>
      </c>
      <c r="X1051">
        <v>23</v>
      </c>
      <c r="Y1051">
        <v>4</v>
      </c>
      <c r="Z1051">
        <v>3</v>
      </c>
      <c r="AA1051">
        <v>1</v>
      </c>
      <c r="AB1051">
        <v>21</v>
      </c>
      <c r="AC1051">
        <v>3</v>
      </c>
      <c r="AD1051">
        <v>3</v>
      </c>
      <c r="AE1051">
        <v>20</v>
      </c>
      <c r="AF1051">
        <v>7</v>
      </c>
      <c r="AG1051">
        <v>0</v>
      </c>
      <c r="AH1051">
        <v>10</v>
      </c>
      <c r="AI1051">
        <v>0</v>
      </c>
      <c r="AJ1051" s="19" t="s">
        <v>1571</v>
      </c>
      <c r="AK1051" s="19" t="s">
        <v>1562</v>
      </c>
      <c r="AL1051">
        <v>1</v>
      </c>
      <c r="AM1051" s="19" t="s">
        <v>1565</v>
      </c>
      <c r="AN1051">
        <v>-0.52301975578306203</v>
      </c>
      <c r="AO1051">
        <v>253536</v>
      </c>
    </row>
    <row r="1052" spans="1:41" x14ac:dyDescent="0.3">
      <c r="A1052" s="19" t="s">
        <v>1118</v>
      </c>
      <c r="B1052">
        <v>41</v>
      </c>
      <c r="C1052" s="19" t="s">
        <v>802</v>
      </c>
      <c r="D1052" s="19" t="s">
        <v>55</v>
      </c>
      <c r="E1052" s="19" t="s">
        <v>48</v>
      </c>
      <c r="F1052">
        <v>930</v>
      </c>
      <c r="G1052" s="19" t="s">
        <v>932</v>
      </c>
      <c r="H1052">
        <v>3</v>
      </c>
      <c r="I1052">
        <v>3</v>
      </c>
      <c r="J1052" s="19" t="s">
        <v>50</v>
      </c>
      <c r="K1052">
        <v>2037</v>
      </c>
      <c r="L1052">
        <v>3</v>
      </c>
      <c r="M1052" s="19" t="s">
        <v>51</v>
      </c>
      <c r="N1052">
        <v>2</v>
      </c>
      <c r="O1052">
        <v>2</v>
      </c>
      <c r="P1052" s="19" t="s">
        <v>145</v>
      </c>
      <c r="Q1052">
        <v>2</v>
      </c>
      <c r="R1052" s="19" t="s">
        <v>113</v>
      </c>
      <c r="S1052">
        <v>60383</v>
      </c>
      <c r="T1052" s="19" t="s">
        <v>64</v>
      </c>
      <c r="U1052">
        <v>377.39</v>
      </c>
      <c r="V1052">
        <v>2</v>
      </c>
      <c r="W1052" s="19" t="s">
        <v>55</v>
      </c>
      <c r="X1052">
        <v>11</v>
      </c>
      <c r="Y1052">
        <v>3</v>
      </c>
      <c r="Z1052">
        <v>3</v>
      </c>
      <c r="AA1052">
        <v>1</v>
      </c>
      <c r="AB1052">
        <v>14</v>
      </c>
      <c r="AC1052">
        <v>5</v>
      </c>
      <c r="AD1052">
        <v>3</v>
      </c>
      <c r="AE1052">
        <v>5</v>
      </c>
      <c r="AF1052">
        <v>4</v>
      </c>
      <c r="AG1052">
        <v>0</v>
      </c>
      <c r="AH1052">
        <v>4</v>
      </c>
      <c r="AI1052">
        <v>0</v>
      </c>
      <c r="AJ1052" s="19" t="s">
        <v>1567</v>
      </c>
      <c r="AK1052" s="19" t="s">
        <v>1562</v>
      </c>
      <c r="AL1052">
        <v>1</v>
      </c>
      <c r="AM1052" s="19" t="s">
        <v>1565</v>
      </c>
      <c r="AN1052">
        <v>0.23084996151194362</v>
      </c>
      <c r="AO1052">
        <v>724596</v>
      </c>
    </row>
    <row r="1053" spans="1:41" x14ac:dyDescent="0.3">
      <c r="A1053" s="19" t="s">
        <v>1119</v>
      </c>
      <c r="B1053">
        <v>42</v>
      </c>
      <c r="C1053" s="19" t="s">
        <v>802</v>
      </c>
      <c r="D1053" s="19" t="s">
        <v>55</v>
      </c>
      <c r="E1053" s="19" t="s">
        <v>48</v>
      </c>
      <c r="F1053">
        <v>691</v>
      </c>
      <c r="G1053" s="19" t="s">
        <v>932</v>
      </c>
      <c r="H1053">
        <v>8</v>
      </c>
      <c r="I1053">
        <v>4</v>
      </c>
      <c r="J1053" s="19" t="s">
        <v>63</v>
      </c>
      <c r="K1053">
        <v>35</v>
      </c>
      <c r="L1053">
        <v>3</v>
      </c>
      <c r="M1053" s="19" t="s">
        <v>51</v>
      </c>
      <c r="N1053">
        <v>3</v>
      </c>
      <c r="O1053">
        <v>2</v>
      </c>
      <c r="P1053" s="19" t="s">
        <v>145</v>
      </c>
      <c r="Q1053">
        <v>2</v>
      </c>
      <c r="R1053" s="19" t="s">
        <v>113</v>
      </c>
      <c r="S1053">
        <v>66545</v>
      </c>
      <c r="T1053" s="19" t="s">
        <v>64</v>
      </c>
      <c r="U1053">
        <v>415.91</v>
      </c>
      <c r="V1053">
        <v>0</v>
      </c>
      <c r="W1053" s="19" t="s">
        <v>55</v>
      </c>
      <c r="X1053">
        <v>11</v>
      </c>
      <c r="Y1053">
        <v>3</v>
      </c>
      <c r="Z1053">
        <v>4</v>
      </c>
      <c r="AA1053">
        <v>1</v>
      </c>
      <c r="AB1053">
        <v>10</v>
      </c>
      <c r="AC1053">
        <v>2</v>
      </c>
      <c r="AD1053">
        <v>3</v>
      </c>
      <c r="AE1053">
        <v>9</v>
      </c>
      <c r="AF1053">
        <v>7</v>
      </c>
      <c r="AG1053">
        <v>4</v>
      </c>
      <c r="AH1053">
        <v>7</v>
      </c>
      <c r="AI1053">
        <v>0</v>
      </c>
      <c r="AJ1053" s="19" t="s">
        <v>1569</v>
      </c>
      <c r="AK1053" s="19" t="s">
        <v>1570</v>
      </c>
      <c r="AL1053">
        <v>2</v>
      </c>
      <c r="AM1053" s="19" t="s">
        <v>1564</v>
      </c>
      <c r="AN1053">
        <v>0.35645646438256279</v>
      </c>
      <c r="AO1053">
        <v>798540</v>
      </c>
    </row>
    <row r="1054" spans="1:41" x14ac:dyDescent="0.3">
      <c r="A1054" s="19" t="s">
        <v>1120</v>
      </c>
      <c r="B1054">
        <v>42</v>
      </c>
      <c r="C1054" s="19" t="s">
        <v>802</v>
      </c>
      <c r="D1054" s="19" t="s">
        <v>55</v>
      </c>
      <c r="E1054" s="19" t="s">
        <v>66</v>
      </c>
      <c r="F1054">
        <v>926</v>
      </c>
      <c r="G1054" s="19" t="s">
        <v>735</v>
      </c>
      <c r="H1054">
        <v>21</v>
      </c>
      <c r="I1054">
        <v>2</v>
      </c>
      <c r="J1054" s="19" t="s">
        <v>58</v>
      </c>
      <c r="K1054">
        <v>270</v>
      </c>
      <c r="L1054">
        <v>3</v>
      </c>
      <c r="M1054" s="19" t="s">
        <v>59</v>
      </c>
      <c r="N1054">
        <v>3</v>
      </c>
      <c r="O1054">
        <v>2</v>
      </c>
      <c r="P1054" s="19" t="s">
        <v>120</v>
      </c>
      <c r="Q1054">
        <v>3</v>
      </c>
      <c r="R1054" s="19" t="s">
        <v>53</v>
      </c>
      <c r="S1054">
        <v>83180</v>
      </c>
      <c r="T1054" s="19" t="s">
        <v>64</v>
      </c>
      <c r="U1054">
        <v>519.88</v>
      </c>
      <c r="V1054">
        <v>2</v>
      </c>
      <c r="W1054" s="19" t="s">
        <v>55</v>
      </c>
      <c r="X1054">
        <v>16</v>
      </c>
      <c r="Y1054">
        <v>3</v>
      </c>
      <c r="Z1054">
        <v>2</v>
      </c>
      <c r="AA1054">
        <v>1</v>
      </c>
      <c r="AB1054">
        <v>11</v>
      </c>
      <c r="AC1054">
        <v>5</v>
      </c>
      <c r="AD1054">
        <v>3</v>
      </c>
      <c r="AE1054">
        <v>5</v>
      </c>
      <c r="AF1054">
        <v>3</v>
      </c>
      <c r="AG1054">
        <v>0</v>
      </c>
      <c r="AH1054">
        <v>2</v>
      </c>
      <c r="AI1054">
        <v>0</v>
      </c>
      <c r="AJ1054" s="19" t="s">
        <v>1567</v>
      </c>
      <c r="AK1054" s="19" t="s">
        <v>1562</v>
      </c>
      <c r="AL1054">
        <v>0</v>
      </c>
      <c r="AM1054" s="19" t="s">
        <v>1563</v>
      </c>
      <c r="AN1054">
        <v>0.87785009058902419</v>
      </c>
      <c r="AO1054">
        <v>998160</v>
      </c>
    </row>
    <row r="1055" spans="1:41" x14ac:dyDescent="0.3">
      <c r="A1055" s="19" t="s">
        <v>1121</v>
      </c>
      <c r="B1055">
        <v>42</v>
      </c>
      <c r="C1055" s="19" t="s">
        <v>802</v>
      </c>
      <c r="D1055" s="19" t="s">
        <v>55</v>
      </c>
      <c r="E1055" s="19" t="s">
        <v>48</v>
      </c>
      <c r="F1055">
        <v>532</v>
      </c>
      <c r="G1055" s="19" t="s">
        <v>735</v>
      </c>
      <c r="H1055">
        <v>4</v>
      </c>
      <c r="I1055">
        <v>2</v>
      </c>
      <c r="J1055" s="19" t="s">
        <v>77</v>
      </c>
      <c r="K1055">
        <v>319</v>
      </c>
      <c r="L1055">
        <v>3</v>
      </c>
      <c r="M1055" s="19" t="s">
        <v>51</v>
      </c>
      <c r="N1055">
        <v>3</v>
      </c>
      <c r="O1055">
        <v>5</v>
      </c>
      <c r="P1055" s="19" t="s">
        <v>444</v>
      </c>
      <c r="Q1055">
        <v>4</v>
      </c>
      <c r="R1055" s="19" t="s">
        <v>113</v>
      </c>
      <c r="S1055">
        <v>88958</v>
      </c>
      <c r="T1055" s="19" t="s">
        <v>70</v>
      </c>
      <c r="U1055">
        <v>555.99</v>
      </c>
      <c r="V1055">
        <v>1</v>
      </c>
      <c r="W1055" s="19" t="s">
        <v>55</v>
      </c>
      <c r="X1055">
        <v>11</v>
      </c>
      <c r="Y1055">
        <v>3</v>
      </c>
      <c r="Z1055">
        <v>4</v>
      </c>
      <c r="AA1055">
        <v>0</v>
      </c>
      <c r="AB1055">
        <v>22</v>
      </c>
      <c r="AC1055">
        <v>3</v>
      </c>
      <c r="AD1055">
        <v>3</v>
      </c>
      <c r="AE1055">
        <v>22</v>
      </c>
      <c r="AF1055">
        <v>17</v>
      </c>
      <c r="AG1055">
        <v>11</v>
      </c>
      <c r="AH1055">
        <v>15</v>
      </c>
      <c r="AI1055">
        <v>0</v>
      </c>
      <c r="AJ1055" s="19" t="s">
        <v>1571</v>
      </c>
      <c r="AK1055" s="19" t="s">
        <v>1570</v>
      </c>
      <c r="AL1055">
        <v>1</v>
      </c>
      <c r="AM1055" s="19" t="s">
        <v>1565</v>
      </c>
      <c r="AN1055">
        <v>0.70423129888502145</v>
      </c>
      <c r="AO1055">
        <v>1067496</v>
      </c>
    </row>
    <row r="1056" spans="1:41" x14ac:dyDescent="0.3">
      <c r="A1056" s="19" t="s">
        <v>1122</v>
      </c>
      <c r="B1056">
        <v>42</v>
      </c>
      <c r="C1056" s="19" t="s">
        <v>802</v>
      </c>
      <c r="D1056" s="19" t="s">
        <v>55</v>
      </c>
      <c r="E1056" s="19" t="s">
        <v>48</v>
      </c>
      <c r="F1056">
        <v>916</v>
      </c>
      <c r="G1056" s="19" t="s">
        <v>735</v>
      </c>
      <c r="H1056">
        <v>17</v>
      </c>
      <c r="I1056">
        <v>2</v>
      </c>
      <c r="J1056" s="19" t="s">
        <v>50</v>
      </c>
      <c r="K1056">
        <v>347</v>
      </c>
      <c r="L1056">
        <v>4</v>
      </c>
      <c r="M1056" s="19" t="s">
        <v>59</v>
      </c>
      <c r="N1056">
        <v>4</v>
      </c>
      <c r="O1056">
        <v>2</v>
      </c>
      <c r="P1056" s="19" t="s">
        <v>67</v>
      </c>
      <c r="Q1056">
        <v>1</v>
      </c>
      <c r="R1056" s="19" t="s">
        <v>53</v>
      </c>
      <c r="S1056">
        <v>10865</v>
      </c>
      <c r="T1056" s="19" t="s">
        <v>54</v>
      </c>
      <c r="U1056">
        <v>67.91</v>
      </c>
      <c r="V1056">
        <v>3</v>
      </c>
      <c r="W1056" s="19" t="s">
        <v>47</v>
      </c>
      <c r="X1056">
        <v>13</v>
      </c>
      <c r="Y1056">
        <v>3</v>
      </c>
      <c r="Z1056">
        <v>3</v>
      </c>
      <c r="AA1056">
        <v>0</v>
      </c>
      <c r="AB1056">
        <v>10</v>
      </c>
      <c r="AC1056">
        <v>1</v>
      </c>
      <c r="AD1056">
        <v>3</v>
      </c>
      <c r="AE1056">
        <v>3</v>
      </c>
      <c r="AF1056">
        <v>2</v>
      </c>
      <c r="AG1056">
        <v>0</v>
      </c>
      <c r="AH1056">
        <v>2</v>
      </c>
      <c r="AI1056">
        <v>0</v>
      </c>
      <c r="AJ1056" s="19" t="s">
        <v>1566</v>
      </c>
      <c r="AK1056" s="19" t="s">
        <v>1562</v>
      </c>
      <c r="AL1056">
        <v>2</v>
      </c>
      <c r="AM1056" s="19" t="s">
        <v>1564</v>
      </c>
      <c r="AN1056">
        <v>-0.78211651844721652</v>
      </c>
      <c r="AO1056">
        <v>130380</v>
      </c>
    </row>
    <row r="1057" spans="1:41" x14ac:dyDescent="0.3">
      <c r="A1057" s="19" t="s">
        <v>1123</v>
      </c>
      <c r="B1057">
        <v>42</v>
      </c>
      <c r="C1057" s="19" t="s">
        <v>802</v>
      </c>
      <c r="D1057" s="19" t="s">
        <v>55</v>
      </c>
      <c r="E1057" s="19" t="s">
        <v>48</v>
      </c>
      <c r="F1057">
        <v>269</v>
      </c>
      <c r="G1057" s="19" t="s">
        <v>735</v>
      </c>
      <c r="H1057">
        <v>2</v>
      </c>
      <c r="I1057">
        <v>3</v>
      </c>
      <c r="J1057" s="19" t="s">
        <v>58</v>
      </c>
      <c r="K1057">
        <v>351</v>
      </c>
      <c r="L1057">
        <v>4</v>
      </c>
      <c r="M1057" s="19" t="s">
        <v>59</v>
      </c>
      <c r="N1057">
        <v>2</v>
      </c>
      <c r="O1057">
        <v>1</v>
      </c>
      <c r="P1057" s="19" t="s">
        <v>52</v>
      </c>
      <c r="Q1057">
        <v>1</v>
      </c>
      <c r="R1057" s="19" t="s">
        <v>113</v>
      </c>
      <c r="S1057">
        <v>3219</v>
      </c>
      <c r="T1057" s="19" t="s">
        <v>54</v>
      </c>
      <c r="U1057">
        <v>20.12</v>
      </c>
      <c r="V1057">
        <v>0</v>
      </c>
      <c r="W1057" s="19" t="s">
        <v>47</v>
      </c>
      <c r="X1057">
        <v>11</v>
      </c>
      <c r="Y1057">
        <v>3</v>
      </c>
      <c r="Z1057">
        <v>3</v>
      </c>
      <c r="AA1057">
        <v>1</v>
      </c>
      <c r="AB1057">
        <v>10</v>
      </c>
      <c r="AC1057">
        <v>4</v>
      </c>
      <c r="AD1057">
        <v>3</v>
      </c>
      <c r="AE1057">
        <v>9</v>
      </c>
      <c r="AF1057">
        <v>6</v>
      </c>
      <c r="AG1057">
        <v>7</v>
      </c>
      <c r="AH1057">
        <v>6</v>
      </c>
      <c r="AI1057">
        <v>0</v>
      </c>
      <c r="AJ1057" s="19" t="s">
        <v>1569</v>
      </c>
      <c r="AK1057" s="19" t="s">
        <v>1570</v>
      </c>
      <c r="AL1057">
        <v>3</v>
      </c>
      <c r="AM1057" s="19" t="s">
        <v>1568</v>
      </c>
      <c r="AN1057">
        <v>-0.93776174104475074</v>
      </c>
      <c r="AO1057">
        <v>38628</v>
      </c>
    </row>
    <row r="1058" spans="1:41" x14ac:dyDescent="0.3">
      <c r="A1058" s="19" t="s">
        <v>1124</v>
      </c>
      <c r="B1058">
        <v>42</v>
      </c>
      <c r="C1058" s="19" t="s">
        <v>802</v>
      </c>
      <c r="D1058" s="19" t="s">
        <v>55</v>
      </c>
      <c r="E1058" s="19" t="s">
        <v>48</v>
      </c>
      <c r="F1058">
        <v>635</v>
      </c>
      <c r="G1058" s="19" t="s">
        <v>932</v>
      </c>
      <c r="H1058">
        <v>1</v>
      </c>
      <c r="I1058">
        <v>1</v>
      </c>
      <c r="J1058" s="19" t="s">
        <v>50</v>
      </c>
      <c r="K1058">
        <v>387</v>
      </c>
      <c r="L1058">
        <v>2</v>
      </c>
      <c r="M1058" s="19" t="s">
        <v>51</v>
      </c>
      <c r="N1058">
        <v>3</v>
      </c>
      <c r="O1058">
        <v>2</v>
      </c>
      <c r="P1058" s="19" t="s">
        <v>145</v>
      </c>
      <c r="Q1058">
        <v>3</v>
      </c>
      <c r="R1058" s="19" t="s">
        <v>113</v>
      </c>
      <c r="S1058">
        <v>40809</v>
      </c>
      <c r="T1058" s="19" t="s">
        <v>72</v>
      </c>
      <c r="U1058">
        <v>255.06</v>
      </c>
      <c r="V1058">
        <v>1</v>
      </c>
      <c r="W1058" s="19" t="s">
        <v>55</v>
      </c>
      <c r="X1058">
        <v>25</v>
      </c>
      <c r="Y1058">
        <v>4</v>
      </c>
      <c r="Z1058">
        <v>3</v>
      </c>
      <c r="AA1058">
        <v>0</v>
      </c>
      <c r="AB1058">
        <v>20</v>
      </c>
      <c r="AC1058">
        <v>3</v>
      </c>
      <c r="AD1058">
        <v>3</v>
      </c>
      <c r="AE1058">
        <v>20</v>
      </c>
      <c r="AF1058">
        <v>16</v>
      </c>
      <c r="AG1058">
        <v>11</v>
      </c>
      <c r="AH1058">
        <v>6</v>
      </c>
      <c r="AI1058">
        <v>0</v>
      </c>
      <c r="AJ1058" s="19" t="s">
        <v>1571</v>
      </c>
      <c r="AK1058" s="19" t="s">
        <v>1570</v>
      </c>
      <c r="AL1058">
        <v>1</v>
      </c>
      <c r="AM1058" s="19" t="s">
        <v>1565</v>
      </c>
      <c r="AN1058">
        <v>-0.16814739116405433</v>
      </c>
      <c r="AO1058">
        <v>489708</v>
      </c>
    </row>
    <row r="1059" spans="1:41" x14ac:dyDescent="0.3">
      <c r="A1059" s="19" t="s">
        <v>1125</v>
      </c>
      <c r="B1059">
        <v>42</v>
      </c>
      <c r="C1059" s="19" t="s">
        <v>802</v>
      </c>
      <c r="D1059" s="19" t="s">
        <v>55</v>
      </c>
      <c r="E1059" s="19" t="s">
        <v>62</v>
      </c>
      <c r="F1059">
        <v>555</v>
      </c>
      <c r="G1059" s="19" t="s">
        <v>932</v>
      </c>
      <c r="H1059">
        <v>26</v>
      </c>
      <c r="I1059">
        <v>3</v>
      </c>
      <c r="J1059" s="19" t="s">
        <v>63</v>
      </c>
      <c r="K1059">
        <v>404</v>
      </c>
      <c r="L1059">
        <v>3</v>
      </c>
      <c r="M1059" s="19" t="s">
        <v>59</v>
      </c>
      <c r="N1059">
        <v>3</v>
      </c>
      <c r="O1059">
        <v>4</v>
      </c>
      <c r="P1059" s="19" t="s">
        <v>145</v>
      </c>
      <c r="Q1059">
        <v>2</v>
      </c>
      <c r="R1059" s="19" t="s">
        <v>113</v>
      </c>
      <c r="S1059">
        <v>6287</v>
      </c>
      <c r="T1059" s="19" t="s">
        <v>54</v>
      </c>
      <c r="U1059">
        <v>39.29</v>
      </c>
      <c r="V1059">
        <v>5</v>
      </c>
      <c r="W1059" s="19" t="s">
        <v>55</v>
      </c>
      <c r="X1059">
        <v>14</v>
      </c>
      <c r="Y1059">
        <v>3</v>
      </c>
      <c r="Z1059">
        <v>4</v>
      </c>
      <c r="AA1059">
        <v>1</v>
      </c>
      <c r="AB1059">
        <v>23</v>
      </c>
      <c r="AC1059">
        <v>2</v>
      </c>
      <c r="AD1059">
        <v>4</v>
      </c>
      <c r="AE1059">
        <v>20</v>
      </c>
      <c r="AF1059">
        <v>4</v>
      </c>
      <c r="AG1059">
        <v>4</v>
      </c>
      <c r="AH1059">
        <v>8</v>
      </c>
      <c r="AI1059">
        <v>0</v>
      </c>
      <c r="AJ1059" s="19" t="s">
        <v>1571</v>
      </c>
      <c r="AK1059" s="19" t="s">
        <v>1570</v>
      </c>
      <c r="AL1059">
        <v>2</v>
      </c>
      <c r="AM1059" s="19" t="s">
        <v>1564</v>
      </c>
      <c r="AN1059">
        <v>-0.87184549114774701</v>
      </c>
      <c r="AO1059">
        <v>75444</v>
      </c>
    </row>
    <row r="1060" spans="1:41" x14ac:dyDescent="0.3">
      <c r="A1060" s="19" t="s">
        <v>1126</v>
      </c>
      <c r="B1060">
        <v>42</v>
      </c>
      <c r="C1060" s="19" t="s">
        <v>802</v>
      </c>
      <c r="D1060" s="19" t="s">
        <v>55</v>
      </c>
      <c r="E1060" s="19" t="s">
        <v>48</v>
      </c>
      <c r="F1060">
        <v>810</v>
      </c>
      <c r="G1060" s="19" t="s">
        <v>735</v>
      </c>
      <c r="H1060">
        <v>23</v>
      </c>
      <c r="I1060">
        <v>5</v>
      </c>
      <c r="J1060" s="19" t="s">
        <v>50</v>
      </c>
      <c r="K1060">
        <v>468</v>
      </c>
      <c r="L1060">
        <v>1</v>
      </c>
      <c r="M1060" s="19" t="s">
        <v>59</v>
      </c>
      <c r="N1060">
        <v>3</v>
      </c>
      <c r="O1060">
        <v>4</v>
      </c>
      <c r="P1060" s="19" t="s">
        <v>257</v>
      </c>
      <c r="Q1060">
        <v>4</v>
      </c>
      <c r="R1060" s="19" t="s">
        <v>53</v>
      </c>
      <c r="S1060">
        <v>35387</v>
      </c>
      <c r="T1060" s="19" t="s">
        <v>72</v>
      </c>
      <c r="U1060">
        <v>221.17</v>
      </c>
      <c r="V1060">
        <v>2</v>
      </c>
      <c r="W1060" s="19" t="s">
        <v>55</v>
      </c>
      <c r="X1060">
        <v>14</v>
      </c>
      <c r="Y1060">
        <v>3</v>
      </c>
      <c r="Z1060">
        <v>2</v>
      </c>
      <c r="AA1060">
        <v>0</v>
      </c>
      <c r="AB1060">
        <v>16</v>
      </c>
      <c r="AC1060">
        <v>2</v>
      </c>
      <c r="AD1060">
        <v>3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 s="19" t="s">
        <v>1561</v>
      </c>
      <c r="AK1060" s="19" t="s">
        <v>1562</v>
      </c>
      <c r="AL1060">
        <v>0</v>
      </c>
      <c r="AM1060" s="19" t="s">
        <v>1563</v>
      </c>
      <c r="AN1060">
        <v>-0.30152285466288808</v>
      </c>
      <c r="AO1060">
        <v>424644</v>
      </c>
    </row>
    <row r="1061" spans="1:41" x14ac:dyDescent="0.3">
      <c r="A1061" s="19" t="s">
        <v>1127</v>
      </c>
      <c r="B1061">
        <v>42</v>
      </c>
      <c r="C1061" s="19" t="s">
        <v>802</v>
      </c>
      <c r="D1061" s="19" t="s">
        <v>55</v>
      </c>
      <c r="E1061" s="19" t="s">
        <v>48</v>
      </c>
      <c r="F1061">
        <v>544</v>
      </c>
      <c r="G1061" s="19" t="s">
        <v>406</v>
      </c>
      <c r="H1061">
        <v>2</v>
      </c>
      <c r="I1061">
        <v>1</v>
      </c>
      <c r="J1061" s="19" t="s">
        <v>77</v>
      </c>
      <c r="K1061">
        <v>470</v>
      </c>
      <c r="L1061">
        <v>3</v>
      </c>
      <c r="M1061" s="19" t="s">
        <v>51</v>
      </c>
      <c r="N1061">
        <v>3</v>
      </c>
      <c r="O1061">
        <v>1</v>
      </c>
      <c r="P1061" s="19" t="s">
        <v>80</v>
      </c>
      <c r="Q1061">
        <v>3</v>
      </c>
      <c r="R1061" s="19" t="s">
        <v>113</v>
      </c>
      <c r="S1061">
        <v>9512</v>
      </c>
      <c r="T1061" s="19" t="s">
        <v>54</v>
      </c>
      <c r="U1061">
        <v>59.45</v>
      </c>
      <c r="V1061">
        <v>0</v>
      </c>
      <c r="W1061" s="19" t="s">
        <v>47</v>
      </c>
      <c r="X1061">
        <v>11</v>
      </c>
      <c r="Y1061">
        <v>3</v>
      </c>
      <c r="Z1061">
        <v>3</v>
      </c>
      <c r="AA1061">
        <v>1</v>
      </c>
      <c r="AB1061">
        <v>4</v>
      </c>
      <c r="AC1061">
        <v>5</v>
      </c>
      <c r="AD1061">
        <v>3</v>
      </c>
      <c r="AE1061">
        <v>3</v>
      </c>
      <c r="AF1061">
        <v>2</v>
      </c>
      <c r="AG1061">
        <v>1</v>
      </c>
      <c r="AH1061">
        <v>0</v>
      </c>
      <c r="AI1061">
        <v>0</v>
      </c>
      <c r="AJ1061" s="19" t="s">
        <v>1566</v>
      </c>
      <c r="AK1061" s="19" t="s">
        <v>1562</v>
      </c>
      <c r="AL1061">
        <v>1</v>
      </c>
      <c r="AM1061" s="19" t="s">
        <v>1565</v>
      </c>
      <c r="AN1061">
        <v>-0.8125494089870352</v>
      </c>
      <c r="AO1061">
        <v>114144</v>
      </c>
    </row>
    <row r="1062" spans="1:41" x14ac:dyDescent="0.3">
      <c r="A1062" s="19" t="s">
        <v>1128</v>
      </c>
      <c r="B1062">
        <v>42</v>
      </c>
      <c r="C1062" s="19" t="s">
        <v>802</v>
      </c>
      <c r="D1062" s="19" t="s">
        <v>55</v>
      </c>
      <c r="E1062" s="19" t="s">
        <v>48</v>
      </c>
      <c r="F1062">
        <v>1332</v>
      </c>
      <c r="G1062" s="19" t="s">
        <v>735</v>
      </c>
      <c r="H1062">
        <v>2</v>
      </c>
      <c r="I1062">
        <v>4</v>
      </c>
      <c r="J1062" s="19" t="s">
        <v>82</v>
      </c>
      <c r="K1062">
        <v>477</v>
      </c>
      <c r="L1062">
        <v>1</v>
      </c>
      <c r="M1062" s="19" t="s">
        <v>51</v>
      </c>
      <c r="N1062">
        <v>2</v>
      </c>
      <c r="O1062">
        <v>2</v>
      </c>
      <c r="P1062" s="19" t="s">
        <v>168</v>
      </c>
      <c r="Q1062">
        <v>4</v>
      </c>
      <c r="R1062" s="19" t="s">
        <v>53</v>
      </c>
      <c r="S1062">
        <v>2342</v>
      </c>
      <c r="T1062" s="19" t="s">
        <v>54</v>
      </c>
      <c r="U1062">
        <v>14.64</v>
      </c>
      <c r="V1062">
        <v>3</v>
      </c>
      <c r="W1062" s="19" t="s">
        <v>55</v>
      </c>
      <c r="X1062">
        <v>23</v>
      </c>
      <c r="Y1062">
        <v>4</v>
      </c>
      <c r="Z1062">
        <v>2</v>
      </c>
      <c r="AA1062">
        <v>0</v>
      </c>
      <c r="AB1062">
        <v>14</v>
      </c>
      <c r="AC1062">
        <v>6</v>
      </c>
      <c r="AD1062">
        <v>3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 s="19" t="s">
        <v>1561</v>
      </c>
      <c r="AK1062" s="19" t="s">
        <v>1562</v>
      </c>
      <c r="AL1062">
        <v>0</v>
      </c>
      <c r="AM1062" s="19" t="s">
        <v>1563</v>
      </c>
      <c r="AN1062">
        <v>-0.95139984110232301</v>
      </c>
      <c r="AO1062">
        <v>28104</v>
      </c>
    </row>
    <row r="1063" spans="1:41" x14ac:dyDescent="0.3">
      <c r="A1063" s="19" t="s">
        <v>1129</v>
      </c>
      <c r="B1063">
        <v>42</v>
      </c>
      <c r="C1063" s="19" t="s">
        <v>802</v>
      </c>
      <c r="D1063" s="19" t="s">
        <v>55</v>
      </c>
      <c r="E1063" s="19" t="s">
        <v>48</v>
      </c>
      <c r="F1063">
        <v>201</v>
      </c>
      <c r="G1063" s="19" t="s">
        <v>735</v>
      </c>
      <c r="H1063">
        <v>1</v>
      </c>
      <c r="I1063">
        <v>4</v>
      </c>
      <c r="J1063" s="19" t="s">
        <v>50</v>
      </c>
      <c r="K1063">
        <v>517</v>
      </c>
      <c r="L1063">
        <v>2</v>
      </c>
      <c r="M1063" s="19" t="s">
        <v>59</v>
      </c>
      <c r="N1063">
        <v>3</v>
      </c>
      <c r="O1063">
        <v>1</v>
      </c>
      <c r="P1063" s="19" t="s">
        <v>52</v>
      </c>
      <c r="Q1063">
        <v>1</v>
      </c>
      <c r="R1063" s="19" t="s">
        <v>113</v>
      </c>
      <c r="S1063">
        <v>64076</v>
      </c>
      <c r="T1063" s="19" t="s">
        <v>64</v>
      </c>
      <c r="U1063">
        <v>400.48</v>
      </c>
      <c r="V1063">
        <v>3</v>
      </c>
      <c r="W1063" s="19" t="s">
        <v>55</v>
      </c>
      <c r="X1063">
        <v>16</v>
      </c>
      <c r="Y1063">
        <v>3</v>
      </c>
      <c r="Z1063">
        <v>2</v>
      </c>
      <c r="AA1063">
        <v>1</v>
      </c>
      <c r="AB1063">
        <v>8</v>
      </c>
      <c r="AC1063">
        <v>5</v>
      </c>
      <c r="AD1063">
        <v>3</v>
      </c>
      <c r="AE1063">
        <v>5</v>
      </c>
      <c r="AF1063">
        <v>2</v>
      </c>
      <c r="AG1063">
        <v>1</v>
      </c>
      <c r="AH1063">
        <v>2</v>
      </c>
      <c r="AI1063">
        <v>0</v>
      </c>
      <c r="AJ1063" s="19" t="s">
        <v>1567</v>
      </c>
      <c r="AK1063" s="19" t="s">
        <v>1562</v>
      </c>
      <c r="AL1063">
        <v>1</v>
      </c>
      <c r="AM1063" s="19" t="s">
        <v>1565</v>
      </c>
      <c r="AN1063">
        <v>0.23888744355903999</v>
      </c>
      <c r="AO1063">
        <v>768912</v>
      </c>
    </row>
    <row r="1064" spans="1:41" x14ac:dyDescent="0.3">
      <c r="A1064" s="19" t="s">
        <v>1130</v>
      </c>
      <c r="B1064">
        <v>42</v>
      </c>
      <c r="C1064" s="19" t="s">
        <v>802</v>
      </c>
      <c r="D1064" s="19" t="s">
        <v>55</v>
      </c>
      <c r="E1064" s="19" t="s">
        <v>62</v>
      </c>
      <c r="F1064">
        <v>532</v>
      </c>
      <c r="G1064" s="19" t="s">
        <v>735</v>
      </c>
      <c r="H1064">
        <v>29</v>
      </c>
      <c r="I1064">
        <v>2</v>
      </c>
      <c r="J1064" s="19" t="s">
        <v>50</v>
      </c>
      <c r="K1064">
        <v>547</v>
      </c>
      <c r="L1064">
        <v>1</v>
      </c>
      <c r="M1064" s="19" t="s">
        <v>59</v>
      </c>
      <c r="N1064">
        <v>3</v>
      </c>
      <c r="O1064">
        <v>2</v>
      </c>
      <c r="P1064" s="19" t="s">
        <v>67</v>
      </c>
      <c r="Q1064">
        <v>3</v>
      </c>
      <c r="R1064" s="19" t="s">
        <v>53</v>
      </c>
      <c r="S1064">
        <v>20216</v>
      </c>
      <c r="T1064" s="19" t="s">
        <v>54</v>
      </c>
      <c r="U1064">
        <v>126.35</v>
      </c>
      <c r="V1064">
        <v>2</v>
      </c>
      <c r="W1064" s="19" t="s">
        <v>55</v>
      </c>
      <c r="X1064">
        <v>11</v>
      </c>
      <c r="Y1064">
        <v>3</v>
      </c>
      <c r="Z1064">
        <v>2</v>
      </c>
      <c r="AA1064">
        <v>1</v>
      </c>
      <c r="AB1064">
        <v>19</v>
      </c>
      <c r="AC1064">
        <v>3</v>
      </c>
      <c r="AD1064">
        <v>3</v>
      </c>
      <c r="AE1064">
        <v>5</v>
      </c>
      <c r="AF1064">
        <v>4</v>
      </c>
      <c r="AG1064">
        <v>0</v>
      </c>
      <c r="AH1064">
        <v>4</v>
      </c>
      <c r="AI1064">
        <v>0</v>
      </c>
      <c r="AJ1064" s="19" t="s">
        <v>1567</v>
      </c>
      <c r="AK1064" s="19" t="s">
        <v>1562</v>
      </c>
      <c r="AL1064">
        <v>0</v>
      </c>
      <c r="AM1064" s="19" t="s">
        <v>1563</v>
      </c>
      <c r="AN1064">
        <v>-0.59459434302153047</v>
      </c>
      <c r="AO1064">
        <v>242592</v>
      </c>
    </row>
    <row r="1065" spans="1:41" x14ac:dyDescent="0.3">
      <c r="A1065" s="19" t="s">
        <v>1131</v>
      </c>
      <c r="B1065">
        <v>42</v>
      </c>
      <c r="C1065" s="19" t="s">
        <v>802</v>
      </c>
      <c r="D1065" s="19" t="s">
        <v>55</v>
      </c>
      <c r="E1065" s="19" t="s">
        <v>62</v>
      </c>
      <c r="F1065">
        <v>1368</v>
      </c>
      <c r="G1065" s="19" t="s">
        <v>735</v>
      </c>
      <c r="H1065">
        <v>28</v>
      </c>
      <c r="I1065">
        <v>4</v>
      </c>
      <c r="J1065" s="19" t="s">
        <v>77</v>
      </c>
      <c r="K1065">
        <v>551</v>
      </c>
      <c r="L1065">
        <v>4</v>
      </c>
      <c r="M1065" s="19" t="s">
        <v>59</v>
      </c>
      <c r="N1065">
        <v>2</v>
      </c>
      <c r="O1065">
        <v>2</v>
      </c>
      <c r="P1065" s="19" t="s">
        <v>168</v>
      </c>
      <c r="Q1065">
        <v>4</v>
      </c>
      <c r="R1065" s="19" t="s">
        <v>113</v>
      </c>
      <c r="S1065">
        <v>94070</v>
      </c>
      <c r="T1065" s="19" t="s">
        <v>70</v>
      </c>
      <c r="U1065">
        <v>587.94000000000005</v>
      </c>
      <c r="V1065">
        <v>0</v>
      </c>
      <c r="W1065" s="19" t="s">
        <v>55</v>
      </c>
      <c r="X1065">
        <v>11</v>
      </c>
      <c r="Y1065">
        <v>3</v>
      </c>
      <c r="Z1065">
        <v>4</v>
      </c>
      <c r="AA1065">
        <v>3</v>
      </c>
      <c r="AB1065">
        <v>7</v>
      </c>
      <c r="AC1065">
        <v>4</v>
      </c>
      <c r="AD1065">
        <v>4</v>
      </c>
      <c r="AE1065">
        <v>6</v>
      </c>
      <c r="AF1065">
        <v>5</v>
      </c>
      <c r="AG1065">
        <v>0</v>
      </c>
      <c r="AH1065">
        <v>4</v>
      </c>
      <c r="AI1065">
        <v>0</v>
      </c>
      <c r="AJ1065" s="19" t="s">
        <v>1569</v>
      </c>
      <c r="AK1065" s="19" t="s">
        <v>1562</v>
      </c>
      <c r="AL1065">
        <v>0</v>
      </c>
      <c r="AM1065" s="19" t="s">
        <v>1563</v>
      </c>
      <c r="AN1065">
        <v>0.95209946520259459</v>
      </c>
      <c r="AO1065">
        <v>1128840</v>
      </c>
    </row>
    <row r="1066" spans="1:41" x14ac:dyDescent="0.3">
      <c r="A1066" s="19" t="s">
        <v>1132</v>
      </c>
      <c r="B1066">
        <v>42</v>
      </c>
      <c r="C1066" s="19" t="s">
        <v>802</v>
      </c>
      <c r="D1066" s="19" t="s">
        <v>55</v>
      </c>
      <c r="E1066" s="19" t="s">
        <v>62</v>
      </c>
      <c r="F1066">
        <v>1474</v>
      </c>
      <c r="G1066" s="19" t="s">
        <v>735</v>
      </c>
      <c r="H1066">
        <v>5</v>
      </c>
      <c r="I1066">
        <v>2</v>
      </c>
      <c r="J1066" s="19" t="s">
        <v>82</v>
      </c>
      <c r="K1066">
        <v>591</v>
      </c>
      <c r="L1066">
        <v>2</v>
      </c>
      <c r="M1066" s="19" t="s">
        <v>51</v>
      </c>
      <c r="N1066">
        <v>3</v>
      </c>
      <c r="O1066">
        <v>1</v>
      </c>
      <c r="P1066" s="19" t="s">
        <v>52</v>
      </c>
      <c r="Q1066">
        <v>3</v>
      </c>
      <c r="R1066" s="19" t="s">
        <v>113</v>
      </c>
      <c r="S1066">
        <v>80767</v>
      </c>
      <c r="T1066" s="19" t="s">
        <v>64</v>
      </c>
      <c r="U1066">
        <v>504.79</v>
      </c>
      <c r="V1066">
        <v>4</v>
      </c>
      <c r="W1066" s="19" t="s">
        <v>55</v>
      </c>
      <c r="X1066">
        <v>17</v>
      </c>
      <c r="Y1066">
        <v>3</v>
      </c>
      <c r="Z1066">
        <v>4</v>
      </c>
      <c r="AA1066">
        <v>1</v>
      </c>
      <c r="AB1066">
        <v>8</v>
      </c>
      <c r="AC1066">
        <v>4</v>
      </c>
      <c r="AD1066">
        <v>3</v>
      </c>
      <c r="AE1066">
        <v>2</v>
      </c>
      <c r="AF1066">
        <v>2</v>
      </c>
      <c r="AG1066">
        <v>2</v>
      </c>
      <c r="AH1066">
        <v>0</v>
      </c>
      <c r="AI1066">
        <v>0</v>
      </c>
      <c r="AJ1066" s="19" t="s">
        <v>1566</v>
      </c>
      <c r="AK1066" s="19" t="s">
        <v>1562</v>
      </c>
      <c r="AL1066">
        <v>0</v>
      </c>
      <c r="AM1066" s="19" t="s">
        <v>1563</v>
      </c>
      <c r="AN1066">
        <v>0.56160219355036178</v>
      </c>
      <c r="AO1066">
        <v>969204</v>
      </c>
    </row>
    <row r="1067" spans="1:41" x14ac:dyDescent="0.3">
      <c r="A1067" s="19" t="s">
        <v>1133</v>
      </c>
      <c r="B1067">
        <v>42</v>
      </c>
      <c r="C1067" s="19" t="s">
        <v>802</v>
      </c>
      <c r="D1067" s="19" t="s">
        <v>55</v>
      </c>
      <c r="E1067" s="19" t="s">
        <v>48</v>
      </c>
      <c r="F1067">
        <v>319</v>
      </c>
      <c r="G1067" s="19" t="s">
        <v>735</v>
      </c>
      <c r="H1067">
        <v>24</v>
      </c>
      <c r="I1067">
        <v>3</v>
      </c>
      <c r="J1067" s="19" t="s">
        <v>58</v>
      </c>
      <c r="K1067">
        <v>605</v>
      </c>
      <c r="L1067">
        <v>4</v>
      </c>
      <c r="M1067" s="19" t="s">
        <v>51</v>
      </c>
      <c r="N1067">
        <v>3</v>
      </c>
      <c r="O1067">
        <v>3</v>
      </c>
      <c r="P1067" s="19" t="s">
        <v>120</v>
      </c>
      <c r="Q1067">
        <v>1</v>
      </c>
      <c r="R1067" s="19" t="s">
        <v>113</v>
      </c>
      <c r="S1067">
        <v>98829</v>
      </c>
      <c r="T1067" s="19" t="s">
        <v>70</v>
      </c>
      <c r="U1067">
        <v>617.67999999999995</v>
      </c>
      <c r="V1067">
        <v>1</v>
      </c>
      <c r="W1067" s="19" t="s">
        <v>47</v>
      </c>
      <c r="X1067">
        <v>21</v>
      </c>
      <c r="Y1067">
        <v>4</v>
      </c>
      <c r="Z1067">
        <v>4</v>
      </c>
      <c r="AA1067">
        <v>1</v>
      </c>
      <c r="AB1067">
        <v>10</v>
      </c>
      <c r="AC1067">
        <v>5</v>
      </c>
      <c r="AD1067">
        <v>2</v>
      </c>
      <c r="AE1067">
        <v>10</v>
      </c>
      <c r="AF1067">
        <v>9</v>
      </c>
      <c r="AG1067">
        <v>5</v>
      </c>
      <c r="AH1067">
        <v>8</v>
      </c>
      <c r="AI1067">
        <v>0</v>
      </c>
      <c r="AJ1067" s="19" t="s">
        <v>1569</v>
      </c>
      <c r="AK1067" s="19" t="s">
        <v>1570</v>
      </c>
      <c r="AL1067">
        <v>4</v>
      </c>
      <c r="AM1067" s="19" t="s">
        <v>1568</v>
      </c>
      <c r="AN1067">
        <v>1.2311378528831771</v>
      </c>
      <c r="AO1067">
        <v>1185948</v>
      </c>
    </row>
    <row r="1068" spans="1:41" x14ac:dyDescent="0.3">
      <c r="A1068" s="19" t="s">
        <v>1134</v>
      </c>
      <c r="B1068">
        <v>42</v>
      </c>
      <c r="C1068" s="19" t="s">
        <v>802</v>
      </c>
      <c r="D1068" s="19" t="s">
        <v>55</v>
      </c>
      <c r="E1068" s="19" t="s">
        <v>48</v>
      </c>
      <c r="F1068">
        <v>622</v>
      </c>
      <c r="G1068" s="19" t="s">
        <v>735</v>
      </c>
      <c r="H1068">
        <v>2</v>
      </c>
      <c r="I1068">
        <v>4</v>
      </c>
      <c r="J1068" s="19" t="s">
        <v>50</v>
      </c>
      <c r="K1068">
        <v>659</v>
      </c>
      <c r="L1068">
        <v>3</v>
      </c>
      <c r="M1068" s="19" t="s">
        <v>59</v>
      </c>
      <c r="N1068">
        <v>3</v>
      </c>
      <c r="O1068">
        <v>2</v>
      </c>
      <c r="P1068" s="19" t="s">
        <v>168</v>
      </c>
      <c r="Q1068">
        <v>4</v>
      </c>
      <c r="R1068" s="19" t="s">
        <v>113</v>
      </c>
      <c r="S1068">
        <v>27614</v>
      </c>
      <c r="T1068" s="19" t="s">
        <v>72</v>
      </c>
      <c r="U1068">
        <v>172.59</v>
      </c>
      <c r="V1068">
        <v>1</v>
      </c>
      <c r="W1068" s="19" t="s">
        <v>55</v>
      </c>
      <c r="X1068">
        <v>13</v>
      </c>
      <c r="Y1068">
        <v>3</v>
      </c>
      <c r="Z1068">
        <v>2</v>
      </c>
      <c r="AA1068">
        <v>2</v>
      </c>
      <c r="AB1068">
        <v>10</v>
      </c>
      <c r="AC1068">
        <v>4</v>
      </c>
      <c r="AD1068">
        <v>3</v>
      </c>
      <c r="AE1068">
        <v>10</v>
      </c>
      <c r="AF1068">
        <v>2</v>
      </c>
      <c r="AG1068">
        <v>2</v>
      </c>
      <c r="AH1068">
        <v>2</v>
      </c>
      <c r="AI1068">
        <v>0</v>
      </c>
      <c r="AJ1068" s="19" t="s">
        <v>1569</v>
      </c>
      <c r="AK1068" s="19" t="s">
        <v>1562</v>
      </c>
      <c r="AL1068">
        <v>0</v>
      </c>
      <c r="AM1068" s="19" t="s">
        <v>1563</v>
      </c>
      <c r="AN1068">
        <v>-0.42696635875300898</v>
      </c>
      <c r="AO1068">
        <v>331368</v>
      </c>
    </row>
    <row r="1069" spans="1:41" x14ac:dyDescent="0.3">
      <c r="A1069" s="19" t="s">
        <v>1135</v>
      </c>
      <c r="B1069">
        <v>42</v>
      </c>
      <c r="C1069" s="19" t="s">
        <v>802</v>
      </c>
      <c r="D1069" s="19" t="s">
        <v>47</v>
      </c>
      <c r="E1069" s="19" t="s">
        <v>62</v>
      </c>
      <c r="F1069">
        <v>933</v>
      </c>
      <c r="G1069" s="19" t="s">
        <v>735</v>
      </c>
      <c r="H1069">
        <v>19</v>
      </c>
      <c r="I1069">
        <v>3</v>
      </c>
      <c r="J1069" s="19" t="s">
        <v>58</v>
      </c>
      <c r="K1069">
        <v>752</v>
      </c>
      <c r="L1069">
        <v>3</v>
      </c>
      <c r="M1069" s="19" t="s">
        <v>51</v>
      </c>
      <c r="N1069">
        <v>4</v>
      </c>
      <c r="O1069">
        <v>1</v>
      </c>
      <c r="P1069" s="19" t="s">
        <v>67</v>
      </c>
      <c r="Q1069">
        <v>3</v>
      </c>
      <c r="R1069" s="19" t="s">
        <v>53</v>
      </c>
      <c r="S1069">
        <v>37258</v>
      </c>
      <c r="T1069" s="19" t="s">
        <v>72</v>
      </c>
      <c r="U1069">
        <v>232.86</v>
      </c>
      <c r="V1069">
        <v>6</v>
      </c>
      <c r="W1069" s="19" t="s">
        <v>47</v>
      </c>
      <c r="X1069">
        <v>12</v>
      </c>
      <c r="Y1069">
        <v>3</v>
      </c>
      <c r="Z1069">
        <v>4</v>
      </c>
      <c r="AA1069">
        <v>0</v>
      </c>
      <c r="AB1069">
        <v>7</v>
      </c>
      <c r="AC1069">
        <v>2</v>
      </c>
      <c r="AD1069">
        <v>3</v>
      </c>
      <c r="AE1069">
        <v>2</v>
      </c>
      <c r="AF1069">
        <v>2</v>
      </c>
      <c r="AG1069">
        <v>2</v>
      </c>
      <c r="AH1069">
        <v>2</v>
      </c>
      <c r="AI1069">
        <v>1</v>
      </c>
      <c r="AJ1069" s="19" t="s">
        <v>1566</v>
      </c>
      <c r="AK1069" s="19" t="s">
        <v>1562</v>
      </c>
      <c r="AL1069">
        <v>1</v>
      </c>
      <c r="AM1069" s="19" t="s">
        <v>1565</v>
      </c>
      <c r="AN1069">
        <v>-0.25283913891453208</v>
      </c>
      <c r="AO1069">
        <v>447096</v>
      </c>
    </row>
    <row r="1070" spans="1:41" x14ac:dyDescent="0.3">
      <c r="A1070" s="19" t="s">
        <v>1136</v>
      </c>
      <c r="B1070">
        <v>42</v>
      </c>
      <c r="C1070" s="19" t="s">
        <v>802</v>
      </c>
      <c r="D1070" s="19" t="s">
        <v>55</v>
      </c>
      <c r="E1070" s="19" t="s">
        <v>62</v>
      </c>
      <c r="F1070">
        <v>570</v>
      </c>
      <c r="G1070" s="19" t="s">
        <v>735</v>
      </c>
      <c r="H1070">
        <v>8</v>
      </c>
      <c r="I1070">
        <v>3</v>
      </c>
      <c r="J1070" s="19" t="s">
        <v>50</v>
      </c>
      <c r="K1070">
        <v>809</v>
      </c>
      <c r="L1070">
        <v>2</v>
      </c>
      <c r="M1070" s="19" t="s">
        <v>51</v>
      </c>
      <c r="N1070">
        <v>3</v>
      </c>
      <c r="O1070">
        <v>5</v>
      </c>
      <c r="P1070" s="19" t="s">
        <v>444</v>
      </c>
      <c r="Q1070">
        <v>4</v>
      </c>
      <c r="R1070" s="19" t="s">
        <v>53</v>
      </c>
      <c r="S1070">
        <v>94789</v>
      </c>
      <c r="T1070" s="19" t="s">
        <v>70</v>
      </c>
      <c r="U1070">
        <v>592.42999999999995</v>
      </c>
      <c r="V1070">
        <v>1</v>
      </c>
      <c r="W1070" s="19" t="s">
        <v>55</v>
      </c>
      <c r="X1070">
        <v>13</v>
      </c>
      <c r="Y1070">
        <v>3</v>
      </c>
      <c r="Z1070">
        <v>2</v>
      </c>
      <c r="AA1070">
        <v>1</v>
      </c>
      <c r="AB1070">
        <v>24</v>
      </c>
      <c r="AC1070">
        <v>4</v>
      </c>
      <c r="AD1070">
        <v>2</v>
      </c>
      <c r="AE1070">
        <v>24</v>
      </c>
      <c r="AF1070">
        <v>7</v>
      </c>
      <c r="AG1070">
        <v>14</v>
      </c>
      <c r="AH1070">
        <v>9</v>
      </c>
      <c r="AI1070">
        <v>0</v>
      </c>
      <c r="AJ1070" s="19" t="s">
        <v>1571</v>
      </c>
      <c r="AK1070" s="19" t="s">
        <v>1570</v>
      </c>
      <c r="AL1070">
        <v>2</v>
      </c>
      <c r="AM1070" s="19" t="s">
        <v>1564</v>
      </c>
      <c r="AN1070">
        <v>0.81593988837442721</v>
      </c>
      <c r="AO1070">
        <v>1137468</v>
      </c>
    </row>
    <row r="1071" spans="1:41" x14ac:dyDescent="0.3">
      <c r="A1071" s="19" t="s">
        <v>1137</v>
      </c>
      <c r="B1071">
        <v>42</v>
      </c>
      <c r="C1071" s="19" t="s">
        <v>802</v>
      </c>
      <c r="D1071" s="19" t="s">
        <v>55</v>
      </c>
      <c r="E1071" s="19" t="s">
        <v>48</v>
      </c>
      <c r="F1071">
        <v>932</v>
      </c>
      <c r="G1071" s="19" t="s">
        <v>735</v>
      </c>
      <c r="H1071">
        <v>1</v>
      </c>
      <c r="I1071">
        <v>2</v>
      </c>
      <c r="J1071" s="19" t="s">
        <v>50</v>
      </c>
      <c r="K1071">
        <v>827</v>
      </c>
      <c r="L1071">
        <v>4</v>
      </c>
      <c r="M1071" s="19" t="s">
        <v>59</v>
      </c>
      <c r="N1071">
        <v>2</v>
      </c>
      <c r="O1071">
        <v>2</v>
      </c>
      <c r="P1071" s="19" t="s">
        <v>120</v>
      </c>
      <c r="Q1071">
        <v>4</v>
      </c>
      <c r="R1071" s="19" t="s">
        <v>113</v>
      </c>
      <c r="S1071">
        <v>43078</v>
      </c>
      <c r="T1071" s="19" t="s">
        <v>72</v>
      </c>
      <c r="U1071">
        <v>269.24</v>
      </c>
      <c r="V1071">
        <v>9</v>
      </c>
      <c r="W1071" s="19" t="s">
        <v>47</v>
      </c>
      <c r="X1071">
        <v>13</v>
      </c>
      <c r="Y1071">
        <v>3</v>
      </c>
      <c r="Z1071">
        <v>4</v>
      </c>
      <c r="AA1071">
        <v>1</v>
      </c>
      <c r="AB1071">
        <v>8</v>
      </c>
      <c r="AC1071">
        <v>4</v>
      </c>
      <c r="AD1071">
        <v>3</v>
      </c>
      <c r="AE1071">
        <v>4</v>
      </c>
      <c r="AF1071">
        <v>3</v>
      </c>
      <c r="AG1071">
        <v>0</v>
      </c>
      <c r="AH1071">
        <v>2</v>
      </c>
      <c r="AI1071">
        <v>0</v>
      </c>
      <c r="AJ1071" s="19" t="s">
        <v>1567</v>
      </c>
      <c r="AK1071" s="19" t="s">
        <v>1562</v>
      </c>
      <c r="AL1071">
        <v>1</v>
      </c>
      <c r="AM1071" s="19" t="s">
        <v>1565</v>
      </c>
      <c r="AN1071">
        <v>-2.7482252916638823E-2</v>
      </c>
      <c r="AO1071">
        <v>516936</v>
      </c>
    </row>
    <row r="1072" spans="1:41" x14ac:dyDescent="0.3">
      <c r="A1072" s="19" t="s">
        <v>1138</v>
      </c>
      <c r="B1072">
        <v>42</v>
      </c>
      <c r="C1072" s="19" t="s">
        <v>802</v>
      </c>
      <c r="D1072" s="19" t="s">
        <v>55</v>
      </c>
      <c r="E1072" s="19" t="s">
        <v>48</v>
      </c>
      <c r="F1072">
        <v>933</v>
      </c>
      <c r="G1072" s="19" t="s">
        <v>735</v>
      </c>
      <c r="H1072">
        <v>29</v>
      </c>
      <c r="I1072">
        <v>3</v>
      </c>
      <c r="J1072" s="19" t="s">
        <v>50</v>
      </c>
      <c r="K1072">
        <v>836</v>
      </c>
      <c r="L1072">
        <v>2</v>
      </c>
      <c r="M1072" s="19" t="s">
        <v>51</v>
      </c>
      <c r="N1072">
        <v>3</v>
      </c>
      <c r="O1072">
        <v>2</v>
      </c>
      <c r="P1072" s="19" t="s">
        <v>120</v>
      </c>
      <c r="Q1072">
        <v>2</v>
      </c>
      <c r="R1072" s="19" t="s">
        <v>113</v>
      </c>
      <c r="S1072">
        <v>84524</v>
      </c>
      <c r="T1072" s="19" t="s">
        <v>70</v>
      </c>
      <c r="U1072">
        <v>528.28</v>
      </c>
      <c r="V1072">
        <v>1</v>
      </c>
      <c r="W1072" s="19" t="s">
        <v>55</v>
      </c>
      <c r="X1072">
        <v>13</v>
      </c>
      <c r="Y1072">
        <v>3</v>
      </c>
      <c r="Z1072">
        <v>4</v>
      </c>
      <c r="AA1072">
        <v>1</v>
      </c>
      <c r="AB1072">
        <v>10</v>
      </c>
      <c r="AC1072">
        <v>3</v>
      </c>
      <c r="AD1072">
        <v>2</v>
      </c>
      <c r="AE1072">
        <v>9</v>
      </c>
      <c r="AF1072">
        <v>8</v>
      </c>
      <c r="AG1072">
        <v>7</v>
      </c>
      <c r="AH1072">
        <v>8</v>
      </c>
      <c r="AI1072">
        <v>0</v>
      </c>
      <c r="AJ1072" s="19" t="s">
        <v>1569</v>
      </c>
      <c r="AK1072" s="19" t="s">
        <v>1570</v>
      </c>
      <c r="AL1072">
        <v>3</v>
      </c>
      <c r="AM1072" s="19" t="s">
        <v>1568</v>
      </c>
      <c r="AN1072">
        <v>0.90819188575314591</v>
      </c>
      <c r="AO1072">
        <v>1014288</v>
      </c>
    </row>
    <row r="1073" spans="1:41" x14ac:dyDescent="0.3">
      <c r="A1073" s="19" t="s">
        <v>1139</v>
      </c>
      <c r="B1073">
        <v>42</v>
      </c>
      <c r="C1073" s="19" t="s">
        <v>802</v>
      </c>
      <c r="D1073" s="19" t="s">
        <v>55</v>
      </c>
      <c r="E1073" s="19" t="s">
        <v>62</v>
      </c>
      <c r="F1073">
        <v>1271</v>
      </c>
      <c r="G1073" s="19" t="s">
        <v>735</v>
      </c>
      <c r="H1073">
        <v>2</v>
      </c>
      <c r="I1073">
        <v>1</v>
      </c>
      <c r="J1073" s="19" t="s">
        <v>58</v>
      </c>
      <c r="K1073">
        <v>875</v>
      </c>
      <c r="L1073">
        <v>2</v>
      </c>
      <c r="M1073" s="19" t="s">
        <v>51</v>
      </c>
      <c r="N1073">
        <v>3</v>
      </c>
      <c r="O1073">
        <v>1</v>
      </c>
      <c r="P1073" s="19" t="s">
        <v>67</v>
      </c>
      <c r="Q1073">
        <v>4</v>
      </c>
      <c r="R1073" s="19" t="s">
        <v>53</v>
      </c>
      <c r="S1073">
        <v>97573</v>
      </c>
      <c r="T1073" s="19" t="s">
        <v>70</v>
      </c>
      <c r="U1073">
        <v>609.83000000000004</v>
      </c>
      <c r="V1073">
        <v>5</v>
      </c>
      <c r="W1073" s="19" t="s">
        <v>47</v>
      </c>
      <c r="X1073">
        <v>14</v>
      </c>
      <c r="Y1073">
        <v>3</v>
      </c>
      <c r="Z1073">
        <v>4</v>
      </c>
      <c r="AA1073">
        <v>0</v>
      </c>
      <c r="AB1073">
        <v>8</v>
      </c>
      <c r="AC1073">
        <v>2</v>
      </c>
      <c r="AD1073">
        <v>3</v>
      </c>
      <c r="AE1073">
        <v>2</v>
      </c>
      <c r="AF1073">
        <v>1</v>
      </c>
      <c r="AG1073">
        <v>2</v>
      </c>
      <c r="AH1073">
        <v>2</v>
      </c>
      <c r="AI1073">
        <v>0</v>
      </c>
      <c r="AJ1073" s="19" t="s">
        <v>1566</v>
      </c>
      <c r="AK1073" s="19" t="s">
        <v>1562</v>
      </c>
      <c r="AL1073">
        <v>1</v>
      </c>
      <c r="AM1073" s="19" t="s">
        <v>1565</v>
      </c>
      <c r="AN1073">
        <v>0.95669994896914379</v>
      </c>
      <c r="AO1073">
        <v>1170876</v>
      </c>
    </row>
    <row r="1074" spans="1:41" x14ac:dyDescent="0.3">
      <c r="A1074" s="19" t="s">
        <v>1140</v>
      </c>
      <c r="B1074">
        <v>42</v>
      </c>
      <c r="C1074" s="19" t="s">
        <v>802</v>
      </c>
      <c r="D1074" s="19" t="s">
        <v>55</v>
      </c>
      <c r="E1074" s="19" t="s">
        <v>48</v>
      </c>
      <c r="F1074">
        <v>1265</v>
      </c>
      <c r="G1074" s="19" t="s">
        <v>735</v>
      </c>
      <c r="H1074">
        <v>3</v>
      </c>
      <c r="I1074">
        <v>3</v>
      </c>
      <c r="J1074" s="19" t="s">
        <v>50</v>
      </c>
      <c r="K1074">
        <v>894</v>
      </c>
      <c r="L1074">
        <v>3</v>
      </c>
      <c r="M1074" s="19" t="s">
        <v>59</v>
      </c>
      <c r="N1074">
        <v>4</v>
      </c>
      <c r="O1074">
        <v>2</v>
      </c>
      <c r="P1074" s="19" t="s">
        <v>52</v>
      </c>
      <c r="Q1074">
        <v>4</v>
      </c>
      <c r="R1074" s="19" t="s">
        <v>113</v>
      </c>
      <c r="S1074">
        <v>13219</v>
      </c>
      <c r="T1074" s="19" t="s">
        <v>54</v>
      </c>
      <c r="U1074">
        <v>82.62</v>
      </c>
      <c r="V1074">
        <v>2</v>
      </c>
      <c r="W1074" s="19" t="s">
        <v>47</v>
      </c>
      <c r="X1074">
        <v>13</v>
      </c>
      <c r="Y1074">
        <v>3</v>
      </c>
      <c r="Z1074">
        <v>2</v>
      </c>
      <c r="AA1074">
        <v>1</v>
      </c>
      <c r="AB1074">
        <v>17</v>
      </c>
      <c r="AC1074">
        <v>1</v>
      </c>
      <c r="AD1074">
        <v>2</v>
      </c>
      <c r="AE1074">
        <v>5</v>
      </c>
      <c r="AF1074">
        <v>3</v>
      </c>
      <c r="AG1074">
        <v>1</v>
      </c>
      <c r="AH1074">
        <v>3</v>
      </c>
      <c r="AI1074">
        <v>0</v>
      </c>
      <c r="AJ1074" s="19" t="s">
        <v>1567</v>
      </c>
      <c r="AK1074" s="19" t="s">
        <v>1562</v>
      </c>
      <c r="AL1074">
        <v>2</v>
      </c>
      <c r="AM1074" s="19" t="s">
        <v>1564</v>
      </c>
      <c r="AN1074">
        <v>-0.7444151770334142</v>
      </c>
      <c r="AO1074">
        <v>158628</v>
      </c>
    </row>
    <row r="1075" spans="1:41" x14ac:dyDescent="0.3">
      <c r="A1075" s="19" t="s">
        <v>1141</v>
      </c>
      <c r="B1075">
        <v>42</v>
      </c>
      <c r="C1075" s="19" t="s">
        <v>802</v>
      </c>
      <c r="D1075" s="19" t="s">
        <v>55</v>
      </c>
      <c r="E1075" s="19" t="s">
        <v>48</v>
      </c>
      <c r="F1075">
        <v>462</v>
      </c>
      <c r="G1075" s="19" t="s">
        <v>932</v>
      </c>
      <c r="H1075">
        <v>14</v>
      </c>
      <c r="I1075">
        <v>2</v>
      </c>
      <c r="J1075" s="19" t="s">
        <v>58</v>
      </c>
      <c r="K1075">
        <v>936</v>
      </c>
      <c r="L1075">
        <v>3</v>
      </c>
      <c r="M1075" s="19" t="s">
        <v>59</v>
      </c>
      <c r="N1075">
        <v>2</v>
      </c>
      <c r="O1075">
        <v>2</v>
      </c>
      <c r="P1075" s="19" t="s">
        <v>145</v>
      </c>
      <c r="Q1075">
        <v>3</v>
      </c>
      <c r="R1075" s="19" t="s">
        <v>53</v>
      </c>
      <c r="S1075">
        <v>1235</v>
      </c>
      <c r="T1075" s="19" t="s">
        <v>54</v>
      </c>
      <c r="U1075">
        <v>7.72</v>
      </c>
      <c r="V1075">
        <v>7</v>
      </c>
      <c r="W1075" s="19" t="s">
        <v>55</v>
      </c>
      <c r="X1075">
        <v>17</v>
      </c>
      <c r="Y1075">
        <v>3</v>
      </c>
      <c r="Z1075">
        <v>1</v>
      </c>
      <c r="AA1075">
        <v>0</v>
      </c>
      <c r="AB1075">
        <v>10</v>
      </c>
      <c r="AC1075">
        <v>6</v>
      </c>
      <c r="AD1075">
        <v>3</v>
      </c>
      <c r="AE1075">
        <v>5</v>
      </c>
      <c r="AF1075">
        <v>4</v>
      </c>
      <c r="AG1075">
        <v>0</v>
      </c>
      <c r="AH1075">
        <v>3</v>
      </c>
      <c r="AI1075">
        <v>0</v>
      </c>
      <c r="AJ1075" s="19" t="s">
        <v>1567</v>
      </c>
      <c r="AK1075" s="19" t="s">
        <v>1562</v>
      </c>
      <c r="AL1075">
        <v>0</v>
      </c>
      <c r="AM1075" s="19" t="s">
        <v>1563</v>
      </c>
      <c r="AN1075">
        <v>-0.97482570090145815</v>
      </c>
      <c r="AO1075">
        <v>14820</v>
      </c>
    </row>
    <row r="1076" spans="1:41" x14ac:dyDescent="0.3">
      <c r="A1076" s="19" t="s">
        <v>1142</v>
      </c>
      <c r="B1076">
        <v>42</v>
      </c>
      <c r="C1076" s="19" t="s">
        <v>802</v>
      </c>
      <c r="D1076" s="19" t="s">
        <v>55</v>
      </c>
      <c r="E1076" s="19" t="s">
        <v>48</v>
      </c>
      <c r="F1076">
        <v>265</v>
      </c>
      <c r="G1076" s="19" t="s">
        <v>932</v>
      </c>
      <c r="H1076">
        <v>5</v>
      </c>
      <c r="I1076">
        <v>2</v>
      </c>
      <c r="J1076" s="19" t="s">
        <v>63</v>
      </c>
      <c r="K1076">
        <v>1029</v>
      </c>
      <c r="L1076">
        <v>4</v>
      </c>
      <c r="M1076" s="19" t="s">
        <v>51</v>
      </c>
      <c r="N1076">
        <v>3</v>
      </c>
      <c r="O1076">
        <v>5</v>
      </c>
      <c r="P1076" s="19" t="s">
        <v>444</v>
      </c>
      <c r="Q1076">
        <v>3</v>
      </c>
      <c r="R1076" s="19" t="s">
        <v>113</v>
      </c>
      <c r="S1076">
        <v>43929</v>
      </c>
      <c r="T1076" s="19" t="s">
        <v>72</v>
      </c>
      <c r="U1076">
        <v>274.56</v>
      </c>
      <c r="V1076">
        <v>6</v>
      </c>
      <c r="W1076" s="19" t="s">
        <v>55</v>
      </c>
      <c r="X1076">
        <v>13</v>
      </c>
      <c r="Y1076">
        <v>3</v>
      </c>
      <c r="Z1076">
        <v>2</v>
      </c>
      <c r="AA1076">
        <v>0</v>
      </c>
      <c r="AB1076">
        <v>21</v>
      </c>
      <c r="AC1076">
        <v>3</v>
      </c>
      <c r="AD1076">
        <v>4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 s="19" t="s">
        <v>1561</v>
      </c>
      <c r="AK1076" s="19" t="s">
        <v>1562</v>
      </c>
      <c r="AL1076">
        <v>0</v>
      </c>
      <c r="AM1076" s="19" t="s">
        <v>1563</v>
      </c>
      <c r="AN1076">
        <v>-0.1584210894048865</v>
      </c>
      <c r="AO1076">
        <v>527148</v>
      </c>
    </row>
    <row r="1077" spans="1:41" x14ac:dyDescent="0.3">
      <c r="A1077" s="19" t="s">
        <v>1143</v>
      </c>
      <c r="B1077">
        <v>42</v>
      </c>
      <c r="C1077" s="19" t="s">
        <v>802</v>
      </c>
      <c r="D1077" s="19" t="s">
        <v>55</v>
      </c>
      <c r="E1077" s="19" t="s">
        <v>48</v>
      </c>
      <c r="F1077">
        <v>469</v>
      </c>
      <c r="G1077" s="19" t="s">
        <v>735</v>
      </c>
      <c r="H1077">
        <v>2</v>
      </c>
      <c r="I1077">
        <v>2</v>
      </c>
      <c r="J1077" s="19" t="s">
        <v>58</v>
      </c>
      <c r="K1077">
        <v>1109</v>
      </c>
      <c r="L1077">
        <v>4</v>
      </c>
      <c r="M1077" s="19" t="s">
        <v>51</v>
      </c>
      <c r="N1077">
        <v>3</v>
      </c>
      <c r="O1077">
        <v>4</v>
      </c>
      <c r="P1077" s="19" t="s">
        <v>444</v>
      </c>
      <c r="Q1077">
        <v>1</v>
      </c>
      <c r="R1077" s="19" t="s">
        <v>113</v>
      </c>
      <c r="S1077">
        <v>68444</v>
      </c>
      <c r="T1077" s="19" t="s">
        <v>64</v>
      </c>
      <c r="U1077">
        <v>427.78</v>
      </c>
      <c r="V1077">
        <v>0</v>
      </c>
      <c r="W1077" s="19" t="s">
        <v>55</v>
      </c>
      <c r="X1077">
        <v>17</v>
      </c>
      <c r="Y1077">
        <v>3</v>
      </c>
      <c r="Z1077">
        <v>4</v>
      </c>
      <c r="AA1077">
        <v>1</v>
      </c>
      <c r="AB1077">
        <v>23</v>
      </c>
      <c r="AC1077">
        <v>3</v>
      </c>
      <c r="AD1077">
        <v>3</v>
      </c>
      <c r="AE1077">
        <v>22</v>
      </c>
      <c r="AF1077">
        <v>6</v>
      </c>
      <c r="AG1077">
        <v>13</v>
      </c>
      <c r="AH1077">
        <v>7</v>
      </c>
      <c r="AI1077">
        <v>0</v>
      </c>
      <c r="AJ1077" s="19" t="s">
        <v>1571</v>
      </c>
      <c r="AK1077" s="19" t="s">
        <v>1570</v>
      </c>
      <c r="AL1077">
        <v>2</v>
      </c>
      <c r="AM1077" s="19" t="s">
        <v>1564</v>
      </c>
      <c r="AN1077">
        <v>0.31123009758410047</v>
      </c>
      <c r="AO1077">
        <v>821328</v>
      </c>
    </row>
    <row r="1078" spans="1:41" x14ac:dyDescent="0.3">
      <c r="A1078" s="19" t="s">
        <v>1144</v>
      </c>
      <c r="B1078">
        <v>42</v>
      </c>
      <c r="C1078" s="19" t="s">
        <v>802</v>
      </c>
      <c r="D1078" s="19" t="s">
        <v>55</v>
      </c>
      <c r="E1078" s="19" t="s">
        <v>48</v>
      </c>
      <c r="F1078">
        <v>188</v>
      </c>
      <c r="G1078" s="19" t="s">
        <v>735</v>
      </c>
      <c r="H1078">
        <v>29</v>
      </c>
      <c r="I1078">
        <v>3</v>
      </c>
      <c r="J1078" s="19" t="s">
        <v>58</v>
      </c>
      <c r="K1078">
        <v>1148</v>
      </c>
      <c r="L1078">
        <v>2</v>
      </c>
      <c r="M1078" s="19" t="s">
        <v>51</v>
      </c>
      <c r="N1078">
        <v>1</v>
      </c>
      <c r="O1078">
        <v>2</v>
      </c>
      <c r="P1078" s="19" t="s">
        <v>52</v>
      </c>
      <c r="Q1078">
        <v>4</v>
      </c>
      <c r="R1078" s="19" t="s">
        <v>53</v>
      </c>
      <c r="S1078">
        <v>9567</v>
      </c>
      <c r="T1078" s="19" t="s">
        <v>54</v>
      </c>
      <c r="U1078">
        <v>59.79</v>
      </c>
      <c r="V1078">
        <v>4</v>
      </c>
      <c r="W1078" s="19" t="s">
        <v>55</v>
      </c>
      <c r="X1078">
        <v>19</v>
      </c>
      <c r="Y1078">
        <v>3</v>
      </c>
      <c r="Z1078">
        <v>1</v>
      </c>
      <c r="AA1078">
        <v>0</v>
      </c>
      <c r="AB1078">
        <v>16</v>
      </c>
      <c r="AC1078">
        <v>3</v>
      </c>
      <c r="AD1078">
        <v>3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 s="19" t="s">
        <v>1561</v>
      </c>
      <c r="AK1078" s="19" t="s">
        <v>1562</v>
      </c>
      <c r="AL1078">
        <v>0</v>
      </c>
      <c r="AM1078" s="19" t="s">
        <v>1563</v>
      </c>
      <c r="AN1078">
        <v>-0.81502534221035439</v>
      </c>
      <c r="AO1078">
        <v>114804</v>
      </c>
    </row>
    <row r="1079" spans="1:41" x14ac:dyDescent="0.3">
      <c r="A1079" s="19" t="s">
        <v>1145</v>
      </c>
      <c r="B1079">
        <v>42</v>
      </c>
      <c r="C1079" s="19" t="s">
        <v>802</v>
      </c>
      <c r="D1079" s="19" t="s">
        <v>47</v>
      </c>
      <c r="E1079" s="19" t="s">
        <v>62</v>
      </c>
      <c r="F1079">
        <v>481</v>
      </c>
      <c r="G1079" s="19" t="s">
        <v>932</v>
      </c>
      <c r="H1079">
        <v>12</v>
      </c>
      <c r="I1079">
        <v>3</v>
      </c>
      <c r="J1079" s="19" t="s">
        <v>50</v>
      </c>
      <c r="K1079">
        <v>1167</v>
      </c>
      <c r="L1079">
        <v>3</v>
      </c>
      <c r="M1079" s="19" t="s">
        <v>51</v>
      </c>
      <c r="N1079">
        <v>3</v>
      </c>
      <c r="O1079">
        <v>4</v>
      </c>
      <c r="P1079" s="19" t="s">
        <v>145</v>
      </c>
      <c r="Q1079">
        <v>1</v>
      </c>
      <c r="R1079" s="19" t="s">
        <v>53</v>
      </c>
      <c r="S1079">
        <v>71792</v>
      </c>
      <c r="T1079" s="19" t="s">
        <v>64</v>
      </c>
      <c r="U1079">
        <v>448.7</v>
      </c>
      <c r="V1079">
        <v>0</v>
      </c>
      <c r="W1079" s="19" t="s">
        <v>47</v>
      </c>
      <c r="X1079">
        <v>12</v>
      </c>
      <c r="Y1079">
        <v>3</v>
      </c>
      <c r="Z1079">
        <v>2</v>
      </c>
      <c r="AA1079">
        <v>0</v>
      </c>
      <c r="AB1079">
        <v>22</v>
      </c>
      <c r="AC1079">
        <v>2</v>
      </c>
      <c r="AD1079">
        <v>2</v>
      </c>
      <c r="AE1079">
        <v>21</v>
      </c>
      <c r="AF1079">
        <v>9</v>
      </c>
      <c r="AG1079">
        <v>13</v>
      </c>
      <c r="AH1079">
        <v>14</v>
      </c>
      <c r="AI1079">
        <v>1</v>
      </c>
      <c r="AJ1079" s="19" t="s">
        <v>1571</v>
      </c>
      <c r="AK1079" s="19" t="s">
        <v>1570</v>
      </c>
      <c r="AL1079">
        <v>4</v>
      </c>
      <c r="AM1079" s="19" t="s">
        <v>1568</v>
      </c>
      <c r="AN1079">
        <v>0.46341156346762258</v>
      </c>
      <c r="AO1079">
        <v>861504</v>
      </c>
    </row>
    <row r="1080" spans="1:41" x14ac:dyDescent="0.3">
      <c r="A1080" s="19" t="s">
        <v>1146</v>
      </c>
      <c r="B1080">
        <v>42</v>
      </c>
      <c r="C1080" s="19" t="s">
        <v>802</v>
      </c>
      <c r="D1080" s="19" t="s">
        <v>55</v>
      </c>
      <c r="E1080" s="19" t="s">
        <v>48</v>
      </c>
      <c r="F1080">
        <v>647</v>
      </c>
      <c r="G1080" s="19" t="s">
        <v>932</v>
      </c>
      <c r="H1080">
        <v>4</v>
      </c>
      <c r="I1080">
        <v>4</v>
      </c>
      <c r="J1080" s="19" t="s">
        <v>63</v>
      </c>
      <c r="K1080">
        <v>1171</v>
      </c>
      <c r="L1080">
        <v>2</v>
      </c>
      <c r="M1080" s="19" t="s">
        <v>51</v>
      </c>
      <c r="N1080">
        <v>3</v>
      </c>
      <c r="O1080">
        <v>2</v>
      </c>
      <c r="P1080" s="19" t="s">
        <v>145</v>
      </c>
      <c r="Q1080">
        <v>1</v>
      </c>
      <c r="R1080" s="19" t="s">
        <v>53</v>
      </c>
      <c r="S1080">
        <v>66441</v>
      </c>
      <c r="T1080" s="19" t="s">
        <v>64</v>
      </c>
      <c r="U1080">
        <v>415.26</v>
      </c>
      <c r="V1080">
        <v>7</v>
      </c>
      <c r="W1080" s="19" t="s">
        <v>55</v>
      </c>
      <c r="X1080">
        <v>13</v>
      </c>
      <c r="Y1080">
        <v>3</v>
      </c>
      <c r="Z1080">
        <v>4</v>
      </c>
      <c r="AA1080">
        <v>0</v>
      </c>
      <c r="AB1080">
        <v>9</v>
      </c>
      <c r="AC1080">
        <v>3</v>
      </c>
      <c r="AD1080">
        <v>4</v>
      </c>
      <c r="AE1080">
        <v>6</v>
      </c>
      <c r="AF1080">
        <v>4</v>
      </c>
      <c r="AG1080">
        <v>1</v>
      </c>
      <c r="AH1080">
        <v>5</v>
      </c>
      <c r="AI1080">
        <v>0</v>
      </c>
      <c r="AJ1080" s="19" t="s">
        <v>1569</v>
      </c>
      <c r="AK1080" s="19" t="s">
        <v>1562</v>
      </c>
      <c r="AL1080">
        <v>1</v>
      </c>
      <c r="AM1080" s="19" t="s">
        <v>1565</v>
      </c>
      <c r="AN1080">
        <v>0.35433652340584348</v>
      </c>
      <c r="AO1080">
        <v>797292</v>
      </c>
    </row>
    <row r="1081" spans="1:41" x14ac:dyDescent="0.3">
      <c r="A1081" s="19" t="s">
        <v>1147</v>
      </c>
      <c r="B1081">
        <v>42</v>
      </c>
      <c r="C1081" s="19" t="s">
        <v>802</v>
      </c>
      <c r="D1081" s="19" t="s">
        <v>55</v>
      </c>
      <c r="E1081" s="19" t="s">
        <v>66</v>
      </c>
      <c r="F1081">
        <v>179</v>
      </c>
      <c r="G1081" s="19" t="s">
        <v>80</v>
      </c>
      <c r="H1081">
        <v>2</v>
      </c>
      <c r="I1081">
        <v>5</v>
      </c>
      <c r="J1081" s="19" t="s">
        <v>58</v>
      </c>
      <c r="K1081">
        <v>1231</v>
      </c>
      <c r="L1081">
        <v>4</v>
      </c>
      <c r="M1081" s="19" t="s">
        <v>51</v>
      </c>
      <c r="N1081">
        <v>4</v>
      </c>
      <c r="O1081">
        <v>2</v>
      </c>
      <c r="P1081" s="19" t="s">
        <v>80</v>
      </c>
      <c r="Q1081">
        <v>1</v>
      </c>
      <c r="R1081" s="19" t="s">
        <v>113</v>
      </c>
      <c r="S1081">
        <v>85555</v>
      </c>
      <c r="T1081" s="19" t="s">
        <v>70</v>
      </c>
      <c r="U1081">
        <v>534.72</v>
      </c>
      <c r="V1081">
        <v>7</v>
      </c>
      <c r="W1081" s="19" t="s">
        <v>55</v>
      </c>
      <c r="X1081">
        <v>16</v>
      </c>
      <c r="Y1081">
        <v>3</v>
      </c>
      <c r="Z1081">
        <v>1</v>
      </c>
      <c r="AA1081">
        <v>1</v>
      </c>
      <c r="AB1081">
        <v>10</v>
      </c>
      <c r="AC1081">
        <v>3</v>
      </c>
      <c r="AD1081">
        <v>4</v>
      </c>
      <c r="AE1081">
        <v>4</v>
      </c>
      <c r="AF1081">
        <v>3</v>
      </c>
      <c r="AG1081">
        <v>0</v>
      </c>
      <c r="AH1081">
        <v>3</v>
      </c>
      <c r="AI1081">
        <v>0</v>
      </c>
      <c r="AJ1081" s="19" t="s">
        <v>1567</v>
      </c>
      <c r="AK1081" s="19" t="s">
        <v>1562</v>
      </c>
      <c r="AL1081">
        <v>1</v>
      </c>
      <c r="AM1081" s="19" t="s">
        <v>1565</v>
      </c>
      <c r="AN1081">
        <v>0.6860108614501893</v>
      </c>
      <c r="AO1081">
        <v>1026660</v>
      </c>
    </row>
    <row r="1082" spans="1:41" x14ac:dyDescent="0.3">
      <c r="A1082" s="19" t="s">
        <v>1148</v>
      </c>
      <c r="B1082">
        <v>42</v>
      </c>
      <c r="C1082" s="19" t="s">
        <v>802</v>
      </c>
      <c r="D1082" s="19" t="s">
        <v>55</v>
      </c>
      <c r="E1082" s="19" t="s">
        <v>62</v>
      </c>
      <c r="F1082">
        <v>458</v>
      </c>
      <c r="G1082" s="19" t="s">
        <v>735</v>
      </c>
      <c r="H1082">
        <v>26</v>
      </c>
      <c r="I1082">
        <v>5</v>
      </c>
      <c r="J1082" s="19" t="s">
        <v>58</v>
      </c>
      <c r="K1082">
        <v>1242</v>
      </c>
      <c r="L1082">
        <v>1</v>
      </c>
      <c r="M1082" s="19" t="s">
        <v>59</v>
      </c>
      <c r="N1082">
        <v>3</v>
      </c>
      <c r="O1082">
        <v>3</v>
      </c>
      <c r="P1082" s="19" t="s">
        <v>257</v>
      </c>
      <c r="Q1082">
        <v>1</v>
      </c>
      <c r="R1082" s="19" t="s">
        <v>113</v>
      </c>
      <c r="S1082">
        <v>74698</v>
      </c>
      <c r="T1082" s="19" t="s">
        <v>64</v>
      </c>
      <c r="U1082">
        <v>466.86</v>
      </c>
      <c r="V1082">
        <v>3</v>
      </c>
      <c r="W1082" s="19" t="s">
        <v>47</v>
      </c>
      <c r="X1082">
        <v>17</v>
      </c>
      <c r="Y1082">
        <v>3</v>
      </c>
      <c r="Z1082">
        <v>3</v>
      </c>
      <c r="AA1082">
        <v>0</v>
      </c>
      <c r="AB1082">
        <v>20</v>
      </c>
      <c r="AC1082">
        <v>6</v>
      </c>
      <c r="AD1082">
        <v>3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 s="19" t="s">
        <v>1561</v>
      </c>
      <c r="AK1082" s="19" t="s">
        <v>1562</v>
      </c>
      <c r="AL1082">
        <v>2</v>
      </c>
      <c r="AM1082" s="19" t="s">
        <v>1564</v>
      </c>
      <c r="AN1082">
        <v>0.47440714958576841</v>
      </c>
      <c r="AO1082">
        <v>896376</v>
      </c>
    </row>
    <row r="1083" spans="1:41" x14ac:dyDescent="0.3">
      <c r="A1083" s="19" t="s">
        <v>1149</v>
      </c>
      <c r="B1083">
        <v>42</v>
      </c>
      <c r="C1083" s="19" t="s">
        <v>802</v>
      </c>
      <c r="D1083" s="19" t="s">
        <v>55</v>
      </c>
      <c r="E1083" s="19" t="s">
        <v>48</v>
      </c>
      <c r="F1083">
        <v>603</v>
      </c>
      <c r="G1083" s="19" t="s">
        <v>735</v>
      </c>
      <c r="H1083">
        <v>7</v>
      </c>
      <c r="I1083">
        <v>4</v>
      </c>
      <c r="J1083" s="19" t="s">
        <v>58</v>
      </c>
      <c r="K1083">
        <v>1292</v>
      </c>
      <c r="L1083">
        <v>2</v>
      </c>
      <c r="M1083" s="19" t="s">
        <v>59</v>
      </c>
      <c r="N1083">
        <v>4</v>
      </c>
      <c r="O1083">
        <v>2</v>
      </c>
      <c r="P1083" s="19" t="s">
        <v>67</v>
      </c>
      <c r="Q1083">
        <v>2</v>
      </c>
      <c r="R1083" s="19" t="s">
        <v>113</v>
      </c>
      <c r="S1083">
        <v>6415</v>
      </c>
      <c r="T1083" s="19" t="s">
        <v>54</v>
      </c>
      <c r="U1083">
        <v>40.090000000000003</v>
      </c>
      <c r="V1083">
        <v>6</v>
      </c>
      <c r="W1083" s="19" t="s">
        <v>47</v>
      </c>
      <c r="X1083">
        <v>16</v>
      </c>
      <c r="Y1083">
        <v>3</v>
      </c>
      <c r="Z1083">
        <v>4</v>
      </c>
      <c r="AA1083">
        <v>0</v>
      </c>
      <c r="AB1083">
        <v>18</v>
      </c>
      <c r="AC1083">
        <v>2</v>
      </c>
      <c r="AD1083">
        <v>3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 s="19" t="s">
        <v>1561</v>
      </c>
      <c r="AK1083" s="19" t="s">
        <v>1562</v>
      </c>
      <c r="AL1083">
        <v>2</v>
      </c>
      <c r="AM1083" s="19" t="s">
        <v>1564</v>
      </c>
      <c r="AN1083">
        <v>-0.87135549616556773</v>
      </c>
      <c r="AO1083">
        <v>76980</v>
      </c>
    </row>
    <row r="1084" spans="1:41" x14ac:dyDescent="0.3">
      <c r="A1084" s="19" t="s">
        <v>1150</v>
      </c>
      <c r="B1084">
        <v>42</v>
      </c>
      <c r="C1084" s="19" t="s">
        <v>802</v>
      </c>
      <c r="D1084" s="19" t="s">
        <v>55</v>
      </c>
      <c r="E1084" s="19" t="s">
        <v>66</v>
      </c>
      <c r="F1084">
        <v>495</v>
      </c>
      <c r="G1084" s="19" t="s">
        <v>735</v>
      </c>
      <c r="H1084">
        <v>2</v>
      </c>
      <c r="I1084">
        <v>1</v>
      </c>
      <c r="J1084" s="19" t="s">
        <v>50</v>
      </c>
      <c r="K1084">
        <v>1334</v>
      </c>
      <c r="L1084">
        <v>3</v>
      </c>
      <c r="M1084" s="19" t="s">
        <v>51</v>
      </c>
      <c r="N1084">
        <v>3</v>
      </c>
      <c r="O1084">
        <v>4</v>
      </c>
      <c r="P1084" s="19" t="s">
        <v>444</v>
      </c>
      <c r="Q1084">
        <v>3</v>
      </c>
      <c r="R1084" s="19" t="s">
        <v>113</v>
      </c>
      <c r="S1084">
        <v>37159</v>
      </c>
      <c r="T1084" s="19" t="s">
        <v>72</v>
      </c>
      <c r="U1084">
        <v>232.24</v>
      </c>
      <c r="V1084">
        <v>0</v>
      </c>
      <c r="W1084" s="19" t="s">
        <v>47</v>
      </c>
      <c r="X1084">
        <v>13</v>
      </c>
      <c r="Y1084">
        <v>3</v>
      </c>
      <c r="Z1084">
        <v>4</v>
      </c>
      <c r="AA1084">
        <v>0</v>
      </c>
      <c r="AB1084">
        <v>21</v>
      </c>
      <c r="AC1084">
        <v>3</v>
      </c>
      <c r="AD1084">
        <v>2</v>
      </c>
      <c r="AE1084">
        <v>20</v>
      </c>
      <c r="AF1084">
        <v>8</v>
      </c>
      <c r="AG1084">
        <v>2</v>
      </c>
      <c r="AH1084">
        <v>10</v>
      </c>
      <c r="AI1084">
        <v>0</v>
      </c>
      <c r="AJ1084" s="19" t="s">
        <v>1571</v>
      </c>
      <c r="AK1084" s="19" t="s">
        <v>1562</v>
      </c>
      <c r="AL1084">
        <v>2</v>
      </c>
      <c r="AM1084" s="19" t="s">
        <v>1564</v>
      </c>
      <c r="AN1084">
        <v>-0.28811876576284862</v>
      </c>
      <c r="AO1084">
        <v>445908</v>
      </c>
    </row>
    <row r="1085" spans="1:41" x14ac:dyDescent="0.3">
      <c r="A1085" s="19" t="s">
        <v>1151</v>
      </c>
      <c r="B1085">
        <v>42</v>
      </c>
      <c r="C1085" s="19" t="s">
        <v>802</v>
      </c>
      <c r="D1085" s="19" t="s">
        <v>55</v>
      </c>
      <c r="E1085" s="19" t="s">
        <v>48</v>
      </c>
      <c r="F1085">
        <v>1147</v>
      </c>
      <c r="G1085" s="19" t="s">
        <v>406</v>
      </c>
      <c r="H1085">
        <v>10</v>
      </c>
      <c r="I1085">
        <v>3</v>
      </c>
      <c r="J1085" s="19" t="s">
        <v>80</v>
      </c>
      <c r="K1085">
        <v>1408</v>
      </c>
      <c r="L1085">
        <v>3</v>
      </c>
      <c r="M1085" s="19" t="s">
        <v>59</v>
      </c>
      <c r="N1085">
        <v>3</v>
      </c>
      <c r="O1085">
        <v>4</v>
      </c>
      <c r="P1085" s="19" t="s">
        <v>444</v>
      </c>
      <c r="Q1085">
        <v>1</v>
      </c>
      <c r="R1085" s="19" t="s">
        <v>113</v>
      </c>
      <c r="S1085">
        <v>44925</v>
      </c>
      <c r="T1085" s="19" t="s">
        <v>72</v>
      </c>
      <c r="U1085">
        <v>280.77999999999997</v>
      </c>
      <c r="V1085">
        <v>0</v>
      </c>
      <c r="W1085" s="19" t="s">
        <v>55</v>
      </c>
      <c r="X1085">
        <v>14</v>
      </c>
      <c r="Y1085">
        <v>3</v>
      </c>
      <c r="Z1085">
        <v>3</v>
      </c>
      <c r="AA1085">
        <v>1</v>
      </c>
      <c r="AB1085">
        <v>21</v>
      </c>
      <c r="AC1085">
        <v>5</v>
      </c>
      <c r="AD1085">
        <v>3</v>
      </c>
      <c r="AE1085">
        <v>20</v>
      </c>
      <c r="AF1085">
        <v>7</v>
      </c>
      <c r="AG1085">
        <v>0</v>
      </c>
      <c r="AH1085">
        <v>9</v>
      </c>
      <c r="AI1085">
        <v>0</v>
      </c>
      <c r="AJ1085" s="19" t="s">
        <v>1571</v>
      </c>
      <c r="AK1085" s="19" t="s">
        <v>1562</v>
      </c>
      <c r="AL1085">
        <v>1</v>
      </c>
      <c r="AM1085" s="19" t="s">
        <v>1565</v>
      </c>
      <c r="AN1085">
        <v>-0.1393400132375999</v>
      </c>
      <c r="AO1085">
        <v>539100</v>
      </c>
    </row>
    <row r="1086" spans="1:41" x14ac:dyDescent="0.3">
      <c r="A1086" s="19" t="s">
        <v>1152</v>
      </c>
      <c r="B1086">
        <v>42</v>
      </c>
      <c r="C1086" s="19" t="s">
        <v>802</v>
      </c>
      <c r="D1086" s="19" t="s">
        <v>55</v>
      </c>
      <c r="E1086" s="19" t="s">
        <v>62</v>
      </c>
      <c r="F1086">
        <v>748</v>
      </c>
      <c r="G1086" s="19" t="s">
        <v>735</v>
      </c>
      <c r="H1086">
        <v>9</v>
      </c>
      <c r="I1086">
        <v>2</v>
      </c>
      <c r="J1086" s="19" t="s">
        <v>58</v>
      </c>
      <c r="K1086">
        <v>1480</v>
      </c>
      <c r="L1086">
        <v>1</v>
      </c>
      <c r="M1086" s="19" t="s">
        <v>59</v>
      </c>
      <c r="N1086">
        <v>3</v>
      </c>
      <c r="O1086">
        <v>1</v>
      </c>
      <c r="P1086" s="19" t="s">
        <v>52</v>
      </c>
      <c r="Q1086">
        <v>4</v>
      </c>
      <c r="R1086" s="19" t="s">
        <v>53</v>
      </c>
      <c r="S1086">
        <v>6951</v>
      </c>
      <c r="T1086" s="19" t="s">
        <v>54</v>
      </c>
      <c r="U1086">
        <v>43.44</v>
      </c>
      <c r="V1086">
        <v>1</v>
      </c>
      <c r="W1086" s="19" t="s">
        <v>55</v>
      </c>
      <c r="X1086">
        <v>13</v>
      </c>
      <c r="Y1086">
        <v>3</v>
      </c>
      <c r="Z1086">
        <v>3</v>
      </c>
      <c r="AA1086">
        <v>0</v>
      </c>
      <c r="AB1086">
        <v>12</v>
      </c>
      <c r="AC1086">
        <v>3</v>
      </c>
      <c r="AD1086">
        <v>3</v>
      </c>
      <c r="AE1086">
        <v>12</v>
      </c>
      <c r="AF1086">
        <v>9</v>
      </c>
      <c r="AG1086">
        <v>5</v>
      </c>
      <c r="AH1086">
        <v>8</v>
      </c>
      <c r="AI1086">
        <v>0</v>
      </c>
      <c r="AJ1086" s="19" t="s">
        <v>1571</v>
      </c>
      <c r="AK1086" s="19" t="s">
        <v>1570</v>
      </c>
      <c r="AL1086">
        <v>1</v>
      </c>
      <c r="AM1086" s="19" t="s">
        <v>1565</v>
      </c>
      <c r="AN1086">
        <v>-0.86560480335571999</v>
      </c>
      <c r="AO1086">
        <v>83412</v>
      </c>
    </row>
    <row r="1087" spans="1:41" x14ac:dyDescent="0.3">
      <c r="A1087" s="19" t="s">
        <v>1153</v>
      </c>
      <c r="B1087">
        <v>42</v>
      </c>
      <c r="C1087" s="19" t="s">
        <v>802</v>
      </c>
      <c r="D1087" s="19" t="s">
        <v>55</v>
      </c>
      <c r="E1087" s="19" t="s">
        <v>48</v>
      </c>
      <c r="F1087">
        <v>1210</v>
      </c>
      <c r="G1087" s="19" t="s">
        <v>735</v>
      </c>
      <c r="H1087">
        <v>2</v>
      </c>
      <c r="I1087">
        <v>3</v>
      </c>
      <c r="J1087" s="19" t="s">
        <v>58</v>
      </c>
      <c r="K1087">
        <v>1542</v>
      </c>
      <c r="L1087">
        <v>3</v>
      </c>
      <c r="M1087" s="19" t="s">
        <v>51</v>
      </c>
      <c r="N1087">
        <v>2</v>
      </c>
      <c r="O1087">
        <v>1</v>
      </c>
      <c r="P1087" s="19" t="s">
        <v>52</v>
      </c>
      <c r="Q1087">
        <v>2</v>
      </c>
      <c r="R1087" s="19" t="s">
        <v>113</v>
      </c>
      <c r="S1087">
        <v>88388</v>
      </c>
      <c r="T1087" s="19" t="s">
        <v>70</v>
      </c>
      <c r="U1087">
        <v>552.41999999999996</v>
      </c>
      <c r="V1087">
        <v>4</v>
      </c>
      <c r="W1087" s="19" t="s">
        <v>55</v>
      </c>
      <c r="X1087">
        <v>14</v>
      </c>
      <c r="Y1087">
        <v>3</v>
      </c>
      <c r="Z1087">
        <v>2</v>
      </c>
      <c r="AA1087">
        <v>1</v>
      </c>
      <c r="AB1087">
        <v>4</v>
      </c>
      <c r="AC1087">
        <v>3</v>
      </c>
      <c r="AD1087">
        <v>3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 s="19" t="s">
        <v>1561</v>
      </c>
      <c r="AK1087" s="19" t="s">
        <v>1562</v>
      </c>
      <c r="AL1087">
        <v>1</v>
      </c>
      <c r="AM1087" s="19" t="s">
        <v>1565</v>
      </c>
      <c r="AN1087">
        <v>0.70895160998340134</v>
      </c>
      <c r="AO1087">
        <v>1060656</v>
      </c>
    </row>
    <row r="1088" spans="1:41" x14ac:dyDescent="0.3">
      <c r="A1088" s="19" t="s">
        <v>1154</v>
      </c>
      <c r="B1088">
        <v>42</v>
      </c>
      <c r="C1088" s="19" t="s">
        <v>802</v>
      </c>
      <c r="D1088" s="19" t="s">
        <v>55</v>
      </c>
      <c r="E1088" s="19" t="s">
        <v>62</v>
      </c>
      <c r="F1088">
        <v>288</v>
      </c>
      <c r="G1088" s="19" t="s">
        <v>735</v>
      </c>
      <c r="H1088">
        <v>2</v>
      </c>
      <c r="I1088">
        <v>3</v>
      </c>
      <c r="J1088" s="19" t="s">
        <v>50</v>
      </c>
      <c r="K1088">
        <v>1547</v>
      </c>
      <c r="L1088">
        <v>4</v>
      </c>
      <c r="M1088" s="19" t="s">
        <v>51</v>
      </c>
      <c r="N1088">
        <v>3</v>
      </c>
      <c r="O1088">
        <v>3</v>
      </c>
      <c r="P1088" s="19" t="s">
        <v>168</v>
      </c>
      <c r="Q1088">
        <v>4</v>
      </c>
      <c r="R1088" s="19" t="s">
        <v>113</v>
      </c>
      <c r="S1088">
        <v>9007</v>
      </c>
      <c r="T1088" s="19" t="s">
        <v>54</v>
      </c>
      <c r="U1088">
        <v>56.29</v>
      </c>
      <c r="V1088">
        <v>2</v>
      </c>
      <c r="W1088" s="19" t="s">
        <v>47</v>
      </c>
      <c r="X1088">
        <v>14</v>
      </c>
      <c r="Y1088">
        <v>3</v>
      </c>
      <c r="Z1088">
        <v>3</v>
      </c>
      <c r="AA1088">
        <v>1</v>
      </c>
      <c r="AB1088">
        <v>24</v>
      </c>
      <c r="AC1088">
        <v>3</v>
      </c>
      <c r="AD1088">
        <v>1</v>
      </c>
      <c r="AE1088">
        <v>20</v>
      </c>
      <c r="AF1088">
        <v>8</v>
      </c>
      <c r="AG1088">
        <v>13</v>
      </c>
      <c r="AH1088">
        <v>9</v>
      </c>
      <c r="AI1088">
        <v>0</v>
      </c>
      <c r="AJ1088" s="19" t="s">
        <v>1571</v>
      </c>
      <c r="AK1088" s="19" t="s">
        <v>1570</v>
      </c>
      <c r="AL1088">
        <v>3</v>
      </c>
      <c r="AM1088" s="19" t="s">
        <v>1568</v>
      </c>
      <c r="AN1088">
        <v>-0.81309067839821658</v>
      </c>
      <c r="AO1088">
        <v>108084</v>
      </c>
    </row>
    <row r="1089" spans="1:41" x14ac:dyDescent="0.3">
      <c r="A1089" s="19" t="s">
        <v>1155</v>
      </c>
      <c r="B1089">
        <v>42</v>
      </c>
      <c r="C1089" s="19" t="s">
        <v>802</v>
      </c>
      <c r="D1089" s="19" t="s">
        <v>55</v>
      </c>
      <c r="E1089" s="19" t="s">
        <v>48</v>
      </c>
      <c r="F1089">
        <v>1059</v>
      </c>
      <c r="G1089" s="19" t="s">
        <v>735</v>
      </c>
      <c r="H1089">
        <v>9</v>
      </c>
      <c r="I1089">
        <v>2</v>
      </c>
      <c r="J1089" s="19" t="s">
        <v>82</v>
      </c>
      <c r="K1089">
        <v>1595</v>
      </c>
      <c r="L1089">
        <v>4</v>
      </c>
      <c r="M1089" s="19" t="s">
        <v>51</v>
      </c>
      <c r="N1089">
        <v>2</v>
      </c>
      <c r="O1089">
        <v>5</v>
      </c>
      <c r="P1089" s="19" t="s">
        <v>444</v>
      </c>
      <c r="Q1089">
        <v>4</v>
      </c>
      <c r="R1089" s="19" t="s">
        <v>53</v>
      </c>
      <c r="S1089">
        <v>42832</v>
      </c>
      <c r="T1089" s="19" t="s">
        <v>72</v>
      </c>
      <c r="U1089">
        <v>267.7</v>
      </c>
      <c r="V1089">
        <v>8</v>
      </c>
      <c r="W1089" s="19" t="s">
        <v>55</v>
      </c>
      <c r="X1089">
        <v>22</v>
      </c>
      <c r="Y1089">
        <v>4</v>
      </c>
      <c r="Z1089">
        <v>4</v>
      </c>
      <c r="AA1089">
        <v>0</v>
      </c>
      <c r="AB1089">
        <v>24</v>
      </c>
      <c r="AC1089">
        <v>2</v>
      </c>
      <c r="AD1089">
        <v>3</v>
      </c>
      <c r="AE1089">
        <v>1</v>
      </c>
      <c r="AF1089">
        <v>0</v>
      </c>
      <c r="AG1089">
        <v>0</v>
      </c>
      <c r="AH1089">
        <v>1</v>
      </c>
      <c r="AI1089">
        <v>0</v>
      </c>
      <c r="AJ1089" s="19" t="s">
        <v>1561</v>
      </c>
      <c r="AK1089" s="19" t="s">
        <v>1562</v>
      </c>
      <c r="AL1089">
        <v>0</v>
      </c>
      <c r="AM1089" s="19" t="s">
        <v>1563</v>
      </c>
      <c r="AN1089">
        <v>-0.17943709397869512</v>
      </c>
      <c r="AO1089">
        <v>513984</v>
      </c>
    </row>
    <row r="1090" spans="1:41" x14ac:dyDescent="0.3">
      <c r="A1090" s="19" t="s">
        <v>1156</v>
      </c>
      <c r="B1090">
        <v>42</v>
      </c>
      <c r="C1090" s="19" t="s">
        <v>802</v>
      </c>
      <c r="D1090" s="19" t="s">
        <v>55</v>
      </c>
      <c r="E1090" s="19" t="s">
        <v>48</v>
      </c>
      <c r="F1090">
        <v>855</v>
      </c>
      <c r="G1090" s="19" t="s">
        <v>735</v>
      </c>
      <c r="H1090">
        <v>12</v>
      </c>
      <c r="I1090">
        <v>3</v>
      </c>
      <c r="J1090" s="19" t="s">
        <v>58</v>
      </c>
      <c r="K1090">
        <v>1768</v>
      </c>
      <c r="L1090">
        <v>2</v>
      </c>
      <c r="M1090" s="19" t="s">
        <v>51</v>
      </c>
      <c r="N1090">
        <v>3</v>
      </c>
      <c r="O1090">
        <v>1</v>
      </c>
      <c r="P1090" s="19" t="s">
        <v>52</v>
      </c>
      <c r="Q1090">
        <v>2</v>
      </c>
      <c r="R1090" s="19" t="s">
        <v>113</v>
      </c>
      <c r="S1090">
        <v>59596</v>
      </c>
      <c r="T1090" s="19" t="s">
        <v>64</v>
      </c>
      <c r="U1090">
        <v>372.48</v>
      </c>
      <c r="V1090">
        <v>8</v>
      </c>
      <c r="W1090" s="19" t="s">
        <v>55</v>
      </c>
      <c r="X1090">
        <v>22</v>
      </c>
      <c r="Y1090">
        <v>4</v>
      </c>
      <c r="Z1090">
        <v>2</v>
      </c>
      <c r="AA1090">
        <v>3</v>
      </c>
      <c r="AB1090">
        <v>7</v>
      </c>
      <c r="AC1090">
        <v>6</v>
      </c>
      <c r="AD1090">
        <v>2</v>
      </c>
      <c r="AE1090">
        <v>5</v>
      </c>
      <c r="AF1090">
        <v>3</v>
      </c>
      <c r="AG1090">
        <v>0</v>
      </c>
      <c r="AH1090">
        <v>4</v>
      </c>
      <c r="AI1090">
        <v>0</v>
      </c>
      <c r="AJ1090" s="19" t="s">
        <v>1567</v>
      </c>
      <c r="AK1090" s="19" t="s">
        <v>1562</v>
      </c>
      <c r="AL1090">
        <v>2</v>
      </c>
      <c r="AM1090" s="19" t="s">
        <v>1564</v>
      </c>
      <c r="AN1090">
        <v>0.1522681828819612</v>
      </c>
      <c r="AO1090">
        <v>715152</v>
      </c>
    </row>
    <row r="1091" spans="1:41" x14ac:dyDescent="0.3">
      <c r="A1091" s="19" t="s">
        <v>1157</v>
      </c>
      <c r="B1091">
        <v>42</v>
      </c>
      <c r="C1091" s="19" t="s">
        <v>802</v>
      </c>
      <c r="D1091" s="19" t="s">
        <v>55</v>
      </c>
      <c r="E1091" s="19" t="s">
        <v>48</v>
      </c>
      <c r="F1091">
        <v>1128</v>
      </c>
      <c r="G1091" s="19" t="s">
        <v>735</v>
      </c>
      <c r="H1091">
        <v>13</v>
      </c>
      <c r="I1091">
        <v>3</v>
      </c>
      <c r="J1091" s="19" t="s">
        <v>58</v>
      </c>
      <c r="K1091">
        <v>1803</v>
      </c>
      <c r="L1091">
        <v>2</v>
      </c>
      <c r="M1091" s="19" t="s">
        <v>51</v>
      </c>
      <c r="N1091">
        <v>4</v>
      </c>
      <c r="O1091">
        <v>2</v>
      </c>
      <c r="P1091" s="19" t="s">
        <v>168</v>
      </c>
      <c r="Q1091">
        <v>1</v>
      </c>
      <c r="R1091" s="19" t="s">
        <v>113</v>
      </c>
      <c r="S1091">
        <v>31523</v>
      </c>
      <c r="T1091" s="19" t="s">
        <v>72</v>
      </c>
      <c r="U1091">
        <v>197.02</v>
      </c>
      <c r="V1091">
        <v>5</v>
      </c>
      <c r="W1091" s="19" t="s">
        <v>55</v>
      </c>
      <c r="X1091">
        <v>18</v>
      </c>
      <c r="Y1091">
        <v>3</v>
      </c>
      <c r="Z1091">
        <v>3</v>
      </c>
      <c r="AA1091">
        <v>2</v>
      </c>
      <c r="AB1091">
        <v>10</v>
      </c>
      <c r="AC1091">
        <v>2</v>
      </c>
      <c r="AD1091">
        <v>2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 s="19" t="s">
        <v>1561</v>
      </c>
      <c r="AK1091" s="19" t="s">
        <v>1562</v>
      </c>
      <c r="AL1091">
        <v>2</v>
      </c>
      <c r="AM1091" s="19" t="s">
        <v>1564</v>
      </c>
      <c r="AN1091">
        <v>-0.34584850173720216</v>
      </c>
      <c r="AO1091">
        <v>378276</v>
      </c>
    </row>
    <row r="1092" spans="1:41" x14ac:dyDescent="0.3">
      <c r="A1092" s="19" t="s">
        <v>1158</v>
      </c>
      <c r="B1092">
        <v>42</v>
      </c>
      <c r="C1092" s="19" t="s">
        <v>802</v>
      </c>
      <c r="D1092" s="19" t="s">
        <v>55</v>
      </c>
      <c r="E1092" s="19" t="s">
        <v>66</v>
      </c>
      <c r="F1092">
        <v>355</v>
      </c>
      <c r="G1092" s="19" t="s">
        <v>735</v>
      </c>
      <c r="H1092">
        <v>10</v>
      </c>
      <c r="I1092">
        <v>4</v>
      </c>
      <c r="J1092" s="19" t="s">
        <v>77</v>
      </c>
      <c r="K1092">
        <v>1854</v>
      </c>
      <c r="L1092">
        <v>3</v>
      </c>
      <c r="M1092" s="19" t="s">
        <v>51</v>
      </c>
      <c r="N1092">
        <v>3</v>
      </c>
      <c r="O1092">
        <v>1</v>
      </c>
      <c r="P1092" s="19" t="s">
        <v>67</v>
      </c>
      <c r="Q1092">
        <v>3</v>
      </c>
      <c r="R1092" s="19" t="s">
        <v>113</v>
      </c>
      <c r="S1092">
        <v>89861</v>
      </c>
      <c r="T1092" s="19" t="s">
        <v>70</v>
      </c>
      <c r="U1092">
        <v>561.63</v>
      </c>
      <c r="V1092">
        <v>3</v>
      </c>
      <c r="W1092" s="19" t="s">
        <v>55</v>
      </c>
      <c r="X1092">
        <v>22</v>
      </c>
      <c r="Y1092">
        <v>4</v>
      </c>
      <c r="Z1092">
        <v>2</v>
      </c>
      <c r="AA1092">
        <v>2</v>
      </c>
      <c r="AB1092">
        <v>10</v>
      </c>
      <c r="AC1092">
        <v>1</v>
      </c>
      <c r="AD1092">
        <v>2</v>
      </c>
      <c r="AE1092">
        <v>6</v>
      </c>
      <c r="AF1092">
        <v>3</v>
      </c>
      <c r="AG1092">
        <v>3</v>
      </c>
      <c r="AH1092">
        <v>3</v>
      </c>
      <c r="AI1092">
        <v>0</v>
      </c>
      <c r="AJ1092" s="19" t="s">
        <v>1569</v>
      </c>
      <c r="AK1092" s="19" t="s">
        <v>1570</v>
      </c>
      <c r="AL1092">
        <v>2</v>
      </c>
      <c r="AM1092" s="19" t="s">
        <v>1564</v>
      </c>
      <c r="AN1092">
        <v>0.80204579252781227</v>
      </c>
      <c r="AO1092">
        <v>1078332</v>
      </c>
    </row>
    <row r="1093" spans="1:41" x14ac:dyDescent="0.3">
      <c r="A1093" s="19" t="s">
        <v>1159</v>
      </c>
      <c r="B1093">
        <v>42</v>
      </c>
      <c r="C1093" s="19" t="s">
        <v>802</v>
      </c>
      <c r="D1093" s="19" t="s">
        <v>55</v>
      </c>
      <c r="E1093" s="19" t="s">
        <v>48</v>
      </c>
      <c r="F1093">
        <v>1142</v>
      </c>
      <c r="G1093" s="19" t="s">
        <v>735</v>
      </c>
      <c r="H1093">
        <v>8</v>
      </c>
      <c r="I1093">
        <v>3</v>
      </c>
      <c r="J1093" s="19" t="s">
        <v>50</v>
      </c>
      <c r="K1093">
        <v>1860</v>
      </c>
      <c r="L1093">
        <v>4</v>
      </c>
      <c r="M1093" s="19" t="s">
        <v>51</v>
      </c>
      <c r="N1093">
        <v>3</v>
      </c>
      <c r="O1093">
        <v>1</v>
      </c>
      <c r="P1093" s="19" t="s">
        <v>52</v>
      </c>
      <c r="Q1093">
        <v>3</v>
      </c>
      <c r="R1093" s="19" t="s">
        <v>53</v>
      </c>
      <c r="S1093">
        <v>87740</v>
      </c>
      <c r="T1093" s="19" t="s">
        <v>70</v>
      </c>
      <c r="U1093">
        <v>548.38</v>
      </c>
      <c r="V1093">
        <v>4</v>
      </c>
      <c r="W1093" s="19" t="s">
        <v>55</v>
      </c>
      <c r="X1093">
        <v>13</v>
      </c>
      <c r="Y1093">
        <v>3</v>
      </c>
      <c r="Z1093">
        <v>4</v>
      </c>
      <c r="AA1093">
        <v>0</v>
      </c>
      <c r="AB1093">
        <v>8</v>
      </c>
      <c r="AC1093">
        <v>3</v>
      </c>
      <c r="AD1093">
        <v>3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 s="19" t="s">
        <v>1561</v>
      </c>
      <c r="AK1093" s="19" t="s">
        <v>1562</v>
      </c>
      <c r="AL1093">
        <v>0</v>
      </c>
      <c r="AM1093" s="19" t="s">
        <v>1563</v>
      </c>
      <c r="AN1093">
        <v>0.69642275263546671</v>
      </c>
      <c r="AO1093">
        <v>1052880</v>
      </c>
    </row>
    <row r="1094" spans="1:41" x14ac:dyDescent="0.3">
      <c r="A1094" s="19" t="s">
        <v>1160</v>
      </c>
      <c r="B1094">
        <v>42</v>
      </c>
      <c r="C1094" s="19" t="s">
        <v>802</v>
      </c>
      <c r="D1094" s="19" t="s">
        <v>55</v>
      </c>
      <c r="E1094" s="19" t="s">
        <v>48</v>
      </c>
      <c r="F1094">
        <v>1396</v>
      </c>
      <c r="G1094" s="19" t="s">
        <v>735</v>
      </c>
      <c r="H1094">
        <v>6</v>
      </c>
      <c r="I1094">
        <v>3</v>
      </c>
      <c r="J1094" s="19" t="s">
        <v>58</v>
      </c>
      <c r="K1094">
        <v>1911</v>
      </c>
      <c r="L1094">
        <v>3</v>
      </c>
      <c r="M1094" s="19" t="s">
        <v>51</v>
      </c>
      <c r="N1094">
        <v>3</v>
      </c>
      <c r="O1094">
        <v>3</v>
      </c>
      <c r="P1094" s="19" t="s">
        <v>257</v>
      </c>
      <c r="Q1094">
        <v>1</v>
      </c>
      <c r="R1094" s="19" t="s">
        <v>113</v>
      </c>
      <c r="S1094">
        <v>16524</v>
      </c>
      <c r="T1094" s="19" t="s">
        <v>54</v>
      </c>
      <c r="U1094">
        <v>103.28</v>
      </c>
      <c r="V1094">
        <v>9</v>
      </c>
      <c r="W1094" s="19" t="s">
        <v>55</v>
      </c>
      <c r="X1094">
        <v>13</v>
      </c>
      <c r="Y1094">
        <v>3</v>
      </c>
      <c r="Z1094">
        <v>2</v>
      </c>
      <c r="AA1094">
        <v>1</v>
      </c>
      <c r="AB1094">
        <v>18</v>
      </c>
      <c r="AC1094">
        <v>3</v>
      </c>
      <c r="AD1094">
        <v>4</v>
      </c>
      <c r="AE1094">
        <v>13</v>
      </c>
      <c r="AF1094">
        <v>7</v>
      </c>
      <c r="AG1094">
        <v>5</v>
      </c>
      <c r="AH1094">
        <v>7</v>
      </c>
      <c r="AI1094">
        <v>0</v>
      </c>
      <c r="AJ1094" s="19" t="s">
        <v>1571</v>
      </c>
      <c r="AK1094" s="19" t="s">
        <v>1570</v>
      </c>
      <c r="AL1094">
        <v>2</v>
      </c>
      <c r="AM1094" s="19" t="s">
        <v>1564</v>
      </c>
      <c r="AN1094">
        <v>-0.67384530054679859</v>
      </c>
      <c r="AO1094">
        <v>198288</v>
      </c>
    </row>
    <row r="1095" spans="1:41" x14ac:dyDescent="0.3">
      <c r="A1095" s="19" t="s">
        <v>1161</v>
      </c>
      <c r="B1095">
        <v>42</v>
      </c>
      <c r="C1095" s="19" t="s">
        <v>802</v>
      </c>
      <c r="D1095" s="19" t="s">
        <v>55</v>
      </c>
      <c r="E1095" s="19" t="s">
        <v>48</v>
      </c>
      <c r="F1095">
        <v>419</v>
      </c>
      <c r="G1095" s="19" t="s">
        <v>932</v>
      </c>
      <c r="H1095">
        <v>12</v>
      </c>
      <c r="I1095">
        <v>4</v>
      </c>
      <c r="J1095" s="19" t="s">
        <v>63</v>
      </c>
      <c r="K1095">
        <v>1943</v>
      </c>
      <c r="L1095">
        <v>2</v>
      </c>
      <c r="M1095" s="19" t="s">
        <v>51</v>
      </c>
      <c r="N1095">
        <v>3</v>
      </c>
      <c r="O1095">
        <v>2</v>
      </c>
      <c r="P1095" s="19" t="s">
        <v>145</v>
      </c>
      <c r="Q1095">
        <v>4</v>
      </c>
      <c r="R1095" s="19" t="s">
        <v>113</v>
      </c>
      <c r="S1095">
        <v>20282</v>
      </c>
      <c r="T1095" s="19" t="s">
        <v>54</v>
      </c>
      <c r="U1095">
        <v>126.76</v>
      </c>
      <c r="V1095">
        <v>3</v>
      </c>
      <c r="W1095" s="19" t="s">
        <v>47</v>
      </c>
      <c r="X1095">
        <v>12</v>
      </c>
      <c r="Y1095">
        <v>3</v>
      </c>
      <c r="Z1095">
        <v>3</v>
      </c>
      <c r="AA1095">
        <v>2</v>
      </c>
      <c r="AB1095">
        <v>14</v>
      </c>
      <c r="AC1095">
        <v>4</v>
      </c>
      <c r="AD1095">
        <v>3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 s="19" t="s">
        <v>1561</v>
      </c>
      <c r="AK1095" s="19" t="s">
        <v>1562</v>
      </c>
      <c r="AL1095">
        <v>1</v>
      </c>
      <c r="AM1095" s="19" t="s">
        <v>1565</v>
      </c>
      <c r="AN1095">
        <v>-0.58657074144402832</v>
      </c>
      <c r="AO1095">
        <v>243384</v>
      </c>
    </row>
    <row r="1096" spans="1:41" x14ac:dyDescent="0.3">
      <c r="A1096" s="19" t="s">
        <v>1162</v>
      </c>
      <c r="B1096">
        <v>42</v>
      </c>
      <c r="C1096" s="19" t="s">
        <v>802</v>
      </c>
      <c r="D1096" s="19" t="s">
        <v>55</v>
      </c>
      <c r="E1096" s="19" t="s">
        <v>66</v>
      </c>
      <c r="F1096">
        <v>335</v>
      </c>
      <c r="G1096" s="19" t="s">
        <v>735</v>
      </c>
      <c r="H1096">
        <v>23</v>
      </c>
      <c r="I1096">
        <v>2</v>
      </c>
      <c r="J1096" s="19" t="s">
        <v>50</v>
      </c>
      <c r="K1096">
        <v>1976</v>
      </c>
      <c r="L1096">
        <v>4</v>
      </c>
      <c r="M1096" s="19" t="s">
        <v>51</v>
      </c>
      <c r="N1096">
        <v>2</v>
      </c>
      <c r="O1096">
        <v>2</v>
      </c>
      <c r="P1096" s="19" t="s">
        <v>67</v>
      </c>
      <c r="Q1096">
        <v>3</v>
      </c>
      <c r="R1096" s="19" t="s">
        <v>53</v>
      </c>
      <c r="S1096">
        <v>24930</v>
      </c>
      <c r="T1096" s="19" t="s">
        <v>54</v>
      </c>
      <c r="U1096">
        <v>155.81</v>
      </c>
      <c r="V1096">
        <v>1</v>
      </c>
      <c r="W1096" s="19" t="s">
        <v>55</v>
      </c>
      <c r="X1096">
        <v>12</v>
      </c>
      <c r="Y1096">
        <v>3</v>
      </c>
      <c r="Z1096">
        <v>4</v>
      </c>
      <c r="AA1096">
        <v>0</v>
      </c>
      <c r="AB1096">
        <v>20</v>
      </c>
      <c r="AC1096">
        <v>2</v>
      </c>
      <c r="AD1096">
        <v>3</v>
      </c>
      <c r="AE1096">
        <v>20</v>
      </c>
      <c r="AF1096">
        <v>9</v>
      </c>
      <c r="AG1096">
        <v>3</v>
      </c>
      <c r="AH1096">
        <v>7</v>
      </c>
      <c r="AI1096">
        <v>0</v>
      </c>
      <c r="AJ1096" s="19" t="s">
        <v>1571</v>
      </c>
      <c r="AK1096" s="19" t="s">
        <v>1570</v>
      </c>
      <c r="AL1096">
        <v>1</v>
      </c>
      <c r="AM1096" s="19" t="s">
        <v>1565</v>
      </c>
      <c r="AN1096">
        <v>-0.50006118774865227</v>
      </c>
      <c r="AO1096">
        <v>299160</v>
      </c>
    </row>
    <row r="1097" spans="1:41" x14ac:dyDescent="0.3">
      <c r="A1097" s="19" t="s">
        <v>1163</v>
      </c>
      <c r="B1097">
        <v>42</v>
      </c>
      <c r="C1097" s="19" t="s">
        <v>802</v>
      </c>
      <c r="D1097" s="19" t="s">
        <v>55</v>
      </c>
      <c r="E1097" s="19" t="s">
        <v>48</v>
      </c>
      <c r="F1097">
        <v>557</v>
      </c>
      <c r="G1097" s="19" t="s">
        <v>735</v>
      </c>
      <c r="H1097">
        <v>18</v>
      </c>
      <c r="I1097">
        <v>4</v>
      </c>
      <c r="J1097" s="19" t="s">
        <v>50</v>
      </c>
      <c r="K1097">
        <v>1998</v>
      </c>
      <c r="L1097">
        <v>4</v>
      </c>
      <c r="M1097" s="19" t="s">
        <v>51</v>
      </c>
      <c r="N1097">
        <v>3</v>
      </c>
      <c r="O1097">
        <v>2</v>
      </c>
      <c r="P1097" s="19" t="s">
        <v>67</v>
      </c>
      <c r="Q1097">
        <v>1</v>
      </c>
      <c r="R1097" s="19" t="s">
        <v>113</v>
      </c>
      <c r="S1097">
        <v>1077</v>
      </c>
      <c r="T1097" s="19" t="s">
        <v>54</v>
      </c>
      <c r="U1097">
        <v>6.73</v>
      </c>
      <c r="V1097">
        <v>6</v>
      </c>
      <c r="W1097" s="19" t="s">
        <v>47</v>
      </c>
      <c r="X1097">
        <v>17</v>
      </c>
      <c r="Y1097">
        <v>3</v>
      </c>
      <c r="Z1097">
        <v>3</v>
      </c>
      <c r="AA1097">
        <v>1</v>
      </c>
      <c r="AB1097">
        <v>9</v>
      </c>
      <c r="AC1097">
        <v>3</v>
      </c>
      <c r="AD1097">
        <v>2</v>
      </c>
      <c r="AE1097">
        <v>4</v>
      </c>
      <c r="AF1097">
        <v>3</v>
      </c>
      <c r="AG1097">
        <v>1</v>
      </c>
      <c r="AH1097">
        <v>2</v>
      </c>
      <c r="AI1097">
        <v>0</v>
      </c>
      <c r="AJ1097" s="19" t="s">
        <v>1567</v>
      </c>
      <c r="AK1097" s="19" t="s">
        <v>1562</v>
      </c>
      <c r="AL1097">
        <v>3</v>
      </c>
      <c r="AM1097" s="19" t="s">
        <v>1568</v>
      </c>
      <c r="AN1097">
        <v>-0.97840216202187313</v>
      </c>
      <c r="AO1097">
        <v>12924</v>
      </c>
    </row>
    <row r="1098" spans="1:41" x14ac:dyDescent="0.3">
      <c r="A1098" s="19" t="s">
        <v>1164</v>
      </c>
      <c r="B1098">
        <v>42</v>
      </c>
      <c r="C1098" s="19" t="s">
        <v>802</v>
      </c>
      <c r="D1098" s="19" t="s">
        <v>55</v>
      </c>
      <c r="E1098" s="19" t="s">
        <v>48</v>
      </c>
      <c r="F1098">
        <v>300</v>
      </c>
      <c r="G1098" s="19" t="s">
        <v>735</v>
      </c>
      <c r="H1098">
        <v>2</v>
      </c>
      <c r="I1098">
        <v>3</v>
      </c>
      <c r="J1098" s="19" t="s">
        <v>50</v>
      </c>
      <c r="K1098">
        <v>2031</v>
      </c>
      <c r="L1098">
        <v>1</v>
      </c>
      <c r="M1098" s="19" t="s">
        <v>51</v>
      </c>
      <c r="N1098">
        <v>3</v>
      </c>
      <c r="O1098">
        <v>5</v>
      </c>
      <c r="P1098" s="19" t="s">
        <v>444</v>
      </c>
      <c r="Q1098">
        <v>3</v>
      </c>
      <c r="R1098" s="19" t="s">
        <v>113</v>
      </c>
      <c r="S1098">
        <v>21611</v>
      </c>
      <c r="T1098" s="19" t="s">
        <v>54</v>
      </c>
      <c r="U1098">
        <v>135.07</v>
      </c>
      <c r="V1098">
        <v>5</v>
      </c>
      <c r="W1098" s="19" t="s">
        <v>55</v>
      </c>
      <c r="X1098">
        <v>11</v>
      </c>
      <c r="Y1098">
        <v>3</v>
      </c>
      <c r="Z1098">
        <v>1</v>
      </c>
      <c r="AA1098">
        <v>0</v>
      </c>
      <c r="AB1098">
        <v>24</v>
      </c>
      <c r="AC1098">
        <v>2</v>
      </c>
      <c r="AD1098">
        <v>2</v>
      </c>
      <c r="AE1098">
        <v>22</v>
      </c>
      <c r="AF1098">
        <v>6</v>
      </c>
      <c r="AG1098">
        <v>4</v>
      </c>
      <c r="AH1098">
        <v>14</v>
      </c>
      <c r="AI1098">
        <v>0</v>
      </c>
      <c r="AJ1098" s="19" t="s">
        <v>1571</v>
      </c>
      <c r="AK1098" s="19" t="s">
        <v>1570</v>
      </c>
      <c r="AL1098">
        <v>2</v>
      </c>
      <c r="AM1098" s="19" t="s">
        <v>1564</v>
      </c>
      <c r="AN1098">
        <v>-0.58598279412527032</v>
      </c>
      <c r="AO1098">
        <v>259332</v>
      </c>
    </row>
    <row r="1099" spans="1:41" x14ac:dyDescent="0.3">
      <c r="A1099" s="19" t="s">
        <v>1165</v>
      </c>
      <c r="B1099">
        <v>43</v>
      </c>
      <c r="C1099" s="19" t="s">
        <v>802</v>
      </c>
      <c r="D1099" s="19" t="s">
        <v>55</v>
      </c>
      <c r="E1099" s="19" t="s">
        <v>48</v>
      </c>
      <c r="F1099">
        <v>1273</v>
      </c>
      <c r="G1099" s="19" t="s">
        <v>735</v>
      </c>
      <c r="H1099">
        <v>2</v>
      </c>
      <c r="I1099">
        <v>2</v>
      </c>
      <c r="J1099" s="19" t="s">
        <v>58</v>
      </c>
      <c r="K1099">
        <v>46</v>
      </c>
      <c r="L1099">
        <v>4</v>
      </c>
      <c r="M1099" s="19" t="s">
        <v>59</v>
      </c>
      <c r="N1099">
        <v>4</v>
      </c>
      <c r="O1099">
        <v>1</v>
      </c>
      <c r="P1099" s="19" t="s">
        <v>67</v>
      </c>
      <c r="Q1099">
        <v>3</v>
      </c>
      <c r="R1099" s="19" t="s">
        <v>113</v>
      </c>
      <c r="S1099">
        <v>17984</v>
      </c>
      <c r="T1099" s="19" t="s">
        <v>54</v>
      </c>
      <c r="U1099">
        <v>112.4</v>
      </c>
      <c r="V1099">
        <v>1</v>
      </c>
      <c r="W1099" s="19" t="s">
        <v>55</v>
      </c>
      <c r="X1099">
        <v>12</v>
      </c>
      <c r="Y1099">
        <v>3</v>
      </c>
      <c r="Z1099">
        <v>4</v>
      </c>
      <c r="AA1099">
        <v>2</v>
      </c>
      <c r="AB1099">
        <v>6</v>
      </c>
      <c r="AC1099">
        <v>3</v>
      </c>
      <c r="AD1099">
        <v>2</v>
      </c>
      <c r="AE1099">
        <v>5</v>
      </c>
      <c r="AF1099">
        <v>3</v>
      </c>
      <c r="AG1099">
        <v>1</v>
      </c>
      <c r="AH1099">
        <v>4</v>
      </c>
      <c r="AI1099">
        <v>0</v>
      </c>
      <c r="AJ1099" s="19" t="s">
        <v>1567</v>
      </c>
      <c r="AK1099" s="19" t="s">
        <v>1562</v>
      </c>
      <c r="AL1099">
        <v>1</v>
      </c>
      <c r="AM1099" s="19" t="s">
        <v>1565</v>
      </c>
      <c r="AN1099">
        <v>-0.6393542078007125</v>
      </c>
      <c r="AO1099">
        <v>215808</v>
      </c>
    </row>
    <row r="1100" spans="1:41" x14ac:dyDescent="0.3">
      <c r="A1100" s="19" t="s">
        <v>1166</v>
      </c>
      <c r="B1100">
        <v>43</v>
      </c>
      <c r="C1100" s="19" t="s">
        <v>802</v>
      </c>
      <c r="D1100" s="19" t="s">
        <v>55</v>
      </c>
      <c r="E1100" s="19" t="s">
        <v>62</v>
      </c>
      <c r="F1100">
        <v>394</v>
      </c>
      <c r="G1100" s="19" t="s">
        <v>932</v>
      </c>
      <c r="H1100">
        <v>26</v>
      </c>
      <c r="I1100">
        <v>2</v>
      </c>
      <c r="J1100" s="19" t="s">
        <v>50</v>
      </c>
      <c r="K1100">
        <v>158</v>
      </c>
      <c r="L1100">
        <v>3</v>
      </c>
      <c r="M1100" s="19" t="s">
        <v>51</v>
      </c>
      <c r="N1100">
        <v>3</v>
      </c>
      <c r="O1100">
        <v>4</v>
      </c>
      <c r="P1100" s="19" t="s">
        <v>444</v>
      </c>
      <c r="Q1100">
        <v>4</v>
      </c>
      <c r="R1100" s="19" t="s">
        <v>113</v>
      </c>
      <c r="S1100">
        <v>15060</v>
      </c>
      <c r="T1100" s="19" t="s">
        <v>54</v>
      </c>
      <c r="U1100">
        <v>94.12</v>
      </c>
      <c r="V1100">
        <v>1</v>
      </c>
      <c r="W1100" s="19" t="s">
        <v>47</v>
      </c>
      <c r="X1100">
        <v>12</v>
      </c>
      <c r="Y1100">
        <v>3</v>
      </c>
      <c r="Z1100">
        <v>4</v>
      </c>
      <c r="AA1100">
        <v>2</v>
      </c>
      <c r="AB1100">
        <v>25</v>
      </c>
      <c r="AC1100">
        <v>3</v>
      </c>
      <c r="AD1100">
        <v>4</v>
      </c>
      <c r="AE1100">
        <v>25</v>
      </c>
      <c r="AF1100">
        <v>12</v>
      </c>
      <c r="AG1100">
        <v>4</v>
      </c>
      <c r="AH1100">
        <v>12</v>
      </c>
      <c r="AI1100">
        <v>0</v>
      </c>
      <c r="AJ1100" s="19" t="s">
        <v>1571</v>
      </c>
      <c r="AK1100" s="19" t="s">
        <v>1570</v>
      </c>
      <c r="AL1100">
        <v>2</v>
      </c>
      <c r="AM1100" s="19" t="s">
        <v>1564</v>
      </c>
      <c r="AN1100">
        <v>-0.71148493265126889</v>
      </c>
      <c r="AO1100">
        <v>180720</v>
      </c>
    </row>
    <row r="1101" spans="1:41" x14ac:dyDescent="0.3">
      <c r="A1101" s="19" t="s">
        <v>1167</v>
      </c>
      <c r="B1101">
        <v>43</v>
      </c>
      <c r="C1101" s="19" t="s">
        <v>802</v>
      </c>
      <c r="D1101" s="19" t="s">
        <v>55</v>
      </c>
      <c r="E1101" s="19" t="s">
        <v>62</v>
      </c>
      <c r="F1101">
        <v>957</v>
      </c>
      <c r="G1101" s="19" t="s">
        <v>735</v>
      </c>
      <c r="H1101">
        <v>28</v>
      </c>
      <c r="I1101">
        <v>3</v>
      </c>
      <c r="J1101" s="19" t="s">
        <v>58</v>
      </c>
      <c r="K1101">
        <v>171</v>
      </c>
      <c r="L1101">
        <v>2</v>
      </c>
      <c r="M1101" s="19" t="s">
        <v>59</v>
      </c>
      <c r="N1101">
        <v>4</v>
      </c>
      <c r="O1101">
        <v>1</v>
      </c>
      <c r="P1101" s="19" t="s">
        <v>67</v>
      </c>
      <c r="Q1101">
        <v>3</v>
      </c>
      <c r="R1101" s="19" t="s">
        <v>53</v>
      </c>
      <c r="S1101">
        <v>83985</v>
      </c>
      <c r="T1101" s="19" t="s">
        <v>70</v>
      </c>
      <c r="U1101">
        <v>524.91</v>
      </c>
      <c r="V1101">
        <v>4</v>
      </c>
      <c r="W1101" s="19" t="s">
        <v>55</v>
      </c>
      <c r="X1101">
        <v>12</v>
      </c>
      <c r="Y1101">
        <v>3</v>
      </c>
      <c r="Z1101">
        <v>4</v>
      </c>
      <c r="AA1101">
        <v>0</v>
      </c>
      <c r="AB1101">
        <v>18</v>
      </c>
      <c r="AC1101">
        <v>2</v>
      </c>
      <c r="AD1101">
        <v>3</v>
      </c>
      <c r="AE1101">
        <v>3</v>
      </c>
      <c r="AF1101">
        <v>2</v>
      </c>
      <c r="AG1101">
        <v>1</v>
      </c>
      <c r="AH1101">
        <v>2</v>
      </c>
      <c r="AI1101">
        <v>0</v>
      </c>
      <c r="AJ1101" s="19" t="s">
        <v>1566</v>
      </c>
      <c r="AK1101" s="19" t="s">
        <v>1562</v>
      </c>
      <c r="AL1101">
        <v>0</v>
      </c>
      <c r="AM1101" s="19" t="s">
        <v>1563</v>
      </c>
      <c r="AN1101">
        <v>0.68421023453387253</v>
      </c>
      <c r="AO1101">
        <v>1007820</v>
      </c>
    </row>
    <row r="1102" spans="1:41" x14ac:dyDescent="0.3">
      <c r="A1102" s="19" t="s">
        <v>1168</v>
      </c>
      <c r="B1102">
        <v>43</v>
      </c>
      <c r="C1102" s="19" t="s">
        <v>802</v>
      </c>
      <c r="D1102" s="19" t="s">
        <v>55</v>
      </c>
      <c r="E1102" s="19" t="s">
        <v>66</v>
      </c>
      <c r="F1102">
        <v>1344</v>
      </c>
      <c r="G1102" s="19" t="s">
        <v>735</v>
      </c>
      <c r="H1102">
        <v>7</v>
      </c>
      <c r="I1102">
        <v>3</v>
      </c>
      <c r="J1102" s="19" t="s">
        <v>58</v>
      </c>
      <c r="K1102">
        <v>262</v>
      </c>
      <c r="L1102">
        <v>4</v>
      </c>
      <c r="M1102" s="19" t="s">
        <v>51</v>
      </c>
      <c r="N1102">
        <v>4</v>
      </c>
      <c r="O1102">
        <v>1</v>
      </c>
      <c r="P1102" s="19" t="s">
        <v>67</v>
      </c>
      <c r="Q1102">
        <v>4</v>
      </c>
      <c r="R1102" s="19" t="s">
        <v>53</v>
      </c>
      <c r="S1102">
        <v>85056</v>
      </c>
      <c r="T1102" s="19" t="s">
        <v>70</v>
      </c>
      <c r="U1102">
        <v>531.6</v>
      </c>
      <c r="V1102">
        <v>4</v>
      </c>
      <c r="W1102" s="19" t="s">
        <v>55</v>
      </c>
      <c r="X1102">
        <v>14</v>
      </c>
      <c r="Y1102">
        <v>3</v>
      </c>
      <c r="Z1102">
        <v>4</v>
      </c>
      <c r="AA1102">
        <v>3</v>
      </c>
      <c r="AB1102">
        <v>7</v>
      </c>
      <c r="AC1102">
        <v>3</v>
      </c>
      <c r="AD1102">
        <v>4</v>
      </c>
      <c r="AE1102">
        <v>5</v>
      </c>
      <c r="AF1102">
        <v>4</v>
      </c>
      <c r="AG1102">
        <v>2</v>
      </c>
      <c r="AH1102">
        <v>2</v>
      </c>
      <c r="AI1102">
        <v>0</v>
      </c>
      <c r="AJ1102" s="19" t="s">
        <v>1567</v>
      </c>
      <c r="AK1102" s="19" t="s">
        <v>1562</v>
      </c>
      <c r="AL1102">
        <v>0</v>
      </c>
      <c r="AM1102" s="19" t="s">
        <v>1563</v>
      </c>
      <c r="AN1102">
        <v>0.70568775029485098</v>
      </c>
      <c r="AO1102">
        <v>1020672</v>
      </c>
    </row>
    <row r="1103" spans="1:41" x14ac:dyDescent="0.3">
      <c r="A1103" s="19" t="s">
        <v>1169</v>
      </c>
      <c r="B1103">
        <v>43</v>
      </c>
      <c r="C1103" s="19" t="s">
        <v>802</v>
      </c>
      <c r="D1103" s="19" t="s">
        <v>55</v>
      </c>
      <c r="E1103" s="19" t="s">
        <v>48</v>
      </c>
      <c r="F1103">
        <v>1034</v>
      </c>
      <c r="G1103" s="19" t="s">
        <v>932</v>
      </c>
      <c r="H1103">
        <v>16</v>
      </c>
      <c r="I1103">
        <v>3</v>
      </c>
      <c r="J1103" s="19" t="s">
        <v>63</v>
      </c>
      <c r="K1103">
        <v>327</v>
      </c>
      <c r="L1103">
        <v>4</v>
      </c>
      <c r="M1103" s="19" t="s">
        <v>59</v>
      </c>
      <c r="N1103">
        <v>3</v>
      </c>
      <c r="O1103">
        <v>4</v>
      </c>
      <c r="P1103" s="19" t="s">
        <v>444</v>
      </c>
      <c r="Q1103">
        <v>4</v>
      </c>
      <c r="R1103" s="19" t="s">
        <v>113</v>
      </c>
      <c r="S1103">
        <v>44303</v>
      </c>
      <c r="T1103" s="19" t="s">
        <v>72</v>
      </c>
      <c r="U1103">
        <v>276.89</v>
      </c>
      <c r="V1103">
        <v>5</v>
      </c>
      <c r="W1103" s="19" t="s">
        <v>47</v>
      </c>
      <c r="X1103">
        <v>22</v>
      </c>
      <c r="Y1103">
        <v>4</v>
      </c>
      <c r="Z1103">
        <v>3</v>
      </c>
      <c r="AA1103">
        <v>1</v>
      </c>
      <c r="AB1103">
        <v>22</v>
      </c>
      <c r="AC1103">
        <v>3</v>
      </c>
      <c r="AD1103">
        <v>3</v>
      </c>
      <c r="AE1103">
        <v>17</v>
      </c>
      <c r="AF1103">
        <v>13</v>
      </c>
      <c r="AG1103">
        <v>1</v>
      </c>
      <c r="AH1103">
        <v>9</v>
      </c>
      <c r="AI1103">
        <v>0</v>
      </c>
      <c r="AJ1103" s="19" t="s">
        <v>1571</v>
      </c>
      <c r="AK1103" s="19" t="s">
        <v>1562</v>
      </c>
      <c r="AL1103">
        <v>1</v>
      </c>
      <c r="AM1103" s="19" t="s">
        <v>1565</v>
      </c>
      <c r="AN1103">
        <v>-0.15125610698865638</v>
      </c>
      <c r="AO1103">
        <v>531636</v>
      </c>
    </row>
    <row r="1104" spans="1:41" x14ac:dyDescent="0.3">
      <c r="A1104" s="19" t="s">
        <v>1170</v>
      </c>
      <c r="B1104">
        <v>43</v>
      </c>
      <c r="C1104" s="19" t="s">
        <v>802</v>
      </c>
      <c r="D1104" s="19" t="s">
        <v>55</v>
      </c>
      <c r="E1104" s="19" t="s">
        <v>62</v>
      </c>
      <c r="F1104">
        <v>185</v>
      </c>
      <c r="G1104" s="19" t="s">
        <v>735</v>
      </c>
      <c r="H1104">
        <v>10</v>
      </c>
      <c r="I1104">
        <v>4</v>
      </c>
      <c r="J1104" s="19" t="s">
        <v>50</v>
      </c>
      <c r="K1104">
        <v>430</v>
      </c>
      <c r="L1104">
        <v>3</v>
      </c>
      <c r="M1104" s="19" t="s">
        <v>59</v>
      </c>
      <c r="N1104">
        <v>3</v>
      </c>
      <c r="O1104">
        <v>1</v>
      </c>
      <c r="P1104" s="19" t="s">
        <v>52</v>
      </c>
      <c r="Q1104">
        <v>4</v>
      </c>
      <c r="R1104" s="19" t="s">
        <v>53</v>
      </c>
      <c r="S1104">
        <v>60207</v>
      </c>
      <c r="T1104" s="19" t="s">
        <v>64</v>
      </c>
      <c r="U1104">
        <v>376.29</v>
      </c>
      <c r="V1104">
        <v>0</v>
      </c>
      <c r="W1104" s="19" t="s">
        <v>55</v>
      </c>
      <c r="X1104">
        <v>19</v>
      </c>
      <c r="Y1104">
        <v>3</v>
      </c>
      <c r="Z1104">
        <v>1</v>
      </c>
      <c r="AA1104">
        <v>0</v>
      </c>
      <c r="AB1104">
        <v>9</v>
      </c>
      <c r="AC1104">
        <v>5</v>
      </c>
      <c r="AD1104">
        <v>3</v>
      </c>
      <c r="AE1104">
        <v>8</v>
      </c>
      <c r="AF1104">
        <v>7</v>
      </c>
      <c r="AG1104">
        <v>1</v>
      </c>
      <c r="AH1104">
        <v>7</v>
      </c>
      <c r="AI1104">
        <v>0</v>
      </c>
      <c r="AJ1104" s="19" t="s">
        <v>1569</v>
      </c>
      <c r="AK1104" s="19" t="s">
        <v>1562</v>
      </c>
      <c r="AL1104">
        <v>0</v>
      </c>
      <c r="AM1104" s="19" t="s">
        <v>1563</v>
      </c>
      <c r="AN1104">
        <v>0.16408165794305388</v>
      </c>
      <c r="AO1104">
        <v>722484</v>
      </c>
    </row>
    <row r="1105" spans="1:41" x14ac:dyDescent="0.3">
      <c r="A1105" s="19" t="s">
        <v>1171</v>
      </c>
      <c r="B1105">
        <v>43</v>
      </c>
      <c r="C1105" s="19" t="s">
        <v>802</v>
      </c>
      <c r="D1105" s="19" t="s">
        <v>55</v>
      </c>
      <c r="E1105" s="19" t="s">
        <v>62</v>
      </c>
      <c r="F1105">
        <v>559</v>
      </c>
      <c r="G1105" s="19" t="s">
        <v>735</v>
      </c>
      <c r="H1105">
        <v>10</v>
      </c>
      <c r="I1105">
        <v>4</v>
      </c>
      <c r="J1105" s="19" t="s">
        <v>50</v>
      </c>
      <c r="K1105">
        <v>448</v>
      </c>
      <c r="L1105">
        <v>3</v>
      </c>
      <c r="M1105" s="19" t="s">
        <v>59</v>
      </c>
      <c r="N1105">
        <v>2</v>
      </c>
      <c r="O1105">
        <v>2</v>
      </c>
      <c r="P1105" s="19" t="s">
        <v>52</v>
      </c>
      <c r="Q1105">
        <v>3</v>
      </c>
      <c r="R1105" s="19" t="s">
        <v>53</v>
      </c>
      <c r="S1105">
        <v>76046</v>
      </c>
      <c r="T1105" s="19" t="s">
        <v>64</v>
      </c>
      <c r="U1105">
        <v>475.29</v>
      </c>
      <c r="V1105">
        <v>1</v>
      </c>
      <c r="W1105" s="19" t="s">
        <v>55</v>
      </c>
      <c r="X1105">
        <v>11</v>
      </c>
      <c r="Y1105">
        <v>3</v>
      </c>
      <c r="Z1105">
        <v>2</v>
      </c>
      <c r="AA1105">
        <v>1</v>
      </c>
      <c r="AB1105">
        <v>9</v>
      </c>
      <c r="AC1105">
        <v>3</v>
      </c>
      <c r="AD1105">
        <v>4</v>
      </c>
      <c r="AE1105">
        <v>9</v>
      </c>
      <c r="AF1105">
        <v>7</v>
      </c>
      <c r="AG1105">
        <v>0</v>
      </c>
      <c r="AH1105">
        <v>0</v>
      </c>
      <c r="AI1105">
        <v>0</v>
      </c>
      <c r="AJ1105" s="19" t="s">
        <v>1569</v>
      </c>
      <c r="AK1105" s="19" t="s">
        <v>1562</v>
      </c>
      <c r="AL1105">
        <v>0</v>
      </c>
      <c r="AM1105" s="19" t="s">
        <v>1563</v>
      </c>
      <c r="AN1105">
        <v>0.4703232806806098</v>
      </c>
      <c r="AO1105">
        <v>912552</v>
      </c>
    </row>
    <row r="1106" spans="1:41" x14ac:dyDescent="0.3">
      <c r="A1106" s="19" t="s">
        <v>1172</v>
      </c>
      <c r="B1106">
        <v>43</v>
      </c>
      <c r="C1106" s="19" t="s">
        <v>802</v>
      </c>
      <c r="D1106" s="19" t="s">
        <v>55</v>
      </c>
      <c r="E1106" s="19" t="s">
        <v>48</v>
      </c>
      <c r="F1106">
        <v>1001</v>
      </c>
      <c r="G1106" s="19" t="s">
        <v>735</v>
      </c>
      <c r="H1106">
        <v>7</v>
      </c>
      <c r="I1106">
        <v>3</v>
      </c>
      <c r="J1106" s="19" t="s">
        <v>50</v>
      </c>
      <c r="K1106">
        <v>451</v>
      </c>
      <c r="L1106">
        <v>3</v>
      </c>
      <c r="M1106" s="19" t="s">
        <v>59</v>
      </c>
      <c r="N1106">
        <v>3</v>
      </c>
      <c r="O1106">
        <v>3</v>
      </c>
      <c r="P1106" s="19" t="s">
        <v>168</v>
      </c>
      <c r="Q1106">
        <v>1</v>
      </c>
      <c r="R1106" s="19" t="s">
        <v>113</v>
      </c>
      <c r="S1106">
        <v>30287</v>
      </c>
      <c r="T1106" s="19" t="s">
        <v>72</v>
      </c>
      <c r="U1106">
        <v>189.29</v>
      </c>
      <c r="V1106">
        <v>8</v>
      </c>
      <c r="W1106" s="19" t="s">
        <v>55</v>
      </c>
      <c r="X1106">
        <v>16</v>
      </c>
      <c r="Y1106">
        <v>3</v>
      </c>
      <c r="Z1106">
        <v>1</v>
      </c>
      <c r="AA1106">
        <v>1</v>
      </c>
      <c r="AB1106">
        <v>10</v>
      </c>
      <c r="AC1106">
        <v>1</v>
      </c>
      <c r="AD1106">
        <v>2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 s="19" t="s">
        <v>1561</v>
      </c>
      <c r="AK1106" s="19" t="s">
        <v>1562</v>
      </c>
      <c r="AL1106">
        <v>2</v>
      </c>
      <c r="AM1106" s="19" t="s">
        <v>1564</v>
      </c>
      <c r="AN1106">
        <v>-0.37149743273529306</v>
      </c>
      <c r="AO1106">
        <v>363444</v>
      </c>
    </row>
    <row r="1107" spans="1:41" x14ac:dyDescent="0.3">
      <c r="A1107" s="19" t="s">
        <v>1173</v>
      </c>
      <c r="B1107">
        <v>43</v>
      </c>
      <c r="C1107" s="19" t="s">
        <v>802</v>
      </c>
      <c r="D1107" s="19" t="s">
        <v>55</v>
      </c>
      <c r="E1107" s="19" t="s">
        <v>48</v>
      </c>
      <c r="F1107">
        <v>982</v>
      </c>
      <c r="G1107" s="19" t="s">
        <v>735</v>
      </c>
      <c r="H1107">
        <v>12</v>
      </c>
      <c r="I1107">
        <v>3</v>
      </c>
      <c r="J1107" s="19" t="s">
        <v>50</v>
      </c>
      <c r="K1107">
        <v>520</v>
      </c>
      <c r="L1107">
        <v>1</v>
      </c>
      <c r="M1107" s="19" t="s">
        <v>51</v>
      </c>
      <c r="N1107">
        <v>2</v>
      </c>
      <c r="O1107">
        <v>4</v>
      </c>
      <c r="P1107" s="19" t="s">
        <v>257</v>
      </c>
      <c r="Q1107">
        <v>2</v>
      </c>
      <c r="R1107" s="19" t="s">
        <v>113</v>
      </c>
      <c r="S1107">
        <v>94709</v>
      </c>
      <c r="T1107" s="19" t="s">
        <v>70</v>
      </c>
      <c r="U1107">
        <v>591.92999999999995</v>
      </c>
      <c r="V1107">
        <v>1</v>
      </c>
      <c r="W1107" s="19" t="s">
        <v>55</v>
      </c>
      <c r="X1107">
        <v>11</v>
      </c>
      <c r="Y1107">
        <v>3</v>
      </c>
      <c r="Z1107">
        <v>3</v>
      </c>
      <c r="AA1107">
        <v>1</v>
      </c>
      <c r="AB1107">
        <v>25</v>
      </c>
      <c r="AC1107">
        <v>3</v>
      </c>
      <c r="AD1107">
        <v>3</v>
      </c>
      <c r="AE1107">
        <v>25</v>
      </c>
      <c r="AF1107">
        <v>10</v>
      </c>
      <c r="AG1107">
        <v>3</v>
      </c>
      <c r="AH1107">
        <v>9</v>
      </c>
      <c r="AI1107">
        <v>0</v>
      </c>
      <c r="AJ1107" s="19" t="s">
        <v>1571</v>
      </c>
      <c r="AK1107" s="19" t="s">
        <v>1570</v>
      </c>
      <c r="AL1107">
        <v>2</v>
      </c>
      <c r="AM1107" s="19" t="s">
        <v>1564</v>
      </c>
      <c r="AN1107">
        <v>0.86938909649680773</v>
      </c>
      <c r="AO1107">
        <v>1136508</v>
      </c>
    </row>
    <row r="1108" spans="1:41" x14ac:dyDescent="0.3">
      <c r="A1108" s="19" t="s">
        <v>1174</v>
      </c>
      <c r="B1108">
        <v>43</v>
      </c>
      <c r="C1108" s="19" t="s">
        <v>802</v>
      </c>
      <c r="D1108" s="19" t="s">
        <v>55</v>
      </c>
      <c r="E1108" s="19" t="s">
        <v>62</v>
      </c>
      <c r="F1108">
        <v>313</v>
      </c>
      <c r="G1108" s="19" t="s">
        <v>735</v>
      </c>
      <c r="H1108">
        <v>21</v>
      </c>
      <c r="I1108">
        <v>3</v>
      </c>
      <c r="J1108" s="19" t="s">
        <v>58</v>
      </c>
      <c r="K1108">
        <v>525</v>
      </c>
      <c r="L1108">
        <v>4</v>
      </c>
      <c r="M1108" s="19" t="s">
        <v>51</v>
      </c>
      <c r="N1108">
        <v>3</v>
      </c>
      <c r="O1108">
        <v>1</v>
      </c>
      <c r="P1108" s="19" t="s">
        <v>52</v>
      </c>
      <c r="Q1108">
        <v>4</v>
      </c>
      <c r="R1108" s="19" t="s">
        <v>113</v>
      </c>
      <c r="S1108">
        <v>40711</v>
      </c>
      <c r="T1108" s="19" t="s">
        <v>72</v>
      </c>
      <c r="U1108">
        <v>254.44</v>
      </c>
      <c r="V1108">
        <v>7</v>
      </c>
      <c r="W1108" s="19" t="s">
        <v>55</v>
      </c>
      <c r="X1108">
        <v>20</v>
      </c>
      <c r="Y1108">
        <v>4</v>
      </c>
      <c r="Z1108">
        <v>1</v>
      </c>
      <c r="AA1108">
        <v>1</v>
      </c>
      <c r="AB1108">
        <v>8</v>
      </c>
      <c r="AC1108">
        <v>1</v>
      </c>
      <c r="AD1108">
        <v>3</v>
      </c>
      <c r="AE1108">
        <v>3</v>
      </c>
      <c r="AF1108">
        <v>2</v>
      </c>
      <c r="AG1108">
        <v>1</v>
      </c>
      <c r="AH1108">
        <v>2</v>
      </c>
      <c r="AI1108">
        <v>0</v>
      </c>
      <c r="AJ1108" s="19" t="s">
        <v>1566</v>
      </c>
      <c r="AK1108" s="19" t="s">
        <v>1562</v>
      </c>
      <c r="AL1108">
        <v>0</v>
      </c>
      <c r="AM1108" s="19" t="s">
        <v>1563</v>
      </c>
      <c r="AN1108">
        <v>-0.21286680325344784</v>
      </c>
      <c r="AO1108">
        <v>488532</v>
      </c>
    </row>
    <row r="1109" spans="1:41" x14ac:dyDescent="0.3">
      <c r="A1109" s="19" t="s">
        <v>1175</v>
      </c>
      <c r="B1109">
        <v>43</v>
      </c>
      <c r="C1109" s="19" t="s">
        <v>802</v>
      </c>
      <c r="D1109" s="19" t="s">
        <v>55</v>
      </c>
      <c r="E1109" s="19" t="s">
        <v>48</v>
      </c>
      <c r="F1109">
        <v>1473</v>
      </c>
      <c r="G1109" s="19" t="s">
        <v>735</v>
      </c>
      <c r="H1109">
        <v>8</v>
      </c>
      <c r="I1109">
        <v>4</v>
      </c>
      <c r="J1109" s="19" t="s">
        <v>82</v>
      </c>
      <c r="K1109">
        <v>526</v>
      </c>
      <c r="L1109">
        <v>3</v>
      </c>
      <c r="M1109" s="19" t="s">
        <v>59</v>
      </c>
      <c r="N1109">
        <v>3</v>
      </c>
      <c r="O1109">
        <v>2</v>
      </c>
      <c r="P1109" s="19" t="s">
        <v>168</v>
      </c>
      <c r="Q1109">
        <v>3</v>
      </c>
      <c r="R1109" s="19" t="s">
        <v>113</v>
      </c>
      <c r="S1109">
        <v>12954</v>
      </c>
      <c r="T1109" s="19" t="s">
        <v>54</v>
      </c>
      <c r="U1109">
        <v>80.959999999999994</v>
      </c>
      <c r="V1109">
        <v>4</v>
      </c>
      <c r="W1109" s="19" t="s">
        <v>47</v>
      </c>
      <c r="X1109">
        <v>14</v>
      </c>
      <c r="Y1109">
        <v>3</v>
      </c>
      <c r="Z1109">
        <v>4</v>
      </c>
      <c r="AA1109">
        <v>0</v>
      </c>
      <c r="AB1109">
        <v>8</v>
      </c>
      <c r="AC1109">
        <v>3</v>
      </c>
      <c r="AD1109">
        <v>3</v>
      </c>
      <c r="AE1109">
        <v>5</v>
      </c>
      <c r="AF1109">
        <v>2</v>
      </c>
      <c r="AG1109">
        <v>0</v>
      </c>
      <c r="AH1109">
        <v>2</v>
      </c>
      <c r="AI1109">
        <v>0</v>
      </c>
      <c r="AJ1109" s="19" t="s">
        <v>1567</v>
      </c>
      <c r="AK1109" s="19" t="s">
        <v>1562</v>
      </c>
      <c r="AL1109">
        <v>1</v>
      </c>
      <c r="AM1109" s="19" t="s">
        <v>1565</v>
      </c>
      <c r="AN1109">
        <v>-0.73118426201515452</v>
      </c>
      <c r="AO1109">
        <v>155448</v>
      </c>
    </row>
    <row r="1110" spans="1:41" x14ac:dyDescent="0.3">
      <c r="A1110" s="19" t="s">
        <v>1176</v>
      </c>
      <c r="B1110">
        <v>43</v>
      </c>
      <c r="C1110" s="19" t="s">
        <v>802</v>
      </c>
      <c r="D1110" s="19" t="s">
        <v>55</v>
      </c>
      <c r="E1110" s="19" t="s">
        <v>48</v>
      </c>
      <c r="F1110">
        <v>782</v>
      </c>
      <c r="G1110" s="19" t="s">
        <v>735</v>
      </c>
      <c r="H1110">
        <v>6</v>
      </c>
      <c r="I1110">
        <v>4</v>
      </c>
      <c r="J1110" s="19" t="s">
        <v>82</v>
      </c>
      <c r="K1110">
        <v>661</v>
      </c>
      <c r="L1110">
        <v>2</v>
      </c>
      <c r="M1110" s="19" t="s">
        <v>51</v>
      </c>
      <c r="N1110">
        <v>2</v>
      </c>
      <c r="O1110">
        <v>4</v>
      </c>
      <c r="P1110" s="19" t="s">
        <v>257</v>
      </c>
      <c r="Q1110">
        <v>4</v>
      </c>
      <c r="R1110" s="19" t="s">
        <v>113</v>
      </c>
      <c r="S1110">
        <v>74340</v>
      </c>
      <c r="T1110" s="19" t="s">
        <v>64</v>
      </c>
      <c r="U1110">
        <v>464.62</v>
      </c>
      <c r="V1110">
        <v>4</v>
      </c>
      <c r="W1110" s="19" t="s">
        <v>47</v>
      </c>
      <c r="X1110">
        <v>14</v>
      </c>
      <c r="Y1110">
        <v>3</v>
      </c>
      <c r="Z1110">
        <v>3</v>
      </c>
      <c r="AA1110">
        <v>1</v>
      </c>
      <c r="AB1110">
        <v>21</v>
      </c>
      <c r="AC1110">
        <v>3</v>
      </c>
      <c r="AD1110">
        <v>2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 s="19" t="s">
        <v>1561</v>
      </c>
      <c r="AK1110" s="19" t="s">
        <v>1562</v>
      </c>
      <c r="AL1110">
        <v>2</v>
      </c>
      <c r="AM1110" s="19" t="s">
        <v>1564</v>
      </c>
      <c r="AN1110">
        <v>0.46734085919577534</v>
      </c>
      <c r="AO1110">
        <v>892080</v>
      </c>
    </row>
    <row r="1111" spans="1:41" x14ac:dyDescent="0.3">
      <c r="A1111" s="19" t="s">
        <v>1177</v>
      </c>
      <c r="B1111">
        <v>43</v>
      </c>
      <c r="C1111" s="19" t="s">
        <v>802</v>
      </c>
      <c r="D1111" s="19" t="s">
        <v>55</v>
      </c>
      <c r="E1111" s="19" t="s">
        <v>62</v>
      </c>
      <c r="F1111">
        <v>1001</v>
      </c>
      <c r="G1111" s="19" t="s">
        <v>735</v>
      </c>
      <c r="H1111">
        <v>9</v>
      </c>
      <c r="I1111">
        <v>5</v>
      </c>
      <c r="J1111" s="19" t="s">
        <v>58</v>
      </c>
      <c r="K1111">
        <v>663</v>
      </c>
      <c r="L1111">
        <v>4</v>
      </c>
      <c r="M1111" s="19" t="s">
        <v>51</v>
      </c>
      <c r="N1111">
        <v>3</v>
      </c>
      <c r="O1111">
        <v>2</v>
      </c>
      <c r="P1111" s="19" t="s">
        <v>52</v>
      </c>
      <c r="Q1111">
        <v>3</v>
      </c>
      <c r="R1111" s="19" t="s">
        <v>53</v>
      </c>
      <c r="S1111">
        <v>73101</v>
      </c>
      <c r="T1111" s="19" t="s">
        <v>64</v>
      </c>
      <c r="U1111">
        <v>456.88</v>
      </c>
      <c r="V1111">
        <v>3</v>
      </c>
      <c r="W1111" s="19" t="s">
        <v>47</v>
      </c>
      <c r="X1111">
        <v>13</v>
      </c>
      <c r="Y1111">
        <v>3</v>
      </c>
      <c r="Z1111">
        <v>2</v>
      </c>
      <c r="AA1111">
        <v>1</v>
      </c>
      <c r="AB1111">
        <v>10</v>
      </c>
      <c r="AC1111">
        <v>3</v>
      </c>
      <c r="AD1111">
        <v>3</v>
      </c>
      <c r="AE1111">
        <v>8</v>
      </c>
      <c r="AF1111">
        <v>7</v>
      </c>
      <c r="AG1111">
        <v>4</v>
      </c>
      <c r="AH1111">
        <v>7</v>
      </c>
      <c r="AI1111">
        <v>0</v>
      </c>
      <c r="AJ1111" s="19" t="s">
        <v>1569</v>
      </c>
      <c r="AK1111" s="19" t="s">
        <v>1570</v>
      </c>
      <c r="AL1111">
        <v>2</v>
      </c>
      <c r="AM1111" s="19" t="s">
        <v>1564</v>
      </c>
      <c r="AN1111">
        <v>0.4133827175792712</v>
      </c>
      <c r="AO1111">
        <v>877212</v>
      </c>
    </row>
    <row r="1112" spans="1:41" x14ac:dyDescent="0.3">
      <c r="A1112" s="19" t="s">
        <v>1178</v>
      </c>
      <c r="B1112">
        <v>43</v>
      </c>
      <c r="C1112" s="19" t="s">
        <v>802</v>
      </c>
      <c r="D1112" s="19" t="s">
        <v>55</v>
      </c>
      <c r="E1112" s="19" t="s">
        <v>62</v>
      </c>
      <c r="F1112">
        <v>775</v>
      </c>
      <c r="G1112" s="19" t="s">
        <v>932</v>
      </c>
      <c r="H1112">
        <v>15</v>
      </c>
      <c r="I1112">
        <v>3</v>
      </c>
      <c r="J1112" s="19" t="s">
        <v>50</v>
      </c>
      <c r="K1112">
        <v>754</v>
      </c>
      <c r="L1112">
        <v>4</v>
      </c>
      <c r="M1112" s="19" t="s">
        <v>51</v>
      </c>
      <c r="N1112">
        <v>2</v>
      </c>
      <c r="O1112">
        <v>2</v>
      </c>
      <c r="P1112" s="19" t="s">
        <v>145</v>
      </c>
      <c r="Q1112">
        <v>4</v>
      </c>
      <c r="R1112" s="19" t="s">
        <v>113</v>
      </c>
      <c r="S1112">
        <v>72520</v>
      </c>
      <c r="T1112" s="19" t="s">
        <v>64</v>
      </c>
      <c r="U1112">
        <v>453.25</v>
      </c>
      <c r="V1112">
        <v>3</v>
      </c>
      <c r="W1112" s="19" t="s">
        <v>55</v>
      </c>
      <c r="X1112">
        <v>18</v>
      </c>
      <c r="Y1112">
        <v>3</v>
      </c>
      <c r="Z1112">
        <v>3</v>
      </c>
      <c r="AA1112">
        <v>1</v>
      </c>
      <c r="AB1112">
        <v>7</v>
      </c>
      <c r="AC1112">
        <v>5</v>
      </c>
      <c r="AD1112">
        <v>3</v>
      </c>
      <c r="AE1112">
        <v>2</v>
      </c>
      <c r="AF1112">
        <v>2</v>
      </c>
      <c r="AG1112">
        <v>2</v>
      </c>
      <c r="AH1112">
        <v>2</v>
      </c>
      <c r="AI1112">
        <v>0</v>
      </c>
      <c r="AJ1112" s="19" t="s">
        <v>1566</v>
      </c>
      <c r="AK1112" s="19" t="s">
        <v>1562</v>
      </c>
      <c r="AL1112">
        <v>0</v>
      </c>
      <c r="AM1112" s="19" t="s">
        <v>1563</v>
      </c>
      <c r="AN1112">
        <v>0.47825115030465776</v>
      </c>
      <c r="AO1112">
        <v>870240</v>
      </c>
    </row>
    <row r="1113" spans="1:41" x14ac:dyDescent="0.3">
      <c r="A1113" s="19" t="s">
        <v>1179</v>
      </c>
      <c r="B1113">
        <v>43</v>
      </c>
      <c r="C1113" s="19" t="s">
        <v>802</v>
      </c>
      <c r="D1113" s="19" t="s">
        <v>55</v>
      </c>
      <c r="E1113" s="19" t="s">
        <v>48</v>
      </c>
      <c r="F1113">
        <v>589</v>
      </c>
      <c r="G1113" s="19" t="s">
        <v>735</v>
      </c>
      <c r="H1113">
        <v>14</v>
      </c>
      <c r="I1113">
        <v>2</v>
      </c>
      <c r="J1113" s="19" t="s">
        <v>50</v>
      </c>
      <c r="K1113">
        <v>843</v>
      </c>
      <c r="L1113">
        <v>2</v>
      </c>
      <c r="M1113" s="19" t="s">
        <v>51</v>
      </c>
      <c r="N1113">
        <v>3</v>
      </c>
      <c r="O1113">
        <v>4</v>
      </c>
      <c r="P1113" s="19" t="s">
        <v>257</v>
      </c>
      <c r="Q1113">
        <v>1</v>
      </c>
      <c r="R1113" s="19" t="s">
        <v>113</v>
      </c>
      <c r="S1113">
        <v>88062</v>
      </c>
      <c r="T1113" s="19" t="s">
        <v>70</v>
      </c>
      <c r="U1113">
        <v>550.39</v>
      </c>
      <c r="V1113">
        <v>6</v>
      </c>
      <c r="W1113" s="19" t="s">
        <v>55</v>
      </c>
      <c r="X1113">
        <v>24</v>
      </c>
      <c r="Y1113">
        <v>4</v>
      </c>
      <c r="Z1113">
        <v>3</v>
      </c>
      <c r="AA1113">
        <v>1</v>
      </c>
      <c r="AB1113">
        <v>22</v>
      </c>
      <c r="AC1113">
        <v>3</v>
      </c>
      <c r="AD1113">
        <v>3</v>
      </c>
      <c r="AE1113">
        <v>4</v>
      </c>
      <c r="AF1113">
        <v>1</v>
      </c>
      <c r="AG1113">
        <v>1</v>
      </c>
      <c r="AH1113">
        <v>0</v>
      </c>
      <c r="AI1113">
        <v>0</v>
      </c>
      <c r="AJ1113" s="19" t="s">
        <v>1567</v>
      </c>
      <c r="AK1113" s="19" t="s">
        <v>1562</v>
      </c>
      <c r="AL1113">
        <v>1</v>
      </c>
      <c r="AM1113" s="19" t="s">
        <v>1565</v>
      </c>
      <c r="AN1113">
        <v>0.73818900649042729</v>
      </c>
      <c r="AO1113">
        <v>1056744</v>
      </c>
    </row>
    <row r="1114" spans="1:41" x14ac:dyDescent="0.3">
      <c r="A1114" s="19" t="s">
        <v>1180</v>
      </c>
      <c r="B1114">
        <v>43</v>
      </c>
      <c r="C1114" s="19" t="s">
        <v>802</v>
      </c>
      <c r="D1114" s="19" t="s">
        <v>55</v>
      </c>
      <c r="E1114" s="19" t="s">
        <v>62</v>
      </c>
      <c r="F1114">
        <v>422</v>
      </c>
      <c r="G1114" s="19" t="s">
        <v>735</v>
      </c>
      <c r="H1114">
        <v>1</v>
      </c>
      <c r="I1114">
        <v>3</v>
      </c>
      <c r="J1114" s="19" t="s">
        <v>50</v>
      </c>
      <c r="K1114">
        <v>902</v>
      </c>
      <c r="L1114">
        <v>4</v>
      </c>
      <c r="M1114" s="19" t="s">
        <v>59</v>
      </c>
      <c r="N1114">
        <v>3</v>
      </c>
      <c r="O1114">
        <v>2</v>
      </c>
      <c r="P1114" s="19" t="s">
        <v>168</v>
      </c>
      <c r="Q1114">
        <v>4</v>
      </c>
      <c r="R1114" s="19" t="s">
        <v>113</v>
      </c>
      <c r="S1114">
        <v>19574</v>
      </c>
      <c r="T1114" s="19" t="s">
        <v>54</v>
      </c>
      <c r="U1114">
        <v>122.34</v>
      </c>
      <c r="V1114">
        <v>4</v>
      </c>
      <c r="W1114" s="19" t="s">
        <v>55</v>
      </c>
      <c r="X1114">
        <v>13</v>
      </c>
      <c r="Y1114">
        <v>3</v>
      </c>
      <c r="Z1114">
        <v>2</v>
      </c>
      <c r="AA1114">
        <v>1</v>
      </c>
      <c r="AB1114">
        <v>12</v>
      </c>
      <c r="AC1114">
        <v>2</v>
      </c>
      <c r="AD1114">
        <v>2</v>
      </c>
      <c r="AE1114">
        <v>5</v>
      </c>
      <c r="AF1114">
        <v>2</v>
      </c>
      <c r="AG1114">
        <v>2</v>
      </c>
      <c r="AH1114">
        <v>2</v>
      </c>
      <c r="AI1114">
        <v>0</v>
      </c>
      <c r="AJ1114" s="19" t="s">
        <v>1567</v>
      </c>
      <c r="AK1114" s="19" t="s">
        <v>1562</v>
      </c>
      <c r="AL1114">
        <v>1</v>
      </c>
      <c r="AM1114" s="19" t="s">
        <v>1565</v>
      </c>
      <c r="AN1114">
        <v>-0.59380891961437665</v>
      </c>
      <c r="AO1114">
        <v>234888</v>
      </c>
    </row>
    <row r="1115" spans="1:41" x14ac:dyDescent="0.3">
      <c r="A1115" s="19" t="s">
        <v>1181</v>
      </c>
      <c r="B1115">
        <v>43</v>
      </c>
      <c r="C1115" s="19" t="s">
        <v>802</v>
      </c>
      <c r="D1115" s="19" t="s">
        <v>55</v>
      </c>
      <c r="E1115" s="19" t="s">
        <v>48</v>
      </c>
      <c r="F1115">
        <v>177</v>
      </c>
      <c r="G1115" s="19" t="s">
        <v>735</v>
      </c>
      <c r="H1115">
        <v>8</v>
      </c>
      <c r="I1115">
        <v>3</v>
      </c>
      <c r="J1115" s="19" t="s">
        <v>50</v>
      </c>
      <c r="K1115">
        <v>920</v>
      </c>
      <c r="L1115">
        <v>1</v>
      </c>
      <c r="M1115" s="19" t="s">
        <v>59</v>
      </c>
      <c r="N1115">
        <v>3</v>
      </c>
      <c r="O1115">
        <v>2</v>
      </c>
      <c r="P1115" s="19" t="s">
        <v>120</v>
      </c>
      <c r="Q1115">
        <v>2</v>
      </c>
      <c r="R1115" s="19" t="s">
        <v>113</v>
      </c>
      <c r="S1115">
        <v>10184</v>
      </c>
      <c r="T1115" s="19" t="s">
        <v>54</v>
      </c>
      <c r="U1115">
        <v>63.65</v>
      </c>
      <c r="V1115">
        <v>4</v>
      </c>
      <c r="W1115" s="19" t="s">
        <v>55</v>
      </c>
      <c r="X1115">
        <v>21</v>
      </c>
      <c r="Y1115">
        <v>4</v>
      </c>
      <c r="Z1115">
        <v>3</v>
      </c>
      <c r="AA1115">
        <v>1</v>
      </c>
      <c r="AB1115">
        <v>4</v>
      </c>
      <c r="AC1115">
        <v>2</v>
      </c>
      <c r="AD1115">
        <v>4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 s="19" t="s">
        <v>1561</v>
      </c>
      <c r="AK1115" s="19" t="s">
        <v>1562</v>
      </c>
      <c r="AL1115">
        <v>1</v>
      </c>
      <c r="AM1115" s="19" t="s">
        <v>1565</v>
      </c>
      <c r="AN1115">
        <v>-0.77008865926233927</v>
      </c>
      <c r="AO1115">
        <v>122208</v>
      </c>
    </row>
    <row r="1116" spans="1:41" x14ac:dyDescent="0.3">
      <c r="A1116" s="19" t="s">
        <v>1182</v>
      </c>
      <c r="B1116">
        <v>43</v>
      </c>
      <c r="C1116" s="19" t="s">
        <v>802</v>
      </c>
      <c r="D1116" s="19" t="s">
        <v>55</v>
      </c>
      <c r="E1116" s="19" t="s">
        <v>48</v>
      </c>
      <c r="F1116">
        <v>415</v>
      </c>
      <c r="G1116" s="19" t="s">
        <v>932</v>
      </c>
      <c r="H1116">
        <v>25</v>
      </c>
      <c r="I1116">
        <v>3</v>
      </c>
      <c r="J1116" s="19" t="s">
        <v>58</v>
      </c>
      <c r="K1116">
        <v>1076</v>
      </c>
      <c r="L1116">
        <v>3</v>
      </c>
      <c r="M1116" s="19" t="s">
        <v>51</v>
      </c>
      <c r="N1116">
        <v>2</v>
      </c>
      <c r="O1116">
        <v>3</v>
      </c>
      <c r="P1116" s="19" t="s">
        <v>145</v>
      </c>
      <c r="Q1116">
        <v>4</v>
      </c>
      <c r="R1116" s="19" t="s">
        <v>113</v>
      </c>
      <c r="S1116">
        <v>20096</v>
      </c>
      <c r="T1116" s="19" t="s">
        <v>54</v>
      </c>
      <c r="U1116">
        <v>125.6</v>
      </c>
      <c r="V1116">
        <v>5</v>
      </c>
      <c r="W1116" s="19" t="s">
        <v>55</v>
      </c>
      <c r="X1116">
        <v>13</v>
      </c>
      <c r="Y1116">
        <v>3</v>
      </c>
      <c r="Z1116">
        <v>3</v>
      </c>
      <c r="AA1116">
        <v>1</v>
      </c>
      <c r="AB1116">
        <v>18</v>
      </c>
      <c r="AC1116">
        <v>5</v>
      </c>
      <c r="AD1116">
        <v>3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 s="19" t="s">
        <v>1561</v>
      </c>
      <c r="AK1116" s="19" t="s">
        <v>1562</v>
      </c>
      <c r="AL1116">
        <v>0</v>
      </c>
      <c r="AM1116" s="19" t="s">
        <v>1563</v>
      </c>
      <c r="AN1116">
        <v>-0.5903621743446994</v>
      </c>
      <c r="AO1116">
        <v>241152</v>
      </c>
    </row>
    <row r="1117" spans="1:41" x14ac:dyDescent="0.3">
      <c r="A1117" s="19" t="s">
        <v>1183</v>
      </c>
      <c r="B1117">
        <v>43</v>
      </c>
      <c r="C1117" s="19" t="s">
        <v>802</v>
      </c>
      <c r="D1117" s="19" t="s">
        <v>55</v>
      </c>
      <c r="E1117" s="19" t="s">
        <v>62</v>
      </c>
      <c r="F1117">
        <v>1082</v>
      </c>
      <c r="G1117" s="19" t="s">
        <v>735</v>
      </c>
      <c r="H1117">
        <v>27</v>
      </c>
      <c r="I1117">
        <v>3</v>
      </c>
      <c r="J1117" s="19" t="s">
        <v>50</v>
      </c>
      <c r="K1117">
        <v>1126</v>
      </c>
      <c r="L1117">
        <v>3</v>
      </c>
      <c r="M1117" s="19" t="s">
        <v>59</v>
      </c>
      <c r="N1117">
        <v>3</v>
      </c>
      <c r="O1117">
        <v>3</v>
      </c>
      <c r="P1117" s="19" t="s">
        <v>120</v>
      </c>
      <c r="Q1117">
        <v>1</v>
      </c>
      <c r="R1117" s="19" t="s">
        <v>113</v>
      </c>
      <c r="S1117">
        <v>68728</v>
      </c>
      <c r="T1117" s="19" t="s">
        <v>64</v>
      </c>
      <c r="U1117">
        <v>429.55</v>
      </c>
      <c r="V1117">
        <v>8</v>
      </c>
      <c r="W1117" s="19" t="s">
        <v>55</v>
      </c>
      <c r="X1117">
        <v>11</v>
      </c>
      <c r="Y1117">
        <v>3</v>
      </c>
      <c r="Z1117">
        <v>3</v>
      </c>
      <c r="AA1117">
        <v>1</v>
      </c>
      <c r="AB1117">
        <v>18</v>
      </c>
      <c r="AC1117">
        <v>1</v>
      </c>
      <c r="AD1117">
        <v>3</v>
      </c>
      <c r="AE1117">
        <v>8</v>
      </c>
      <c r="AF1117">
        <v>7</v>
      </c>
      <c r="AG1117">
        <v>0</v>
      </c>
      <c r="AH1117">
        <v>1</v>
      </c>
      <c r="AI1117">
        <v>0</v>
      </c>
      <c r="AJ1117" s="19" t="s">
        <v>1569</v>
      </c>
      <c r="AK1117" s="19" t="s">
        <v>1562</v>
      </c>
      <c r="AL1117">
        <v>1</v>
      </c>
      <c r="AM1117" s="19" t="s">
        <v>1565</v>
      </c>
      <c r="AN1117">
        <v>0.5515854896129172</v>
      </c>
      <c r="AO1117">
        <v>824736</v>
      </c>
    </row>
    <row r="1118" spans="1:41" x14ac:dyDescent="0.3">
      <c r="A1118" s="19" t="s">
        <v>1184</v>
      </c>
      <c r="B1118">
        <v>43</v>
      </c>
      <c r="C1118" s="19" t="s">
        <v>802</v>
      </c>
      <c r="D1118" s="19" t="s">
        <v>47</v>
      </c>
      <c r="E1118" s="19" t="s">
        <v>48</v>
      </c>
      <c r="F1118">
        <v>1372</v>
      </c>
      <c r="G1118" s="19" t="s">
        <v>932</v>
      </c>
      <c r="H1118">
        <v>9</v>
      </c>
      <c r="I1118">
        <v>3</v>
      </c>
      <c r="J1118" s="19" t="s">
        <v>63</v>
      </c>
      <c r="K1118">
        <v>1188</v>
      </c>
      <c r="L1118">
        <v>1</v>
      </c>
      <c r="M1118" s="19" t="s">
        <v>59</v>
      </c>
      <c r="N1118">
        <v>1</v>
      </c>
      <c r="O1118">
        <v>2</v>
      </c>
      <c r="P1118" s="19" t="s">
        <v>145</v>
      </c>
      <c r="Q1118">
        <v>3</v>
      </c>
      <c r="R1118" s="19" t="s">
        <v>53</v>
      </c>
      <c r="S1118">
        <v>35016</v>
      </c>
      <c r="T1118" s="19" t="s">
        <v>72</v>
      </c>
      <c r="U1118">
        <v>218.85</v>
      </c>
      <c r="V1118">
        <v>8</v>
      </c>
      <c r="W1118" s="19" t="s">
        <v>55</v>
      </c>
      <c r="X1118">
        <v>13</v>
      </c>
      <c r="Y1118">
        <v>3</v>
      </c>
      <c r="Z1118">
        <v>2</v>
      </c>
      <c r="AA1118">
        <v>0</v>
      </c>
      <c r="AB1118">
        <v>7</v>
      </c>
      <c r="AC1118">
        <v>2</v>
      </c>
      <c r="AD1118">
        <v>2</v>
      </c>
      <c r="AE1118">
        <v>4</v>
      </c>
      <c r="AF1118">
        <v>3</v>
      </c>
      <c r="AG1118">
        <v>1</v>
      </c>
      <c r="AH1118">
        <v>3</v>
      </c>
      <c r="AI1118">
        <v>1</v>
      </c>
      <c r="AJ1118" s="19" t="s">
        <v>1567</v>
      </c>
      <c r="AK1118" s="19" t="s">
        <v>1562</v>
      </c>
      <c r="AL1118">
        <v>1</v>
      </c>
      <c r="AM1118" s="19" t="s">
        <v>1565</v>
      </c>
      <c r="AN1118">
        <v>-0.28623218037689058</v>
      </c>
      <c r="AO1118">
        <v>420192</v>
      </c>
    </row>
    <row r="1119" spans="1:41" x14ac:dyDescent="0.3">
      <c r="A1119" s="19" t="s">
        <v>1185</v>
      </c>
      <c r="B1119">
        <v>43</v>
      </c>
      <c r="C1119" s="19" t="s">
        <v>802</v>
      </c>
      <c r="D1119" s="19" t="s">
        <v>55</v>
      </c>
      <c r="E1119" s="19" t="s">
        <v>48</v>
      </c>
      <c r="F1119">
        <v>920</v>
      </c>
      <c r="G1119" s="19" t="s">
        <v>735</v>
      </c>
      <c r="H1119">
        <v>3</v>
      </c>
      <c r="I1119">
        <v>3</v>
      </c>
      <c r="J1119" s="19" t="s">
        <v>50</v>
      </c>
      <c r="K1119">
        <v>1255</v>
      </c>
      <c r="L1119">
        <v>3</v>
      </c>
      <c r="M1119" s="19" t="s">
        <v>51</v>
      </c>
      <c r="N1119">
        <v>1</v>
      </c>
      <c r="O1119">
        <v>5</v>
      </c>
      <c r="P1119" s="19" t="s">
        <v>257</v>
      </c>
      <c r="Q1119">
        <v>4</v>
      </c>
      <c r="R1119" s="19" t="s">
        <v>113</v>
      </c>
      <c r="S1119">
        <v>12246</v>
      </c>
      <c r="T1119" s="19" t="s">
        <v>54</v>
      </c>
      <c r="U1119">
        <v>76.540000000000006</v>
      </c>
      <c r="V1119">
        <v>3</v>
      </c>
      <c r="W1119" s="19" t="s">
        <v>55</v>
      </c>
      <c r="X1119">
        <v>14</v>
      </c>
      <c r="Y1119">
        <v>3</v>
      </c>
      <c r="Z1119">
        <v>2</v>
      </c>
      <c r="AA1119">
        <v>1</v>
      </c>
      <c r="AB1119">
        <v>25</v>
      </c>
      <c r="AC1119">
        <v>2</v>
      </c>
      <c r="AD1119">
        <v>3</v>
      </c>
      <c r="AE1119">
        <v>8</v>
      </c>
      <c r="AF1119">
        <v>7</v>
      </c>
      <c r="AG1119">
        <v>0</v>
      </c>
      <c r="AH1119">
        <v>7</v>
      </c>
      <c r="AI1119">
        <v>0</v>
      </c>
      <c r="AJ1119" s="19" t="s">
        <v>1569</v>
      </c>
      <c r="AK1119" s="19" t="s">
        <v>1562</v>
      </c>
      <c r="AL1119">
        <v>0</v>
      </c>
      <c r="AM1119" s="19" t="s">
        <v>1563</v>
      </c>
      <c r="AN1119">
        <v>-0.758285496883085</v>
      </c>
      <c r="AO1119">
        <v>146952</v>
      </c>
    </row>
    <row r="1120" spans="1:41" x14ac:dyDescent="0.3">
      <c r="A1120" s="19" t="s">
        <v>1186</v>
      </c>
      <c r="B1120">
        <v>43</v>
      </c>
      <c r="C1120" s="19" t="s">
        <v>802</v>
      </c>
      <c r="D1120" s="19" t="s">
        <v>55</v>
      </c>
      <c r="E1120" s="19" t="s">
        <v>48</v>
      </c>
      <c r="F1120">
        <v>531</v>
      </c>
      <c r="G1120" s="19" t="s">
        <v>932</v>
      </c>
      <c r="H1120">
        <v>4</v>
      </c>
      <c r="I1120">
        <v>4</v>
      </c>
      <c r="J1120" s="19" t="s">
        <v>63</v>
      </c>
      <c r="K1120">
        <v>1293</v>
      </c>
      <c r="L1120">
        <v>4</v>
      </c>
      <c r="M1120" s="19" t="s">
        <v>59</v>
      </c>
      <c r="N1120">
        <v>2</v>
      </c>
      <c r="O1120">
        <v>3</v>
      </c>
      <c r="P1120" s="19" t="s">
        <v>145</v>
      </c>
      <c r="Q1120">
        <v>4</v>
      </c>
      <c r="R1120" s="19" t="s">
        <v>53</v>
      </c>
      <c r="S1120">
        <v>46558</v>
      </c>
      <c r="T1120" s="19" t="s">
        <v>72</v>
      </c>
      <c r="U1120">
        <v>290.99</v>
      </c>
      <c r="V1120">
        <v>3</v>
      </c>
      <c r="W1120" s="19" t="s">
        <v>55</v>
      </c>
      <c r="X1120">
        <v>14</v>
      </c>
      <c r="Y1120">
        <v>3</v>
      </c>
      <c r="Z1120">
        <v>4</v>
      </c>
      <c r="AA1120">
        <v>0</v>
      </c>
      <c r="AB1120">
        <v>23</v>
      </c>
      <c r="AC1120">
        <v>3</v>
      </c>
      <c r="AD1120">
        <v>4</v>
      </c>
      <c r="AE1120">
        <v>21</v>
      </c>
      <c r="AF1120">
        <v>7</v>
      </c>
      <c r="AG1120">
        <v>15</v>
      </c>
      <c r="AH1120">
        <v>17</v>
      </c>
      <c r="AI1120">
        <v>0</v>
      </c>
      <c r="AJ1120" s="19" t="s">
        <v>1571</v>
      </c>
      <c r="AK1120" s="19" t="s">
        <v>1570</v>
      </c>
      <c r="AL1120">
        <v>1</v>
      </c>
      <c r="AM1120" s="19" t="s">
        <v>1565</v>
      </c>
      <c r="AN1120">
        <v>-5.0959500056753211E-2</v>
      </c>
      <c r="AO1120">
        <v>558696</v>
      </c>
    </row>
    <row r="1121" spans="1:41" x14ac:dyDescent="0.3">
      <c r="A1121" s="19" t="s">
        <v>1187</v>
      </c>
      <c r="B1121">
        <v>43</v>
      </c>
      <c r="C1121" s="19" t="s">
        <v>802</v>
      </c>
      <c r="D1121" s="19" t="s">
        <v>55</v>
      </c>
      <c r="E1121" s="19" t="s">
        <v>48</v>
      </c>
      <c r="F1121">
        <v>930</v>
      </c>
      <c r="G1121" s="19" t="s">
        <v>735</v>
      </c>
      <c r="H1121">
        <v>6</v>
      </c>
      <c r="I1121">
        <v>3</v>
      </c>
      <c r="J1121" s="19" t="s">
        <v>58</v>
      </c>
      <c r="K1121">
        <v>1402</v>
      </c>
      <c r="L1121">
        <v>1</v>
      </c>
      <c r="M1121" s="19" t="s">
        <v>59</v>
      </c>
      <c r="N1121">
        <v>2</v>
      </c>
      <c r="O1121">
        <v>2</v>
      </c>
      <c r="P1121" s="19" t="s">
        <v>67</v>
      </c>
      <c r="Q1121">
        <v>3</v>
      </c>
      <c r="R1121" s="19" t="s">
        <v>53</v>
      </c>
      <c r="S1121">
        <v>19381</v>
      </c>
      <c r="T1121" s="19" t="s">
        <v>54</v>
      </c>
      <c r="U1121">
        <v>121.13</v>
      </c>
      <c r="V1121">
        <v>1</v>
      </c>
      <c r="W1121" s="19" t="s">
        <v>47</v>
      </c>
      <c r="X1121">
        <v>14</v>
      </c>
      <c r="Y1121">
        <v>3</v>
      </c>
      <c r="Z1121">
        <v>1</v>
      </c>
      <c r="AA1121">
        <v>0</v>
      </c>
      <c r="AB1121">
        <v>20</v>
      </c>
      <c r="AC1121">
        <v>3</v>
      </c>
      <c r="AD1121">
        <v>1</v>
      </c>
      <c r="AE1121">
        <v>20</v>
      </c>
      <c r="AF1121">
        <v>7</v>
      </c>
      <c r="AG1121">
        <v>1</v>
      </c>
      <c r="AH1121">
        <v>8</v>
      </c>
      <c r="AI1121">
        <v>0</v>
      </c>
      <c r="AJ1121" s="19" t="s">
        <v>1571</v>
      </c>
      <c r="AK1121" s="19" t="s">
        <v>1562</v>
      </c>
      <c r="AL1121">
        <v>2</v>
      </c>
      <c r="AM1121" s="19" t="s">
        <v>1564</v>
      </c>
      <c r="AN1121">
        <v>-0.61133918490800754</v>
      </c>
      <c r="AO1121">
        <v>232572</v>
      </c>
    </row>
    <row r="1122" spans="1:41" x14ac:dyDescent="0.3">
      <c r="A1122" s="19" t="s">
        <v>1188</v>
      </c>
      <c r="B1122">
        <v>43</v>
      </c>
      <c r="C1122" s="19" t="s">
        <v>802</v>
      </c>
      <c r="D1122" s="19" t="s">
        <v>55</v>
      </c>
      <c r="E1122" s="19" t="s">
        <v>48</v>
      </c>
      <c r="F1122">
        <v>990</v>
      </c>
      <c r="G1122" s="19" t="s">
        <v>735</v>
      </c>
      <c r="H1122">
        <v>27</v>
      </c>
      <c r="I1122">
        <v>3</v>
      </c>
      <c r="J1122" s="19" t="s">
        <v>77</v>
      </c>
      <c r="K1122">
        <v>1599</v>
      </c>
      <c r="L1122">
        <v>4</v>
      </c>
      <c r="M1122" s="19" t="s">
        <v>51</v>
      </c>
      <c r="N1122">
        <v>4</v>
      </c>
      <c r="O1122">
        <v>1</v>
      </c>
      <c r="P1122" s="19" t="s">
        <v>52</v>
      </c>
      <c r="Q1122">
        <v>2</v>
      </c>
      <c r="R1122" s="19" t="s">
        <v>113</v>
      </c>
      <c r="S1122">
        <v>37455</v>
      </c>
      <c r="T1122" s="19" t="s">
        <v>72</v>
      </c>
      <c r="U1122">
        <v>234.09</v>
      </c>
      <c r="V1122">
        <v>5</v>
      </c>
      <c r="W1122" s="19" t="s">
        <v>55</v>
      </c>
      <c r="X1122">
        <v>12</v>
      </c>
      <c r="Y1122">
        <v>3</v>
      </c>
      <c r="Z1122">
        <v>3</v>
      </c>
      <c r="AA1122">
        <v>1</v>
      </c>
      <c r="AB1122">
        <v>8</v>
      </c>
      <c r="AC1122">
        <v>0</v>
      </c>
      <c r="AD1122">
        <v>3</v>
      </c>
      <c r="AE1122">
        <v>6</v>
      </c>
      <c r="AF1122">
        <v>4</v>
      </c>
      <c r="AG1122">
        <v>0</v>
      </c>
      <c r="AH1122">
        <v>2</v>
      </c>
      <c r="AI1122">
        <v>0</v>
      </c>
      <c r="AJ1122" s="19" t="s">
        <v>1569</v>
      </c>
      <c r="AK1122" s="19" t="s">
        <v>1562</v>
      </c>
      <c r="AL1122">
        <v>1</v>
      </c>
      <c r="AM1122" s="19" t="s">
        <v>1565</v>
      </c>
      <c r="AN1122">
        <v>-0.275820444495539</v>
      </c>
      <c r="AO1122">
        <v>449460</v>
      </c>
    </row>
    <row r="1123" spans="1:41" x14ac:dyDescent="0.3">
      <c r="A1123" s="19" t="s">
        <v>1189</v>
      </c>
      <c r="B1123">
        <v>43</v>
      </c>
      <c r="C1123" s="19" t="s">
        <v>802</v>
      </c>
      <c r="D1123" s="19" t="s">
        <v>55</v>
      </c>
      <c r="E1123" s="19" t="s">
        <v>48</v>
      </c>
      <c r="F1123">
        <v>1291</v>
      </c>
      <c r="G1123" s="19" t="s">
        <v>735</v>
      </c>
      <c r="H1123">
        <v>15</v>
      </c>
      <c r="I1123">
        <v>2</v>
      </c>
      <c r="J1123" s="19" t="s">
        <v>50</v>
      </c>
      <c r="K1123">
        <v>1666</v>
      </c>
      <c r="L1123">
        <v>3</v>
      </c>
      <c r="M1123" s="19" t="s">
        <v>51</v>
      </c>
      <c r="N1123">
        <v>2</v>
      </c>
      <c r="O1123">
        <v>4</v>
      </c>
      <c r="P1123" s="19" t="s">
        <v>257</v>
      </c>
      <c r="Q1123">
        <v>3</v>
      </c>
      <c r="R1123" s="19" t="s">
        <v>113</v>
      </c>
      <c r="S1123">
        <v>93263</v>
      </c>
      <c r="T1123" s="19" t="s">
        <v>70</v>
      </c>
      <c r="U1123">
        <v>582.89</v>
      </c>
      <c r="V1123">
        <v>1</v>
      </c>
      <c r="W1123" s="19" t="s">
        <v>55</v>
      </c>
      <c r="X1123">
        <v>24</v>
      </c>
      <c r="Y1123">
        <v>4</v>
      </c>
      <c r="Z1123">
        <v>1</v>
      </c>
      <c r="AA1123">
        <v>1</v>
      </c>
      <c r="AB1123">
        <v>14</v>
      </c>
      <c r="AC1123">
        <v>3</v>
      </c>
      <c r="AD1123">
        <v>3</v>
      </c>
      <c r="AE1123">
        <v>14</v>
      </c>
      <c r="AF1123">
        <v>10</v>
      </c>
      <c r="AG1123">
        <v>6</v>
      </c>
      <c r="AH1123">
        <v>11</v>
      </c>
      <c r="AI1123">
        <v>0</v>
      </c>
      <c r="AJ1123" s="19" t="s">
        <v>1571</v>
      </c>
      <c r="AK1123" s="19" t="s">
        <v>1570</v>
      </c>
      <c r="AL1123">
        <v>1</v>
      </c>
      <c r="AM1123" s="19" t="s">
        <v>1565</v>
      </c>
      <c r="AN1123">
        <v>0.84084759955845567</v>
      </c>
      <c r="AO1123">
        <v>1119156</v>
      </c>
    </row>
    <row r="1124" spans="1:41" x14ac:dyDescent="0.3">
      <c r="A1124" s="19" t="s">
        <v>1190</v>
      </c>
      <c r="B1124">
        <v>43</v>
      </c>
      <c r="C1124" s="19" t="s">
        <v>802</v>
      </c>
      <c r="D1124" s="19" t="s">
        <v>55</v>
      </c>
      <c r="E1124" s="19" t="s">
        <v>48</v>
      </c>
      <c r="F1124">
        <v>1179</v>
      </c>
      <c r="G1124" s="19" t="s">
        <v>932</v>
      </c>
      <c r="H1124">
        <v>2</v>
      </c>
      <c r="I1124">
        <v>3</v>
      </c>
      <c r="J1124" s="19" t="s">
        <v>58</v>
      </c>
      <c r="K1124">
        <v>1706</v>
      </c>
      <c r="L1124">
        <v>4</v>
      </c>
      <c r="M1124" s="19" t="s">
        <v>51</v>
      </c>
      <c r="N1124">
        <v>3</v>
      </c>
      <c r="O1124">
        <v>2</v>
      </c>
      <c r="P1124" s="19" t="s">
        <v>145</v>
      </c>
      <c r="Q1124">
        <v>4</v>
      </c>
      <c r="R1124" s="19" t="s">
        <v>113</v>
      </c>
      <c r="S1124">
        <v>5018</v>
      </c>
      <c r="T1124" s="19" t="s">
        <v>54</v>
      </c>
      <c r="U1124">
        <v>31.36</v>
      </c>
      <c r="V1124">
        <v>1</v>
      </c>
      <c r="W1124" s="19" t="s">
        <v>47</v>
      </c>
      <c r="X1124">
        <v>17</v>
      </c>
      <c r="Y1124">
        <v>3</v>
      </c>
      <c r="Z1124">
        <v>1</v>
      </c>
      <c r="AA1124">
        <v>1</v>
      </c>
      <c r="AB1124">
        <v>10</v>
      </c>
      <c r="AC1124">
        <v>3</v>
      </c>
      <c r="AD1124">
        <v>3</v>
      </c>
      <c r="AE1124">
        <v>10</v>
      </c>
      <c r="AF1124">
        <v>9</v>
      </c>
      <c r="AG1124">
        <v>8</v>
      </c>
      <c r="AH1124">
        <v>8</v>
      </c>
      <c r="AI1124">
        <v>0</v>
      </c>
      <c r="AJ1124" s="19" t="s">
        <v>1569</v>
      </c>
      <c r="AK1124" s="19" t="s">
        <v>1570</v>
      </c>
      <c r="AL1124">
        <v>2</v>
      </c>
      <c r="AM1124" s="19" t="s">
        <v>1564</v>
      </c>
      <c r="AN1124">
        <v>-0.89771284787329331</v>
      </c>
      <c r="AO1124">
        <v>60216</v>
      </c>
    </row>
    <row r="1125" spans="1:41" x14ac:dyDescent="0.3">
      <c r="A1125" s="19" t="s">
        <v>1191</v>
      </c>
      <c r="B1125">
        <v>43</v>
      </c>
      <c r="C1125" s="19" t="s">
        <v>802</v>
      </c>
      <c r="D1125" s="19" t="s">
        <v>47</v>
      </c>
      <c r="E1125" s="19" t="s">
        <v>62</v>
      </c>
      <c r="F1125">
        <v>807</v>
      </c>
      <c r="G1125" s="19" t="s">
        <v>735</v>
      </c>
      <c r="H1125">
        <v>17</v>
      </c>
      <c r="I1125">
        <v>3</v>
      </c>
      <c r="J1125" s="19" t="s">
        <v>77</v>
      </c>
      <c r="K1125">
        <v>1767</v>
      </c>
      <c r="L1125">
        <v>3</v>
      </c>
      <c r="M1125" s="19" t="s">
        <v>51</v>
      </c>
      <c r="N1125">
        <v>2</v>
      </c>
      <c r="O1125">
        <v>1</v>
      </c>
      <c r="P1125" s="19" t="s">
        <v>67</v>
      </c>
      <c r="Q1125">
        <v>3</v>
      </c>
      <c r="R1125" s="19" t="s">
        <v>113</v>
      </c>
      <c r="S1125">
        <v>12302</v>
      </c>
      <c r="T1125" s="19" t="s">
        <v>54</v>
      </c>
      <c r="U1125">
        <v>76.89</v>
      </c>
      <c r="V1125">
        <v>9</v>
      </c>
      <c r="W1125" s="19" t="s">
        <v>47</v>
      </c>
      <c r="X1125">
        <v>16</v>
      </c>
      <c r="Y1125">
        <v>3</v>
      </c>
      <c r="Z1125">
        <v>4</v>
      </c>
      <c r="AA1125">
        <v>1</v>
      </c>
      <c r="AB1125">
        <v>6</v>
      </c>
      <c r="AC1125">
        <v>4</v>
      </c>
      <c r="AD1125">
        <v>3</v>
      </c>
      <c r="AE1125">
        <v>1</v>
      </c>
      <c r="AF1125">
        <v>0</v>
      </c>
      <c r="AG1125">
        <v>0</v>
      </c>
      <c r="AH1125">
        <v>0</v>
      </c>
      <c r="AI1125">
        <v>1</v>
      </c>
      <c r="AJ1125" s="19" t="s">
        <v>1561</v>
      </c>
      <c r="AK1125" s="19" t="s">
        <v>1562</v>
      </c>
      <c r="AL1125">
        <v>1</v>
      </c>
      <c r="AM1125" s="19" t="s">
        <v>1565</v>
      </c>
      <c r="AN1125">
        <v>-0.75329934744018934</v>
      </c>
      <c r="AO1125">
        <v>147624</v>
      </c>
    </row>
    <row r="1126" spans="1:41" x14ac:dyDescent="0.3">
      <c r="A1126" s="19" t="s">
        <v>1192</v>
      </c>
      <c r="B1126">
        <v>43</v>
      </c>
      <c r="C1126" s="19" t="s">
        <v>802</v>
      </c>
      <c r="D1126" s="19" t="s">
        <v>55</v>
      </c>
      <c r="E1126" s="19" t="s">
        <v>48</v>
      </c>
      <c r="F1126">
        <v>244</v>
      </c>
      <c r="G1126" s="19" t="s">
        <v>406</v>
      </c>
      <c r="H1126">
        <v>2</v>
      </c>
      <c r="I1126">
        <v>3</v>
      </c>
      <c r="J1126" s="19" t="s">
        <v>50</v>
      </c>
      <c r="K1126">
        <v>1778</v>
      </c>
      <c r="L1126">
        <v>2</v>
      </c>
      <c r="M1126" s="19" t="s">
        <v>51</v>
      </c>
      <c r="N1126">
        <v>3</v>
      </c>
      <c r="O1126">
        <v>1</v>
      </c>
      <c r="P1126" s="19" t="s">
        <v>80</v>
      </c>
      <c r="Q1126">
        <v>4</v>
      </c>
      <c r="R1126" s="19" t="s">
        <v>53</v>
      </c>
      <c r="S1126">
        <v>68506</v>
      </c>
      <c r="T1126" s="19" t="s">
        <v>64</v>
      </c>
      <c r="U1126">
        <v>428.16</v>
      </c>
      <c r="V1126">
        <v>0</v>
      </c>
      <c r="W1126" s="19" t="s">
        <v>55</v>
      </c>
      <c r="X1126">
        <v>13</v>
      </c>
      <c r="Y1126">
        <v>3</v>
      </c>
      <c r="Z1126">
        <v>2</v>
      </c>
      <c r="AA1126">
        <v>0</v>
      </c>
      <c r="AB1126">
        <v>10</v>
      </c>
      <c r="AC1126">
        <v>5</v>
      </c>
      <c r="AD1126">
        <v>3</v>
      </c>
      <c r="AE1126">
        <v>9</v>
      </c>
      <c r="AF1126">
        <v>7</v>
      </c>
      <c r="AG1126">
        <v>1</v>
      </c>
      <c r="AH1126">
        <v>8</v>
      </c>
      <c r="AI1126">
        <v>0</v>
      </c>
      <c r="AJ1126" s="19" t="s">
        <v>1569</v>
      </c>
      <c r="AK1126" s="19" t="s">
        <v>1562</v>
      </c>
      <c r="AL1126">
        <v>0</v>
      </c>
      <c r="AM1126" s="19" t="s">
        <v>1563</v>
      </c>
      <c r="AN1126">
        <v>0.35003050756246473</v>
      </c>
      <c r="AO1126">
        <v>822072</v>
      </c>
    </row>
    <row r="1127" spans="1:41" x14ac:dyDescent="0.3">
      <c r="A1127" s="19" t="s">
        <v>1193</v>
      </c>
      <c r="B1127">
        <v>43</v>
      </c>
      <c r="C1127" s="19" t="s">
        <v>802</v>
      </c>
      <c r="D1127" s="19" t="s">
        <v>55</v>
      </c>
      <c r="E1127" s="19" t="s">
        <v>66</v>
      </c>
      <c r="F1127">
        <v>343</v>
      </c>
      <c r="G1127" s="19" t="s">
        <v>735</v>
      </c>
      <c r="H1127">
        <v>9</v>
      </c>
      <c r="I1127">
        <v>3</v>
      </c>
      <c r="J1127" s="19" t="s">
        <v>50</v>
      </c>
      <c r="K1127">
        <v>1813</v>
      </c>
      <c r="L1127">
        <v>1</v>
      </c>
      <c r="M1127" s="19" t="s">
        <v>51</v>
      </c>
      <c r="N1127">
        <v>3</v>
      </c>
      <c r="O1127">
        <v>1</v>
      </c>
      <c r="P1127" s="19" t="s">
        <v>67</v>
      </c>
      <c r="Q1127">
        <v>3</v>
      </c>
      <c r="R1127" s="19" t="s">
        <v>53</v>
      </c>
      <c r="S1127">
        <v>42157</v>
      </c>
      <c r="T1127" s="19" t="s">
        <v>72</v>
      </c>
      <c r="U1127">
        <v>263.48</v>
      </c>
      <c r="V1127">
        <v>4</v>
      </c>
      <c r="W1127" s="19" t="s">
        <v>55</v>
      </c>
      <c r="X1127">
        <v>13</v>
      </c>
      <c r="Y1127">
        <v>3</v>
      </c>
      <c r="Z1127">
        <v>3</v>
      </c>
      <c r="AA1127">
        <v>0</v>
      </c>
      <c r="AB1127">
        <v>7</v>
      </c>
      <c r="AC1127">
        <v>2</v>
      </c>
      <c r="AD1127">
        <v>2</v>
      </c>
      <c r="AE1127">
        <v>3</v>
      </c>
      <c r="AF1127">
        <v>2</v>
      </c>
      <c r="AG1127">
        <v>1</v>
      </c>
      <c r="AH1127">
        <v>2</v>
      </c>
      <c r="AI1127">
        <v>0</v>
      </c>
      <c r="AJ1127" s="19" t="s">
        <v>1566</v>
      </c>
      <c r="AK1127" s="19" t="s">
        <v>1562</v>
      </c>
      <c r="AL1127">
        <v>1</v>
      </c>
      <c r="AM1127" s="19" t="s">
        <v>1565</v>
      </c>
      <c r="AN1127">
        <v>-0.15459604861291346</v>
      </c>
      <c r="AO1127">
        <v>505884</v>
      </c>
    </row>
    <row r="1128" spans="1:41" x14ac:dyDescent="0.3">
      <c r="A1128" s="19" t="s">
        <v>1194</v>
      </c>
      <c r="B1128">
        <v>43</v>
      </c>
      <c r="C1128" s="19" t="s">
        <v>802</v>
      </c>
      <c r="D1128" s="19" t="s">
        <v>55</v>
      </c>
      <c r="E1128" s="19" t="s">
        <v>62</v>
      </c>
      <c r="F1128">
        <v>1422</v>
      </c>
      <c r="G1128" s="19" t="s">
        <v>932</v>
      </c>
      <c r="H1128">
        <v>2</v>
      </c>
      <c r="I1128">
        <v>4</v>
      </c>
      <c r="J1128" s="19" t="s">
        <v>50</v>
      </c>
      <c r="K1128">
        <v>1849</v>
      </c>
      <c r="L1128">
        <v>1</v>
      </c>
      <c r="M1128" s="19" t="s">
        <v>51</v>
      </c>
      <c r="N1128">
        <v>3</v>
      </c>
      <c r="O1128">
        <v>2</v>
      </c>
      <c r="P1128" s="19" t="s">
        <v>145</v>
      </c>
      <c r="Q1128">
        <v>4</v>
      </c>
      <c r="R1128" s="19" t="s">
        <v>113</v>
      </c>
      <c r="S1128">
        <v>55917</v>
      </c>
      <c r="T1128" s="19" t="s">
        <v>64</v>
      </c>
      <c r="U1128">
        <v>349.48</v>
      </c>
      <c r="V1128">
        <v>1</v>
      </c>
      <c r="W1128" s="19" t="s">
        <v>55</v>
      </c>
      <c r="X1128">
        <v>20</v>
      </c>
      <c r="Y1128">
        <v>4</v>
      </c>
      <c r="Z1128">
        <v>3</v>
      </c>
      <c r="AA1128">
        <v>1</v>
      </c>
      <c r="AB1128">
        <v>7</v>
      </c>
      <c r="AC1128">
        <v>5</v>
      </c>
      <c r="AD1128">
        <v>3</v>
      </c>
      <c r="AE1128">
        <v>7</v>
      </c>
      <c r="AF1128">
        <v>7</v>
      </c>
      <c r="AG1128">
        <v>7</v>
      </c>
      <c r="AH1128">
        <v>7</v>
      </c>
      <c r="AI1128">
        <v>0</v>
      </c>
      <c r="AJ1128" s="19" t="s">
        <v>1569</v>
      </c>
      <c r="AK1128" s="19" t="s">
        <v>1570</v>
      </c>
      <c r="AL1128">
        <v>1</v>
      </c>
      <c r="AM1128" s="19" t="s">
        <v>1565</v>
      </c>
      <c r="AN1128">
        <v>0.13981480380013167</v>
      </c>
      <c r="AO1128">
        <v>671004</v>
      </c>
    </row>
    <row r="1129" spans="1:41" x14ac:dyDescent="0.3">
      <c r="A1129" s="19" t="s">
        <v>1195</v>
      </c>
      <c r="B1129">
        <v>43</v>
      </c>
      <c r="C1129" s="19" t="s">
        <v>802</v>
      </c>
      <c r="D1129" s="19" t="s">
        <v>55</v>
      </c>
      <c r="E1129" s="19" t="s">
        <v>48</v>
      </c>
      <c r="F1129">
        <v>823</v>
      </c>
      <c r="G1129" s="19" t="s">
        <v>735</v>
      </c>
      <c r="H1129">
        <v>6</v>
      </c>
      <c r="I1129">
        <v>3</v>
      </c>
      <c r="J1129" s="19" t="s">
        <v>58</v>
      </c>
      <c r="K1129">
        <v>1866</v>
      </c>
      <c r="L1129">
        <v>1</v>
      </c>
      <c r="M1129" s="19" t="s">
        <v>59</v>
      </c>
      <c r="N1129">
        <v>2</v>
      </c>
      <c r="O1129">
        <v>5</v>
      </c>
      <c r="P1129" s="19" t="s">
        <v>444</v>
      </c>
      <c r="Q1129">
        <v>3</v>
      </c>
      <c r="R1129" s="19" t="s">
        <v>113</v>
      </c>
      <c r="S1129">
        <v>93738</v>
      </c>
      <c r="T1129" s="19" t="s">
        <v>70</v>
      </c>
      <c r="U1129">
        <v>585.86</v>
      </c>
      <c r="V1129">
        <v>7</v>
      </c>
      <c r="W1129" s="19" t="s">
        <v>55</v>
      </c>
      <c r="X1129">
        <v>13</v>
      </c>
      <c r="Y1129">
        <v>3</v>
      </c>
      <c r="Z1129">
        <v>4</v>
      </c>
      <c r="AA1129">
        <v>0</v>
      </c>
      <c r="AB1129">
        <v>21</v>
      </c>
      <c r="AC1129">
        <v>2</v>
      </c>
      <c r="AD1129">
        <v>3</v>
      </c>
      <c r="AE1129">
        <v>16</v>
      </c>
      <c r="AF1129">
        <v>12</v>
      </c>
      <c r="AG1129">
        <v>6</v>
      </c>
      <c r="AH1129">
        <v>14</v>
      </c>
      <c r="AI1129">
        <v>0</v>
      </c>
      <c r="AJ1129" s="19" t="s">
        <v>1571</v>
      </c>
      <c r="AK1129" s="19" t="s">
        <v>1570</v>
      </c>
      <c r="AL1129">
        <v>1</v>
      </c>
      <c r="AM1129" s="19" t="s">
        <v>1565</v>
      </c>
      <c r="AN1129">
        <v>0.79580513832240096</v>
      </c>
      <c r="AO1129">
        <v>1124856</v>
      </c>
    </row>
    <row r="1130" spans="1:41" x14ac:dyDescent="0.3">
      <c r="A1130" s="19" t="s">
        <v>1196</v>
      </c>
      <c r="B1130">
        <v>43</v>
      </c>
      <c r="C1130" s="19" t="s">
        <v>802</v>
      </c>
      <c r="D1130" s="19" t="s">
        <v>55</v>
      </c>
      <c r="E1130" s="19" t="s">
        <v>48</v>
      </c>
      <c r="F1130">
        <v>574</v>
      </c>
      <c r="G1130" s="19" t="s">
        <v>735</v>
      </c>
      <c r="H1130">
        <v>11</v>
      </c>
      <c r="I1130">
        <v>3</v>
      </c>
      <c r="J1130" s="19" t="s">
        <v>50</v>
      </c>
      <c r="K1130">
        <v>1971</v>
      </c>
      <c r="L1130">
        <v>1</v>
      </c>
      <c r="M1130" s="19" t="s">
        <v>51</v>
      </c>
      <c r="N1130">
        <v>3</v>
      </c>
      <c r="O1130">
        <v>3</v>
      </c>
      <c r="P1130" s="19" t="s">
        <v>168</v>
      </c>
      <c r="Q1130">
        <v>3</v>
      </c>
      <c r="R1130" s="19" t="s">
        <v>113</v>
      </c>
      <c r="S1130">
        <v>97646</v>
      </c>
      <c r="T1130" s="19" t="s">
        <v>70</v>
      </c>
      <c r="U1130">
        <v>610.29</v>
      </c>
      <c r="V1130">
        <v>1</v>
      </c>
      <c r="W1130" s="19" t="s">
        <v>55</v>
      </c>
      <c r="X1130">
        <v>17</v>
      </c>
      <c r="Y1130">
        <v>3</v>
      </c>
      <c r="Z1130">
        <v>2</v>
      </c>
      <c r="AA1130">
        <v>1</v>
      </c>
      <c r="AB1130">
        <v>10</v>
      </c>
      <c r="AC1130">
        <v>1</v>
      </c>
      <c r="AD1130">
        <v>3</v>
      </c>
      <c r="AE1130">
        <v>10</v>
      </c>
      <c r="AF1130">
        <v>9</v>
      </c>
      <c r="AG1130">
        <v>0</v>
      </c>
      <c r="AH1130">
        <v>9</v>
      </c>
      <c r="AI1130">
        <v>0</v>
      </c>
      <c r="AJ1130" s="19" t="s">
        <v>1569</v>
      </c>
      <c r="AK1130" s="19" t="s">
        <v>1562</v>
      </c>
      <c r="AL1130">
        <v>0</v>
      </c>
      <c r="AM1130" s="19" t="s">
        <v>1563</v>
      </c>
      <c r="AN1130">
        <v>1.02630705197377</v>
      </c>
      <c r="AO1130">
        <v>1171752</v>
      </c>
    </row>
    <row r="1131" spans="1:41" x14ac:dyDescent="0.3">
      <c r="A1131" s="19" t="s">
        <v>1197</v>
      </c>
      <c r="B1131">
        <v>44</v>
      </c>
      <c r="C1131" s="19" t="s">
        <v>802</v>
      </c>
      <c r="D1131" s="19" t="s">
        <v>55</v>
      </c>
      <c r="E1131" s="19" t="s">
        <v>48</v>
      </c>
      <c r="F1131">
        <v>477</v>
      </c>
      <c r="G1131" s="19" t="s">
        <v>735</v>
      </c>
      <c r="H1131">
        <v>7</v>
      </c>
      <c r="I1131">
        <v>4</v>
      </c>
      <c r="J1131" s="19" t="s">
        <v>58</v>
      </c>
      <c r="K1131">
        <v>36</v>
      </c>
      <c r="L1131">
        <v>1</v>
      </c>
      <c r="M1131" s="19" t="s">
        <v>59</v>
      </c>
      <c r="N1131">
        <v>2</v>
      </c>
      <c r="O1131">
        <v>3</v>
      </c>
      <c r="P1131" s="19" t="s">
        <v>168</v>
      </c>
      <c r="Q1131">
        <v>4</v>
      </c>
      <c r="R1131" s="19" t="s">
        <v>113</v>
      </c>
      <c r="S1131">
        <v>84122</v>
      </c>
      <c r="T1131" s="19" t="s">
        <v>70</v>
      </c>
      <c r="U1131">
        <v>525.76</v>
      </c>
      <c r="V1131">
        <v>3</v>
      </c>
      <c r="W1131" s="19" t="s">
        <v>55</v>
      </c>
      <c r="X1131">
        <v>14</v>
      </c>
      <c r="Y1131">
        <v>3</v>
      </c>
      <c r="Z1131">
        <v>4</v>
      </c>
      <c r="AA1131">
        <v>1</v>
      </c>
      <c r="AB1131">
        <v>24</v>
      </c>
      <c r="AC1131">
        <v>4</v>
      </c>
      <c r="AD1131">
        <v>3</v>
      </c>
      <c r="AE1131">
        <v>22</v>
      </c>
      <c r="AF1131">
        <v>6</v>
      </c>
      <c r="AG1131">
        <v>5</v>
      </c>
      <c r="AH1131">
        <v>6</v>
      </c>
      <c r="AI1131">
        <v>0</v>
      </c>
      <c r="AJ1131" s="19" t="s">
        <v>1571</v>
      </c>
      <c r="AK1131" s="19" t="s">
        <v>1570</v>
      </c>
      <c r="AL1131">
        <v>1</v>
      </c>
      <c r="AM1131" s="19" t="s">
        <v>1565</v>
      </c>
      <c r="AN1131">
        <v>0.74566292348009633</v>
      </c>
      <c r="AO1131">
        <v>1009464</v>
      </c>
    </row>
    <row r="1132" spans="1:41" x14ac:dyDescent="0.3">
      <c r="A1132" s="19" t="s">
        <v>1198</v>
      </c>
      <c r="B1132">
        <v>44</v>
      </c>
      <c r="C1132" s="19" t="s">
        <v>802</v>
      </c>
      <c r="D1132" s="19" t="s">
        <v>55</v>
      </c>
      <c r="E1132" s="19" t="s">
        <v>48</v>
      </c>
      <c r="F1132">
        <v>1459</v>
      </c>
      <c r="G1132" s="19" t="s">
        <v>735</v>
      </c>
      <c r="H1132">
        <v>10</v>
      </c>
      <c r="I1132">
        <v>4</v>
      </c>
      <c r="J1132" s="19" t="s">
        <v>82</v>
      </c>
      <c r="K1132">
        <v>40</v>
      </c>
      <c r="L1132">
        <v>4</v>
      </c>
      <c r="M1132" s="19" t="s">
        <v>51</v>
      </c>
      <c r="N1132">
        <v>3</v>
      </c>
      <c r="O1132">
        <v>2</v>
      </c>
      <c r="P1132" s="19" t="s">
        <v>168</v>
      </c>
      <c r="Q1132">
        <v>4</v>
      </c>
      <c r="R1132" s="19" t="s">
        <v>113</v>
      </c>
      <c r="S1132">
        <v>25519</v>
      </c>
      <c r="T1132" s="19" t="s">
        <v>72</v>
      </c>
      <c r="U1132">
        <v>159.49</v>
      </c>
      <c r="V1132">
        <v>2</v>
      </c>
      <c r="W1132" s="19" t="s">
        <v>47</v>
      </c>
      <c r="X1132">
        <v>13</v>
      </c>
      <c r="Y1132">
        <v>3</v>
      </c>
      <c r="Z1132">
        <v>4</v>
      </c>
      <c r="AA1132">
        <v>0</v>
      </c>
      <c r="AB1132">
        <v>9</v>
      </c>
      <c r="AC1132">
        <v>5</v>
      </c>
      <c r="AD1132">
        <v>4</v>
      </c>
      <c r="AE1132">
        <v>4</v>
      </c>
      <c r="AF1132">
        <v>2</v>
      </c>
      <c r="AG1132">
        <v>1</v>
      </c>
      <c r="AH1132">
        <v>3</v>
      </c>
      <c r="AI1132">
        <v>0</v>
      </c>
      <c r="AJ1132" s="19" t="s">
        <v>1567</v>
      </c>
      <c r="AK1132" s="19" t="s">
        <v>1562</v>
      </c>
      <c r="AL1132">
        <v>1</v>
      </c>
      <c r="AM1132" s="19" t="s">
        <v>1565</v>
      </c>
      <c r="AN1132">
        <v>-0.47044088176352705</v>
      </c>
      <c r="AO1132">
        <v>306228</v>
      </c>
    </row>
    <row r="1133" spans="1:41" x14ac:dyDescent="0.3">
      <c r="A1133" s="19" t="s">
        <v>1199</v>
      </c>
      <c r="B1133">
        <v>44</v>
      </c>
      <c r="C1133" s="19" t="s">
        <v>802</v>
      </c>
      <c r="D1133" s="19" t="s">
        <v>55</v>
      </c>
      <c r="E1133" s="19" t="s">
        <v>48</v>
      </c>
      <c r="F1133">
        <v>1488</v>
      </c>
      <c r="G1133" s="19" t="s">
        <v>932</v>
      </c>
      <c r="H1133">
        <v>1</v>
      </c>
      <c r="I1133">
        <v>5</v>
      </c>
      <c r="J1133" s="19" t="s">
        <v>63</v>
      </c>
      <c r="K1133">
        <v>68</v>
      </c>
      <c r="L1133">
        <v>2</v>
      </c>
      <c r="M1133" s="19" t="s">
        <v>59</v>
      </c>
      <c r="N1133">
        <v>3</v>
      </c>
      <c r="O1133">
        <v>2</v>
      </c>
      <c r="P1133" s="19" t="s">
        <v>145</v>
      </c>
      <c r="Q1133">
        <v>1</v>
      </c>
      <c r="R1133" s="19" t="s">
        <v>113</v>
      </c>
      <c r="S1133">
        <v>97809</v>
      </c>
      <c r="T1133" s="19" t="s">
        <v>70</v>
      </c>
      <c r="U1133">
        <v>611.30999999999995</v>
      </c>
      <c r="V1133">
        <v>5</v>
      </c>
      <c r="W1133" s="19" t="s">
        <v>47</v>
      </c>
      <c r="X1133">
        <v>21</v>
      </c>
      <c r="Y1133">
        <v>4</v>
      </c>
      <c r="Z1133">
        <v>3</v>
      </c>
      <c r="AA1133">
        <v>1</v>
      </c>
      <c r="AB1133">
        <v>9</v>
      </c>
      <c r="AC1133">
        <v>2</v>
      </c>
      <c r="AD1133">
        <v>2</v>
      </c>
      <c r="AE1133">
        <v>4</v>
      </c>
      <c r="AF1133">
        <v>3</v>
      </c>
      <c r="AG1133">
        <v>1</v>
      </c>
      <c r="AH1133">
        <v>3</v>
      </c>
      <c r="AI1133">
        <v>0</v>
      </c>
      <c r="AJ1133" s="19" t="s">
        <v>1567</v>
      </c>
      <c r="AK1133" s="19" t="s">
        <v>1562</v>
      </c>
      <c r="AL1133">
        <v>3</v>
      </c>
      <c r="AM1133" s="19" t="s">
        <v>1568</v>
      </c>
      <c r="AN1133">
        <v>0.99374333646095248</v>
      </c>
      <c r="AO1133">
        <v>1173708</v>
      </c>
    </row>
    <row r="1134" spans="1:41" x14ac:dyDescent="0.3">
      <c r="A1134" s="19" t="s">
        <v>1200</v>
      </c>
      <c r="B1134">
        <v>44</v>
      </c>
      <c r="C1134" s="19" t="s">
        <v>802</v>
      </c>
      <c r="D1134" s="19" t="s">
        <v>55</v>
      </c>
      <c r="E1134" s="19" t="s">
        <v>66</v>
      </c>
      <c r="F1134">
        <v>489</v>
      </c>
      <c r="G1134" s="19" t="s">
        <v>735</v>
      </c>
      <c r="H1134">
        <v>23</v>
      </c>
      <c r="I1134">
        <v>3</v>
      </c>
      <c r="J1134" s="19" t="s">
        <v>58</v>
      </c>
      <c r="K1134">
        <v>132</v>
      </c>
      <c r="L1134">
        <v>2</v>
      </c>
      <c r="M1134" s="19" t="s">
        <v>51</v>
      </c>
      <c r="N1134">
        <v>3</v>
      </c>
      <c r="O1134">
        <v>2</v>
      </c>
      <c r="P1134" s="19" t="s">
        <v>52</v>
      </c>
      <c r="Q1134">
        <v>2</v>
      </c>
      <c r="R1134" s="19" t="s">
        <v>113</v>
      </c>
      <c r="S1134">
        <v>88487</v>
      </c>
      <c r="T1134" s="19" t="s">
        <v>70</v>
      </c>
      <c r="U1134">
        <v>553.04</v>
      </c>
      <c r="V1134">
        <v>4</v>
      </c>
      <c r="W1134" s="19" t="s">
        <v>55</v>
      </c>
      <c r="X1134">
        <v>12</v>
      </c>
      <c r="Y1134">
        <v>3</v>
      </c>
      <c r="Z1134">
        <v>3</v>
      </c>
      <c r="AA1134">
        <v>1</v>
      </c>
      <c r="AB1134">
        <v>17</v>
      </c>
      <c r="AC1134">
        <v>3</v>
      </c>
      <c r="AD1134">
        <v>4</v>
      </c>
      <c r="AE1134">
        <v>3</v>
      </c>
      <c r="AF1134">
        <v>2</v>
      </c>
      <c r="AG1134">
        <v>1</v>
      </c>
      <c r="AH1134">
        <v>2</v>
      </c>
      <c r="AI1134">
        <v>0</v>
      </c>
      <c r="AJ1134" s="19" t="s">
        <v>1566</v>
      </c>
      <c r="AK1134" s="19" t="s">
        <v>1562</v>
      </c>
      <c r="AL1134">
        <v>1</v>
      </c>
      <c r="AM1134" s="19" t="s">
        <v>1565</v>
      </c>
      <c r="AN1134">
        <v>0.71086574096711364</v>
      </c>
      <c r="AO1134">
        <v>1061844</v>
      </c>
    </row>
    <row r="1135" spans="1:41" x14ac:dyDescent="0.3">
      <c r="A1135" s="19" t="s">
        <v>1201</v>
      </c>
      <c r="B1135">
        <v>44</v>
      </c>
      <c r="C1135" s="19" t="s">
        <v>802</v>
      </c>
      <c r="D1135" s="19" t="s">
        <v>47</v>
      </c>
      <c r="E1135" s="19" t="s">
        <v>62</v>
      </c>
      <c r="F1135">
        <v>920</v>
      </c>
      <c r="G1135" s="19" t="s">
        <v>735</v>
      </c>
      <c r="H1135">
        <v>24</v>
      </c>
      <c r="I1135">
        <v>3</v>
      </c>
      <c r="J1135" s="19" t="s">
        <v>50</v>
      </c>
      <c r="K1135">
        <v>392</v>
      </c>
      <c r="L1135">
        <v>4</v>
      </c>
      <c r="M1135" s="19" t="s">
        <v>51</v>
      </c>
      <c r="N1135">
        <v>3</v>
      </c>
      <c r="O1135">
        <v>1</v>
      </c>
      <c r="P1135" s="19" t="s">
        <v>52</v>
      </c>
      <c r="Q1135">
        <v>3</v>
      </c>
      <c r="R1135" s="19" t="s">
        <v>53</v>
      </c>
      <c r="S1135">
        <v>57819</v>
      </c>
      <c r="T1135" s="19" t="s">
        <v>64</v>
      </c>
      <c r="U1135">
        <v>361.37</v>
      </c>
      <c r="V1135">
        <v>3</v>
      </c>
      <c r="W1135" s="19" t="s">
        <v>47</v>
      </c>
      <c r="X1135">
        <v>22</v>
      </c>
      <c r="Y1135">
        <v>4</v>
      </c>
      <c r="Z1135">
        <v>4</v>
      </c>
      <c r="AA1135">
        <v>1</v>
      </c>
      <c r="AB1135">
        <v>19</v>
      </c>
      <c r="AC1135">
        <v>0</v>
      </c>
      <c r="AD1135">
        <v>1</v>
      </c>
      <c r="AE1135">
        <v>1</v>
      </c>
      <c r="AF1135">
        <v>0</v>
      </c>
      <c r="AG1135">
        <v>0</v>
      </c>
      <c r="AH1135">
        <v>0</v>
      </c>
      <c r="AI1135">
        <v>1</v>
      </c>
      <c r="AJ1135" s="19" t="s">
        <v>1561</v>
      </c>
      <c r="AK1135" s="19" t="s">
        <v>1562</v>
      </c>
      <c r="AL1135">
        <v>2</v>
      </c>
      <c r="AM1135" s="19" t="s">
        <v>1564</v>
      </c>
      <c r="AN1135">
        <v>0.11791049845714671</v>
      </c>
      <c r="AO1135">
        <v>693828</v>
      </c>
    </row>
    <row r="1136" spans="1:41" x14ac:dyDescent="0.3">
      <c r="A1136" s="19" t="s">
        <v>1202</v>
      </c>
      <c r="B1136">
        <v>44</v>
      </c>
      <c r="C1136" s="19" t="s">
        <v>802</v>
      </c>
      <c r="D1136" s="19" t="s">
        <v>55</v>
      </c>
      <c r="E1136" s="19" t="s">
        <v>48</v>
      </c>
      <c r="F1136">
        <v>1112</v>
      </c>
      <c r="G1136" s="19" t="s">
        <v>80</v>
      </c>
      <c r="H1136">
        <v>1</v>
      </c>
      <c r="I1136">
        <v>4</v>
      </c>
      <c r="J1136" s="19" t="s">
        <v>50</v>
      </c>
      <c r="K1136">
        <v>665</v>
      </c>
      <c r="L1136">
        <v>1</v>
      </c>
      <c r="M1136" s="19" t="s">
        <v>59</v>
      </c>
      <c r="N1136">
        <v>2</v>
      </c>
      <c r="O1136">
        <v>2</v>
      </c>
      <c r="P1136" s="19" t="s">
        <v>80</v>
      </c>
      <c r="Q1136">
        <v>3</v>
      </c>
      <c r="R1136" s="19" t="s">
        <v>53</v>
      </c>
      <c r="S1136">
        <v>81910</v>
      </c>
      <c r="T1136" s="19" t="s">
        <v>64</v>
      </c>
      <c r="U1136">
        <v>511.94</v>
      </c>
      <c r="V1136">
        <v>4</v>
      </c>
      <c r="W1136" s="19" t="s">
        <v>55</v>
      </c>
      <c r="X1136">
        <v>11</v>
      </c>
      <c r="Y1136">
        <v>3</v>
      </c>
      <c r="Z1136">
        <v>2</v>
      </c>
      <c r="AA1136">
        <v>0</v>
      </c>
      <c r="AB1136">
        <v>10</v>
      </c>
      <c r="AC1136">
        <v>1</v>
      </c>
      <c r="AD1136">
        <v>4</v>
      </c>
      <c r="AE1136">
        <v>2</v>
      </c>
      <c r="AF1136">
        <v>2</v>
      </c>
      <c r="AG1136">
        <v>0</v>
      </c>
      <c r="AH1136">
        <v>2</v>
      </c>
      <c r="AI1136">
        <v>0</v>
      </c>
      <c r="AJ1136" s="19" t="s">
        <v>1566</v>
      </c>
      <c r="AK1136" s="19" t="s">
        <v>1562</v>
      </c>
      <c r="AL1136">
        <v>0</v>
      </c>
      <c r="AM1136" s="19" t="s">
        <v>1563</v>
      </c>
      <c r="AN1136">
        <v>0.61417976344322378</v>
      </c>
      <c r="AO1136">
        <v>982920</v>
      </c>
    </row>
    <row r="1137" spans="1:41" x14ac:dyDescent="0.3">
      <c r="A1137" s="19" t="s">
        <v>1203</v>
      </c>
      <c r="B1137">
        <v>44</v>
      </c>
      <c r="C1137" s="19" t="s">
        <v>802</v>
      </c>
      <c r="D1137" s="19" t="s">
        <v>55</v>
      </c>
      <c r="E1137" s="19" t="s">
        <v>48</v>
      </c>
      <c r="F1137">
        <v>1315</v>
      </c>
      <c r="G1137" s="19" t="s">
        <v>735</v>
      </c>
      <c r="H1137">
        <v>3</v>
      </c>
      <c r="I1137">
        <v>4</v>
      </c>
      <c r="J1137" s="19" t="s">
        <v>82</v>
      </c>
      <c r="K1137">
        <v>671</v>
      </c>
      <c r="L1137">
        <v>4</v>
      </c>
      <c r="M1137" s="19" t="s">
        <v>51</v>
      </c>
      <c r="N1137">
        <v>3</v>
      </c>
      <c r="O1137">
        <v>5</v>
      </c>
      <c r="P1137" s="19" t="s">
        <v>444</v>
      </c>
      <c r="Q1137">
        <v>4</v>
      </c>
      <c r="R1137" s="19" t="s">
        <v>113</v>
      </c>
      <c r="S1137">
        <v>72324</v>
      </c>
      <c r="T1137" s="19" t="s">
        <v>64</v>
      </c>
      <c r="U1137">
        <v>452.02</v>
      </c>
      <c r="V1137">
        <v>4</v>
      </c>
      <c r="W1137" s="19" t="s">
        <v>47</v>
      </c>
      <c r="X1137">
        <v>12</v>
      </c>
      <c r="Y1137">
        <v>3</v>
      </c>
      <c r="Z1137">
        <v>1</v>
      </c>
      <c r="AA1137">
        <v>1</v>
      </c>
      <c r="AB1137">
        <v>26</v>
      </c>
      <c r="AC1137">
        <v>2</v>
      </c>
      <c r="AD1137">
        <v>4</v>
      </c>
      <c r="AE1137">
        <v>2</v>
      </c>
      <c r="AF1137">
        <v>2</v>
      </c>
      <c r="AG1137">
        <v>0</v>
      </c>
      <c r="AH1137">
        <v>1</v>
      </c>
      <c r="AI1137">
        <v>0</v>
      </c>
      <c r="AJ1137" s="19" t="s">
        <v>1566</v>
      </c>
      <c r="AK1137" s="19" t="s">
        <v>1562</v>
      </c>
      <c r="AL1137">
        <v>1</v>
      </c>
      <c r="AM1137" s="19" t="s">
        <v>1565</v>
      </c>
      <c r="AN1137">
        <v>0.38556200072573904</v>
      </c>
      <c r="AO1137">
        <v>867888</v>
      </c>
    </row>
    <row r="1138" spans="1:41" x14ac:dyDescent="0.3">
      <c r="A1138" s="19" t="s">
        <v>1204</v>
      </c>
      <c r="B1138">
        <v>44</v>
      </c>
      <c r="C1138" s="19" t="s">
        <v>802</v>
      </c>
      <c r="D1138" s="19" t="s">
        <v>55</v>
      </c>
      <c r="E1138" s="19" t="s">
        <v>66</v>
      </c>
      <c r="F1138">
        <v>381</v>
      </c>
      <c r="G1138" s="19" t="s">
        <v>735</v>
      </c>
      <c r="H1138">
        <v>24</v>
      </c>
      <c r="I1138">
        <v>3</v>
      </c>
      <c r="J1138" s="19" t="s">
        <v>58</v>
      </c>
      <c r="K1138">
        <v>744</v>
      </c>
      <c r="L1138">
        <v>1</v>
      </c>
      <c r="M1138" s="19" t="s">
        <v>51</v>
      </c>
      <c r="N1138">
        <v>1</v>
      </c>
      <c r="O1138">
        <v>1</v>
      </c>
      <c r="P1138" s="19" t="s">
        <v>52</v>
      </c>
      <c r="Q1138">
        <v>3</v>
      </c>
      <c r="R1138" s="19" t="s">
        <v>53</v>
      </c>
      <c r="S1138">
        <v>6408</v>
      </c>
      <c r="T1138" s="19" t="s">
        <v>54</v>
      </c>
      <c r="U1138">
        <v>40.049999999999997</v>
      </c>
      <c r="V1138">
        <v>2</v>
      </c>
      <c r="W1138" s="19" t="s">
        <v>55</v>
      </c>
      <c r="X1138">
        <v>14</v>
      </c>
      <c r="Y1138">
        <v>3</v>
      </c>
      <c r="Z1138">
        <v>3</v>
      </c>
      <c r="AA1138">
        <v>0</v>
      </c>
      <c r="AB1138">
        <v>9</v>
      </c>
      <c r="AC1138">
        <v>5</v>
      </c>
      <c r="AD1138">
        <v>3</v>
      </c>
      <c r="AE1138">
        <v>5</v>
      </c>
      <c r="AF1138">
        <v>2</v>
      </c>
      <c r="AG1138">
        <v>1</v>
      </c>
      <c r="AH1138">
        <v>4</v>
      </c>
      <c r="AI1138">
        <v>0</v>
      </c>
      <c r="AJ1138" s="19" t="s">
        <v>1567</v>
      </c>
      <c r="AK1138" s="19" t="s">
        <v>1562</v>
      </c>
      <c r="AL1138">
        <v>0</v>
      </c>
      <c r="AM1138" s="19" t="s">
        <v>1563</v>
      </c>
      <c r="AN1138">
        <v>-0.8761035217815355</v>
      </c>
      <c r="AO1138">
        <v>76896</v>
      </c>
    </row>
    <row r="1139" spans="1:41" x14ac:dyDescent="0.3">
      <c r="A1139" s="19" t="s">
        <v>1205</v>
      </c>
      <c r="B1139">
        <v>44</v>
      </c>
      <c r="C1139" s="19" t="s">
        <v>802</v>
      </c>
      <c r="D1139" s="19" t="s">
        <v>55</v>
      </c>
      <c r="E1139" s="19" t="s">
        <v>48</v>
      </c>
      <c r="F1139">
        <v>625</v>
      </c>
      <c r="G1139" s="19" t="s">
        <v>735</v>
      </c>
      <c r="H1139">
        <v>4</v>
      </c>
      <c r="I1139">
        <v>3</v>
      </c>
      <c r="J1139" s="19" t="s">
        <v>58</v>
      </c>
      <c r="K1139">
        <v>852</v>
      </c>
      <c r="L1139">
        <v>4</v>
      </c>
      <c r="M1139" s="19" t="s">
        <v>51</v>
      </c>
      <c r="N1139">
        <v>3</v>
      </c>
      <c r="O1139">
        <v>2</v>
      </c>
      <c r="P1139" s="19" t="s">
        <v>168</v>
      </c>
      <c r="Q1139">
        <v>2</v>
      </c>
      <c r="R1139" s="19" t="s">
        <v>53</v>
      </c>
      <c r="S1139">
        <v>60379</v>
      </c>
      <c r="T1139" s="19" t="s">
        <v>64</v>
      </c>
      <c r="U1139">
        <v>377.37</v>
      </c>
      <c r="V1139">
        <v>9</v>
      </c>
      <c r="W1139" s="19" t="s">
        <v>55</v>
      </c>
      <c r="X1139">
        <v>12</v>
      </c>
      <c r="Y1139">
        <v>3</v>
      </c>
      <c r="Z1139">
        <v>4</v>
      </c>
      <c r="AA1139">
        <v>0</v>
      </c>
      <c r="AB1139">
        <v>10</v>
      </c>
      <c r="AC1139">
        <v>2</v>
      </c>
      <c r="AD1139">
        <v>2</v>
      </c>
      <c r="AE1139">
        <v>5</v>
      </c>
      <c r="AF1139">
        <v>2</v>
      </c>
      <c r="AG1139">
        <v>2</v>
      </c>
      <c r="AH1139">
        <v>3</v>
      </c>
      <c r="AI1139">
        <v>0</v>
      </c>
      <c r="AJ1139" s="19" t="s">
        <v>1567</v>
      </c>
      <c r="AK1139" s="19" t="s">
        <v>1562</v>
      </c>
      <c r="AL1139">
        <v>2</v>
      </c>
      <c r="AM1139" s="19" t="s">
        <v>1564</v>
      </c>
      <c r="AN1139">
        <v>0.25295857988165688</v>
      </c>
      <c r="AO1139">
        <v>724548</v>
      </c>
    </row>
    <row r="1140" spans="1:41" x14ac:dyDescent="0.3">
      <c r="A1140" s="19" t="s">
        <v>1206</v>
      </c>
      <c r="B1140">
        <v>44</v>
      </c>
      <c r="C1140" s="19" t="s">
        <v>802</v>
      </c>
      <c r="D1140" s="19" t="s">
        <v>55</v>
      </c>
      <c r="E1140" s="19" t="s">
        <v>48</v>
      </c>
      <c r="F1140">
        <v>986</v>
      </c>
      <c r="G1140" s="19" t="s">
        <v>735</v>
      </c>
      <c r="H1140">
        <v>8</v>
      </c>
      <c r="I1140">
        <v>4</v>
      </c>
      <c r="J1140" s="19" t="s">
        <v>50</v>
      </c>
      <c r="K1140">
        <v>874</v>
      </c>
      <c r="L1140">
        <v>1</v>
      </c>
      <c r="M1140" s="19" t="s">
        <v>51</v>
      </c>
      <c r="N1140">
        <v>4</v>
      </c>
      <c r="O1140">
        <v>1</v>
      </c>
      <c r="P1140" s="19" t="s">
        <v>52</v>
      </c>
      <c r="Q1140">
        <v>4</v>
      </c>
      <c r="R1140" s="19" t="s">
        <v>113</v>
      </c>
      <c r="S1140">
        <v>26053</v>
      </c>
      <c r="T1140" s="19" t="s">
        <v>72</v>
      </c>
      <c r="U1140">
        <v>162.83000000000001</v>
      </c>
      <c r="V1140">
        <v>2</v>
      </c>
      <c r="W1140" s="19" t="s">
        <v>47</v>
      </c>
      <c r="X1140">
        <v>24</v>
      </c>
      <c r="Y1140">
        <v>4</v>
      </c>
      <c r="Z1140">
        <v>3</v>
      </c>
      <c r="AA1140">
        <v>1</v>
      </c>
      <c r="AB1140">
        <v>10</v>
      </c>
      <c r="AC1140">
        <v>2</v>
      </c>
      <c r="AD1140">
        <v>2</v>
      </c>
      <c r="AE1140">
        <v>3</v>
      </c>
      <c r="AF1140">
        <v>2</v>
      </c>
      <c r="AG1140">
        <v>0</v>
      </c>
      <c r="AH1140">
        <v>2</v>
      </c>
      <c r="AI1140">
        <v>0</v>
      </c>
      <c r="AJ1140" s="19" t="s">
        <v>1566</v>
      </c>
      <c r="AK1140" s="19" t="s">
        <v>1562</v>
      </c>
      <c r="AL1140">
        <v>2</v>
      </c>
      <c r="AM1140" s="19" t="s">
        <v>1564</v>
      </c>
      <c r="AN1140">
        <v>-0.49627419678126494</v>
      </c>
      <c r="AO1140">
        <v>312636</v>
      </c>
    </row>
    <row r="1141" spans="1:41" x14ac:dyDescent="0.3">
      <c r="A1141" s="19" t="s">
        <v>1207</v>
      </c>
      <c r="B1141">
        <v>44</v>
      </c>
      <c r="C1141" s="19" t="s">
        <v>802</v>
      </c>
      <c r="D1141" s="19" t="s">
        <v>55</v>
      </c>
      <c r="E1141" s="19" t="s">
        <v>48</v>
      </c>
      <c r="F1141">
        <v>661</v>
      </c>
      <c r="G1141" s="19" t="s">
        <v>735</v>
      </c>
      <c r="H1141">
        <v>9</v>
      </c>
      <c r="I1141">
        <v>2</v>
      </c>
      <c r="J1141" s="19" t="s">
        <v>50</v>
      </c>
      <c r="K1141">
        <v>913</v>
      </c>
      <c r="L1141">
        <v>2</v>
      </c>
      <c r="M1141" s="19" t="s">
        <v>51</v>
      </c>
      <c r="N1141">
        <v>3</v>
      </c>
      <c r="O1141">
        <v>1</v>
      </c>
      <c r="P1141" s="19" t="s">
        <v>67</v>
      </c>
      <c r="Q1141">
        <v>1</v>
      </c>
      <c r="R1141" s="19" t="s">
        <v>113</v>
      </c>
      <c r="S1141">
        <v>10446</v>
      </c>
      <c r="T1141" s="19" t="s">
        <v>54</v>
      </c>
      <c r="U1141">
        <v>65.290000000000006</v>
      </c>
      <c r="V1141">
        <v>1</v>
      </c>
      <c r="W1141" s="19" t="s">
        <v>47</v>
      </c>
      <c r="X1141">
        <v>13</v>
      </c>
      <c r="Y1141">
        <v>3</v>
      </c>
      <c r="Z1141">
        <v>4</v>
      </c>
      <c r="AA1141">
        <v>0</v>
      </c>
      <c r="AB1141">
        <v>8</v>
      </c>
      <c r="AC1141">
        <v>0</v>
      </c>
      <c r="AD1141">
        <v>3</v>
      </c>
      <c r="AE1141">
        <v>8</v>
      </c>
      <c r="AF1141">
        <v>7</v>
      </c>
      <c r="AG1141">
        <v>7</v>
      </c>
      <c r="AH1141">
        <v>1</v>
      </c>
      <c r="AI1141">
        <v>0</v>
      </c>
      <c r="AJ1141" s="19" t="s">
        <v>1569</v>
      </c>
      <c r="AK1141" s="19" t="s">
        <v>1570</v>
      </c>
      <c r="AL1141">
        <v>3</v>
      </c>
      <c r="AM1141" s="19" t="s">
        <v>1568</v>
      </c>
      <c r="AN1141">
        <v>-0.79051901994474216</v>
      </c>
      <c r="AO1141">
        <v>125352</v>
      </c>
    </row>
    <row r="1142" spans="1:41" x14ac:dyDescent="0.3">
      <c r="A1142" s="19" t="s">
        <v>1208</v>
      </c>
      <c r="B1142">
        <v>44</v>
      </c>
      <c r="C1142" s="19" t="s">
        <v>802</v>
      </c>
      <c r="D1142" s="19" t="s">
        <v>55</v>
      </c>
      <c r="E1142" s="19" t="s">
        <v>48</v>
      </c>
      <c r="F1142">
        <v>1448</v>
      </c>
      <c r="G1142" s="19" t="s">
        <v>932</v>
      </c>
      <c r="H1142">
        <v>28</v>
      </c>
      <c r="I1142">
        <v>3</v>
      </c>
      <c r="J1142" s="19" t="s">
        <v>58</v>
      </c>
      <c r="K1142">
        <v>1039</v>
      </c>
      <c r="L1142">
        <v>4</v>
      </c>
      <c r="M1142" s="19" t="s">
        <v>59</v>
      </c>
      <c r="N1142">
        <v>4</v>
      </c>
      <c r="O1142">
        <v>4</v>
      </c>
      <c r="P1142" s="19" t="s">
        <v>145</v>
      </c>
      <c r="Q1142">
        <v>4</v>
      </c>
      <c r="R1142" s="19" t="s">
        <v>113</v>
      </c>
      <c r="S1142">
        <v>1922</v>
      </c>
      <c r="T1142" s="19" t="s">
        <v>54</v>
      </c>
      <c r="U1142">
        <v>12.01</v>
      </c>
      <c r="V1142">
        <v>3</v>
      </c>
      <c r="W1142" s="19" t="s">
        <v>47</v>
      </c>
      <c r="X1142">
        <v>18</v>
      </c>
      <c r="Y1142">
        <v>3</v>
      </c>
      <c r="Z1142">
        <v>3</v>
      </c>
      <c r="AA1142">
        <v>1</v>
      </c>
      <c r="AB1142">
        <v>23</v>
      </c>
      <c r="AC1142">
        <v>2</v>
      </c>
      <c r="AD1142">
        <v>3</v>
      </c>
      <c r="AE1142">
        <v>12</v>
      </c>
      <c r="AF1142">
        <v>11</v>
      </c>
      <c r="AG1142">
        <v>11</v>
      </c>
      <c r="AH1142">
        <v>11</v>
      </c>
      <c r="AI1142">
        <v>0</v>
      </c>
      <c r="AJ1142" s="19" t="s">
        <v>1571</v>
      </c>
      <c r="AK1142" s="19" t="s">
        <v>1570</v>
      </c>
      <c r="AL1142">
        <v>2</v>
      </c>
      <c r="AM1142" s="19" t="s">
        <v>1564</v>
      </c>
      <c r="AN1142">
        <v>-0.96082186002639891</v>
      </c>
      <c r="AO1142">
        <v>23064</v>
      </c>
    </row>
    <row r="1143" spans="1:41" x14ac:dyDescent="0.3">
      <c r="A1143" s="19" t="s">
        <v>1209</v>
      </c>
      <c r="B1143">
        <v>44</v>
      </c>
      <c r="C1143" s="19" t="s">
        <v>802</v>
      </c>
      <c r="D1143" s="19" t="s">
        <v>47</v>
      </c>
      <c r="E1143" s="19" t="s">
        <v>48</v>
      </c>
      <c r="F1143">
        <v>1376</v>
      </c>
      <c r="G1143" s="19" t="s">
        <v>80</v>
      </c>
      <c r="H1143">
        <v>1</v>
      </c>
      <c r="I1143">
        <v>2</v>
      </c>
      <c r="J1143" s="19" t="s">
        <v>58</v>
      </c>
      <c r="K1143">
        <v>1098</v>
      </c>
      <c r="L1143">
        <v>2</v>
      </c>
      <c r="M1143" s="19" t="s">
        <v>51</v>
      </c>
      <c r="N1143">
        <v>2</v>
      </c>
      <c r="O1143">
        <v>3</v>
      </c>
      <c r="P1143" s="19" t="s">
        <v>80</v>
      </c>
      <c r="Q1143">
        <v>1</v>
      </c>
      <c r="R1143" s="19" t="s">
        <v>113</v>
      </c>
      <c r="S1143">
        <v>99723</v>
      </c>
      <c r="T1143" s="19" t="s">
        <v>70</v>
      </c>
      <c r="U1143">
        <v>623.27</v>
      </c>
      <c r="V1143">
        <v>9</v>
      </c>
      <c r="W1143" s="19" t="s">
        <v>55</v>
      </c>
      <c r="X1143">
        <v>14</v>
      </c>
      <c r="Y1143">
        <v>3</v>
      </c>
      <c r="Z1143">
        <v>4</v>
      </c>
      <c r="AA1143">
        <v>1</v>
      </c>
      <c r="AB1143">
        <v>24</v>
      </c>
      <c r="AC1143">
        <v>1</v>
      </c>
      <c r="AD1143">
        <v>3</v>
      </c>
      <c r="AE1143">
        <v>20</v>
      </c>
      <c r="AF1143">
        <v>6</v>
      </c>
      <c r="AG1143">
        <v>3</v>
      </c>
      <c r="AH1143">
        <v>6</v>
      </c>
      <c r="AI1143">
        <v>1</v>
      </c>
      <c r="AJ1143" s="19" t="s">
        <v>1571</v>
      </c>
      <c r="AK1143" s="19" t="s">
        <v>1570</v>
      </c>
      <c r="AL1143">
        <v>2</v>
      </c>
      <c r="AM1143" s="19" t="s">
        <v>1564</v>
      </c>
      <c r="AN1143">
        <v>0.96521607312719571</v>
      </c>
      <c r="AO1143">
        <v>1196676</v>
      </c>
    </row>
    <row r="1144" spans="1:41" x14ac:dyDescent="0.3">
      <c r="A1144" s="19" t="s">
        <v>1210</v>
      </c>
      <c r="B1144">
        <v>44</v>
      </c>
      <c r="C1144" s="19" t="s">
        <v>802</v>
      </c>
      <c r="D1144" s="19" t="s">
        <v>47</v>
      </c>
      <c r="E1144" s="19" t="s">
        <v>48</v>
      </c>
      <c r="F1144">
        <v>1097</v>
      </c>
      <c r="G1144" s="19" t="s">
        <v>735</v>
      </c>
      <c r="H1144">
        <v>10</v>
      </c>
      <c r="I1144">
        <v>4</v>
      </c>
      <c r="J1144" s="19" t="s">
        <v>50</v>
      </c>
      <c r="K1144">
        <v>1200</v>
      </c>
      <c r="L1144">
        <v>3</v>
      </c>
      <c r="M1144" s="19" t="s">
        <v>51</v>
      </c>
      <c r="N1144">
        <v>3</v>
      </c>
      <c r="O1144">
        <v>1</v>
      </c>
      <c r="P1144" s="19" t="s">
        <v>67</v>
      </c>
      <c r="Q1144">
        <v>3</v>
      </c>
      <c r="R1144" s="19" t="s">
        <v>53</v>
      </c>
      <c r="S1144">
        <v>52356</v>
      </c>
      <c r="T1144" s="19" t="s">
        <v>64</v>
      </c>
      <c r="U1144">
        <v>327.23</v>
      </c>
      <c r="V1144">
        <v>1</v>
      </c>
      <c r="W1144" s="19" t="s">
        <v>47</v>
      </c>
      <c r="X1144">
        <v>11</v>
      </c>
      <c r="Y1144">
        <v>3</v>
      </c>
      <c r="Z1144">
        <v>3</v>
      </c>
      <c r="AA1144">
        <v>0</v>
      </c>
      <c r="AB1144">
        <v>6</v>
      </c>
      <c r="AC1144">
        <v>4</v>
      </c>
      <c r="AD1144">
        <v>3</v>
      </c>
      <c r="AE1144">
        <v>6</v>
      </c>
      <c r="AF1144">
        <v>4</v>
      </c>
      <c r="AG1144">
        <v>0</v>
      </c>
      <c r="AH1144">
        <v>2</v>
      </c>
      <c r="AI1144">
        <v>1</v>
      </c>
      <c r="AJ1144" s="19" t="s">
        <v>1569</v>
      </c>
      <c r="AK1144" s="19" t="s">
        <v>1562</v>
      </c>
      <c r="AL1144">
        <v>1</v>
      </c>
      <c r="AM1144" s="19" t="s">
        <v>1565</v>
      </c>
      <c r="AN1144">
        <v>4.9931666836404459E-2</v>
      </c>
      <c r="AO1144">
        <v>628272</v>
      </c>
    </row>
    <row r="1145" spans="1:41" x14ac:dyDescent="0.3">
      <c r="A1145" s="19" t="s">
        <v>1211</v>
      </c>
      <c r="B1145">
        <v>44</v>
      </c>
      <c r="C1145" s="19" t="s">
        <v>802</v>
      </c>
      <c r="D1145" s="19" t="s">
        <v>55</v>
      </c>
      <c r="E1145" s="19" t="s">
        <v>66</v>
      </c>
      <c r="F1145">
        <v>111</v>
      </c>
      <c r="G1145" s="19" t="s">
        <v>735</v>
      </c>
      <c r="H1145">
        <v>17</v>
      </c>
      <c r="I1145">
        <v>3</v>
      </c>
      <c r="J1145" s="19" t="s">
        <v>50</v>
      </c>
      <c r="K1145">
        <v>1206</v>
      </c>
      <c r="L1145">
        <v>4</v>
      </c>
      <c r="M1145" s="19" t="s">
        <v>51</v>
      </c>
      <c r="N1145">
        <v>1</v>
      </c>
      <c r="O1145">
        <v>1</v>
      </c>
      <c r="P1145" s="19" t="s">
        <v>67</v>
      </c>
      <c r="Q1145">
        <v>3</v>
      </c>
      <c r="R1145" s="19" t="s">
        <v>53</v>
      </c>
      <c r="S1145">
        <v>11789</v>
      </c>
      <c r="T1145" s="19" t="s">
        <v>54</v>
      </c>
      <c r="U1145">
        <v>73.680000000000007</v>
      </c>
      <c r="V1145">
        <v>2</v>
      </c>
      <c r="W1145" s="19" t="s">
        <v>55</v>
      </c>
      <c r="X1145">
        <v>13</v>
      </c>
      <c r="Y1145">
        <v>3</v>
      </c>
      <c r="Z1145">
        <v>4</v>
      </c>
      <c r="AA1145">
        <v>0</v>
      </c>
      <c r="AB1145">
        <v>6</v>
      </c>
      <c r="AC1145">
        <v>3</v>
      </c>
      <c r="AD1145">
        <v>3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 s="19" t="s">
        <v>1561</v>
      </c>
      <c r="AK1145" s="19" t="s">
        <v>1562</v>
      </c>
      <c r="AL1145">
        <v>0</v>
      </c>
      <c r="AM1145" s="19" t="s">
        <v>1563</v>
      </c>
      <c r="AN1145">
        <v>-0.76358689700637228</v>
      </c>
      <c r="AO1145">
        <v>141468</v>
      </c>
    </row>
    <row r="1146" spans="1:41" x14ac:dyDescent="0.3">
      <c r="A1146" s="19" t="s">
        <v>1212</v>
      </c>
      <c r="B1146">
        <v>44</v>
      </c>
      <c r="C1146" s="19" t="s">
        <v>802</v>
      </c>
      <c r="D1146" s="19" t="s">
        <v>55</v>
      </c>
      <c r="E1146" s="19" t="s">
        <v>48</v>
      </c>
      <c r="F1146">
        <v>200</v>
      </c>
      <c r="G1146" s="19" t="s">
        <v>735</v>
      </c>
      <c r="H1146">
        <v>29</v>
      </c>
      <c r="I1146">
        <v>4</v>
      </c>
      <c r="J1146" s="19" t="s">
        <v>82</v>
      </c>
      <c r="K1146">
        <v>1225</v>
      </c>
      <c r="L1146">
        <v>4</v>
      </c>
      <c r="M1146" s="19" t="s">
        <v>51</v>
      </c>
      <c r="N1146">
        <v>3</v>
      </c>
      <c r="O1146">
        <v>2</v>
      </c>
      <c r="P1146" s="19" t="s">
        <v>67</v>
      </c>
      <c r="Q1146">
        <v>4</v>
      </c>
      <c r="R1146" s="19" t="s">
        <v>53</v>
      </c>
      <c r="S1146">
        <v>98720</v>
      </c>
      <c r="T1146" s="19" t="s">
        <v>70</v>
      </c>
      <c r="U1146">
        <v>617</v>
      </c>
      <c r="V1146">
        <v>1</v>
      </c>
      <c r="W1146" s="19" t="s">
        <v>55</v>
      </c>
      <c r="X1146">
        <v>25</v>
      </c>
      <c r="Y1146">
        <v>4</v>
      </c>
      <c r="Z1146">
        <v>2</v>
      </c>
      <c r="AA1146">
        <v>0</v>
      </c>
      <c r="AB1146">
        <v>20</v>
      </c>
      <c r="AC1146">
        <v>3</v>
      </c>
      <c r="AD1146">
        <v>3</v>
      </c>
      <c r="AE1146">
        <v>20</v>
      </c>
      <c r="AF1146">
        <v>11</v>
      </c>
      <c r="AG1146">
        <v>13</v>
      </c>
      <c r="AH1146">
        <v>17</v>
      </c>
      <c r="AI1146">
        <v>0</v>
      </c>
      <c r="AJ1146" s="19" t="s">
        <v>1571</v>
      </c>
      <c r="AK1146" s="19" t="s">
        <v>1570</v>
      </c>
      <c r="AL1146">
        <v>1</v>
      </c>
      <c r="AM1146" s="19" t="s">
        <v>1565</v>
      </c>
      <c r="AN1146">
        <v>0.97970154614733451</v>
      </c>
      <c r="AO1146">
        <v>1184640</v>
      </c>
    </row>
    <row r="1147" spans="1:41" x14ac:dyDescent="0.3">
      <c r="A1147" s="19" t="s">
        <v>1213</v>
      </c>
      <c r="B1147">
        <v>44</v>
      </c>
      <c r="C1147" s="19" t="s">
        <v>802</v>
      </c>
      <c r="D1147" s="19" t="s">
        <v>55</v>
      </c>
      <c r="E1147" s="19" t="s">
        <v>48</v>
      </c>
      <c r="F1147">
        <v>1117</v>
      </c>
      <c r="G1147" s="19" t="s">
        <v>735</v>
      </c>
      <c r="H1147">
        <v>2</v>
      </c>
      <c r="I1147">
        <v>1</v>
      </c>
      <c r="J1147" s="19" t="s">
        <v>50</v>
      </c>
      <c r="K1147">
        <v>1246</v>
      </c>
      <c r="L1147">
        <v>1</v>
      </c>
      <c r="M1147" s="19" t="s">
        <v>59</v>
      </c>
      <c r="N1147">
        <v>4</v>
      </c>
      <c r="O1147">
        <v>1</v>
      </c>
      <c r="P1147" s="19" t="s">
        <v>67</v>
      </c>
      <c r="Q1147">
        <v>4</v>
      </c>
      <c r="R1147" s="19" t="s">
        <v>113</v>
      </c>
      <c r="S1147">
        <v>67656</v>
      </c>
      <c r="T1147" s="19" t="s">
        <v>64</v>
      </c>
      <c r="U1147">
        <v>422.85</v>
      </c>
      <c r="V1147">
        <v>1</v>
      </c>
      <c r="W1147" s="19" t="s">
        <v>55</v>
      </c>
      <c r="X1147">
        <v>13</v>
      </c>
      <c r="Y1147">
        <v>3</v>
      </c>
      <c r="Z1147">
        <v>4</v>
      </c>
      <c r="AA1147">
        <v>1</v>
      </c>
      <c r="AB1147">
        <v>10</v>
      </c>
      <c r="AC1147">
        <v>5</v>
      </c>
      <c r="AD1147">
        <v>3</v>
      </c>
      <c r="AE1147">
        <v>10</v>
      </c>
      <c r="AF1147">
        <v>5</v>
      </c>
      <c r="AG1147">
        <v>7</v>
      </c>
      <c r="AH1147">
        <v>7</v>
      </c>
      <c r="AI1147">
        <v>0</v>
      </c>
      <c r="AJ1147" s="19" t="s">
        <v>1569</v>
      </c>
      <c r="AK1147" s="19" t="s">
        <v>1570</v>
      </c>
      <c r="AL1147">
        <v>1</v>
      </c>
      <c r="AM1147" s="19" t="s">
        <v>1565</v>
      </c>
      <c r="AN1147">
        <v>0.35675332056466841</v>
      </c>
      <c r="AO1147">
        <v>811872</v>
      </c>
    </row>
    <row r="1148" spans="1:41" x14ac:dyDescent="0.3">
      <c r="A1148" s="19" t="s">
        <v>1214</v>
      </c>
      <c r="B1148">
        <v>44</v>
      </c>
      <c r="C1148" s="19" t="s">
        <v>802</v>
      </c>
      <c r="D1148" s="19" t="s">
        <v>55</v>
      </c>
      <c r="E1148" s="19" t="s">
        <v>48</v>
      </c>
      <c r="F1148">
        <v>1099</v>
      </c>
      <c r="G1148" s="19" t="s">
        <v>932</v>
      </c>
      <c r="H1148">
        <v>5</v>
      </c>
      <c r="I1148">
        <v>3</v>
      </c>
      <c r="J1148" s="19" t="s">
        <v>63</v>
      </c>
      <c r="K1148">
        <v>1267</v>
      </c>
      <c r="L1148">
        <v>2</v>
      </c>
      <c r="M1148" s="19" t="s">
        <v>51</v>
      </c>
      <c r="N1148">
        <v>3</v>
      </c>
      <c r="O1148">
        <v>5</v>
      </c>
      <c r="P1148" s="19" t="s">
        <v>444</v>
      </c>
      <c r="Q1148">
        <v>2</v>
      </c>
      <c r="R1148" s="19" t="s">
        <v>113</v>
      </c>
      <c r="S1148">
        <v>45028</v>
      </c>
      <c r="T1148" s="19" t="s">
        <v>72</v>
      </c>
      <c r="U1148">
        <v>281.42</v>
      </c>
      <c r="V1148">
        <v>7</v>
      </c>
      <c r="W1148" s="19" t="s">
        <v>55</v>
      </c>
      <c r="X1148">
        <v>11</v>
      </c>
      <c r="Y1148">
        <v>3</v>
      </c>
      <c r="Z1148">
        <v>3</v>
      </c>
      <c r="AA1148">
        <v>1</v>
      </c>
      <c r="AB1148">
        <v>26</v>
      </c>
      <c r="AC1148">
        <v>5</v>
      </c>
      <c r="AD1148">
        <v>3</v>
      </c>
      <c r="AE1148">
        <v>22</v>
      </c>
      <c r="AF1148">
        <v>9</v>
      </c>
      <c r="AG1148">
        <v>3</v>
      </c>
      <c r="AH1148">
        <v>10</v>
      </c>
      <c r="AI1148">
        <v>0</v>
      </c>
      <c r="AJ1148" s="19" t="s">
        <v>1571</v>
      </c>
      <c r="AK1148" s="19" t="s">
        <v>1570</v>
      </c>
      <c r="AL1148">
        <v>2</v>
      </c>
      <c r="AM1148" s="19" t="s">
        <v>1564</v>
      </c>
      <c r="AN1148">
        <v>-0.13736676941708731</v>
      </c>
      <c r="AO1148">
        <v>540336</v>
      </c>
    </row>
    <row r="1149" spans="1:41" x14ac:dyDescent="0.3">
      <c r="A1149" s="19" t="s">
        <v>1215</v>
      </c>
      <c r="B1149">
        <v>44</v>
      </c>
      <c r="C1149" s="19" t="s">
        <v>802</v>
      </c>
      <c r="D1149" s="19" t="s">
        <v>55</v>
      </c>
      <c r="E1149" s="19" t="s">
        <v>48</v>
      </c>
      <c r="F1149">
        <v>1199</v>
      </c>
      <c r="G1149" s="19" t="s">
        <v>735</v>
      </c>
      <c r="H1149">
        <v>4</v>
      </c>
      <c r="I1149">
        <v>2</v>
      </c>
      <c r="J1149" s="19" t="s">
        <v>50</v>
      </c>
      <c r="K1149">
        <v>1288</v>
      </c>
      <c r="L1149">
        <v>3</v>
      </c>
      <c r="M1149" s="19" t="s">
        <v>51</v>
      </c>
      <c r="N1149">
        <v>4</v>
      </c>
      <c r="O1149">
        <v>5</v>
      </c>
      <c r="P1149" s="19" t="s">
        <v>444</v>
      </c>
      <c r="Q1149">
        <v>1</v>
      </c>
      <c r="R1149" s="19" t="s">
        <v>113</v>
      </c>
      <c r="S1149">
        <v>65484</v>
      </c>
      <c r="T1149" s="19" t="s">
        <v>64</v>
      </c>
      <c r="U1149">
        <v>409.28</v>
      </c>
      <c r="V1149">
        <v>1</v>
      </c>
      <c r="W1149" s="19" t="s">
        <v>55</v>
      </c>
      <c r="X1149">
        <v>14</v>
      </c>
      <c r="Y1149">
        <v>3</v>
      </c>
      <c r="Z1149">
        <v>4</v>
      </c>
      <c r="AA1149">
        <v>2</v>
      </c>
      <c r="AB1149">
        <v>26</v>
      </c>
      <c r="AC1149">
        <v>4</v>
      </c>
      <c r="AD1149">
        <v>2</v>
      </c>
      <c r="AE1149">
        <v>25</v>
      </c>
      <c r="AF1149">
        <v>9</v>
      </c>
      <c r="AG1149">
        <v>14</v>
      </c>
      <c r="AH1149">
        <v>13</v>
      </c>
      <c r="AI1149">
        <v>0</v>
      </c>
      <c r="AJ1149" s="19" t="s">
        <v>1571</v>
      </c>
      <c r="AK1149" s="19" t="s">
        <v>1570</v>
      </c>
      <c r="AL1149">
        <v>3</v>
      </c>
      <c r="AM1149" s="19" t="s">
        <v>1568</v>
      </c>
      <c r="AN1149">
        <v>0.25452328487810816</v>
      </c>
      <c r="AO1149">
        <v>785808</v>
      </c>
    </row>
    <row r="1150" spans="1:41" x14ac:dyDescent="0.3">
      <c r="A1150" s="19" t="s">
        <v>1216</v>
      </c>
      <c r="B1150">
        <v>44</v>
      </c>
      <c r="C1150" s="19" t="s">
        <v>802</v>
      </c>
      <c r="D1150" s="19" t="s">
        <v>47</v>
      </c>
      <c r="E1150" s="19" t="s">
        <v>48</v>
      </c>
      <c r="F1150">
        <v>621</v>
      </c>
      <c r="G1150" s="19" t="s">
        <v>735</v>
      </c>
      <c r="H1150">
        <v>15</v>
      </c>
      <c r="I1150">
        <v>3</v>
      </c>
      <c r="J1150" s="19" t="s">
        <v>58</v>
      </c>
      <c r="K1150">
        <v>1295</v>
      </c>
      <c r="L1150">
        <v>1</v>
      </c>
      <c r="M1150" s="19" t="s">
        <v>59</v>
      </c>
      <c r="N1150">
        <v>3</v>
      </c>
      <c r="O1150">
        <v>3</v>
      </c>
      <c r="P1150" s="19" t="s">
        <v>168</v>
      </c>
      <c r="Q1150">
        <v>4</v>
      </c>
      <c r="R1150" s="19" t="s">
        <v>113</v>
      </c>
      <c r="S1150">
        <v>33154</v>
      </c>
      <c r="T1150" s="19" t="s">
        <v>72</v>
      </c>
      <c r="U1150">
        <v>207.21</v>
      </c>
      <c r="V1150">
        <v>1</v>
      </c>
      <c r="W1150" s="19" t="s">
        <v>55</v>
      </c>
      <c r="X1150">
        <v>11</v>
      </c>
      <c r="Y1150">
        <v>3</v>
      </c>
      <c r="Z1150">
        <v>4</v>
      </c>
      <c r="AA1150">
        <v>1</v>
      </c>
      <c r="AB1150">
        <v>10</v>
      </c>
      <c r="AC1150">
        <v>2</v>
      </c>
      <c r="AD1150">
        <v>3</v>
      </c>
      <c r="AE1150">
        <v>10</v>
      </c>
      <c r="AF1150">
        <v>7</v>
      </c>
      <c r="AG1150">
        <v>0</v>
      </c>
      <c r="AH1150">
        <v>5</v>
      </c>
      <c r="AI1150">
        <v>1</v>
      </c>
      <c r="AJ1150" s="19" t="s">
        <v>1569</v>
      </c>
      <c r="AK1150" s="19" t="s">
        <v>1562</v>
      </c>
      <c r="AL1150">
        <v>0</v>
      </c>
      <c r="AM1150" s="19" t="s">
        <v>1563</v>
      </c>
      <c r="AN1150">
        <v>-0.3120027036321163</v>
      </c>
      <c r="AO1150">
        <v>397848</v>
      </c>
    </row>
    <row r="1151" spans="1:41" x14ac:dyDescent="0.3">
      <c r="A1151" s="19" t="s">
        <v>1217</v>
      </c>
      <c r="B1151">
        <v>44</v>
      </c>
      <c r="C1151" s="19" t="s">
        <v>802</v>
      </c>
      <c r="D1151" s="19" t="s">
        <v>47</v>
      </c>
      <c r="E1151" s="19" t="s">
        <v>48</v>
      </c>
      <c r="F1151">
        <v>935</v>
      </c>
      <c r="G1151" s="19" t="s">
        <v>735</v>
      </c>
      <c r="H1151">
        <v>3</v>
      </c>
      <c r="I1151">
        <v>3</v>
      </c>
      <c r="J1151" s="19" t="s">
        <v>50</v>
      </c>
      <c r="K1151">
        <v>1333</v>
      </c>
      <c r="L1151">
        <v>1</v>
      </c>
      <c r="M1151" s="19" t="s">
        <v>51</v>
      </c>
      <c r="N1151">
        <v>3</v>
      </c>
      <c r="O1151">
        <v>1</v>
      </c>
      <c r="P1151" s="19" t="s">
        <v>52</v>
      </c>
      <c r="Q1151">
        <v>1</v>
      </c>
      <c r="R1151" s="19" t="s">
        <v>113</v>
      </c>
      <c r="S1151">
        <v>83870</v>
      </c>
      <c r="T1151" s="19" t="s">
        <v>70</v>
      </c>
      <c r="U1151">
        <v>524.19000000000005</v>
      </c>
      <c r="V1151">
        <v>4</v>
      </c>
      <c r="W1151" s="19" t="s">
        <v>55</v>
      </c>
      <c r="X1151">
        <v>12</v>
      </c>
      <c r="Y1151">
        <v>3</v>
      </c>
      <c r="Z1151">
        <v>3</v>
      </c>
      <c r="AA1151">
        <v>0</v>
      </c>
      <c r="AB1151">
        <v>10</v>
      </c>
      <c r="AC1151">
        <v>4</v>
      </c>
      <c r="AD1151">
        <v>4</v>
      </c>
      <c r="AE1151">
        <v>3</v>
      </c>
      <c r="AF1151">
        <v>2</v>
      </c>
      <c r="AG1151">
        <v>1</v>
      </c>
      <c r="AH1151">
        <v>2</v>
      </c>
      <c r="AI1151">
        <v>1</v>
      </c>
      <c r="AJ1151" s="19" t="s">
        <v>1566</v>
      </c>
      <c r="AK1151" s="19" t="s">
        <v>1562</v>
      </c>
      <c r="AL1151">
        <v>1</v>
      </c>
      <c r="AM1151" s="19" t="s">
        <v>1565</v>
      </c>
      <c r="AN1151">
        <v>0.62159763236307952</v>
      </c>
      <c r="AO1151">
        <v>1006440</v>
      </c>
    </row>
    <row r="1152" spans="1:41" x14ac:dyDescent="0.3">
      <c r="A1152" s="19" t="s">
        <v>1218</v>
      </c>
      <c r="B1152">
        <v>44</v>
      </c>
      <c r="C1152" s="19" t="s">
        <v>802</v>
      </c>
      <c r="D1152" s="19" t="s">
        <v>55</v>
      </c>
      <c r="E1152" s="19" t="s">
        <v>66</v>
      </c>
      <c r="F1152">
        <v>981</v>
      </c>
      <c r="G1152" s="19" t="s">
        <v>735</v>
      </c>
      <c r="H1152">
        <v>5</v>
      </c>
      <c r="I1152">
        <v>3</v>
      </c>
      <c r="J1152" s="19" t="s">
        <v>50</v>
      </c>
      <c r="K1152">
        <v>1471</v>
      </c>
      <c r="L1152">
        <v>3</v>
      </c>
      <c r="M1152" s="19" t="s">
        <v>51</v>
      </c>
      <c r="N1152">
        <v>2</v>
      </c>
      <c r="O1152">
        <v>1</v>
      </c>
      <c r="P1152" s="19" t="s">
        <v>52</v>
      </c>
      <c r="Q1152">
        <v>3</v>
      </c>
      <c r="R1152" s="19" t="s">
        <v>53</v>
      </c>
      <c r="S1152">
        <v>3336</v>
      </c>
      <c r="T1152" s="19" t="s">
        <v>54</v>
      </c>
      <c r="U1152">
        <v>20.85</v>
      </c>
      <c r="V1152">
        <v>3</v>
      </c>
      <c r="W1152" s="19" t="s">
        <v>55</v>
      </c>
      <c r="X1152">
        <v>14</v>
      </c>
      <c r="Y1152">
        <v>3</v>
      </c>
      <c r="Z1152">
        <v>4</v>
      </c>
      <c r="AA1152">
        <v>0</v>
      </c>
      <c r="AB1152">
        <v>7</v>
      </c>
      <c r="AC1152">
        <v>5</v>
      </c>
      <c r="AD1152">
        <v>3</v>
      </c>
      <c r="AE1152">
        <v>5</v>
      </c>
      <c r="AF1152">
        <v>2</v>
      </c>
      <c r="AG1152">
        <v>0</v>
      </c>
      <c r="AH1152">
        <v>3</v>
      </c>
      <c r="AI1152">
        <v>0</v>
      </c>
      <c r="AJ1152" s="19" t="s">
        <v>1567</v>
      </c>
      <c r="AK1152" s="19" t="s">
        <v>1562</v>
      </c>
      <c r="AL1152">
        <v>0</v>
      </c>
      <c r="AM1152" s="19" t="s">
        <v>1563</v>
      </c>
      <c r="AN1152">
        <v>-0.93549958624581808</v>
      </c>
      <c r="AO1152">
        <v>40032</v>
      </c>
    </row>
    <row r="1153" spans="1:41" x14ac:dyDescent="0.3">
      <c r="A1153" s="19" t="s">
        <v>1219</v>
      </c>
      <c r="B1153">
        <v>44</v>
      </c>
      <c r="C1153" s="19" t="s">
        <v>802</v>
      </c>
      <c r="D1153" s="19" t="s">
        <v>55</v>
      </c>
      <c r="E1153" s="19" t="s">
        <v>48</v>
      </c>
      <c r="F1153">
        <v>1467</v>
      </c>
      <c r="G1153" s="19" t="s">
        <v>735</v>
      </c>
      <c r="H1153">
        <v>20</v>
      </c>
      <c r="I1153">
        <v>3</v>
      </c>
      <c r="J1153" s="19" t="s">
        <v>50</v>
      </c>
      <c r="K1153">
        <v>1475</v>
      </c>
      <c r="L1153">
        <v>4</v>
      </c>
      <c r="M1153" s="19" t="s">
        <v>51</v>
      </c>
      <c r="N1153">
        <v>3</v>
      </c>
      <c r="O1153">
        <v>1</v>
      </c>
      <c r="P1153" s="19" t="s">
        <v>67</v>
      </c>
      <c r="Q1153">
        <v>2</v>
      </c>
      <c r="R1153" s="19" t="s">
        <v>53</v>
      </c>
      <c r="S1153">
        <v>68779</v>
      </c>
      <c r="T1153" s="19" t="s">
        <v>64</v>
      </c>
      <c r="U1153">
        <v>429.87</v>
      </c>
      <c r="V1153">
        <v>1</v>
      </c>
      <c r="W1153" s="19" t="s">
        <v>55</v>
      </c>
      <c r="X1153">
        <v>13</v>
      </c>
      <c r="Y1153">
        <v>3</v>
      </c>
      <c r="Z1153">
        <v>3</v>
      </c>
      <c r="AA1153">
        <v>0</v>
      </c>
      <c r="AB1153">
        <v>6</v>
      </c>
      <c r="AC1153">
        <v>3</v>
      </c>
      <c r="AD1153">
        <v>2</v>
      </c>
      <c r="AE1153">
        <v>5</v>
      </c>
      <c r="AF1153">
        <v>2</v>
      </c>
      <c r="AG1153">
        <v>1</v>
      </c>
      <c r="AH1153">
        <v>3</v>
      </c>
      <c r="AI1153">
        <v>0</v>
      </c>
      <c r="AJ1153" s="19" t="s">
        <v>1567</v>
      </c>
      <c r="AK1153" s="19" t="s">
        <v>1562</v>
      </c>
      <c r="AL1153">
        <v>2</v>
      </c>
      <c r="AM1153" s="19" t="s">
        <v>1564</v>
      </c>
      <c r="AN1153">
        <v>0.37927362887426586</v>
      </c>
      <c r="AO1153">
        <v>825348</v>
      </c>
    </row>
    <row r="1154" spans="1:41" x14ac:dyDescent="0.3">
      <c r="A1154" s="19" t="s">
        <v>1220</v>
      </c>
      <c r="B1154">
        <v>44</v>
      </c>
      <c r="C1154" s="19" t="s">
        <v>802</v>
      </c>
      <c r="D1154" s="19" t="s">
        <v>55</v>
      </c>
      <c r="E1154" s="19" t="s">
        <v>62</v>
      </c>
      <c r="F1154">
        <v>383</v>
      </c>
      <c r="G1154" s="19" t="s">
        <v>932</v>
      </c>
      <c r="H1154">
        <v>1</v>
      </c>
      <c r="I1154">
        <v>5</v>
      </c>
      <c r="J1154" s="19" t="s">
        <v>63</v>
      </c>
      <c r="K1154">
        <v>1481</v>
      </c>
      <c r="L1154">
        <v>1</v>
      </c>
      <c r="M1154" s="19" t="s">
        <v>59</v>
      </c>
      <c r="N1154">
        <v>3</v>
      </c>
      <c r="O1154">
        <v>2</v>
      </c>
      <c r="P1154" s="19" t="s">
        <v>145</v>
      </c>
      <c r="Q1154">
        <v>3</v>
      </c>
      <c r="R1154" s="19" t="s">
        <v>113</v>
      </c>
      <c r="S1154">
        <v>20029</v>
      </c>
      <c r="T1154" s="19" t="s">
        <v>54</v>
      </c>
      <c r="U1154">
        <v>125.18</v>
      </c>
      <c r="V1154">
        <v>7</v>
      </c>
      <c r="W1154" s="19" t="s">
        <v>55</v>
      </c>
      <c r="X1154">
        <v>12</v>
      </c>
      <c r="Y1154">
        <v>3</v>
      </c>
      <c r="Z1154">
        <v>3</v>
      </c>
      <c r="AA1154">
        <v>1</v>
      </c>
      <c r="AB1154">
        <v>11</v>
      </c>
      <c r="AC1154">
        <v>4</v>
      </c>
      <c r="AD1154">
        <v>2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 s="19" t="s">
        <v>1561</v>
      </c>
      <c r="AK1154" s="19" t="s">
        <v>1562</v>
      </c>
      <c r="AL1154">
        <v>1</v>
      </c>
      <c r="AM1154" s="19" t="s">
        <v>1565</v>
      </c>
      <c r="AN1154">
        <v>-0.59172790555085508</v>
      </c>
      <c r="AO1154">
        <v>240348</v>
      </c>
    </row>
    <row r="1155" spans="1:41" x14ac:dyDescent="0.3">
      <c r="A1155" s="19" t="s">
        <v>1221</v>
      </c>
      <c r="B1155">
        <v>44</v>
      </c>
      <c r="C1155" s="19" t="s">
        <v>802</v>
      </c>
      <c r="D1155" s="19" t="s">
        <v>55</v>
      </c>
      <c r="E1155" s="19" t="s">
        <v>62</v>
      </c>
      <c r="F1155">
        <v>1193</v>
      </c>
      <c r="G1155" s="19" t="s">
        <v>735</v>
      </c>
      <c r="H1155">
        <v>2</v>
      </c>
      <c r="I1155">
        <v>1</v>
      </c>
      <c r="J1155" s="19" t="s">
        <v>58</v>
      </c>
      <c r="K1155">
        <v>1496</v>
      </c>
      <c r="L1155">
        <v>2</v>
      </c>
      <c r="M1155" s="19" t="s">
        <v>51</v>
      </c>
      <c r="N1155">
        <v>3</v>
      </c>
      <c r="O1155">
        <v>3</v>
      </c>
      <c r="P1155" s="19" t="s">
        <v>120</v>
      </c>
      <c r="Q1155">
        <v>3</v>
      </c>
      <c r="R1155" s="19" t="s">
        <v>53</v>
      </c>
      <c r="S1155">
        <v>60201</v>
      </c>
      <c r="T1155" s="19" t="s">
        <v>64</v>
      </c>
      <c r="U1155">
        <v>376.26</v>
      </c>
      <c r="V1155">
        <v>5</v>
      </c>
      <c r="W1155" s="19" t="s">
        <v>47</v>
      </c>
      <c r="X1155">
        <v>18</v>
      </c>
      <c r="Y1155">
        <v>3</v>
      </c>
      <c r="Z1155">
        <v>2</v>
      </c>
      <c r="AA1155">
        <v>0</v>
      </c>
      <c r="AB1155">
        <v>16</v>
      </c>
      <c r="AC1155">
        <v>2</v>
      </c>
      <c r="AD1155">
        <v>2</v>
      </c>
      <c r="AE1155">
        <v>2</v>
      </c>
      <c r="AF1155">
        <v>2</v>
      </c>
      <c r="AG1155">
        <v>2</v>
      </c>
      <c r="AH1155">
        <v>2</v>
      </c>
      <c r="AI1155">
        <v>0</v>
      </c>
      <c r="AJ1155" s="19" t="s">
        <v>1566</v>
      </c>
      <c r="AK1155" s="19" t="s">
        <v>1562</v>
      </c>
      <c r="AL1155">
        <v>2</v>
      </c>
      <c r="AM1155" s="19" t="s">
        <v>1564</v>
      </c>
      <c r="AN1155">
        <v>0.35908215080007028</v>
      </c>
      <c r="AO1155">
        <v>722412</v>
      </c>
    </row>
    <row r="1156" spans="1:41" x14ac:dyDescent="0.3">
      <c r="A1156" s="19" t="s">
        <v>1222</v>
      </c>
      <c r="B1156">
        <v>44</v>
      </c>
      <c r="C1156" s="19" t="s">
        <v>802</v>
      </c>
      <c r="D1156" s="19" t="s">
        <v>55</v>
      </c>
      <c r="E1156" s="19" t="s">
        <v>48</v>
      </c>
      <c r="F1156">
        <v>136</v>
      </c>
      <c r="G1156" s="19" t="s">
        <v>735</v>
      </c>
      <c r="H1156">
        <v>28</v>
      </c>
      <c r="I1156">
        <v>3</v>
      </c>
      <c r="J1156" s="19" t="s">
        <v>50</v>
      </c>
      <c r="K1156">
        <v>1523</v>
      </c>
      <c r="L1156">
        <v>4</v>
      </c>
      <c r="M1156" s="19" t="s">
        <v>51</v>
      </c>
      <c r="N1156">
        <v>3</v>
      </c>
      <c r="O1156">
        <v>4</v>
      </c>
      <c r="P1156" s="19" t="s">
        <v>257</v>
      </c>
      <c r="Q1156">
        <v>1</v>
      </c>
      <c r="R1156" s="19" t="s">
        <v>113</v>
      </c>
      <c r="S1156">
        <v>33265</v>
      </c>
      <c r="T1156" s="19" t="s">
        <v>72</v>
      </c>
      <c r="U1156">
        <v>207.91</v>
      </c>
      <c r="V1156">
        <v>3</v>
      </c>
      <c r="W1156" s="19" t="s">
        <v>55</v>
      </c>
      <c r="X1156">
        <v>13</v>
      </c>
      <c r="Y1156">
        <v>3</v>
      </c>
      <c r="Z1156">
        <v>3</v>
      </c>
      <c r="AA1156">
        <v>1</v>
      </c>
      <c r="AB1156">
        <v>24</v>
      </c>
      <c r="AC1156">
        <v>1</v>
      </c>
      <c r="AD1156">
        <v>4</v>
      </c>
      <c r="AE1156">
        <v>20</v>
      </c>
      <c r="AF1156">
        <v>6</v>
      </c>
      <c r="AG1156">
        <v>14</v>
      </c>
      <c r="AH1156">
        <v>17</v>
      </c>
      <c r="AI1156">
        <v>0</v>
      </c>
      <c r="AJ1156" s="19" t="s">
        <v>1571</v>
      </c>
      <c r="AK1156" s="19" t="s">
        <v>1570</v>
      </c>
      <c r="AL1156">
        <v>2</v>
      </c>
      <c r="AM1156" s="19" t="s">
        <v>1564</v>
      </c>
      <c r="AN1156">
        <v>-0.34340740272871312</v>
      </c>
      <c r="AO1156">
        <v>399180</v>
      </c>
    </row>
    <row r="1157" spans="1:41" x14ac:dyDescent="0.3">
      <c r="A1157" s="19" t="s">
        <v>1223</v>
      </c>
      <c r="B1157">
        <v>44</v>
      </c>
      <c r="C1157" s="19" t="s">
        <v>802</v>
      </c>
      <c r="D1157" s="19" t="s">
        <v>55</v>
      </c>
      <c r="E1157" s="19" t="s">
        <v>48</v>
      </c>
      <c r="F1157">
        <v>1313</v>
      </c>
      <c r="G1157" s="19" t="s">
        <v>735</v>
      </c>
      <c r="H1157">
        <v>7</v>
      </c>
      <c r="I1157">
        <v>3</v>
      </c>
      <c r="J1157" s="19" t="s">
        <v>58</v>
      </c>
      <c r="K1157">
        <v>1608</v>
      </c>
      <c r="L1157">
        <v>2</v>
      </c>
      <c r="M1157" s="19" t="s">
        <v>59</v>
      </c>
      <c r="N1157">
        <v>3</v>
      </c>
      <c r="O1157">
        <v>5</v>
      </c>
      <c r="P1157" s="19" t="s">
        <v>257</v>
      </c>
      <c r="Q1157">
        <v>4</v>
      </c>
      <c r="R1157" s="19" t="s">
        <v>113</v>
      </c>
      <c r="S1157">
        <v>44872</v>
      </c>
      <c r="T1157" s="19" t="s">
        <v>72</v>
      </c>
      <c r="U1157">
        <v>280.45</v>
      </c>
      <c r="V1157">
        <v>0</v>
      </c>
      <c r="W1157" s="19" t="s">
        <v>47</v>
      </c>
      <c r="X1157">
        <v>14</v>
      </c>
      <c r="Y1157">
        <v>3</v>
      </c>
      <c r="Z1157">
        <v>4</v>
      </c>
      <c r="AA1157">
        <v>1</v>
      </c>
      <c r="AB1157">
        <v>23</v>
      </c>
      <c r="AC1157">
        <v>4</v>
      </c>
      <c r="AD1157">
        <v>2</v>
      </c>
      <c r="AE1157">
        <v>22</v>
      </c>
      <c r="AF1157">
        <v>7</v>
      </c>
      <c r="AG1157">
        <v>1</v>
      </c>
      <c r="AH1157">
        <v>10</v>
      </c>
      <c r="AI1157">
        <v>0</v>
      </c>
      <c r="AJ1157" s="19" t="s">
        <v>1571</v>
      </c>
      <c r="AK1157" s="19" t="s">
        <v>1562</v>
      </c>
      <c r="AL1157">
        <v>2</v>
      </c>
      <c r="AM1157" s="19" t="s">
        <v>1564</v>
      </c>
      <c r="AN1157">
        <v>-0.1143056358106964</v>
      </c>
      <c r="AO1157">
        <v>538464</v>
      </c>
    </row>
    <row r="1158" spans="1:41" x14ac:dyDescent="0.3">
      <c r="A1158" s="19" t="s">
        <v>1224</v>
      </c>
      <c r="B1158">
        <v>44</v>
      </c>
      <c r="C1158" s="19" t="s">
        <v>802</v>
      </c>
      <c r="D1158" s="19" t="s">
        <v>55</v>
      </c>
      <c r="E1158" s="19" t="s">
        <v>62</v>
      </c>
      <c r="F1158">
        <v>602</v>
      </c>
      <c r="G1158" s="19" t="s">
        <v>80</v>
      </c>
      <c r="H1158">
        <v>1</v>
      </c>
      <c r="I1158">
        <v>5</v>
      </c>
      <c r="J1158" s="19" t="s">
        <v>80</v>
      </c>
      <c r="K1158">
        <v>1642</v>
      </c>
      <c r="L1158">
        <v>1</v>
      </c>
      <c r="M1158" s="19" t="s">
        <v>51</v>
      </c>
      <c r="N1158">
        <v>3</v>
      </c>
      <c r="O1158">
        <v>2</v>
      </c>
      <c r="P1158" s="19" t="s">
        <v>80</v>
      </c>
      <c r="Q1158">
        <v>4</v>
      </c>
      <c r="R1158" s="19" t="s">
        <v>113</v>
      </c>
      <c r="S1158">
        <v>47197</v>
      </c>
      <c r="T1158" s="19" t="s">
        <v>72</v>
      </c>
      <c r="U1158">
        <v>294.98</v>
      </c>
      <c r="V1158">
        <v>4</v>
      </c>
      <c r="W1158" s="19" t="s">
        <v>47</v>
      </c>
      <c r="X1158">
        <v>11</v>
      </c>
      <c r="Y1158">
        <v>3</v>
      </c>
      <c r="Z1158">
        <v>3</v>
      </c>
      <c r="AA1158">
        <v>0</v>
      </c>
      <c r="AB1158">
        <v>14</v>
      </c>
      <c r="AC1158">
        <v>3</v>
      </c>
      <c r="AD1158">
        <v>3</v>
      </c>
      <c r="AE1158">
        <v>10</v>
      </c>
      <c r="AF1158">
        <v>7</v>
      </c>
      <c r="AG1158">
        <v>0</v>
      </c>
      <c r="AH1158">
        <v>2</v>
      </c>
      <c r="AI1158">
        <v>0</v>
      </c>
      <c r="AJ1158" s="19" t="s">
        <v>1569</v>
      </c>
      <c r="AK1158" s="19" t="s">
        <v>1562</v>
      </c>
      <c r="AL1158">
        <v>1</v>
      </c>
      <c r="AM1158" s="19" t="s">
        <v>1565</v>
      </c>
      <c r="AN1158">
        <v>-6.9900594613236097E-2</v>
      </c>
      <c r="AO1158">
        <v>566364</v>
      </c>
    </row>
    <row r="1159" spans="1:41" x14ac:dyDescent="0.3">
      <c r="A1159" s="19" t="s">
        <v>1225</v>
      </c>
      <c r="B1159">
        <v>44</v>
      </c>
      <c r="C1159" s="19" t="s">
        <v>802</v>
      </c>
      <c r="D1159" s="19" t="s">
        <v>55</v>
      </c>
      <c r="E1159" s="19" t="s">
        <v>48</v>
      </c>
      <c r="F1159">
        <v>528</v>
      </c>
      <c r="G1159" s="19" t="s">
        <v>80</v>
      </c>
      <c r="H1159">
        <v>1</v>
      </c>
      <c r="I1159">
        <v>3</v>
      </c>
      <c r="J1159" s="19" t="s">
        <v>50</v>
      </c>
      <c r="K1159">
        <v>1683</v>
      </c>
      <c r="L1159">
        <v>3</v>
      </c>
      <c r="M1159" s="19" t="s">
        <v>59</v>
      </c>
      <c r="N1159">
        <v>3</v>
      </c>
      <c r="O1159">
        <v>1</v>
      </c>
      <c r="P1159" s="19" t="s">
        <v>80</v>
      </c>
      <c r="Q1159">
        <v>4</v>
      </c>
      <c r="R1159" s="19" t="s">
        <v>113</v>
      </c>
      <c r="S1159">
        <v>56180</v>
      </c>
      <c r="T1159" s="19" t="s">
        <v>64</v>
      </c>
      <c r="U1159">
        <v>351.12</v>
      </c>
      <c r="V1159">
        <v>4</v>
      </c>
      <c r="W1159" s="19" t="s">
        <v>47</v>
      </c>
      <c r="X1159">
        <v>18</v>
      </c>
      <c r="Y1159">
        <v>3</v>
      </c>
      <c r="Z1159">
        <v>1</v>
      </c>
      <c r="AA1159">
        <v>3</v>
      </c>
      <c r="AB1159">
        <v>8</v>
      </c>
      <c r="AC1159">
        <v>2</v>
      </c>
      <c r="AD1159">
        <v>3</v>
      </c>
      <c r="AE1159">
        <v>2</v>
      </c>
      <c r="AF1159">
        <v>2</v>
      </c>
      <c r="AG1159">
        <v>2</v>
      </c>
      <c r="AH1159">
        <v>2</v>
      </c>
      <c r="AI1159">
        <v>0</v>
      </c>
      <c r="AJ1159" s="19" t="s">
        <v>1566</v>
      </c>
      <c r="AK1159" s="19" t="s">
        <v>1562</v>
      </c>
      <c r="AL1159">
        <v>1</v>
      </c>
      <c r="AM1159" s="19" t="s">
        <v>1565</v>
      </c>
      <c r="AN1159">
        <v>0.10712512648321706</v>
      </c>
      <c r="AO1159">
        <v>674160</v>
      </c>
    </row>
    <row r="1160" spans="1:41" x14ac:dyDescent="0.3">
      <c r="A1160" s="19" t="s">
        <v>1226</v>
      </c>
      <c r="B1160">
        <v>44</v>
      </c>
      <c r="C1160" s="19" t="s">
        <v>802</v>
      </c>
      <c r="D1160" s="19" t="s">
        <v>55</v>
      </c>
      <c r="E1160" s="19" t="s">
        <v>48</v>
      </c>
      <c r="F1160">
        <v>921</v>
      </c>
      <c r="G1160" s="19" t="s">
        <v>735</v>
      </c>
      <c r="H1160">
        <v>2</v>
      </c>
      <c r="I1160">
        <v>3</v>
      </c>
      <c r="J1160" s="19" t="s">
        <v>50</v>
      </c>
      <c r="K1160">
        <v>1703</v>
      </c>
      <c r="L1160">
        <v>3</v>
      </c>
      <c r="M1160" s="19" t="s">
        <v>59</v>
      </c>
      <c r="N1160">
        <v>4</v>
      </c>
      <c r="O1160">
        <v>3</v>
      </c>
      <c r="P1160" s="19" t="s">
        <v>168</v>
      </c>
      <c r="Q1160">
        <v>4</v>
      </c>
      <c r="R1160" s="19" t="s">
        <v>113</v>
      </c>
      <c r="S1160">
        <v>24710</v>
      </c>
      <c r="T1160" s="19" t="s">
        <v>54</v>
      </c>
      <c r="U1160">
        <v>154.44</v>
      </c>
      <c r="V1160">
        <v>1</v>
      </c>
      <c r="W1160" s="19" t="s">
        <v>47</v>
      </c>
      <c r="X1160">
        <v>19</v>
      </c>
      <c r="Y1160">
        <v>3</v>
      </c>
      <c r="Z1160">
        <v>2</v>
      </c>
      <c r="AA1160">
        <v>1</v>
      </c>
      <c r="AB1160">
        <v>9</v>
      </c>
      <c r="AC1160">
        <v>2</v>
      </c>
      <c r="AD1160">
        <v>3</v>
      </c>
      <c r="AE1160">
        <v>8</v>
      </c>
      <c r="AF1160">
        <v>7</v>
      </c>
      <c r="AG1160">
        <v>6</v>
      </c>
      <c r="AH1160">
        <v>7</v>
      </c>
      <c r="AI1160">
        <v>0</v>
      </c>
      <c r="AJ1160" s="19" t="s">
        <v>1569</v>
      </c>
      <c r="AK1160" s="19" t="s">
        <v>1570</v>
      </c>
      <c r="AL1160">
        <v>2</v>
      </c>
      <c r="AM1160" s="19" t="s">
        <v>1564</v>
      </c>
      <c r="AN1160">
        <v>-0.48722889566114475</v>
      </c>
      <c r="AO1160">
        <v>296520</v>
      </c>
    </row>
    <row r="1161" spans="1:41" x14ac:dyDescent="0.3">
      <c r="A1161" s="19" t="s">
        <v>1227</v>
      </c>
      <c r="B1161">
        <v>44</v>
      </c>
      <c r="C1161" s="19" t="s">
        <v>802</v>
      </c>
      <c r="D1161" s="19" t="s">
        <v>47</v>
      </c>
      <c r="E1161" s="19" t="s">
        <v>62</v>
      </c>
      <c r="F1161">
        <v>429</v>
      </c>
      <c r="G1161" s="19" t="s">
        <v>735</v>
      </c>
      <c r="H1161">
        <v>1</v>
      </c>
      <c r="I1161">
        <v>2</v>
      </c>
      <c r="J1161" s="19" t="s">
        <v>58</v>
      </c>
      <c r="K1161">
        <v>1792</v>
      </c>
      <c r="L1161">
        <v>3</v>
      </c>
      <c r="M1161" s="19" t="s">
        <v>51</v>
      </c>
      <c r="N1161">
        <v>3</v>
      </c>
      <c r="O1161">
        <v>1</v>
      </c>
      <c r="P1161" s="19" t="s">
        <v>67</v>
      </c>
      <c r="Q1161">
        <v>2</v>
      </c>
      <c r="R1161" s="19" t="s">
        <v>53</v>
      </c>
      <c r="S1161">
        <v>30486</v>
      </c>
      <c r="T1161" s="19" t="s">
        <v>72</v>
      </c>
      <c r="U1161">
        <v>190.54</v>
      </c>
      <c r="V1161">
        <v>1</v>
      </c>
      <c r="W1161" s="19" t="s">
        <v>47</v>
      </c>
      <c r="X1161">
        <v>12</v>
      </c>
      <c r="Y1161">
        <v>3</v>
      </c>
      <c r="Z1161">
        <v>3</v>
      </c>
      <c r="AA1161">
        <v>3</v>
      </c>
      <c r="AB1161">
        <v>6</v>
      </c>
      <c r="AC1161">
        <v>2</v>
      </c>
      <c r="AD1161">
        <v>2</v>
      </c>
      <c r="AE1161">
        <v>5</v>
      </c>
      <c r="AF1161">
        <v>3</v>
      </c>
      <c r="AG1161">
        <v>2</v>
      </c>
      <c r="AH1161">
        <v>3</v>
      </c>
      <c r="AI1161">
        <v>1</v>
      </c>
      <c r="AJ1161" s="19" t="s">
        <v>1567</v>
      </c>
      <c r="AK1161" s="19" t="s">
        <v>1562</v>
      </c>
      <c r="AL1161">
        <v>3</v>
      </c>
      <c r="AM1161" s="19" t="s">
        <v>1568</v>
      </c>
      <c r="AN1161">
        <v>-0.38864281466929052</v>
      </c>
      <c r="AO1161">
        <v>365832</v>
      </c>
    </row>
    <row r="1162" spans="1:41" x14ac:dyDescent="0.3">
      <c r="A1162" s="19" t="s">
        <v>1228</v>
      </c>
      <c r="B1162">
        <v>44</v>
      </c>
      <c r="C1162" s="19" t="s">
        <v>802</v>
      </c>
      <c r="D1162" s="19" t="s">
        <v>55</v>
      </c>
      <c r="E1162" s="19" t="s">
        <v>48</v>
      </c>
      <c r="F1162">
        <v>170</v>
      </c>
      <c r="G1162" s="19" t="s">
        <v>735</v>
      </c>
      <c r="H1162">
        <v>1</v>
      </c>
      <c r="I1162">
        <v>4</v>
      </c>
      <c r="J1162" s="19" t="s">
        <v>50</v>
      </c>
      <c r="K1162">
        <v>1903</v>
      </c>
      <c r="L1162">
        <v>2</v>
      </c>
      <c r="M1162" s="19" t="s">
        <v>51</v>
      </c>
      <c r="N1162">
        <v>4</v>
      </c>
      <c r="O1162">
        <v>2</v>
      </c>
      <c r="P1162" s="19" t="s">
        <v>168</v>
      </c>
      <c r="Q1162">
        <v>1</v>
      </c>
      <c r="R1162" s="19" t="s">
        <v>113</v>
      </c>
      <c r="S1162">
        <v>72907</v>
      </c>
      <c r="T1162" s="19" t="s">
        <v>64</v>
      </c>
      <c r="U1162">
        <v>455.67</v>
      </c>
      <c r="V1162">
        <v>2</v>
      </c>
      <c r="W1162" s="19" t="s">
        <v>55</v>
      </c>
      <c r="X1162">
        <v>15</v>
      </c>
      <c r="Y1162">
        <v>3</v>
      </c>
      <c r="Z1162">
        <v>4</v>
      </c>
      <c r="AA1162">
        <v>1</v>
      </c>
      <c r="AB1162">
        <v>10</v>
      </c>
      <c r="AC1162">
        <v>5</v>
      </c>
      <c r="AD1162">
        <v>3</v>
      </c>
      <c r="AE1162">
        <v>2</v>
      </c>
      <c r="AF1162">
        <v>0</v>
      </c>
      <c r="AG1162">
        <v>2</v>
      </c>
      <c r="AH1162">
        <v>2</v>
      </c>
      <c r="AI1162">
        <v>0</v>
      </c>
      <c r="AJ1162" s="19" t="s">
        <v>1566</v>
      </c>
      <c r="AK1162" s="19" t="s">
        <v>1562</v>
      </c>
      <c r="AL1162">
        <v>1</v>
      </c>
      <c r="AM1162" s="19" t="s">
        <v>1565</v>
      </c>
      <c r="AN1162">
        <v>0.5129341523283254</v>
      </c>
      <c r="AO1162">
        <v>874884</v>
      </c>
    </row>
    <row r="1163" spans="1:41" x14ac:dyDescent="0.3">
      <c r="A1163" s="19" t="s">
        <v>1229</v>
      </c>
      <c r="B1163">
        <v>44</v>
      </c>
      <c r="C1163" s="19" t="s">
        <v>802</v>
      </c>
      <c r="D1163" s="19" t="s">
        <v>55</v>
      </c>
      <c r="E1163" s="19" t="s">
        <v>48</v>
      </c>
      <c r="F1163">
        <v>1037</v>
      </c>
      <c r="G1163" s="19" t="s">
        <v>735</v>
      </c>
      <c r="H1163">
        <v>1</v>
      </c>
      <c r="I1163">
        <v>3</v>
      </c>
      <c r="J1163" s="19" t="s">
        <v>58</v>
      </c>
      <c r="K1163">
        <v>2020</v>
      </c>
      <c r="L1163">
        <v>2</v>
      </c>
      <c r="M1163" s="19" t="s">
        <v>51</v>
      </c>
      <c r="N1163">
        <v>3</v>
      </c>
      <c r="O1163">
        <v>1</v>
      </c>
      <c r="P1163" s="19" t="s">
        <v>67</v>
      </c>
      <c r="Q1163">
        <v>4</v>
      </c>
      <c r="R1163" s="19" t="s">
        <v>53</v>
      </c>
      <c r="S1163">
        <v>72895</v>
      </c>
      <c r="T1163" s="19" t="s">
        <v>64</v>
      </c>
      <c r="U1163">
        <v>455.59</v>
      </c>
      <c r="V1163">
        <v>6</v>
      </c>
      <c r="W1163" s="19" t="s">
        <v>47</v>
      </c>
      <c r="X1163">
        <v>12</v>
      </c>
      <c r="Y1163">
        <v>3</v>
      </c>
      <c r="Z1163">
        <v>3</v>
      </c>
      <c r="AA1163">
        <v>0</v>
      </c>
      <c r="AB1163">
        <v>6</v>
      </c>
      <c r="AC1163">
        <v>2</v>
      </c>
      <c r="AD1163">
        <v>3</v>
      </c>
      <c r="AE1163">
        <v>4</v>
      </c>
      <c r="AF1163">
        <v>3</v>
      </c>
      <c r="AG1163">
        <v>1</v>
      </c>
      <c r="AH1163">
        <v>2</v>
      </c>
      <c r="AI1163">
        <v>0</v>
      </c>
      <c r="AJ1163" s="19" t="s">
        <v>1567</v>
      </c>
      <c r="AK1163" s="19" t="s">
        <v>1562</v>
      </c>
      <c r="AL1163">
        <v>1</v>
      </c>
      <c r="AM1163" s="19" t="s">
        <v>1565</v>
      </c>
      <c r="AN1163">
        <v>0.46181466983802627</v>
      </c>
      <c r="AO1163">
        <v>874740</v>
      </c>
    </row>
    <row r="1164" spans="1:41" x14ac:dyDescent="0.3">
      <c r="A1164" s="19" t="s">
        <v>1230</v>
      </c>
      <c r="B1164">
        <v>45</v>
      </c>
      <c r="C1164" s="19" t="s">
        <v>802</v>
      </c>
      <c r="D1164" s="19" t="s">
        <v>55</v>
      </c>
      <c r="E1164" s="19" t="s">
        <v>48</v>
      </c>
      <c r="F1164">
        <v>1339</v>
      </c>
      <c r="G1164" s="19" t="s">
        <v>735</v>
      </c>
      <c r="H1164">
        <v>7</v>
      </c>
      <c r="I1164">
        <v>3</v>
      </c>
      <c r="J1164" s="19" t="s">
        <v>50</v>
      </c>
      <c r="K1164">
        <v>86</v>
      </c>
      <c r="L1164">
        <v>2</v>
      </c>
      <c r="M1164" s="19" t="s">
        <v>51</v>
      </c>
      <c r="N1164">
        <v>3</v>
      </c>
      <c r="O1164">
        <v>3</v>
      </c>
      <c r="P1164" s="19" t="s">
        <v>67</v>
      </c>
      <c r="Q1164">
        <v>1</v>
      </c>
      <c r="R1164" s="19" t="s">
        <v>113</v>
      </c>
      <c r="S1164">
        <v>65435</v>
      </c>
      <c r="T1164" s="19" t="s">
        <v>64</v>
      </c>
      <c r="U1164">
        <v>408.97</v>
      </c>
      <c r="V1164">
        <v>2</v>
      </c>
      <c r="W1164" s="19" t="s">
        <v>55</v>
      </c>
      <c r="X1164">
        <v>17</v>
      </c>
      <c r="Y1164">
        <v>3</v>
      </c>
      <c r="Z1164">
        <v>3</v>
      </c>
      <c r="AA1164">
        <v>1</v>
      </c>
      <c r="AB1164">
        <v>25</v>
      </c>
      <c r="AC1164">
        <v>2</v>
      </c>
      <c r="AD1164">
        <v>3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 s="19" t="s">
        <v>1561</v>
      </c>
      <c r="AK1164" s="19" t="s">
        <v>1562</v>
      </c>
      <c r="AL1164">
        <v>1</v>
      </c>
      <c r="AM1164" s="19" t="s">
        <v>1565</v>
      </c>
      <c r="AN1164">
        <v>0.31221404651692503</v>
      </c>
      <c r="AO1164">
        <v>785220</v>
      </c>
    </row>
    <row r="1165" spans="1:41" x14ac:dyDescent="0.3">
      <c r="A1165" s="19" t="s">
        <v>1231</v>
      </c>
      <c r="B1165">
        <v>45</v>
      </c>
      <c r="C1165" s="19" t="s">
        <v>802</v>
      </c>
      <c r="D1165" s="19" t="s">
        <v>55</v>
      </c>
      <c r="E1165" s="19" t="s">
        <v>48</v>
      </c>
      <c r="F1165">
        <v>193</v>
      </c>
      <c r="G1165" s="19" t="s">
        <v>735</v>
      </c>
      <c r="H1165">
        <v>6</v>
      </c>
      <c r="I1165">
        <v>4</v>
      </c>
      <c r="J1165" s="19" t="s">
        <v>82</v>
      </c>
      <c r="K1165">
        <v>101</v>
      </c>
      <c r="L1165">
        <v>4</v>
      </c>
      <c r="M1165" s="19" t="s">
        <v>51</v>
      </c>
      <c r="N1165">
        <v>3</v>
      </c>
      <c r="O1165">
        <v>3</v>
      </c>
      <c r="P1165" s="19" t="s">
        <v>257</v>
      </c>
      <c r="Q1165">
        <v>1</v>
      </c>
      <c r="R1165" s="19" t="s">
        <v>113</v>
      </c>
      <c r="S1165">
        <v>41631</v>
      </c>
      <c r="T1165" s="19" t="s">
        <v>72</v>
      </c>
      <c r="U1165">
        <v>260.19</v>
      </c>
      <c r="V1165">
        <v>4</v>
      </c>
      <c r="W1165" s="19" t="s">
        <v>47</v>
      </c>
      <c r="X1165">
        <v>14</v>
      </c>
      <c r="Y1165">
        <v>3</v>
      </c>
      <c r="Z1165">
        <v>2</v>
      </c>
      <c r="AA1165">
        <v>0</v>
      </c>
      <c r="AB1165">
        <v>17</v>
      </c>
      <c r="AC1165">
        <v>3</v>
      </c>
      <c r="AD1165">
        <v>4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 s="19" t="s">
        <v>1561</v>
      </c>
      <c r="AK1165" s="19" t="s">
        <v>1562</v>
      </c>
      <c r="AL1165">
        <v>2</v>
      </c>
      <c r="AM1165" s="19" t="s">
        <v>1564</v>
      </c>
      <c r="AN1165">
        <v>-0.17827727590557813</v>
      </c>
      <c r="AO1165">
        <v>499572</v>
      </c>
    </row>
    <row r="1166" spans="1:41" x14ac:dyDescent="0.3">
      <c r="A1166" s="19" t="s">
        <v>1232</v>
      </c>
      <c r="B1166">
        <v>45</v>
      </c>
      <c r="C1166" s="19" t="s">
        <v>802</v>
      </c>
      <c r="D1166" s="19" t="s">
        <v>55</v>
      </c>
      <c r="E1166" s="19" t="s">
        <v>48</v>
      </c>
      <c r="F1166">
        <v>1316</v>
      </c>
      <c r="G1166" s="19" t="s">
        <v>735</v>
      </c>
      <c r="H1166">
        <v>29</v>
      </c>
      <c r="I1166">
        <v>3</v>
      </c>
      <c r="J1166" s="19" t="s">
        <v>58</v>
      </c>
      <c r="K1166">
        <v>192</v>
      </c>
      <c r="L1166">
        <v>3</v>
      </c>
      <c r="M1166" s="19" t="s">
        <v>51</v>
      </c>
      <c r="N1166">
        <v>3</v>
      </c>
      <c r="O1166">
        <v>1</v>
      </c>
      <c r="P1166" s="19" t="s">
        <v>67</v>
      </c>
      <c r="Q1166">
        <v>4</v>
      </c>
      <c r="R1166" s="19" t="s">
        <v>53</v>
      </c>
      <c r="S1166">
        <v>21103</v>
      </c>
      <c r="T1166" s="19" t="s">
        <v>54</v>
      </c>
      <c r="U1166">
        <v>131.88999999999999</v>
      </c>
      <c r="V1166">
        <v>5</v>
      </c>
      <c r="W1166" s="19" t="s">
        <v>55</v>
      </c>
      <c r="X1166">
        <v>13</v>
      </c>
      <c r="Y1166">
        <v>3</v>
      </c>
      <c r="Z1166">
        <v>2</v>
      </c>
      <c r="AA1166">
        <v>0</v>
      </c>
      <c r="AB1166">
        <v>9</v>
      </c>
      <c r="AC1166">
        <v>2</v>
      </c>
      <c r="AD1166">
        <v>2</v>
      </c>
      <c r="AE1166">
        <v>6</v>
      </c>
      <c r="AF1166">
        <v>5</v>
      </c>
      <c r="AG1166">
        <v>0</v>
      </c>
      <c r="AH1166">
        <v>5</v>
      </c>
      <c r="AI1166">
        <v>0</v>
      </c>
      <c r="AJ1166" s="19" t="s">
        <v>1569</v>
      </c>
      <c r="AK1166" s="19" t="s">
        <v>1562</v>
      </c>
      <c r="AL1166">
        <v>1</v>
      </c>
      <c r="AM1166" s="19" t="s">
        <v>1565</v>
      </c>
      <c r="AN1166">
        <v>-0.57680670858643435</v>
      </c>
      <c r="AO1166">
        <v>253236</v>
      </c>
    </row>
    <row r="1167" spans="1:41" x14ac:dyDescent="0.3">
      <c r="A1167" s="19" t="s">
        <v>1233</v>
      </c>
      <c r="B1167">
        <v>45</v>
      </c>
      <c r="C1167" s="19" t="s">
        <v>802</v>
      </c>
      <c r="D1167" s="19" t="s">
        <v>55</v>
      </c>
      <c r="E1167" s="19" t="s">
        <v>48</v>
      </c>
      <c r="F1167">
        <v>194</v>
      </c>
      <c r="G1167" s="19" t="s">
        <v>735</v>
      </c>
      <c r="H1167">
        <v>9</v>
      </c>
      <c r="I1167">
        <v>3</v>
      </c>
      <c r="J1167" s="19" t="s">
        <v>50</v>
      </c>
      <c r="K1167">
        <v>206</v>
      </c>
      <c r="L1167">
        <v>2</v>
      </c>
      <c r="M1167" s="19" t="s">
        <v>51</v>
      </c>
      <c r="N1167">
        <v>3</v>
      </c>
      <c r="O1167">
        <v>2</v>
      </c>
      <c r="P1167" s="19" t="s">
        <v>52</v>
      </c>
      <c r="Q1167">
        <v>2</v>
      </c>
      <c r="R1167" s="19" t="s">
        <v>113</v>
      </c>
      <c r="S1167">
        <v>65772</v>
      </c>
      <c r="T1167" s="19" t="s">
        <v>64</v>
      </c>
      <c r="U1167">
        <v>411.08</v>
      </c>
      <c r="V1167">
        <v>8</v>
      </c>
      <c r="W1167" s="19" t="s">
        <v>55</v>
      </c>
      <c r="X1167">
        <v>18</v>
      </c>
      <c r="Y1167">
        <v>3</v>
      </c>
      <c r="Z1167">
        <v>3</v>
      </c>
      <c r="AA1167">
        <v>1</v>
      </c>
      <c r="AB1167">
        <v>20</v>
      </c>
      <c r="AC1167">
        <v>2</v>
      </c>
      <c r="AD1167">
        <v>1</v>
      </c>
      <c r="AE1167">
        <v>17</v>
      </c>
      <c r="AF1167">
        <v>9</v>
      </c>
      <c r="AG1167">
        <v>0</v>
      </c>
      <c r="AH1167">
        <v>15</v>
      </c>
      <c r="AI1167">
        <v>0</v>
      </c>
      <c r="AJ1167" s="19" t="s">
        <v>1571</v>
      </c>
      <c r="AK1167" s="19" t="s">
        <v>1562</v>
      </c>
      <c r="AL1167">
        <v>2</v>
      </c>
      <c r="AM1167" s="19" t="s">
        <v>1564</v>
      </c>
      <c r="AN1167">
        <v>0.27167902081536266</v>
      </c>
      <c r="AO1167">
        <v>789264</v>
      </c>
    </row>
    <row r="1168" spans="1:41" x14ac:dyDescent="0.3">
      <c r="A1168" s="19" t="s">
        <v>1234</v>
      </c>
      <c r="B1168">
        <v>45</v>
      </c>
      <c r="C1168" s="19" t="s">
        <v>802</v>
      </c>
      <c r="D1168" s="19" t="s">
        <v>55</v>
      </c>
      <c r="E1168" s="19" t="s">
        <v>48</v>
      </c>
      <c r="F1168">
        <v>1268</v>
      </c>
      <c r="G1168" s="19" t="s">
        <v>932</v>
      </c>
      <c r="H1168">
        <v>4</v>
      </c>
      <c r="I1168">
        <v>2</v>
      </c>
      <c r="J1168" s="19" t="s">
        <v>50</v>
      </c>
      <c r="K1168">
        <v>240</v>
      </c>
      <c r="L1168">
        <v>3</v>
      </c>
      <c r="M1168" s="19" t="s">
        <v>59</v>
      </c>
      <c r="N1168">
        <v>3</v>
      </c>
      <c r="O1168">
        <v>2</v>
      </c>
      <c r="P1168" s="19" t="s">
        <v>145</v>
      </c>
      <c r="Q1168">
        <v>1</v>
      </c>
      <c r="R1168" s="19" t="s">
        <v>113</v>
      </c>
      <c r="S1168">
        <v>15382</v>
      </c>
      <c r="T1168" s="19" t="s">
        <v>54</v>
      </c>
      <c r="U1168">
        <v>96.14</v>
      </c>
      <c r="V1168">
        <v>4</v>
      </c>
      <c r="W1168" s="19" t="s">
        <v>47</v>
      </c>
      <c r="X1168">
        <v>11</v>
      </c>
      <c r="Y1168">
        <v>3</v>
      </c>
      <c r="Z1168">
        <v>1</v>
      </c>
      <c r="AA1168">
        <v>1</v>
      </c>
      <c r="AB1168">
        <v>9</v>
      </c>
      <c r="AC1168">
        <v>3</v>
      </c>
      <c r="AD1168">
        <v>4</v>
      </c>
      <c r="AE1168">
        <v>5</v>
      </c>
      <c r="AF1168">
        <v>4</v>
      </c>
      <c r="AG1168">
        <v>0</v>
      </c>
      <c r="AH1168">
        <v>3</v>
      </c>
      <c r="AI1168">
        <v>0</v>
      </c>
      <c r="AJ1168" s="19" t="s">
        <v>1567</v>
      </c>
      <c r="AK1168" s="19" t="s">
        <v>1562</v>
      </c>
      <c r="AL1168">
        <v>2</v>
      </c>
      <c r="AM1168" s="19" t="s">
        <v>1564</v>
      </c>
      <c r="AN1168">
        <v>-0.68645257592407272</v>
      </c>
      <c r="AO1168">
        <v>184584</v>
      </c>
    </row>
    <row r="1169" spans="1:41" x14ac:dyDescent="0.3">
      <c r="A1169" s="19" t="s">
        <v>1235</v>
      </c>
      <c r="B1169">
        <v>45</v>
      </c>
      <c r="C1169" s="19" t="s">
        <v>802</v>
      </c>
      <c r="D1169" s="19" t="s">
        <v>55</v>
      </c>
      <c r="E1169" s="19" t="s">
        <v>66</v>
      </c>
      <c r="F1169">
        <v>1195</v>
      </c>
      <c r="G1169" s="19" t="s">
        <v>735</v>
      </c>
      <c r="H1169">
        <v>2</v>
      </c>
      <c r="I1169">
        <v>2</v>
      </c>
      <c r="J1169" s="19" t="s">
        <v>58</v>
      </c>
      <c r="K1169">
        <v>264</v>
      </c>
      <c r="L1169">
        <v>1</v>
      </c>
      <c r="M1169" s="19" t="s">
        <v>51</v>
      </c>
      <c r="N1169">
        <v>2</v>
      </c>
      <c r="O1169">
        <v>4</v>
      </c>
      <c r="P1169" s="19" t="s">
        <v>444</v>
      </c>
      <c r="Q1169">
        <v>4</v>
      </c>
      <c r="R1169" s="19" t="s">
        <v>113</v>
      </c>
      <c r="S1169">
        <v>85291</v>
      </c>
      <c r="T1169" s="19" t="s">
        <v>70</v>
      </c>
      <c r="U1169">
        <v>533.07000000000005</v>
      </c>
      <c r="V1169">
        <v>9</v>
      </c>
      <c r="W1169" s="19" t="s">
        <v>55</v>
      </c>
      <c r="X1169">
        <v>23</v>
      </c>
      <c r="Y1169">
        <v>4</v>
      </c>
      <c r="Z1169">
        <v>4</v>
      </c>
      <c r="AA1169">
        <v>1</v>
      </c>
      <c r="AB1169">
        <v>22</v>
      </c>
      <c r="AC1169">
        <v>1</v>
      </c>
      <c r="AD1169">
        <v>3</v>
      </c>
      <c r="AE1169">
        <v>20</v>
      </c>
      <c r="AF1169">
        <v>8</v>
      </c>
      <c r="AG1169">
        <v>11</v>
      </c>
      <c r="AH1169">
        <v>8</v>
      </c>
      <c r="AI1169">
        <v>0</v>
      </c>
      <c r="AJ1169" s="19" t="s">
        <v>1571</v>
      </c>
      <c r="AK1169" s="19" t="s">
        <v>1570</v>
      </c>
      <c r="AL1169">
        <v>1</v>
      </c>
      <c r="AM1169" s="19" t="s">
        <v>1565</v>
      </c>
      <c r="AN1169">
        <v>0.63397998733337491</v>
      </c>
      <c r="AO1169">
        <v>1023492</v>
      </c>
    </row>
    <row r="1170" spans="1:41" x14ac:dyDescent="0.3">
      <c r="A1170" s="19" t="s">
        <v>1236</v>
      </c>
      <c r="B1170">
        <v>45</v>
      </c>
      <c r="C1170" s="19" t="s">
        <v>802</v>
      </c>
      <c r="D1170" s="19" t="s">
        <v>55</v>
      </c>
      <c r="E1170" s="19" t="s">
        <v>66</v>
      </c>
      <c r="F1170">
        <v>1052</v>
      </c>
      <c r="G1170" s="19" t="s">
        <v>932</v>
      </c>
      <c r="H1170">
        <v>6</v>
      </c>
      <c r="I1170">
        <v>3</v>
      </c>
      <c r="J1170" s="19" t="s">
        <v>58</v>
      </c>
      <c r="K1170">
        <v>302</v>
      </c>
      <c r="L1170">
        <v>4</v>
      </c>
      <c r="M1170" s="19" t="s">
        <v>59</v>
      </c>
      <c r="N1170">
        <v>2</v>
      </c>
      <c r="O1170">
        <v>3</v>
      </c>
      <c r="P1170" s="19" t="s">
        <v>145</v>
      </c>
      <c r="Q1170">
        <v>4</v>
      </c>
      <c r="R1170" s="19" t="s">
        <v>53</v>
      </c>
      <c r="S1170">
        <v>4756</v>
      </c>
      <c r="T1170" s="19" t="s">
        <v>54</v>
      </c>
      <c r="U1170">
        <v>29.72</v>
      </c>
      <c r="V1170">
        <v>6</v>
      </c>
      <c r="W1170" s="19" t="s">
        <v>55</v>
      </c>
      <c r="X1170">
        <v>12</v>
      </c>
      <c r="Y1170">
        <v>3</v>
      </c>
      <c r="Z1170">
        <v>4</v>
      </c>
      <c r="AA1170">
        <v>0</v>
      </c>
      <c r="AB1170">
        <v>23</v>
      </c>
      <c r="AC1170">
        <v>2</v>
      </c>
      <c r="AD1170">
        <v>3</v>
      </c>
      <c r="AE1170">
        <v>19</v>
      </c>
      <c r="AF1170">
        <v>7</v>
      </c>
      <c r="AG1170">
        <v>12</v>
      </c>
      <c r="AH1170">
        <v>8</v>
      </c>
      <c r="AI1170">
        <v>0</v>
      </c>
      <c r="AJ1170" s="19" t="s">
        <v>1571</v>
      </c>
      <c r="AK1170" s="19" t="s">
        <v>1570</v>
      </c>
      <c r="AL1170">
        <v>1</v>
      </c>
      <c r="AM1170" s="19" t="s">
        <v>1565</v>
      </c>
      <c r="AN1170">
        <v>-0.9030534684107977</v>
      </c>
      <c r="AO1170">
        <v>57072</v>
      </c>
    </row>
    <row r="1171" spans="1:41" x14ac:dyDescent="0.3">
      <c r="A1171" s="19" t="s">
        <v>1237</v>
      </c>
      <c r="B1171">
        <v>45</v>
      </c>
      <c r="C1171" s="19" t="s">
        <v>802</v>
      </c>
      <c r="D1171" s="19" t="s">
        <v>55</v>
      </c>
      <c r="E1171" s="19" t="s">
        <v>48</v>
      </c>
      <c r="F1171">
        <v>252</v>
      </c>
      <c r="G1171" s="19" t="s">
        <v>735</v>
      </c>
      <c r="H1171">
        <v>1</v>
      </c>
      <c r="I1171">
        <v>3</v>
      </c>
      <c r="J1171" s="19" t="s">
        <v>82</v>
      </c>
      <c r="K1171">
        <v>336</v>
      </c>
      <c r="L1171">
        <v>3</v>
      </c>
      <c r="M1171" s="19" t="s">
        <v>51</v>
      </c>
      <c r="N1171">
        <v>4</v>
      </c>
      <c r="O1171">
        <v>5</v>
      </c>
      <c r="P1171" s="19" t="s">
        <v>444</v>
      </c>
      <c r="Q1171">
        <v>4</v>
      </c>
      <c r="R1171" s="19" t="s">
        <v>113</v>
      </c>
      <c r="S1171">
        <v>21609</v>
      </c>
      <c r="T1171" s="19" t="s">
        <v>54</v>
      </c>
      <c r="U1171">
        <v>135.06</v>
      </c>
      <c r="V1171">
        <v>0</v>
      </c>
      <c r="W1171" s="19" t="s">
        <v>55</v>
      </c>
      <c r="X1171">
        <v>11</v>
      </c>
      <c r="Y1171">
        <v>3</v>
      </c>
      <c r="Z1171">
        <v>3</v>
      </c>
      <c r="AA1171">
        <v>1</v>
      </c>
      <c r="AB1171">
        <v>25</v>
      </c>
      <c r="AC1171">
        <v>2</v>
      </c>
      <c r="AD1171">
        <v>3</v>
      </c>
      <c r="AE1171">
        <v>24</v>
      </c>
      <c r="AF1171">
        <v>0</v>
      </c>
      <c r="AG1171">
        <v>1</v>
      </c>
      <c r="AH1171">
        <v>7</v>
      </c>
      <c r="AI1171">
        <v>0</v>
      </c>
      <c r="AJ1171" s="19" t="s">
        <v>1571</v>
      </c>
      <c r="AK1171" s="19" t="s">
        <v>1562</v>
      </c>
      <c r="AL1171">
        <v>0</v>
      </c>
      <c r="AM1171" s="19" t="s">
        <v>1563</v>
      </c>
      <c r="AN1171">
        <v>-0.5860211095392609</v>
      </c>
      <c r="AO1171">
        <v>259308</v>
      </c>
    </row>
    <row r="1172" spans="1:41" x14ac:dyDescent="0.3">
      <c r="A1172" s="19" t="s">
        <v>1238</v>
      </c>
      <c r="B1172">
        <v>45</v>
      </c>
      <c r="C1172" s="19" t="s">
        <v>802</v>
      </c>
      <c r="D1172" s="19" t="s">
        <v>55</v>
      </c>
      <c r="E1172" s="19" t="s">
        <v>62</v>
      </c>
      <c r="F1172">
        <v>1199</v>
      </c>
      <c r="G1172" s="19" t="s">
        <v>735</v>
      </c>
      <c r="H1172">
        <v>7</v>
      </c>
      <c r="I1172">
        <v>4</v>
      </c>
      <c r="J1172" s="19" t="s">
        <v>50</v>
      </c>
      <c r="K1172">
        <v>341</v>
      </c>
      <c r="L1172">
        <v>1</v>
      </c>
      <c r="M1172" s="19" t="s">
        <v>51</v>
      </c>
      <c r="N1172">
        <v>4</v>
      </c>
      <c r="O1172">
        <v>2</v>
      </c>
      <c r="P1172" s="19" t="s">
        <v>120</v>
      </c>
      <c r="Q1172">
        <v>3</v>
      </c>
      <c r="R1172" s="19" t="s">
        <v>113</v>
      </c>
      <c r="S1172">
        <v>17478</v>
      </c>
      <c r="T1172" s="19" t="s">
        <v>54</v>
      </c>
      <c r="U1172">
        <v>109.24</v>
      </c>
      <c r="V1172">
        <v>4</v>
      </c>
      <c r="W1172" s="19" t="s">
        <v>55</v>
      </c>
      <c r="X1172">
        <v>17</v>
      </c>
      <c r="Y1172">
        <v>3</v>
      </c>
      <c r="Z1172">
        <v>4</v>
      </c>
      <c r="AA1172">
        <v>1</v>
      </c>
      <c r="AB1172">
        <v>9</v>
      </c>
      <c r="AC1172">
        <v>1</v>
      </c>
      <c r="AD1172">
        <v>3</v>
      </c>
      <c r="AE1172">
        <v>3</v>
      </c>
      <c r="AF1172">
        <v>2</v>
      </c>
      <c r="AG1172">
        <v>0</v>
      </c>
      <c r="AH1172">
        <v>2</v>
      </c>
      <c r="AI1172">
        <v>0</v>
      </c>
      <c r="AJ1172" s="19" t="s">
        <v>1566</v>
      </c>
      <c r="AK1172" s="19" t="s">
        <v>1562</v>
      </c>
      <c r="AL1172">
        <v>0</v>
      </c>
      <c r="AM1172" s="19" t="s">
        <v>1563</v>
      </c>
      <c r="AN1172">
        <v>-0.60542120842372005</v>
      </c>
      <c r="AO1172">
        <v>209736</v>
      </c>
    </row>
    <row r="1173" spans="1:41" x14ac:dyDescent="0.3">
      <c r="A1173" s="19" t="s">
        <v>1239</v>
      </c>
      <c r="B1173">
        <v>45</v>
      </c>
      <c r="C1173" s="19" t="s">
        <v>802</v>
      </c>
      <c r="D1173" s="19" t="s">
        <v>55</v>
      </c>
      <c r="E1173" s="19" t="s">
        <v>48</v>
      </c>
      <c r="F1173">
        <v>1385</v>
      </c>
      <c r="G1173" s="19" t="s">
        <v>735</v>
      </c>
      <c r="H1173">
        <v>20</v>
      </c>
      <c r="I1173">
        <v>2</v>
      </c>
      <c r="J1173" s="19" t="s">
        <v>58</v>
      </c>
      <c r="K1173">
        <v>372</v>
      </c>
      <c r="L1173">
        <v>3</v>
      </c>
      <c r="M1173" s="19" t="s">
        <v>51</v>
      </c>
      <c r="N1173">
        <v>3</v>
      </c>
      <c r="O1173">
        <v>4</v>
      </c>
      <c r="P1173" s="19" t="s">
        <v>168</v>
      </c>
      <c r="Q1173">
        <v>4</v>
      </c>
      <c r="R1173" s="19" t="s">
        <v>113</v>
      </c>
      <c r="S1173">
        <v>40666</v>
      </c>
      <c r="T1173" s="19" t="s">
        <v>72</v>
      </c>
      <c r="U1173">
        <v>254.16</v>
      </c>
      <c r="V1173">
        <v>0</v>
      </c>
      <c r="W1173" s="19" t="s">
        <v>47</v>
      </c>
      <c r="X1173">
        <v>14</v>
      </c>
      <c r="Y1173">
        <v>3</v>
      </c>
      <c r="Z1173">
        <v>2</v>
      </c>
      <c r="AA1173">
        <v>0</v>
      </c>
      <c r="AB1173">
        <v>21</v>
      </c>
      <c r="AC1173">
        <v>2</v>
      </c>
      <c r="AD1173">
        <v>3</v>
      </c>
      <c r="AE1173">
        <v>20</v>
      </c>
      <c r="AF1173">
        <v>7</v>
      </c>
      <c r="AG1173">
        <v>4</v>
      </c>
      <c r="AH1173">
        <v>10</v>
      </c>
      <c r="AI1173">
        <v>0</v>
      </c>
      <c r="AJ1173" s="19" t="s">
        <v>1571</v>
      </c>
      <c r="AK1173" s="19" t="s">
        <v>1570</v>
      </c>
      <c r="AL1173">
        <v>2</v>
      </c>
      <c r="AM1173" s="19" t="s">
        <v>1564</v>
      </c>
      <c r="AN1173">
        <v>-0.1561169676631369</v>
      </c>
      <c r="AO1173">
        <v>487992</v>
      </c>
    </row>
    <row r="1174" spans="1:41" x14ac:dyDescent="0.3">
      <c r="A1174" s="19" t="s">
        <v>1240</v>
      </c>
      <c r="B1174">
        <v>45</v>
      </c>
      <c r="C1174" s="19" t="s">
        <v>802</v>
      </c>
      <c r="D1174" s="19" t="s">
        <v>55</v>
      </c>
      <c r="E1174" s="19" t="s">
        <v>62</v>
      </c>
      <c r="F1174">
        <v>1249</v>
      </c>
      <c r="G1174" s="19" t="s">
        <v>735</v>
      </c>
      <c r="H1174">
        <v>7</v>
      </c>
      <c r="I1174">
        <v>3</v>
      </c>
      <c r="J1174" s="19" t="s">
        <v>50</v>
      </c>
      <c r="K1174">
        <v>425</v>
      </c>
      <c r="L1174">
        <v>1</v>
      </c>
      <c r="M1174" s="19" t="s">
        <v>51</v>
      </c>
      <c r="N1174">
        <v>3</v>
      </c>
      <c r="O1174">
        <v>3</v>
      </c>
      <c r="P1174" s="19" t="s">
        <v>52</v>
      </c>
      <c r="Q1174">
        <v>1</v>
      </c>
      <c r="R1174" s="19" t="s">
        <v>53</v>
      </c>
      <c r="S1174">
        <v>76683</v>
      </c>
      <c r="T1174" s="19" t="s">
        <v>64</v>
      </c>
      <c r="U1174">
        <v>479.27</v>
      </c>
      <c r="V1174">
        <v>1</v>
      </c>
      <c r="W1174" s="19" t="s">
        <v>55</v>
      </c>
      <c r="X1174">
        <v>18</v>
      </c>
      <c r="Y1174">
        <v>3</v>
      </c>
      <c r="Z1174">
        <v>1</v>
      </c>
      <c r="AA1174">
        <v>1</v>
      </c>
      <c r="AB1174">
        <v>24</v>
      </c>
      <c r="AC1174">
        <v>2</v>
      </c>
      <c r="AD1174">
        <v>3</v>
      </c>
      <c r="AE1174">
        <v>24</v>
      </c>
      <c r="AF1174">
        <v>9</v>
      </c>
      <c r="AG1174">
        <v>9</v>
      </c>
      <c r="AH1174">
        <v>11</v>
      </c>
      <c r="AI1174">
        <v>0</v>
      </c>
      <c r="AJ1174" s="19" t="s">
        <v>1571</v>
      </c>
      <c r="AK1174" s="19" t="s">
        <v>1570</v>
      </c>
      <c r="AL1174">
        <v>2</v>
      </c>
      <c r="AM1174" s="19" t="s">
        <v>1564</v>
      </c>
      <c r="AN1174">
        <v>0.48263945680813192</v>
      </c>
      <c r="AO1174">
        <v>920196</v>
      </c>
    </row>
    <row r="1175" spans="1:41" x14ac:dyDescent="0.3">
      <c r="A1175" s="19" t="s">
        <v>1241</v>
      </c>
      <c r="B1175">
        <v>45</v>
      </c>
      <c r="C1175" s="19" t="s">
        <v>802</v>
      </c>
      <c r="D1175" s="19" t="s">
        <v>55</v>
      </c>
      <c r="E1175" s="19" t="s">
        <v>48</v>
      </c>
      <c r="F1175">
        <v>549</v>
      </c>
      <c r="G1175" s="19" t="s">
        <v>735</v>
      </c>
      <c r="H1175">
        <v>8</v>
      </c>
      <c r="I1175">
        <v>4</v>
      </c>
      <c r="J1175" s="19" t="s">
        <v>82</v>
      </c>
      <c r="K1175">
        <v>452</v>
      </c>
      <c r="L1175">
        <v>4</v>
      </c>
      <c r="M1175" s="19" t="s">
        <v>51</v>
      </c>
      <c r="N1175">
        <v>3</v>
      </c>
      <c r="O1175">
        <v>2</v>
      </c>
      <c r="P1175" s="19" t="s">
        <v>67</v>
      </c>
      <c r="Q1175">
        <v>4</v>
      </c>
      <c r="R1175" s="19" t="s">
        <v>113</v>
      </c>
      <c r="S1175">
        <v>72315</v>
      </c>
      <c r="T1175" s="19" t="s">
        <v>64</v>
      </c>
      <c r="U1175">
        <v>451.97</v>
      </c>
      <c r="V1175">
        <v>9</v>
      </c>
      <c r="W1175" s="19" t="s">
        <v>55</v>
      </c>
      <c r="X1175">
        <v>14</v>
      </c>
      <c r="Y1175">
        <v>3</v>
      </c>
      <c r="Z1175">
        <v>1</v>
      </c>
      <c r="AA1175">
        <v>2</v>
      </c>
      <c r="AB1175">
        <v>12</v>
      </c>
      <c r="AC1175">
        <v>3</v>
      </c>
      <c r="AD1175">
        <v>3</v>
      </c>
      <c r="AE1175">
        <v>10</v>
      </c>
      <c r="AF1175">
        <v>9</v>
      </c>
      <c r="AG1175">
        <v>9</v>
      </c>
      <c r="AH1175">
        <v>8</v>
      </c>
      <c r="AI1175">
        <v>0</v>
      </c>
      <c r="AJ1175" s="19" t="s">
        <v>1569</v>
      </c>
      <c r="AK1175" s="19" t="s">
        <v>1570</v>
      </c>
      <c r="AL1175">
        <v>1</v>
      </c>
      <c r="AM1175" s="19" t="s">
        <v>1565</v>
      </c>
      <c r="AN1175">
        <v>0.45018352218035351</v>
      </c>
      <c r="AO1175">
        <v>867780</v>
      </c>
    </row>
    <row r="1176" spans="1:41" x14ac:dyDescent="0.3">
      <c r="A1176" s="19" t="s">
        <v>1242</v>
      </c>
      <c r="B1176">
        <v>45</v>
      </c>
      <c r="C1176" s="19" t="s">
        <v>802</v>
      </c>
      <c r="D1176" s="19" t="s">
        <v>55</v>
      </c>
      <c r="E1176" s="19" t="s">
        <v>48</v>
      </c>
      <c r="F1176">
        <v>192</v>
      </c>
      <c r="G1176" s="19" t="s">
        <v>735</v>
      </c>
      <c r="H1176">
        <v>10</v>
      </c>
      <c r="I1176">
        <v>2</v>
      </c>
      <c r="J1176" s="19" t="s">
        <v>50</v>
      </c>
      <c r="K1176">
        <v>544</v>
      </c>
      <c r="L1176">
        <v>1</v>
      </c>
      <c r="M1176" s="19" t="s">
        <v>51</v>
      </c>
      <c r="N1176">
        <v>3</v>
      </c>
      <c r="O1176">
        <v>1</v>
      </c>
      <c r="P1176" s="19" t="s">
        <v>67</v>
      </c>
      <c r="Q1176">
        <v>4</v>
      </c>
      <c r="R1176" s="19" t="s">
        <v>113</v>
      </c>
      <c r="S1176">
        <v>78834</v>
      </c>
      <c r="T1176" s="19" t="s">
        <v>64</v>
      </c>
      <c r="U1176">
        <v>492.71</v>
      </c>
      <c r="V1176">
        <v>3</v>
      </c>
      <c r="W1176" s="19" t="s">
        <v>55</v>
      </c>
      <c r="X1176">
        <v>21</v>
      </c>
      <c r="Y1176">
        <v>4</v>
      </c>
      <c r="Z1176">
        <v>4</v>
      </c>
      <c r="AA1176">
        <v>2</v>
      </c>
      <c r="AB1176">
        <v>8</v>
      </c>
      <c r="AC1176">
        <v>3</v>
      </c>
      <c r="AD1176">
        <v>2</v>
      </c>
      <c r="AE1176">
        <v>2</v>
      </c>
      <c r="AF1176">
        <v>2</v>
      </c>
      <c r="AG1176">
        <v>0</v>
      </c>
      <c r="AH1176">
        <v>2</v>
      </c>
      <c r="AI1176">
        <v>0</v>
      </c>
      <c r="AJ1176" s="19" t="s">
        <v>1566</v>
      </c>
      <c r="AK1176" s="19" t="s">
        <v>1562</v>
      </c>
      <c r="AL1176">
        <v>1</v>
      </c>
      <c r="AM1176" s="19" t="s">
        <v>1565</v>
      </c>
      <c r="AN1176">
        <v>0.58091361111202366</v>
      </c>
      <c r="AO1176">
        <v>946008</v>
      </c>
    </row>
    <row r="1177" spans="1:41" x14ac:dyDescent="0.3">
      <c r="A1177" s="19" t="s">
        <v>1243</v>
      </c>
      <c r="B1177">
        <v>45</v>
      </c>
      <c r="C1177" s="19" t="s">
        <v>802</v>
      </c>
      <c r="D1177" s="19" t="s">
        <v>55</v>
      </c>
      <c r="E1177" s="19" t="s">
        <v>48</v>
      </c>
      <c r="F1177">
        <v>561</v>
      </c>
      <c r="G1177" s="19" t="s">
        <v>932</v>
      </c>
      <c r="H1177">
        <v>2</v>
      </c>
      <c r="I1177">
        <v>3</v>
      </c>
      <c r="J1177" s="19" t="s">
        <v>82</v>
      </c>
      <c r="K1177">
        <v>606</v>
      </c>
      <c r="L1177">
        <v>4</v>
      </c>
      <c r="M1177" s="19" t="s">
        <v>51</v>
      </c>
      <c r="N1177">
        <v>3</v>
      </c>
      <c r="O1177">
        <v>2</v>
      </c>
      <c r="P1177" s="19" t="s">
        <v>145</v>
      </c>
      <c r="Q1177">
        <v>2</v>
      </c>
      <c r="R1177" s="19" t="s">
        <v>113</v>
      </c>
      <c r="S1177">
        <v>15153</v>
      </c>
      <c r="T1177" s="19" t="s">
        <v>54</v>
      </c>
      <c r="U1177">
        <v>94.71</v>
      </c>
      <c r="V1177">
        <v>0</v>
      </c>
      <c r="W1177" s="19" t="s">
        <v>55</v>
      </c>
      <c r="X1177">
        <v>19</v>
      </c>
      <c r="Y1177">
        <v>3</v>
      </c>
      <c r="Z1177">
        <v>2</v>
      </c>
      <c r="AA1177">
        <v>1</v>
      </c>
      <c r="AB1177">
        <v>9</v>
      </c>
      <c r="AC1177">
        <v>3</v>
      </c>
      <c r="AD1177">
        <v>4</v>
      </c>
      <c r="AE1177">
        <v>8</v>
      </c>
      <c r="AF1177">
        <v>7</v>
      </c>
      <c r="AG1177">
        <v>3</v>
      </c>
      <c r="AH1177">
        <v>7</v>
      </c>
      <c r="AI1177">
        <v>0</v>
      </c>
      <c r="AJ1177" s="19" t="s">
        <v>1569</v>
      </c>
      <c r="AK1177" s="19" t="s">
        <v>1570</v>
      </c>
      <c r="AL1177">
        <v>2</v>
      </c>
      <c r="AM1177" s="19" t="s">
        <v>1564</v>
      </c>
      <c r="AN1177">
        <v>-0.69112052288242587</v>
      </c>
      <c r="AO1177">
        <v>181836</v>
      </c>
    </row>
    <row r="1178" spans="1:41" x14ac:dyDescent="0.3">
      <c r="A1178" s="19" t="s">
        <v>1244</v>
      </c>
      <c r="B1178">
        <v>45</v>
      </c>
      <c r="C1178" s="19" t="s">
        <v>802</v>
      </c>
      <c r="D1178" s="19" t="s">
        <v>47</v>
      </c>
      <c r="E1178" s="19" t="s">
        <v>62</v>
      </c>
      <c r="F1178">
        <v>306</v>
      </c>
      <c r="G1178" s="19" t="s">
        <v>932</v>
      </c>
      <c r="H1178">
        <v>26</v>
      </c>
      <c r="I1178">
        <v>4</v>
      </c>
      <c r="J1178" s="19" t="s">
        <v>50</v>
      </c>
      <c r="K1178">
        <v>684</v>
      </c>
      <c r="L1178">
        <v>1</v>
      </c>
      <c r="M1178" s="19" t="s">
        <v>59</v>
      </c>
      <c r="N1178">
        <v>3</v>
      </c>
      <c r="O1178">
        <v>2</v>
      </c>
      <c r="P1178" s="19" t="s">
        <v>145</v>
      </c>
      <c r="Q1178">
        <v>1</v>
      </c>
      <c r="R1178" s="19" t="s">
        <v>113</v>
      </c>
      <c r="S1178">
        <v>77325</v>
      </c>
      <c r="T1178" s="19" t="s">
        <v>64</v>
      </c>
      <c r="U1178">
        <v>483.28</v>
      </c>
      <c r="V1178">
        <v>2</v>
      </c>
      <c r="W1178" s="19" t="s">
        <v>55</v>
      </c>
      <c r="X1178">
        <v>14</v>
      </c>
      <c r="Y1178">
        <v>3</v>
      </c>
      <c r="Z1178">
        <v>4</v>
      </c>
      <c r="AA1178">
        <v>2</v>
      </c>
      <c r="AB1178">
        <v>5</v>
      </c>
      <c r="AC1178">
        <v>4</v>
      </c>
      <c r="AD1178">
        <v>3</v>
      </c>
      <c r="AE1178">
        <v>1</v>
      </c>
      <c r="AF1178">
        <v>1</v>
      </c>
      <c r="AG1178">
        <v>0</v>
      </c>
      <c r="AH1178">
        <v>0</v>
      </c>
      <c r="AI1178">
        <v>1</v>
      </c>
      <c r="AJ1178" s="19" t="s">
        <v>1561</v>
      </c>
      <c r="AK1178" s="19" t="s">
        <v>1562</v>
      </c>
      <c r="AL1178">
        <v>1</v>
      </c>
      <c r="AM1178" s="19" t="s">
        <v>1565</v>
      </c>
      <c r="AN1178">
        <v>0.57619650023866054</v>
      </c>
      <c r="AO1178">
        <v>927900</v>
      </c>
    </row>
    <row r="1179" spans="1:41" x14ac:dyDescent="0.3">
      <c r="A1179" s="19" t="s">
        <v>1245</v>
      </c>
      <c r="B1179">
        <v>45</v>
      </c>
      <c r="C1179" s="19" t="s">
        <v>802</v>
      </c>
      <c r="D1179" s="19" t="s">
        <v>55</v>
      </c>
      <c r="E1179" s="19" t="s">
        <v>48</v>
      </c>
      <c r="F1179">
        <v>954</v>
      </c>
      <c r="G1179" s="19" t="s">
        <v>932</v>
      </c>
      <c r="H1179">
        <v>2</v>
      </c>
      <c r="I1179">
        <v>2</v>
      </c>
      <c r="J1179" s="19" t="s">
        <v>77</v>
      </c>
      <c r="K1179">
        <v>783</v>
      </c>
      <c r="L1179">
        <v>2</v>
      </c>
      <c r="M1179" s="19" t="s">
        <v>51</v>
      </c>
      <c r="N1179">
        <v>1</v>
      </c>
      <c r="O1179">
        <v>2</v>
      </c>
      <c r="P1179" s="19" t="s">
        <v>60</v>
      </c>
      <c r="Q1179">
        <v>3</v>
      </c>
      <c r="R1179" s="19" t="s">
        <v>53</v>
      </c>
      <c r="S1179">
        <v>13999</v>
      </c>
      <c r="T1179" s="19" t="s">
        <v>54</v>
      </c>
      <c r="U1179">
        <v>87.49</v>
      </c>
      <c r="V1179">
        <v>0</v>
      </c>
      <c r="W1179" s="19" t="s">
        <v>55</v>
      </c>
      <c r="X1179">
        <v>13</v>
      </c>
      <c r="Y1179">
        <v>3</v>
      </c>
      <c r="Z1179">
        <v>1</v>
      </c>
      <c r="AA1179">
        <v>0</v>
      </c>
      <c r="AB1179">
        <v>9</v>
      </c>
      <c r="AC1179">
        <v>3</v>
      </c>
      <c r="AD1179">
        <v>3</v>
      </c>
      <c r="AE1179">
        <v>8</v>
      </c>
      <c r="AF1179">
        <v>7</v>
      </c>
      <c r="AG1179">
        <v>3</v>
      </c>
      <c r="AH1179">
        <v>1</v>
      </c>
      <c r="AI1179">
        <v>0</v>
      </c>
      <c r="AJ1179" s="19" t="s">
        <v>1569</v>
      </c>
      <c r="AK1179" s="19" t="s">
        <v>1570</v>
      </c>
      <c r="AL1179">
        <v>1</v>
      </c>
      <c r="AM1179" s="19" t="s">
        <v>1565</v>
      </c>
      <c r="AN1179">
        <v>-0.71619888831797451</v>
      </c>
      <c r="AO1179">
        <v>167988</v>
      </c>
    </row>
    <row r="1180" spans="1:41" x14ac:dyDescent="0.3">
      <c r="A1180" s="19" t="s">
        <v>1246</v>
      </c>
      <c r="B1180">
        <v>45</v>
      </c>
      <c r="C1180" s="19" t="s">
        <v>802</v>
      </c>
      <c r="D1180" s="19" t="s">
        <v>55</v>
      </c>
      <c r="E1180" s="19" t="s">
        <v>48</v>
      </c>
      <c r="F1180">
        <v>252</v>
      </c>
      <c r="G1180" s="19" t="s">
        <v>735</v>
      </c>
      <c r="H1180">
        <v>2</v>
      </c>
      <c r="I1180">
        <v>3</v>
      </c>
      <c r="J1180" s="19" t="s">
        <v>50</v>
      </c>
      <c r="K1180">
        <v>834</v>
      </c>
      <c r="L1180">
        <v>2</v>
      </c>
      <c r="M1180" s="19" t="s">
        <v>59</v>
      </c>
      <c r="N1180">
        <v>2</v>
      </c>
      <c r="O1180">
        <v>1</v>
      </c>
      <c r="P1180" s="19" t="s">
        <v>67</v>
      </c>
      <c r="Q1180">
        <v>3</v>
      </c>
      <c r="R1180" s="19" t="s">
        <v>53</v>
      </c>
      <c r="S1180">
        <v>56318</v>
      </c>
      <c r="T1180" s="19" t="s">
        <v>64</v>
      </c>
      <c r="U1180">
        <v>351.99</v>
      </c>
      <c r="V1180">
        <v>1</v>
      </c>
      <c r="W1180" s="19" t="s">
        <v>55</v>
      </c>
      <c r="X1180">
        <v>14</v>
      </c>
      <c r="Y1180">
        <v>3</v>
      </c>
      <c r="Z1180">
        <v>4</v>
      </c>
      <c r="AA1180">
        <v>0</v>
      </c>
      <c r="AB1180">
        <v>1</v>
      </c>
      <c r="AC1180">
        <v>3</v>
      </c>
      <c r="AD1180">
        <v>3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 s="19" t="s">
        <v>1561</v>
      </c>
      <c r="AK1180" s="19" t="s">
        <v>1562</v>
      </c>
      <c r="AL1180">
        <v>0</v>
      </c>
      <c r="AM1180" s="19" t="s">
        <v>1563</v>
      </c>
      <c r="AN1180">
        <v>0.12938443756002418</v>
      </c>
      <c r="AO1180">
        <v>675816</v>
      </c>
    </row>
    <row r="1181" spans="1:41" x14ac:dyDescent="0.3">
      <c r="A1181" s="19" t="s">
        <v>1247</v>
      </c>
      <c r="B1181">
        <v>45</v>
      </c>
      <c r="C1181" s="19" t="s">
        <v>802</v>
      </c>
      <c r="D1181" s="19" t="s">
        <v>55</v>
      </c>
      <c r="E1181" s="19" t="s">
        <v>48</v>
      </c>
      <c r="F1181">
        <v>930</v>
      </c>
      <c r="G1181" s="19" t="s">
        <v>932</v>
      </c>
      <c r="H1181">
        <v>9</v>
      </c>
      <c r="I1181">
        <v>3</v>
      </c>
      <c r="J1181" s="19" t="s">
        <v>63</v>
      </c>
      <c r="K1181">
        <v>864</v>
      </c>
      <c r="L1181">
        <v>4</v>
      </c>
      <c r="M1181" s="19" t="s">
        <v>51</v>
      </c>
      <c r="N1181">
        <v>3</v>
      </c>
      <c r="O1181">
        <v>3</v>
      </c>
      <c r="P1181" s="19" t="s">
        <v>145</v>
      </c>
      <c r="Q1181">
        <v>1</v>
      </c>
      <c r="R1181" s="19" t="s">
        <v>113</v>
      </c>
      <c r="S1181">
        <v>1814</v>
      </c>
      <c r="T1181" s="19" t="s">
        <v>54</v>
      </c>
      <c r="U1181">
        <v>11.34</v>
      </c>
      <c r="V1181">
        <v>4</v>
      </c>
      <c r="W1181" s="19" t="s">
        <v>47</v>
      </c>
      <c r="X1181">
        <v>12</v>
      </c>
      <c r="Y1181">
        <v>3</v>
      </c>
      <c r="Z1181">
        <v>3</v>
      </c>
      <c r="AA1181">
        <v>1</v>
      </c>
      <c r="AB1181">
        <v>18</v>
      </c>
      <c r="AC1181">
        <v>2</v>
      </c>
      <c r="AD1181">
        <v>3</v>
      </c>
      <c r="AE1181">
        <v>5</v>
      </c>
      <c r="AF1181">
        <v>4</v>
      </c>
      <c r="AG1181">
        <v>0</v>
      </c>
      <c r="AH1181">
        <v>2</v>
      </c>
      <c r="AI1181">
        <v>0</v>
      </c>
      <c r="AJ1181" s="19" t="s">
        <v>1567</v>
      </c>
      <c r="AK1181" s="19" t="s">
        <v>1562</v>
      </c>
      <c r="AL1181">
        <v>2</v>
      </c>
      <c r="AM1181" s="19" t="s">
        <v>1564</v>
      </c>
      <c r="AN1181">
        <v>-0.96302333719453048</v>
      </c>
      <c r="AO1181">
        <v>21768</v>
      </c>
    </row>
    <row r="1182" spans="1:41" x14ac:dyDescent="0.3">
      <c r="A1182" s="19" t="s">
        <v>1248</v>
      </c>
      <c r="B1182">
        <v>45</v>
      </c>
      <c r="C1182" s="19" t="s">
        <v>802</v>
      </c>
      <c r="D1182" s="19" t="s">
        <v>55</v>
      </c>
      <c r="E1182" s="19" t="s">
        <v>66</v>
      </c>
      <c r="F1182">
        <v>805</v>
      </c>
      <c r="G1182" s="19" t="s">
        <v>735</v>
      </c>
      <c r="H1182">
        <v>4</v>
      </c>
      <c r="I1182">
        <v>2</v>
      </c>
      <c r="J1182" s="19" t="s">
        <v>50</v>
      </c>
      <c r="K1182">
        <v>972</v>
      </c>
      <c r="L1182">
        <v>3</v>
      </c>
      <c r="M1182" s="19" t="s">
        <v>51</v>
      </c>
      <c r="N1182">
        <v>3</v>
      </c>
      <c r="O1182">
        <v>2</v>
      </c>
      <c r="P1182" s="19" t="s">
        <v>52</v>
      </c>
      <c r="Q1182">
        <v>2</v>
      </c>
      <c r="R1182" s="19" t="s">
        <v>113</v>
      </c>
      <c r="S1182">
        <v>77077</v>
      </c>
      <c r="T1182" s="19" t="s">
        <v>64</v>
      </c>
      <c r="U1182">
        <v>481.73</v>
      </c>
      <c r="V1182">
        <v>1</v>
      </c>
      <c r="W1182" s="19" t="s">
        <v>55</v>
      </c>
      <c r="X1182">
        <v>12</v>
      </c>
      <c r="Y1182">
        <v>3</v>
      </c>
      <c r="Z1182">
        <v>2</v>
      </c>
      <c r="AA1182">
        <v>0</v>
      </c>
      <c r="AB1182">
        <v>9</v>
      </c>
      <c r="AC1182">
        <v>5</v>
      </c>
      <c r="AD1182">
        <v>2</v>
      </c>
      <c r="AE1182">
        <v>9</v>
      </c>
      <c r="AF1182">
        <v>7</v>
      </c>
      <c r="AG1182">
        <v>0</v>
      </c>
      <c r="AH1182">
        <v>8</v>
      </c>
      <c r="AI1182">
        <v>0</v>
      </c>
      <c r="AJ1182" s="19" t="s">
        <v>1569</v>
      </c>
      <c r="AK1182" s="19" t="s">
        <v>1562</v>
      </c>
      <c r="AL1182">
        <v>2</v>
      </c>
      <c r="AM1182" s="19" t="s">
        <v>1564</v>
      </c>
      <c r="AN1182">
        <v>0.49025731143017859</v>
      </c>
      <c r="AO1182">
        <v>924924</v>
      </c>
    </row>
    <row r="1183" spans="1:41" x14ac:dyDescent="0.3">
      <c r="A1183" s="19" t="s">
        <v>1249</v>
      </c>
      <c r="B1183">
        <v>45</v>
      </c>
      <c r="C1183" s="19" t="s">
        <v>802</v>
      </c>
      <c r="D1183" s="19" t="s">
        <v>55</v>
      </c>
      <c r="E1183" s="19" t="s">
        <v>48</v>
      </c>
      <c r="F1183">
        <v>974</v>
      </c>
      <c r="G1183" s="19" t="s">
        <v>735</v>
      </c>
      <c r="H1183">
        <v>1</v>
      </c>
      <c r="I1183">
        <v>4</v>
      </c>
      <c r="J1183" s="19" t="s">
        <v>58</v>
      </c>
      <c r="K1183">
        <v>996</v>
      </c>
      <c r="L1183">
        <v>4</v>
      </c>
      <c r="M1183" s="19" t="s">
        <v>59</v>
      </c>
      <c r="N1183">
        <v>3</v>
      </c>
      <c r="O1183">
        <v>1</v>
      </c>
      <c r="P1183" s="19" t="s">
        <v>52</v>
      </c>
      <c r="Q1183">
        <v>4</v>
      </c>
      <c r="R1183" s="19" t="s">
        <v>113</v>
      </c>
      <c r="S1183">
        <v>91474</v>
      </c>
      <c r="T1183" s="19" t="s">
        <v>70</v>
      </c>
      <c r="U1183">
        <v>571.71</v>
      </c>
      <c r="V1183">
        <v>3</v>
      </c>
      <c r="W1183" s="19" t="s">
        <v>55</v>
      </c>
      <c r="X1183">
        <v>14</v>
      </c>
      <c r="Y1183">
        <v>3</v>
      </c>
      <c r="Z1183">
        <v>4</v>
      </c>
      <c r="AA1183">
        <v>2</v>
      </c>
      <c r="AB1183">
        <v>8</v>
      </c>
      <c r="AC1183">
        <v>2</v>
      </c>
      <c r="AD1183">
        <v>3</v>
      </c>
      <c r="AE1183">
        <v>5</v>
      </c>
      <c r="AF1183">
        <v>3</v>
      </c>
      <c r="AG1183">
        <v>0</v>
      </c>
      <c r="AH1183">
        <v>2</v>
      </c>
      <c r="AI1183">
        <v>0</v>
      </c>
      <c r="AJ1183" s="19" t="s">
        <v>1567</v>
      </c>
      <c r="AK1183" s="19" t="s">
        <v>1562</v>
      </c>
      <c r="AL1183">
        <v>0</v>
      </c>
      <c r="AM1183" s="19" t="s">
        <v>1563</v>
      </c>
      <c r="AN1183">
        <v>0.76861835963729985</v>
      </c>
      <c r="AO1183">
        <v>1097688</v>
      </c>
    </row>
    <row r="1184" spans="1:41" x14ac:dyDescent="0.3">
      <c r="A1184" s="19" t="s">
        <v>1250</v>
      </c>
      <c r="B1184">
        <v>45</v>
      </c>
      <c r="C1184" s="19" t="s">
        <v>802</v>
      </c>
      <c r="D1184" s="19" t="s">
        <v>55</v>
      </c>
      <c r="E1184" s="19" t="s">
        <v>66</v>
      </c>
      <c r="F1184">
        <v>248</v>
      </c>
      <c r="G1184" s="19" t="s">
        <v>735</v>
      </c>
      <c r="H1184">
        <v>23</v>
      </c>
      <c r="I1184">
        <v>2</v>
      </c>
      <c r="J1184" s="19" t="s">
        <v>50</v>
      </c>
      <c r="K1184">
        <v>1002</v>
      </c>
      <c r="L1184">
        <v>4</v>
      </c>
      <c r="M1184" s="19" t="s">
        <v>51</v>
      </c>
      <c r="N1184">
        <v>3</v>
      </c>
      <c r="O1184">
        <v>2</v>
      </c>
      <c r="P1184" s="19" t="s">
        <v>52</v>
      </c>
      <c r="Q1184">
        <v>1</v>
      </c>
      <c r="R1184" s="19" t="s">
        <v>113</v>
      </c>
      <c r="S1184">
        <v>3443</v>
      </c>
      <c r="T1184" s="19" t="s">
        <v>54</v>
      </c>
      <c r="U1184">
        <v>21.52</v>
      </c>
      <c r="V1184">
        <v>1</v>
      </c>
      <c r="W1184" s="19" t="s">
        <v>47</v>
      </c>
      <c r="X1184">
        <v>15</v>
      </c>
      <c r="Y1184">
        <v>3</v>
      </c>
      <c r="Z1184">
        <v>3</v>
      </c>
      <c r="AA1184">
        <v>1</v>
      </c>
      <c r="AB1184">
        <v>9</v>
      </c>
      <c r="AC1184">
        <v>2</v>
      </c>
      <c r="AD1184">
        <v>3</v>
      </c>
      <c r="AE1184">
        <v>9</v>
      </c>
      <c r="AF1184">
        <v>8</v>
      </c>
      <c r="AG1184">
        <v>0</v>
      </c>
      <c r="AH1184">
        <v>8</v>
      </c>
      <c r="AI1184">
        <v>0</v>
      </c>
      <c r="AJ1184" s="19" t="s">
        <v>1569</v>
      </c>
      <c r="AK1184" s="19" t="s">
        <v>1562</v>
      </c>
      <c r="AL1184">
        <v>2</v>
      </c>
      <c r="AM1184" s="19" t="s">
        <v>1564</v>
      </c>
      <c r="AN1184">
        <v>-0.9334307780108968</v>
      </c>
      <c r="AO1184">
        <v>41316</v>
      </c>
    </row>
    <row r="1185" spans="1:41" x14ac:dyDescent="0.3">
      <c r="A1185" s="19" t="s">
        <v>1251</v>
      </c>
      <c r="B1185">
        <v>45</v>
      </c>
      <c r="C1185" s="19" t="s">
        <v>802</v>
      </c>
      <c r="D1185" s="19" t="s">
        <v>55</v>
      </c>
      <c r="E1185" s="19" t="s">
        <v>48</v>
      </c>
      <c r="F1185">
        <v>1234</v>
      </c>
      <c r="G1185" s="19" t="s">
        <v>932</v>
      </c>
      <c r="H1185">
        <v>11</v>
      </c>
      <c r="I1185">
        <v>2</v>
      </c>
      <c r="J1185" s="19" t="s">
        <v>50</v>
      </c>
      <c r="K1185">
        <v>1045</v>
      </c>
      <c r="L1185">
        <v>4</v>
      </c>
      <c r="M1185" s="19" t="s">
        <v>59</v>
      </c>
      <c r="N1185">
        <v>3</v>
      </c>
      <c r="O1185">
        <v>4</v>
      </c>
      <c r="P1185" s="19" t="s">
        <v>444</v>
      </c>
      <c r="Q1185">
        <v>4</v>
      </c>
      <c r="R1185" s="19" t="s">
        <v>113</v>
      </c>
      <c r="S1185">
        <v>76993</v>
      </c>
      <c r="T1185" s="19" t="s">
        <v>64</v>
      </c>
      <c r="U1185">
        <v>481.21</v>
      </c>
      <c r="V1185">
        <v>3</v>
      </c>
      <c r="W1185" s="19" t="s">
        <v>55</v>
      </c>
      <c r="X1185">
        <v>13</v>
      </c>
      <c r="Y1185">
        <v>3</v>
      </c>
      <c r="Z1185">
        <v>2</v>
      </c>
      <c r="AA1185">
        <v>1</v>
      </c>
      <c r="AB1185">
        <v>26</v>
      </c>
      <c r="AC1185">
        <v>4</v>
      </c>
      <c r="AD1185">
        <v>4</v>
      </c>
      <c r="AE1185">
        <v>9</v>
      </c>
      <c r="AF1185">
        <v>3</v>
      </c>
      <c r="AG1185">
        <v>1</v>
      </c>
      <c r="AH1185">
        <v>1</v>
      </c>
      <c r="AI1185">
        <v>0</v>
      </c>
      <c r="AJ1185" s="19" t="s">
        <v>1569</v>
      </c>
      <c r="AK1185" s="19" t="s">
        <v>1562</v>
      </c>
      <c r="AL1185">
        <v>0</v>
      </c>
      <c r="AM1185" s="19" t="s">
        <v>1563</v>
      </c>
      <c r="AN1185">
        <v>0.4750093346866438</v>
      </c>
      <c r="AO1185">
        <v>923916</v>
      </c>
    </row>
    <row r="1186" spans="1:41" x14ac:dyDescent="0.3">
      <c r="A1186" s="19" t="s">
        <v>1252</v>
      </c>
      <c r="B1186">
        <v>45</v>
      </c>
      <c r="C1186" s="19" t="s">
        <v>802</v>
      </c>
      <c r="D1186" s="19" t="s">
        <v>55</v>
      </c>
      <c r="E1186" s="19" t="s">
        <v>48</v>
      </c>
      <c r="F1186">
        <v>788</v>
      </c>
      <c r="G1186" s="19" t="s">
        <v>80</v>
      </c>
      <c r="H1186">
        <v>24</v>
      </c>
      <c r="I1186">
        <v>4</v>
      </c>
      <c r="J1186" s="19" t="s">
        <v>58</v>
      </c>
      <c r="K1186">
        <v>1049</v>
      </c>
      <c r="L1186">
        <v>2</v>
      </c>
      <c r="M1186" s="19" t="s">
        <v>51</v>
      </c>
      <c r="N1186">
        <v>3</v>
      </c>
      <c r="O1186">
        <v>1</v>
      </c>
      <c r="P1186" s="19" t="s">
        <v>80</v>
      </c>
      <c r="Q1186">
        <v>2</v>
      </c>
      <c r="R1186" s="19" t="s">
        <v>53</v>
      </c>
      <c r="S1186">
        <v>76916</v>
      </c>
      <c r="T1186" s="19" t="s">
        <v>64</v>
      </c>
      <c r="U1186">
        <v>480.72</v>
      </c>
      <c r="V1186">
        <v>1</v>
      </c>
      <c r="W1186" s="19" t="s">
        <v>55</v>
      </c>
      <c r="X1186">
        <v>16</v>
      </c>
      <c r="Y1186">
        <v>3</v>
      </c>
      <c r="Z1186">
        <v>1</v>
      </c>
      <c r="AA1186">
        <v>0</v>
      </c>
      <c r="AB1186">
        <v>6</v>
      </c>
      <c r="AC1186">
        <v>3</v>
      </c>
      <c r="AD1186">
        <v>3</v>
      </c>
      <c r="AE1186">
        <v>6</v>
      </c>
      <c r="AF1186">
        <v>3</v>
      </c>
      <c r="AG1186">
        <v>0</v>
      </c>
      <c r="AH1186">
        <v>4</v>
      </c>
      <c r="AI1186">
        <v>0</v>
      </c>
      <c r="AJ1186" s="19" t="s">
        <v>1569</v>
      </c>
      <c r="AK1186" s="19" t="s">
        <v>1562</v>
      </c>
      <c r="AL1186">
        <v>1</v>
      </c>
      <c r="AM1186" s="19" t="s">
        <v>1565</v>
      </c>
      <c r="AN1186">
        <v>0.51576426181173241</v>
      </c>
      <c r="AO1186">
        <v>922992</v>
      </c>
    </row>
    <row r="1187" spans="1:41" x14ac:dyDescent="0.3">
      <c r="A1187" s="19" t="s">
        <v>1253</v>
      </c>
      <c r="B1187">
        <v>45</v>
      </c>
      <c r="C1187" s="19" t="s">
        <v>802</v>
      </c>
      <c r="D1187" s="19" t="s">
        <v>55</v>
      </c>
      <c r="E1187" s="19" t="s">
        <v>66</v>
      </c>
      <c r="F1187">
        <v>1050</v>
      </c>
      <c r="G1187" s="19" t="s">
        <v>932</v>
      </c>
      <c r="H1187">
        <v>9</v>
      </c>
      <c r="I1187">
        <v>4</v>
      </c>
      <c r="J1187" s="19" t="s">
        <v>50</v>
      </c>
      <c r="K1187">
        <v>1117</v>
      </c>
      <c r="L1187">
        <v>2</v>
      </c>
      <c r="M1187" s="19" t="s">
        <v>59</v>
      </c>
      <c r="N1187">
        <v>2</v>
      </c>
      <c r="O1187">
        <v>2</v>
      </c>
      <c r="P1187" s="19" t="s">
        <v>145</v>
      </c>
      <c r="Q1187">
        <v>3</v>
      </c>
      <c r="R1187" s="19" t="s">
        <v>113</v>
      </c>
      <c r="S1187">
        <v>74319</v>
      </c>
      <c r="T1187" s="19" t="s">
        <v>64</v>
      </c>
      <c r="U1187">
        <v>464.49</v>
      </c>
      <c r="V1187">
        <v>1</v>
      </c>
      <c r="W1187" s="19" t="s">
        <v>55</v>
      </c>
      <c r="X1187">
        <v>13</v>
      </c>
      <c r="Y1187">
        <v>3</v>
      </c>
      <c r="Z1187">
        <v>4</v>
      </c>
      <c r="AA1187">
        <v>1</v>
      </c>
      <c r="AB1187">
        <v>15</v>
      </c>
      <c r="AC1187">
        <v>2</v>
      </c>
      <c r="AD1187">
        <v>3</v>
      </c>
      <c r="AE1187">
        <v>15</v>
      </c>
      <c r="AF1187">
        <v>10</v>
      </c>
      <c r="AG1187">
        <v>4</v>
      </c>
      <c r="AH1187">
        <v>12</v>
      </c>
      <c r="AI1187">
        <v>0</v>
      </c>
      <c r="AJ1187" s="19" t="s">
        <v>1571</v>
      </c>
      <c r="AK1187" s="19" t="s">
        <v>1570</v>
      </c>
      <c r="AL1187">
        <v>1</v>
      </c>
      <c r="AM1187" s="19" t="s">
        <v>1565</v>
      </c>
      <c r="AN1187">
        <v>0.51492205239233124</v>
      </c>
      <c r="AO1187">
        <v>891828</v>
      </c>
    </row>
    <row r="1188" spans="1:41" x14ac:dyDescent="0.3">
      <c r="A1188" s="19" t="s">
        <v>1254</v>
      </c>
      <c r="B1188">
        <v>45</v>
      </c>
      <c r="C1188" s="19" t="s">
        <v>802</v>
      </c>
      <c r="D1188" s="19" t="s">
        <v>55</v>
      </c>
      <c r="E1188" s="19" t="s">
        <v>48</v>
      </c>
      <c r="F1188">
        <v>1457</v>
      </c>
      <c r="G1188" s="19" t="s">
        <v>735</v>
      </c>
      <c r="H1188">
        <v>7</v>
      </c>
      <c r="I1188">
        <v>3</v>
      </c>
      <c r="J1188" s="19" t="s">
        <v>58</v>
      </c>
      <c r="K1188">
        <v>1195</v>
      </c>
      <c r="L1188">
        <v>1</v>
      </c>
      <c r="M1188" s="19" t="s">
        <v>59</v>
      </c>
      <c r="N1188">
        <v>3</v>
      </c>
      <c r="O1188">
        <v>1</v>
      </c>
      <c r="P1188" s="19" t="s">
        <v>67</v>
      </c>
      <c r="Q1188">
        <v>3</v>
      </c>
      <c r="R1188" s="19" t="s">
        <v>113</v>
      </c>
      <c r="S1188">
        <v>18368</v>
      </c>
      <c r="T1188" s="19" t="s">
        <v>54</v>
      </c>
      <c r="U1188">
        <v>114.8</v>
      </c>
      <c r="V1188">
        <v>4</v>
      </c>
      <c r="W1188" s="19" t="s">
        <v>47</v>
      </c>
      <c r="X1188">
        <v>19</v>
      </c>
      <c r="Y1188">
        <v>3</v>
      </c>
      <c r="Z1188">
        <v>3</v>
      </c>
      <c r="AA1188">
        <v>1</v>
      </c>
      <c r="AB1188">
        <v>7</v>
      </c>
      <c r="AC1188">
        <v>2</v>
      </c>
      <c r="AD1188">
        <v>2</v>
      </c>
      <c r="AE1188">
        <v>3</v>
      </c>
      <c r="AF1188">
        <v>2</v>
      </c>
      <c r="AG1188">
        <v>0</v>
      </c>
      <c r="AH1188">
        <v>2</v>
      </c>
      <c r="AI1188">
        <v>0</v>
      </c>
      <c r="AJ1188" s="19" t="s">
        <v>1566</v>
      </c>
      <c r="AK1188" s="19" t="s">
        <v>1562</v>
      </c>
      <c r="AL1188">
        <v>2</v>
      </c>
      <c r="AM1188" s="19" t="s">
        <v>1564</v>
      </c>
      <c r="AN1188">
        <v>-0.63165358590321874</v>
      </c>
      <c r="AO1188">
        <v>220416</v>
      </c>
    </row>
    <row r="1189" spans="1:41" x14ac:dyDescent="0.3">
      <c r="A1189" s="19" t="s">
        <v>1255</v>
      </c>
      <c r="B1189">
        <v>45</v>
      </c>
      <c r="C1189" s="19" t="s">
        <v>802</v>
      </c>
      <c r="D1189" s="19" t="s">
        <v>47</v>
      </c>
      <c r="E1189" s="19" t="s">
        <v>48</v>
      </c>
      <c r="F1189">
        <v>1449</v>
      </c>
      <c r="G1189" s="19" t="s">
        <v>932</v>
      </c>
      <c r="H1189">
        <v>2</v>
      </c>
      <c r="I1189">
        <v>3</v>
      </c>
      <c r="J1189" s="19" t="s">
        <v>63</v>
      </c>
      <c r="K1189">
        <v>1277</v>
      </c>
      <c r="L1189">
        <v>1</v>
      </c>
      <c r="M1189" s="19" t="s">
        <v>59</v>
      </c>
      <c r="N1189">
        <v>1</v>
      </c>
      <c r="O1189">
        <v>5</v>
      </c>
      <c r="P1189" s="19" t="s">
        <v>444</v>
      </c>
      <c r="Q1189">
        <v>2</v>
      </c>
      <c r="R1189" s="19" t="s">
        <v>53</v>
      </c>
      <c r="S1189">
        <v>16328</v>
      </c>
      <c r="T1189" s="19" t="s">
        <v>54</v>
      </c>
      <c r="U1189">
        <v>102.05</v>
      </c>
      <c r="V1189">
        <v>2</v>
      </c>
      <c r="W1189" s="19" t="s">
        <v>47</v>
      </c>
      <c r="X1189">
        <v>16</v>
      </c>
      <c r="Y1189">
        <v>3</v>
      </c>
      <c r="Z1189">
        <v>1</v>
      </c>
      <c r="AA1189">
        <v>0</v>
      </c>
      <c r="AB1189">
        <v>26</v>
      </c>
      <c r="AC1189">
        <v>2</v>
      </c>
      <c r="AD1189">
        <v>3</v>
      </c>
      <c r="AE1189">
        <v>24</v>
      </c>
      <c r="AF1189">
        <v>10</v>
      </c>
      <c r="AG1189">
        <v>1</v>
      </c>
      <c r="AH1189">
        <v>11</v>
      </c>
      <c r="AI1189">
        <v>1</v>
      </c>
      <c r="AJ1189" s="19" t="s">
        <v>1571</v>
      </c>
      <c r="AK1189" s="19" t="s">
        <v>1562</v>
      </c>
      <c r="AL1189">
        <v>2</v>
      </c>
      <c r="AM1189" s="19" t="s">
        <v>1564</v>
      </c>
      <c r="AN1189">
        <v>-0.68719296018126952</v>
      </c>
      <c r="AO1189">
        <v>195936</v>
      </c>
    </row>
    <row r="1190" spans="1:41" x14ac:dyDescent="0.3">
      <c r="A1190" s="19" t="s">
        <v>1256</v>
      </c>
      <c r="B1190">
        <v>45</v>
      </c>
      <c r="C1190" s="19" t="s">
        <v>802</v>
      </c>
      <c r="D1190" s="19" t="s">
        <v>55</v>
      </c>
      <c r="E1190" s="19" t="s">
        <v>62</v>
      </c>
      <c r="F1190">
        <v>364</v>
      </c>
      <c r="G1190" s="19" t="s">
        <v>735</v>
      </c>
      <c r="H1190">
        <v>25</v>
      </c>
      <c r="I1190">
        <v>3</v>
      </c>
      <c r="J1190" s="19" t="s">
        <v>58</v>
      </c>
      <c r="K1190">
        <v>1306</v>
      </c>
      <c r="L1190">
        <v>2</v>
      </c>
      <c r="M1190" s="19" t="s">
        <v>59</v>
      </c>
      <c r="N1190">
        <v>3</v>
      </c>
      <c r="O1190">
        <v>5</v>
      </c>
      <c r="P1190" s="19" t="s">
        <v>444</v>
      </c>
      <c r="Q1190">
        <v>2</v>
      </c>
      <c r="R1190" s="19" t="s">
        <v>53</v>
      </c>
      <c r="S1190">
        <v>57942</v>
      </c>
      <c r="T1190" s="19" t="s">
        <v>64</v>
      </c>
      <c r="U1190">
        <v>362.14</v>
      </c>
      <c r="V1190">
        <v>3</v>
      </c>
      <c r="W1190" s="19" t="s">
        <v>55</v>
      </c>
      <c r="X1190">
        <v>22</v>
      </c>
      <c r="Y1190">
        <v>4</v>
      </c>
      <c r="Z1190">
        <v>3</v>
      </c>
      <c r="AA1190">
        <v>0</v>
      </c>
      <c r="AB1190">
        <v>22</v>
      </c>
      <c r="AC1190">
        <v>4</v>
      </c>
      <c r="AD1190">
        <v>3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 s="19" t="s">
        <v>1561</v>
      </c>
      <c r="AK1190" s="19" t="s">
        <v>1562</v>
      </c>
      <c r="AL1190">
        <v>1</v>
      </c>
      <c r="AM1190" s="19" t="s">
        <v>1565</v>
      </c>
      <c r="AN1190">
        <v>0.11003585871979939</v>
      </c>
      <c r="AO1190">
        <v>695304</v>
      </c>
    </row>
    <row r="1191" spans="1:41" x14ac:dyDescent="0.3">
      <c r="A1191" s="19" t="s">
        <v>1257</v>
      </c>
      <c r="B1191">
        <v>45</v>
      </c>
      <c r="C1191" s="19" t="s">
        <v>802</v>
      </c>
      <c r="D1191" s="19" t="s">
        <v>55</v>
      </c>
      <c r="E1191" s="19" t="s">
        <v>48</v>
      </c>
      <c r="F1191">
        <v>1038</v>
      </c>
      <c r="G1191" s="19" t="s">
        <v>735</v>
      </c>
      <c r="H1191">
        <v>20</v>
      </c>
      <c r="I1191">
        <v>3</v>
      </c>
      <c r="J1191" s="19" t="s">
        <v>58</v>
      </c>
      <c r="K1191">
        <v>1460</v>
      </c>
      <c r="L1191">
        <v>2</v>
      </c>
      <c r="M1191" s="19" t="s">
        <v>51</v>
      </c>
      <c r="N1191">
        <v>1</v>
      </c>
      <c r="O1191">
        <v>3</v>
      </c>
      <c r="P1191" s="19" t="s">
        <v>168</v>
      </c>
      <c r="Q1191">
        <v>1</v>
      </c>
      <c r="R1191" s="19" t="s">
        <v>113</v>
      </c>
      <c r="S1191">
        <v>92751</v>
      </c>
      <c r="T1191" s="19" t="s">
        <v>70</v>
      </c>
      <c r="U1191">
        <v>579.69000000000005</v>
      </c>
      <c r="V1191">
        <v>2</v>
      </c>
      <c r="W1191" s="19" t="s">
        <v>47</v>
      </c>
      <c r="X1191">
        <v>18</v>
      </c>
      <c r="Y1191">
        <v>3</v>
      </c>
      <c r="Z1191">
        <v>2</v>
      </c>
      <c r="AA1191">
        <v>1</v>
      </c>
      <c r="AB1191">
        <v>24</v>
      </c>
      <c r="AC1191">
        <v>2</v>
      </c>
      <c r="AD1191">
        <v>3</v>
      </c>
      <c r="AE1191">
        <v>7</v>
      </c>
      <c r="AF1191">
        <v>7</v>
      </c>
      <c r="AG1191">
        <v>0</v>
      </c>
      <c r="AH1191">
        <v>7</v>
      </c>
      <c r="AI1191">
        <v>0</v>
      </c>
      <c r="AJ1191" s="19" t="s">
        <v>1569</v>
      </c>
      <c r="AK1191" s="19" t="s">
        <v>1562</v>
      </c>
      <c r="AL1191">
        <v>2</v>
      </c>
      <c r="AM1191" s="19" t="s">
        <v>1564</v>
      </c>
      <c r="AN1191">
        <v>0.92472815453391999</v>
      </c>
      <c r="AO1191">
        <v>1113012</v>
      </c>
    </row>
    <row r="1192" spans="1:41" x14ac:dyDescent="0.3">
      <c r="A1192" s="19" t="s">
        <v>1258</v>
      </c>
      <c r="B1192">
        <v>45</v>
      </c>
      <c r="C1192" s="19" t="s">
        <v>802</v>
      </c>
      <c r="D1192" s="19" t="s">
        <v>55</v>
      </c>
      <c r="E1192" s="19" t="s">
        <v>48</v>
      </c>
      <c r="F1192">
        <v>1448</v>
      </c>
      <c r="G1192" s="19" t="s">
        <v>735</v>
      </c>
      <c r="H1192">
        <v>29</v>
      </c>
      <c r="I1192">
        <v>3</v>
      </c>
      <c r="J1192" s="19" t="s">
        <v>77</v>
      </c>
      <c r="K1192">
        <v>1465</v>
      </c>
      <c r="L1192">
        <v>2</v>
      </c>
      <c r="M1192" s="19" t="s">
        <v>51</v>
      </c>
      <c r="N1192">
        <v>3</v>
      </c>
      <c r="O1192">
        <v>3</v>
      </c>
      <c r="P1192" s="19" t="s">
        <v>120</v>
      </c>
      <c r="Q1192">
        <v>4</v>
      </c>
      <c r="R1192" s="19" t="s">
        <v>113</v>
      </c>
      <c r="S1192">
        <v>28306</v>
      </c>
      <c r="T1192" s="19" t="s">
        <v>72</v>
      </c>
      <c r="U1192">
        <v>176.91</v>
      </c>
      <c r="V1192">
        <v>4</v>
      </c>
      <c r="W1192" s="19" t="s">
        <v>47</v>
      </c>
      <c r="X1192">
        <v>18</v>
      </c>
      <c r="Y1192">
        <v>3</v>
      </c>
      <c r="Z1192">
        <v>4</v>
      </c>
      <c r="AA1192">
        <v>2</v>
      </c>
      <c r="AB1192">
        <v>10</v>
      </c>
      <c r="AC1192">
        <v>4</v>
      </c>
      <c r="AD1192">
        <v>4</v>
      </c>
      <c r="AE1192">
        <v>3</v>
      </c>
      <c r="AF1192">
        <v>1</v>
      </c>
      <c r="AG1192">
        <v>1</v>
      </c>
      <c r="AH1192">
        <v>2</v>
      </c>
      <c r="AI1192">
        <v>0</v>
      </c>
      <c r="AJ1192" s="19" t="s">
        <v>1566</v>
      </c>
      <c r="AK1192" s="19" t="s">
        <v>1562</v>
      </c>
      <c r="AL1192">
        <v>1</v>
      </c>
      <c r="AM1192" s="19" t="s">
        <v>1565</v>
      </c>
      <c r="AN1192">
        <v>-0.3609710908365843</v>
      </c>
      <c r="AO1192">
        <v>339672</v>
      </c>
    </row>
    <row r="1193" spans="1:41" x14ac:dyDescent="0.3">
      <c r="A1193" s="19" t="s">
        <v>1259</v>
      </c>
      <c r="B1193">
        <v>45</v>
      </c>
      <c r="C1193" s="19" t="s">
        <v>802</v>
      </c>
      <c r="D1193" s="19" t="s">
        <v>55</v>
      </c>
      <c r="E1193" s="19" t="s">
        <v>48</v>
      </c>
      <c r="F1193">
        <v>950</v>
      </c>
      <c r="G1193" s="19" t="s">
        <v>735</v>
      </c>
      <c r="H1193">
        <v>28</v>
      </c>
      <c r="I1193">
        <v>3</v>
      </c>
      <c r="J1193" s="19" t="s">
        <v>77</v>
      </c>
      <c r="K1193">
        <v>1546</v>
      </c>
      <c r="L1193">
        <v>4</v>
      </c>
      <c r="M1193" s="19" t="s">
        <v>51</v>
      </c>
      <c r="N1193">
        <v>3</v>
      </c>
      <c r="O1193">
        <v>1</v>
      </c>
      <c r="P1193" s="19" t="s">
        <v>67</v>
      </c>
      <c r="Q1193">
        <v>4</v>
      </c>
      <c r="R1193" s="19" t="s">
        <v>113</v>
      </c>
      <c r="S1193">
        <v>86451</v>
      </c>
      <c r="T1193" s="19" t="s">
        <v>70</v>
      </c>
      <c r="U1193">
        <v>540.32000000000005</v>
      </c>
      <c r="V1193">
        <v>4</v>
      </c>
      <c r="W1193" s="19" t="s">
        <v>55</v>
      </c>
      <c r="X1193">
        <v>20</v>
      </c>
      <c r="Y1193">
        <v>4</v>
      </c>
      <c r="Z1193">
        <v>4</v>
      </c>
      <c r="AA1193">
        <v>1</v>
      </c>
      <c r="AB1193">
        <v>8</v>
      </c>
      <c r="AC1193">
        <v>3</v>
      </c>
      <c r="AD1193">
        <v>3</v>
      </c>
      <c r="AE1193">
        <v>5</v>
      </c>
      <c r="AF1193">
        <v>4</v>
      </c>
      <c r="AG1193">
        <v>0</v>
      </c>
      <c r="AH1193">
        <v>3</v>
      </c>
      <c r="AI1193">
        <v>0</v>
      </c>
      <c r="AJ1193" s="19" t="s">
        <v>1567</v>
      </c>
      <c r="AK1193" s="19" t="s">
        <v>1562</v>
      </c>
      <c r="AL1193">
        <v>0</v>
      </c>
      <c r="AM1193" s="19" t="s">
        <v>1563</v>
      </c>
      <c r="AN1193">
        <v>0.7336626657818397</v>
      </c>
      <c r="AO1193">
        <v>1037412</v>
      </c>
    </row>
    <row r="1194" spans="1:41" x14ac:dyDescent="0.3">
      <c r="A1194" s="19" t="s">
        <v>1260</v>
      </c>
      <c r="B1194">
        <v>45</v>
      </c>
      <c r="C1194" s="19" t="s">
        <v>802</v>
      </c>
      <c r="D1194" s="19" t="s">
        <v>55</v>
      </c>
      <c r="E1194" s="19" t="s">
        <v>48</v>
      </c>
      <c r="F1194">
        <v>538</v>
      </c>
      <c r="G1194" s="19" t="s">
        <v>735</v>
      </c>
      <c r="H1194">
        <v>1</v>
      </c>
      <c r="I1194">
        <v>4</v>
      </c>
      <c r="J1194" s="19" t="s">
        <v>77</v>
      </c>
      <c r="K1194">
        <v>1553</v>
      </c>
      <c r="L1194">
        <v>1</v>
      </c>
      <c r="M1194" s="19" t="s">
        <v>51</v>
      </c>
      <c r="N1194">
        <v>3</v>
      </c>
      <c r="O1194">
        <v>3</v>
      </c>
      <c r="P1194" s="19" t="s">
        <v>168</v>
      </c>
      <c r="Q1194">
        <v>2</v>
      </c>
      <c r="R1194" s="19" t="s">
        <v>113</v>
      </c>
      <c r="S1194">
        <v>40915</v>
      </c>
      <c r="T1194" s="19" t="s">
        <v>72</v>
      </c>
      <c r="U1194">
        <v>255.72</v>
      </c>
      <c r="V1194">
        <v>1</v>
      </c>
      <c r="W1194" s="19" t="s">
        <v>55</v>
      </c>
      <c r="X1194">
        <v>12</v>
      </c>
      <c r="Y1194">
        <v>3</v>
      </c>
      <c r="Z1194">
        <v>1</v>
      </c>
      <c r="AA1194">
        <v>3</v>
      </c>
      <c r="AB1194">
        <v>10</v>
      </c>
      <c r="AC1194">
        <v>4</v>
      </c>
      <c r="AD1194">
        <v>3</v>
      </c>
      <c r="AE1194">
        <v>10</v>
      </c>
      <c r="AF1194">
        <v>8</v>
      </c>
      <c r="AG1194">
        <v>7</v>
      </c>
      <c r="AH1194">
        <v>7</v>
      </c>
      <c r="AI1194">
        <v>0</v>
      </c>
      <c r="AJ1194" s="19" t="s">
        <v>1569</v>
      </c>
      <c r="AK1194" s="19" t="s">
        <v>1570</v>
      </c>
      <c r="AL1194">
        <v>2</v>
      </c>
      <c r="AM1194" s="19" t="s">
        <v>1564</v>
      </c>
      <c r="AN1194">
        <v>-0.15094982865138556</v>
      </c>
      <c r="AO1194">
        <v>490980</v>
      </c>
    </row>
    <row r="1195" spans="1:41" x14ac:dyDescent="0.3">
      <c r="A1195" s="19" t="s">
        <v>1261</v>
      </c>
      <c r="B1195">
        <v>45</v>
      </c>
      <c r="C1195" s="19" t="s">
        <v>802</v>
      </c>
      <c r="D1195" s="19" t="s">
        <v>55</v>
      </c>
      <c r="E1195" s="19" t="s">
        <v>48</v>
      </c>
      <c r="F1195">
        <v>1015</v>
      </c>
      <c r="G1195" s="19" t="s">
        <v>735</v>
      </c>
      <c r="H1195">
        <v>5</v>
      </c>
      <c r="I1195">
        <v>5</v>
      </c>
      <c r="J1195" s="19" t="s">
        <v>58</v>
      </c>
      <c r="K1195">
        <v>1611</v>
      </c>
      <c r="L1195">
        <v>3</v>
      </c>
      <c r="M1195" s="19" t="s">
        <v>59</v>
      </c>
      <c r="N1195">
        <v>1</v>
      </c>
      <c r="O1195">
        <v>2</v>
      </c>
      <c r="P1195" s="19" t="s">
        <v>52</v>
      </c>
      <c r="Q1195">
        <v>1</v>
      </c>
      <c r="R1195" s="19" t="s">
        <v>53</v>
      </c>
      <c r="S1195">
        <v>38219</v>
      </c>
      <c r="T1195" s="19" t="s">
        <v>72</v>
      </c>
      <c r="U1195">
        <v>238.87</v>
      </c>
      <c r="V1195">
        <v>1</v>
      </c>
      <c r="W1195" s="19" t="s">
        <v>47</v>
      </c>
      <c r="X1195">
        <v>14</v>
      </c>
      <c r="Y1195">
        <v>3</v>
      </c>
      <c r="Z1195">
        <v>1</v>
      </c>
      <c r="AA1195">
        <v>0</v>
      </c>
      <c r="AB1195">
        <v>10</v>
      </c>
      <c r="AC1195">
        <v>3</v>
      </c>
      <c r="AD1195">
        <v>3</v>
      </c>
      <c r="AE1195">
        <v>10</v>
      </c>
      <c r="AF1195">
        <v>7</v>
      </c>
      <c r="AG1195">
        <v>1</v>
      </c>
      <c r="AH1195">
        <v>4</v>
      </c>
      <c r="AI1195">
        <v>0</v>
      </c>
      <c r="AJ1195" s="19" t="s">
        <v>1569</v>
      </c>
      <c r="AK1195" s="19" t="s">
        <v>1562</v>
      </c>
      <c r="AL1195">
        <v>2</v>
      </c>
      <c r="AM1195" s="19" t="s">
        <v>1564</v>
      </c>
      <c r="AN1195">
        <v>-0.2610487670050729</v>
      </c>
      <c r="AO1195">
        <v>458628</v>
      </c>
    </row>
    <row r="1196" spans="1:41" x14ac:dyDescent="0.3">
      <c r="A1196" s="19" t="s">
        <v>1262</v>
      </c>
      <c r="B1196">
        <v>45</v>
      </c>
      <c r="C1196" s="19" t="s">
        <v>802</v>
      </c>
      <c r="D1196" s="19" t="s">
        <v>55</v>
      </c>
      <c r="E1196" s="19" t="s">
        <v>66</v>
      </c>
      <c r="F1196">
        <v>336</v>
      </c>
      <c r="G1196" s="19" t="s">
        <v>932</v>
      </c>
      <c r="H1196">
        <v>26</v>
      </c>
      <c r="I1196">
        <v>3</v>
      </c>
      <c r="J1196" s="19" t="s">
        <v>63</v>
      </c>
      <c r="K1196">
        <v>1612</v>
      </c>
      <c r="L1196">
        <v>1</v>
      </c>
      <c r="M1196" s="19" t="s">
        <v>51</v>
      </c>
      <c r="N1196">
        <v>2</v>
      </c>
      <c r="O1196">
        <v>2</v>
      </c>
      <c r="P1196" s="19" t="s">
        <v>145</v>
      </c>
      <c r="Q1196">
        <v>1</v>
      </c>
      <c r="R1196" s="19" t="s">
        <v>113</v>
      </c>
      <c r="S1196">
        <v>81879</v>
      </c>
      <c r="T1196" s="19" t="s">
        <v>64</v>
      </c>
      <c r="U1196">
        <v>511.74</v>
      </c>
      <c r="V1196">
        <v>1</v>
      </c>
      <c r="W1196" s="19" t="s">
        <v>55</v>
      </c>
      <c r="X1196">
        <v>15</v>
      </c>
      <c r="Y1196">
        <v>3</v>
      </c>
      <c r="Z1196">
        <v>1</v>
      </c>
      <c r="AA1196">
        <v>1</v>
      </c>
      <c r="AB1196">
        <v>10</v>
      </c>
      <c r="AC1196">
        <v>2</v>
      </c>
      <c r="AD1196">
        <v>3</v>
      </c>
      <c r="AE1196">
        <v>10</v>
      </c>
      <c r="AF1196">
        <v>7</v>
      </c>
      <c r="AG1196">
        <v>4</v>
      </c>
      <c r="AH1196">
        <v>5</v>
      </c>
      <c r="AI1196">
        <v>0</v>
      </c>
      <c r="AJ1196" s="19" t="s">
        <v>1569</v>
      </c>
      <c r="AK1196" s="19" t="s">
        <v>1570</v>
      </c>
      <c r="AL1196">
        <v>2</v>
      </c>
      <c r="AM1196" s="19" t="s">
        <v>1564</v>
      </c>
      <c r="AN1196">
        <v>0.66902545416154269</v>
      </c>
      <c r="AO1196">
        <v>982548</v>
      </c>
    </row>
    <row r="1197" spans="1:41" x14ac:dyDescent="0.3">
      <c r="A1197" s="19" t="s">
        <v>1263</v>
      </c>
      <c r="B1197">
        <v>45</v>
      </c>
      <c r="C1197" s="19" t="s">
        <v>802</v>
      </c>
      <c r="D1197" s="19" t="s">
        <v>55</v>
      </c>
      <c r="E1197" s="19" t="s">
        <v>48</v>
      </c>
      <c r="F1197">
        <v>1329</v>
      </c>
      <c r="G1197" s="19" t="s">
        <v>735</v>
      </c>
      <c r="H1197">
        <v>2</v>
      </c>
      <c r="I1197">
        <v>2</v>
      </c>
      <c r="J1197" s="19" t="s">
        <v>82</v>
      </c>
      <c r="K1197">
        <v>1635</v>
      </c>
      <c r="L1197">
        <v>4</v>
      </c>
      <c r="M1197" s="19" t="s">
        <v>59</v>
      </c>
      <c r="N1197">
        <v>2</v>
      </c>
      <c r="O1197">
        <v>2</v>
      </c>
      <c r="P1197" s="19" t="s">
        <v>120</v>
      </c>
      <c r="Q1197">
        <v>4</v>
      </c>
      <c r="R1197" s="19" t="s">
        <v>113</v>
      </c>
      <c r="S1197">
        <v>65644</v>
      </c>
      <c r="T1197" s="19" t="s">
        <v>64</v>
      </c>
      <c r="U1197">
        <v>410.28</v>
      </c>
      <c r="V1197">
        <v>1</v>
      </c>
      <c r="W1197" s="19" t="s">
        <v>55</v>
      </c>
      <c r="X1197">
        <v>19</v>
      </c>
      <c r="Y1197">
        <v>3</v>
      </c>
      <c r="Z1197">
        <v>1</v>
      </c>
      <c r="AA1197">
        <v>2</v>
      </c>
      <c r="AB1197">
        <v>10</v>
      </c>
      <c r="AC1197">
        <v>3</v>
      </c>
      <c r="AD1197">
        <v>3</v>
      </c>
      <c r="AE1197">
        <v>10</v>
      </c>
      <c r="AF1197">
        <v>7</v>
      </c>
      <c r="AG1197">
        <v>3</v>
      </c>
      <c r="AH1197">
        <v>9</v>
      </c>
      <c r="AI1197">
        <v>0</v>
      </c>
      <c r="AJ1197" s="19" t="s">
        <v>1569</v>
      </c>
      <c r="AK1197" s="19" t="s">
        <v>1570</v>
      </c>
      <c r="AL1197">
        <v>1</v>
      </c>
      <c r="AM1197" s="19" t="s">
        <v>1565</v>
      </c>
      <c r="AN1197">
        <v>0.4819619060666735</v>
      </c>
      <c r="AO1197">
        <v>787728</v>
      </c>
    </row>
    <row r="1198" spans="1:41" x14ac:dyDescent="0.3">
      <c r="A1198" s="19" t="s">
        <v>1264</v>
      </c>
      <c r="B1198">
        <v>45</v>
      </c>
      <c r="C1198" s="19" t="s">
        <v>802</v>
      </c>
      <c r="D1198" s="19" t="s">
        <v>55</v>
      </c>
      <c r="E1198" s="19" t="s">
        <v>66</v>
      </c>
      <c r="F1198">
        <v>1238</v>
      </c>
      <c r="G1198" s="19" t="s">
        <v>735</v>
      </c>
      <c r="H1198">
        <v>1</v>
      </c>
      <c r="I1198">
        <v>1</v>
      </c>
      <c r="J1198" s="19" t="s">
        <v>50</v>
      </c>
      <c r="K1198">
        <v>1712</v>
      </c>
      <c r="L1198">
        <v>3</v>
      </c>
      <c r="M1198" s="19" t="s">
        <v>51</v>
      </c>
      <c r="N1198">
        <v>2</v>
      </c>
      <c r="O1198">
        <v>3</v>
      </c>
      <c r="P1198" s="19" t="s">
        <v>168</v>
      </c>
      <c r="Q1198">
        <v>3</v>
      </c>
      <c r="R1198" s="19" t="s">
        <v>113</v>
      </c>
      <c r="S1198">
        <v>61279</v>
      </c>
      <c r="T1198" s="19" t="s">
        <v>64</v>
      </c>
      <c r="U1198">
        <v>382.99</v>
      </c>
      <c r="V1198">
        <v>3</v>
      </c>
      <c r="W1198" s="19" t="s">
        <v>55</v>
      </c>
      <c r="X1198">
        <v>23</v>
      </c>
      <c r="Y1198">
        <v>4</v>
      </c>
      <c r="Z1198">
        <v>4</v>
      </c>
      <c r="AA1198">
        <v>1</v>
      </c>
      <c r="AB1198">
        <v>25</v>
      </c>
      <c r="AC1198">
        <v>3</v>
      </c>
      <c r="AD1198">
        <v>2</v>
      </c>
      <c r="AE1198">
        <v>23</v>
      </c>
      <c r="AF1198">
        <v>15</v>
      </c>
      <c r="AG1198">
        <v>14</v>
      </c>
      <c r="AH1198">
        <v>4</v>
      </c>
      <c r="AI1198">
        <v>0</v>
      </c>
      <c r="AJ1198" s="19" t="s">
        <v>1571</v>
      </c>
      <c r="AK1198" s="19" t="s">
        <v>1570</v>
      </c>
      <c r="AL1198">
        <v>2</v>
      </c>
      <c r="AM1198" s="19" t="s">
        <v>1564</v>
      </c>
      <c r="AN1198">
        <v>0.27163498594822788</v>
      </c>
      <c r="AO1198">
        <v>735348</v>
      </c>
    </row>
    <row r="1199" spans="1:41" x14ac:dyDescent="0.3">
      <c r="A1199" s="19" t="s">
        <v>1265</v>
      </c>
      <c r="B1199">
        <v>45</v>
      </c>
      <c r="C1199" s="19" t="s">
        <v>802</v>
      </c>
      <c r="D1199" s="19" t="s">
        <v>55</v>
      </c>
      <c r="E1199" s="19" t="s">
        <v>48</v>
      </c>
      <c r="F1199">
        <v>1005</v>
      </c>
      <c r="G1199" s="19" t="s">
        <v>735</v>
      </c>
      <c r="H1199">
        <v>28</v>
      </c>
      <c r="I1199">
        <v>2</v>
      </c>
      <c r="J1199" s="19" t="s">
        <v>77</v>
      </c>
      <c r="K1199">
        <v>1719</v>
      </c>
      <c r="L1199">
        <v>4</v>
      </c>
      <c r="M1199" s="19" t="s">
        <v>59</v>
      </c>
      <c r="N1199">
        <v>2</v>
      </c>
      <c r="O1199">
        <v>4</v>
      </c>
      <c r="P1199" s="19" t="s">
        <v>257</v>
      </c>
      <c r="Q1199">
        <v>2</v>
      </c>
      <c r="R1199" s="19" t="s">
        <v>53</v>
      </c>
      <c r="S1199">
        <v>54028</v>
      </c>
      <c r="T1199" s="19" t="s">
        <v>64</v>
      </c>
      <c r="U1199">
        <v>337.68</v>
      </c>
      <c r="V1199">
        <v>1</v>
      </c>
      <c r="W1199" s="19" t="s">
        <v>55</v>
      </c>
      <c r="X1199">
        <v>11</v>
      </c>
      <c r="Y1199">
        <v>3</v>
      </c>
      <c r="Z1199">
        <v>3</v>
      </c>
      <c r="AA1199">
        <v>0</v>
      </c>
      <c r="AB1199">
        <v>21</v>
      </c>
      <c r="AC1199">
        <v>2</v>
      </c>
      <c r="AD1199">
        <v>3</v>
      </c>
      <c r="AE1199">
        <v>21</v>
      </c>
      <c r="AF1199">
        <v>6</v>
      </c>
      <c r="AG1199">
        <v>8</v>
      </c>
      <c r="AH1199">
        <v>6</v>
      </c>
      <c r="AI1199">
        <v>0</v>
      </c>
      <c r="AJ1199" s="19" t="s">
        <v>1571</v>
      </c>
      <c r="AK1199" s="19" t="s">
        <v>1570</v>
      </c>
      <c r="AL1199">
        <v>2</v>
      </c>
      <c r="AM1199" s="19" t="s">
        <v>1564</v>
      </c>
      <c r="AN1199">
        <v>6.6417701649574237E-2</v>
      </c>
      <c r="AO1199">
        <v>648336</v>
      </c>
    </row>
    <row r="1200" spans="1:41" x14ac:dyDescent="0.3">
      <c r="A1200" s="19" t="s">
        <v>1266</v>
      </c>
      <c r="B1200">
        <v>45</v>
      </c>
      <c r="C1200" s="19" t="s">
        <v>802</v>
      </c>
      <c r="D1200" s="19" t="s">
        <v>55</v>
      </c>
      <c r="E1200" s="19" t="s">
        <v>48</v>
      </c>
      <c r="F1200">
        <v>176</v>
      </c>
      <c r="G1200" s="19" t="s">
        <v>80</v>
      </c>
      <c r="H1200">
        <v>4</v>
      </c>
      <c r="I1200">
        <v>3</v>
      </c>
      <c r="J1200" s="19" t="s">
        <v>50</v>
      </c>
      <c r="K1200">
        <v>1744</v>
      </c>
      <c r="L1200">
        <v>3</v>
      </c>
      <c r="M1200" s="19" t="s">
        <v>59</v>
      </c>
      <c r="N1200">
        <v>1</v>
      </c>
      <c r="O1200">
        <v>3</v>
      </c>
      <c r="P1200" s="19" t="s">
        <v>80</v>
      </c>
      <c r="Q1200">
        <v>3</v>
      </c>
      <c r="R1200" s="19" t="s">
        <v>113</v>
      </c>
      <c r="S1200">
        <v>1126</v>
      </c>
      <c r="T1200" s="19" t="s">
        <v>54</v>
      </c>
      <c r="U1200">
        <v>7.04</v>
      </c>
      <c r="V1200">
        <v>4</v>
      </c>
      <c r="W1200" s="19" t="s">
        <v>55</v>
      </c>
      <c r="X1200">
        <v>21</v>
      </c>
      <c r="Y1200">
        <v>4</v>
      </c>
      <c r="Z1200">
        <v>3</v>
      </c>
      <c r="AA1200">
        <v>2</v>
      </c>
      <c r="AB1200">
        <v>9</v>
      </c>
      <c r="AC1200">
        <v>2</v>
      </c>
      <c r="AD1200">
        <v>4</v>
      </c>
      <c r="AE1200">
        <v>5</v>
      </c>
      <c r="AF1200">
        <v>0</v>
      </c>
      <c r="AG1200">
        <v>0</v>
      </c>
      <c r="AH1200">
        <v>3</v>
      </c>
      <c r="AI1200">
        <v>0</v>
      </c>
      <c r="AJ1200" s="19" t="s">
        <v>1567</v>
      </c>
      <c r="AK1200" s="19" t="s">
        <v>1562</v>
      </c>
      <c r="AL1200">
        <v>0</v>
      </c>
      <c r="AM1200" s="19" t="s">
        <v>1563</v>
      </c>
      <c r="AN1200">
        <v>-0.97781020127411711</v>
      </c>
      <c r="AO1200">
        <v>13512</v>
      </c>
    </row>
    <row r="1201" spans="1:41" x14ac:dyDescent="0.3">
      <c r="A1201" s="19" t="s">
        <v>1267</v>
      </c>
      <c r="B1201">
        <v>45</v>
      </c>
      <c r="C1201" s="19" t="s">
        <v>802</v>
      </c>
      <c r="D1201" s="19" t="s">
        <v>55</v>
      </c>
      <c r="E1201" s="19" t="s">
        <v>66</v>
      </c>
      <c r="F1201">
        <v>589</v>
      </c>
      <c r="G1201" s="19" t="s">
        <v>932</v>
      </c>
      <c r="H1201">
        <v>2</v>
      </c>
      <c r="I1201">
        <v>4</v>
      </c>
      <c r="J1201" s="19" t="s">
        <v>50</v>
      </c>
      <c r="K1201">
        <v>1845</v>
      </c>
      <c r="L1201">
        <v>3</v>
      </c>
      <c r="M1201" s="19" t="s">
        <v>59</v>
      </c>
      <c r="N1201">
        <v>3</v>
      </c>
      <c r="O1201">
        <v>2</v>
      </c>
      <c r="P1201" s="19" t="s">
        <v>145</v>
      </c>
      <c r="Q1201">
        <v>3</v>
      </c>
      <c r="R1201" s="19" t="s">
        <v>113</v>
      </c>
      <c r="S1201">
        <v>53329</v>
      </c>
      <c r="T1201" s="19" t="s">
        <v>64</v>
      </c>
      <c r="U1201">
        <v>333.31</v>
      </c>
      <c r="V1201">
        <v>4</v>
      </c>
      <c r="W1201" s="19" t="s">
        <v>55</v>
      </c>
      <c r="X1201">
        <v>22</v>
      </c>
      <c r="Y1201">
        <v>4</v>
      </c>
      <c r="Z1201">
        <v>2</v>
      </c>
      <c r="AA1201">
        <v>2</v>
      </c>
      <c r="AB1201">
        <v>10</v>
      </c>
      <c r="AC1201">
        <v>3</v>
      </c>
      <c r="AD1201">
        <v>4</v>
      </c>
      <c r="AE1201">
        <v>8</v>
      </c>
      <c r="AF1201">
        <v>7</v>
      </c>
      <c r="AG1201">
        <v>5</v>
      </c>
      <c r="AH1201">
        <v>7</v>
      </c>
      <c r="AI1201">
        <v>0</v>
      </c>
      <c r="AJ1201" s="19" t="s">
        <v>1569</v>
      </c>
      <c r="AK1201" s="19" t="s">
        <v>1570</v>
      </c>
      <c r="AL1201">
        <v>1</v>
      </c>
      <c r="AM1201" s="19" t="s">
        <v>1565</v>
      </c>
      <c r="AN1201">
        <v>8.7060887956385752E-2</v>
      </c>
      <c r="AO1201">
        <v>639948</v>
      </c>
    </row>
    <row r="1202" spans="1:41" x14ac:dyDescent="0.3">
      <c r="A1202" s="19" t="s">
        <v>1268</v>
      </c>
      <c r="B1202">
        <v>45</v>
      </c>
      <c r="C1202" s="19" t="s">
        <v>802</v>
      </c>
      <c r="D1202" s="19" t="s">
        <v>55</v>
      </c>
      <c r="E1202" s="19" t="s">
        <v>48</v>
      </c>
      <c r="F1202">
        <v>556</v>
      </c>
      <c r="G1202" s="19" t="s">
        <v>735</v>
      </c>
      <c r="H1202">
        <v>25</v>
      </c>
      <c r="I1202">
        <v>2</v>
      </c>
      <c r="J1202" s="19" t="s">
        <v>50</v>
      </c>
      <c r="K1202">
        <v>1888</v>
      </c>
      <c r="L1202">
        <v>2</v>
      </c>
      <c r="M1202" s="19" t="s">
        <v>59</v>
      </c>
      <c r="N1202">
        <v>2</v>
      </c>
      <c r="O1202">
        <v>2</v>
      </c>
      <c r="P1202" s="19" t="s">
        <v>120</v>
      </c>
      <c r="Q1202">
        <v>4</v>
      </c>
      <c r="R1202" s="19" t="s">
        <v>113</v>
      </c>
      <c r="S1202">
        <v>28632</v>
      </c>
      <c r="T1202" s="19" t="s">
        <v>72</v>
      </c>
      <c r="U1202">
        <v>178.95</v>
      </c>
      <c r="V1202">
        <v>0</v>
      </c>
      <c r="W1202" s="19" t="s">
        <v>55</v>
      </c>
      <c r="X1202">
        <v>13</v>
      </c>
      <c r="Y1202">
        <v>3</v>
      </c>
      <c r="Z1202">
        <v>4</v>
      </c>
      <c r="AA1202">
        <v>2</v>
      </c>
      <c r="AB1202">
        <v>10</v>
      </c>
      <c r="AC1202">
        <v>2</v>
      </c>
      <c r="AD1202">
        <v>2</v>
      </c>
      <c r="AE1202">
        <v>9</v>
      </c>
      <c r="AF1202">
        <v>8</v>
      </c>
      <c r="AG1202">
        <v>3</v>
      </c>
      <c r="AH1202">
        <v>8</v>
      </c>
      <c r="AI1202">
        <v>0</v>
      </c>
      <c r="AJ1202" s="19" t="s">
        <v>1569</v>
      </c>
      <c r="AK1202" s="19" t="s">
        <v>1570</v>
      </c>
      <c r="AL1202">
        <v>2</v>
      </c>
      <c r="AM1202" s="19" t="s">
        <v>1564</v>
      </c>
      <c r="AN1202">
        <v>-0.35361139945004882</v>
      </c>
      <c r="AO1202">
        <v>343584</v>
      </c>
    </row>
    <row r="1203" spans="1:41" x14ac:dyDescent="0.3">
      <c r="A1203" s="19" t="s">
        <v>1269</v>
      </c>
      <c r="B1203">
        <v>45</v>
      </c>
      <c r="C1203" s="19" t="s">
        <v>802</v>
      </c>
      <c r="D1203" s="19" t="s">
        <v>55</v>
      </c>
      <c r="E1203" s="19" t="s">
        <v>62</v>
      </c>
      <c r="F1203">
        <v>1297</v>
      </c>
      <c r="G1203" s="19" t="s">
        <v>735</v>
      </c>
      <c r="H1203">
        <v>1</v>
      </c>
      <c r="I1203">
        <v>4</v>
      </c>
      <c r="J1203" s="19" t="s">
        <v>58</v>
      </c>
      <c r="K1203">
        <v>1922</v>
      </c>
      <c r="L1203">
        <v>2</v>
      </c>
      <c r="M1203" s="19" t="s">
        <v>51</v>
      </c>
      <c r="N1203">
        <v>3</v>
      </c>
      <c r="O1203">
        <v>2</v>
      </c>
      <c r="P1203" s="19" t="s">
        <v>168</v>
      </c>
      <c r="Q1203">
        <v>3</v>
      </c>
      <c r="R1203" s="19" t="s">
        <v>53</v>
      </c>
      <c r="S1203">
        <v>66310</v>
      </c>
      <c r="T1203" s="19" t="s">
        <v>64</v>
      </c>
      <c r="U1203">
        <v>414.44</v>
      </c>
      <c r="V1203">
        <v>4</v>
      </c>
      <c r="W1203" s="19" t="s">
        <v>55</v>
      </c>
      <c r="X1203">
        <v>12</v>
      </c>
      <c r="Y1203">
        <v>3</v>
      </c>
      <c r="Z1203">
        <v>3</v>
      </c>
      <c r="AA1203">
        <v>0</v>
      </c>
      <c r="AB1203">
        <v>12</v>
      </c>
      <c r="AC1203">
        <v>3</v>
      </c>
      <c r="AD1203">
        <v>3</v>
      </c>
      <c r="AE1203">
        <v>4</v>
      </c>
      <c r="AF1203">
        <v>2</v>
      </c>
      <c r="AG1203">
        <v>0</v>
      </c>
      <c r="AH1203">
        <v>3</v>
      </c>
      <c r="AI1203">
        <v>0</v>
      </c>
      <c r="AJ1203" s="19" t="s">
        <v>1567</v>
      </c>
      <c r="AK1203" s="19" t="s">
        <v>1562</v>
      </c>
      <c r="AL1203">
        <v>0</v>
      </c>
      <c r="AM1203" s="19" t="s">
        <v>1563</v>
      </c>
      <c r="AN1203">
        <v>0.37603609586035985</v>
      </c>
      <c r="AO1203">
        <v>795720</v>
      </c>
    </row>
    <row r="1204" spans="1:41" x14ac:dyDescent="0.3">
      <c r="A1204" s="19" t="s">
        <v>1270</v>
      </c>
      <c r="B1204">
        <v>45</v>
      </c>
      <c r="C1204" s="19" t="s">
        <v>802</v>
      </c>
      <c r="D1204" s="19" t="s">
        <v>55</v>
      </c>
      <c r="E1204" s="19" t="s">
        <v>48</v>
      </c>
      <c r="F1204">
        <v>374</v>
      </c>
      <c r="G1204" s="19" t="s">
        <v>932</v>
      </c>
      <c r="H1204">
        <v>20</v>
      </c>
      <c r="I1204">
        <v>3</v>
      </c>
      <c r="J1204" s="19" t="s">
        <v>50</v>
      </c>
      <c r="K1204">
        <v>2046</v>
      </c>
      <c r="L1204">
        <v>4</v>
      </c>
      <c r="M1204" s="19" t="s">
        <v>59</v>
      </c>
      <c r="N1204">
        <v>3</v>
      </c>
      <c r="O1204">
        <v>2</v>
      </c>
      <c r="P1204" s="19" t="s">
        <v>145</v>
      </c>
      <c r="Q1204">
        <v>3</v>
      </c>
      <c r="R1204" s="19" t="s">
        <v>53</v>
      </c>
      <c r="S1204">
        <v>56176</v>
      </c>
      <c r="T1204" s="19" t="s">
        <v>64</v>
      </c>
      <c r="U1204">
        <v>351.1</v>
      </c>
      <c r="V1204">
        <v>8</v>
      </c>
      <c r="W1204" s="19" t="s">
        <v>55</v>
      </c>
      <c r="X1204">
        <v>15</v>
      </c>
      <c r="Y1204">
        <v>3</v>
      </c>
      <c r="Z1204">
        <v>3</v>
      </c>
      <c r="AA1204">
        <v>0</v>
      </c>
      <c r="AB1204">
        <v>8</v>
      </c>
      <c r="AC1204">
        <v>3</v>
      </c>
      <c r="AD1204">
        <v>3</v>
      </c>
      <c r="AE1204">
        <v>5</v>
      </c>
      <c r="AF1204">
        <v>3</v>
      </c>
      <c r="AG1204">
        <v>0</v>
      </c>
      <c r="AH1204">
        <v>1</v>
      </c>
      <c r="AI1204">
        <v>0</v>
      </c>
      <c r="AJ1204" s="19" t="s">
        <v>1567</v>
      </c>
      <c r="AK1204" s="19" t="s">
        <v>1562</v>
      </c>
      <c r="AL1204">
        <v>0</v>
      </c>
      <c r="AM1204" s="19" t="s">
        <v>1563</v>
      </c>
      <c r="AN1204">
        <v>0.14509427219407689</v>
      </c>
      <c r="AO1204">
        <v>674112</v>
      </c>
    </row>
    <row r="1205" spans="1:41" x14ac:dyDescent="0.3">
      <c r="A1205" s="19" t="s">
        <v>1271</v>
      </c>
      <c r="B1205">
        <v>46</v>
      </c>
      <c r="C1205" s="19" t="s">
        <v>1272</v>
      </c>
      <c r="D1205" s="19" t="s">
        <v>55</v>
      </c>
      <c r="E1205" s="19" t="s">
        <v>48</v>
      </c>
      <c r="F1205">
        <v>705</v>
      </c>
      <c r="G1205" s="19" t="s">
        <v>932</v>
      </c>
      <c r="H1205">
        <v>2</v>
      </c>
      <c r="I1205">
        <v>4</v>
      </c>
      <c r="J1205" s="19" t="s">
        <v>63</v>
      </c>
      <c r="K1205">
        <v>38</v>
      </c>
      <c r="L1205">
        <v>2</v>
      </c>
      <c r="M1205" s="19" t="s">
        <v>59</v>
      </c>
      <c r="N1205">
        <v>3</v>
      </c>
      <c r="O1205">
        <v>5</v>
      </c>
      <c r="P1205" s="19" t="s">
        <v>444</v>
      </c>
      <c r="Q1205">
        <v>1</v>
      </c>
      <c r="R1205" s="19" t="s">
        <v>53</v>
      </c>
      <c r="S1205">
        <v>87066</v>
      </c>
      <c r="T1205" s="19" t="s">
        <v>70</v>
      </c>
      <c r="U1205">
        <v>544.16</v>
      </c>
      <c r="V1205">
        <v>3</v>
      </c>
      <c r="W1205" s="19" t="s">
        <v>55</v>
      </c>
      <c r="X1205">
        <v>12</v>
      </c>
      <c r="Y1205">
        <v>3</v>
      </c>
      <c r="Z1205">
        <v>4</v>
      </c>
      <c r="AA1205">
        <v>0</v>
      </c>
      <c r="AB1205">
        <v>22</v>
      </c>
      <c r="AC1205">
        <v>2</v>
      </c>
      <c r="AD1205">
        <v>2</v>
      </c>
      <c r="AE1205">
        <v>2</v>
      </c>
      <c r="AF1205">
        <v>2</v>
      </c>
      <c r="AG1205">
        <v>2</v>
      </c>
      <c r="AH1205">
        <v>2</v>
      </c>
      <c r="AI1205">
        <v>0</v>
      </c>
      <c r="AJ1205" s="19" t="s">
        <v>1566</v>
      </c>
      <c r="AK1205" s="19" t="s">
        <v>1562</v>
      </c>
      <c r="AL1205">
        <v>2</v>
      </c>
      <c r="AM1205" s="19" t="s">
        <v>1564</v>
      </c>
      <c r="AN1205">
        <v>0.667984917249975</v>
      </c>
      <c r="AO1205">
        <v>1044792</v>
      </c>
    </row>
    <row r="1206" spans="1:41" x14ac:dyDescent="0.3">
      <c r="A1206" s="19" t="s">
        <v>1273</v>
      </c>
      <c r="B1206">
        <v>46</v>
      </c>
      <c r="C1206" s="19" t="s">
        <v>1272</v>
      </c>
      <c r="D1206" s="19" t="s">
        <v>55</v>
      </c>
      <c r="E1206" s="19" t="s">
        <v>62</v>
      </c>
      <c r="F1206">
        <v>1211</v>
      </c>
      <c r="G1206" s="19" t="s">
        <v>932</v>
      </c>
      <c r="H1206">
        <v>5</v>
      </c>
      <c r="I1206">
        <v>4</v>
      </c>
      <c r="J1206" s="19" t="s">
        <v>63</v>
      </c>
      <c r="K1206">
        <v>62</v>
      </c>
      <c r="L1206">
        <v>1</v>
      </c>
      <c r="M1206" s="19" t="s">
        <v>51</v>
      </c>
      <c r="N1206">
        <v>3</v>
      </c>
      <c r="O1206">
        <v>2</v>
      </c>
      <c r="P1206" s="19" t="s">
        <v>145</v>
      </c>
      <c r="Q1206">
        <v>4</v>
      </c>
      <c r="R1206" s="19" t="s">
        <v>53</v>
      </c>
      <c r="S1206">
        <v>45327</v>
      </c>
      <c r="T1206" s="19" t="s">
        <v>72</v>
      </c>
      <c r="U1206">
        <v>283.29000000000002</v>
      </c>
      <c r="V1206">
        <v>4</v>
      </c>
      <c r="W1206" s="19" t="s">
        <v>47</v>
      </c>
      <c r="X1206">
        <v>21</v>
      </c>
      <c r="Y1206">
        <v>4</v>
      </c>
      <c r="Z1206">
        <v>3</v>
      </c>
      <c r="AA1206">
        <v>0</v>
      </c>
      <c r="AB1206">
        <v>14</v>
      </c>
      <c r="AC1206">
        <v>4</v>
      </c>
      <c r="AD1206">
        <v>3</v>
      </c>
      <c r="AE1206">
        <v>9</v>
      </c>
      <c r="AF1206">
        <v>6</v>
      </c>
      <c r="AG1206">
        <v>0</v>
      </c>
      <c r="AH1206">
        <v>8</v>
      </c>
      <c r="AI1206">
        <v>0</v>
      </c>
      <c r="AJ1206" s="19" t="s">
        <v>1569</v>
      </c>
      <c r="AK1206" s="19" t="s">
        <v>1562</v>
      </c>
      <c r="AL1206">
        <v>1</v>
      </c>
      <c r="AM1206" s="19" t="s">
        <v>1565</v>
      </c>
      <c r="AN1206">
        <v>-7.6052262963882747E-2</v>
      </c>
      <c r="AO1206">
        <v>543924</v>
      </c>
    </row>
    <row r="1207" spans="1:41" x14ac:dyDescent="0.3">
      <c r="A1207" s="19" t="s">
        <v>1274</v>
      </c>
      <c r="B1207">
        <v>46</v>
      </c>
      <c r="C1207" s="19" t="s">
        <v>1272</v>
      </c>
      <c r="D1207" s="19" t="s">
        <v>55</v>
      </c>
      <c r="E1207" s="19" t="s">
        <v>48</v>
      </c>
      <c r="F1207">
        <v>945</v>
      </c>
      <c r="G1207" s="19" t="s">
        <v>80</v>
      </c>
      <c r="H1207">
        <v>5</v>
      </c>
      <c r="I1207">
        <v>2</v>
      </c>
      <c r="J1207" s="19" t="s">
        <v>58</v>
      </c>
      <c r="K1207">
        <v>103</v>
      </c>
      <c r="L1207">
        <v>2</v>
      </c>
      <c r="M1207" s="19" t="s">
        <v>51</v>
      </c>
      <c r="N1207">
        <v>3</v>
      </c>
      <c r="O1207">
        <v>2</v>
      </c>
      <c r="P1207" s="19" t="s">
        <v>80</v>
      </c>
      <c r="Q1207">
        <v>2</v>
      </c>
      <c r="R1207" s="19" t="s">
        <v>113</v>
      </c>
      <c r="S1207">
        <v>69904</v>
      </c>
      <c r="T1207" s="19" t="s">
        <v>64</v>
      </c>
      <c r="U1207">
        <v>436.9</v>
      </c>
      <c r="V1207">
        <v>8</v>
      </c>
      <c r="W1207" s="19" t="s">
        <v>47</v>
      </c>
      <c r="X1207">
        <v>22</v>
      </c>
      <c r="Y1207">
        <v>4</v>
      </c>
      <c r="Z1207">
        <v>4</v>
      </c>
      <c r="AA1207">
        <v>1</v>
      </c>
      <c r="AB1207">
        <v>16</v>
      </c>
      <c r="AC1207">
        <v>2</v>
      </c>
      <c r="AD1207">
        <v>3</v>
      </c>
      <c r="AE1207">
        <v>4</v>
      </c>
      <c r="AF1207">
        <v>2</v>
      </c>
      <c r="AG1207">
        <v>0</v>
      </c>
      <c r="AH1207">
        <v>2</v>
      </c>
      <c r="AI1207">
        <v>0</v>
      </c>
      <c r="AJ1207" s="19" t="s">
        <v>1567</v>
      </c>
      <c r="AK1207" s="19" t="s">
        <v>1562</v>
      </c>
      <c r="AL1207">
        <v>2</v>
      </c>
      <c r="AM1207" s="19" t="s">
        <v>1564</v>
      </c>
      <c r="AN1207">
        <v>0.37758054185978651</v>
      </c>
      <c r="AO1207">
        <v>838848</v>
      </c>
    </row>
    <row r="1208" spans="1:41" x14ac:dyDescent="0.3">
      <c r="A1208" s="19" t="s">
        <v>1275</v>
      </c>
      <c r="B1208">
        <v>46</v>
      </c>
      <c r="C1208" s="19" t="s">
        <v>1272</v>
      </c>
      <c r="D1208" s="19" t="s">
        <v>47</v>
      </c>
      <c r="E1208" s="19" t="s">
        <v>48</v>
      </c>
      <c r="F1208">
        <v>669</v>
      </c>
      <c r="G1208" s="19" t="s">
        <v>932</v>
      </c>
      <c r="H1208">
        <v>9</v>
      </c>
      <c r="I1208">
        <v>2</v>
      </c>
      <c r="J1208" s="19" t="s">
        <v>58</v>
      </c>
      <c r="K1208">
        <v>118</v>
      </c>
      <c r="L1208">
        <v>3</v>
      </c>
      <c r="M1208" s="19" t="s">
        <v>51</v>
      </c>
      <c r="N1208">
        <v>2</v>
      </c>
      <c r="O1208">
        <v>3</v>
      </c>
      <c r="P1208" s="19" t="s">
        <v>145</v>
      </c>
      <c r="Q1208">
        <v>4</v>
      </c>
      <c r="R1208" s="19" t="s">
        <v>53</v>
      </c>
      <c r="S1208">
        <v>4797</v>
      </c>
      <c r="T1208" s="19" t="s">
        <v>54</v>
      </c>
      <c r="U1208">
        <v>29.98</v>
      </c>
      <c r="V1208">
        <v>1</v>
      </c>
      <c r="W1208" s="19" t="s">
        <v>55</v>
      </c>
      <c r="X1208">
        <v>16</v>
      </c>
      <c r="Y1208">
        <v>3</v>
      </c>
      <c r="Z1208">
        <v>4</v>
      </c>
      <c r="AA1208">
        <v>0</v>
      </c>
      <c r="AB1208">
        <v>9</v>
      </c>
      <c r="AC1208">
        <v>3</v>
      </c>
      <c r="AD1208">
        <v>3</v>
      </c>
      <c r="AE1208">
        <v>9</v>
      </c>
      <c r="AF1208">
        <v>8</v>
      </c>
      <c r="AG1208">
        <v>4</v>
      </c>
      <c r="AH1208">
        <v>7</v>
      </c>
      <c r="AI1208">
        <v>1</v>
      </c>
      <c r="AJ1208" s="19" t="s">
        <v>1569</v>
      </c>
      <c r="AK1208" s="19" t="s">
        <v>1570</v>
      </c>
      <c r="AL1208">
        <v>1</v>
      </c>
      <c r="AM1208" s="19" t="s">
        <v>1565</v>
      </c>
      <c r="AN1208">
        <v>-0.90221772244882181</v>
      </c>
      <c r="AO1208">
        <v>57564</v>
      </c>
    </row>
    <row r="1209" spans="1:41" x14ac:dyDescent="0.3">
      <c r="A1209" s="19" t="s">
        <v>1276</v>
      </c>
      <c r="B1209">
        <v>46</v>
      </c>
      <c r="C1209" s="19" t="s">
        <v>1272</v>
      </c>
      <c r="D1209" s="19" t="s">
        <v>55</v>
      </c>
      <c r="E1209" s="19" t="s">
        <v>62</v>
      </c>
      <c r="F1209">
        <v>638</v>
      </c>
      <c r="G1209" s="19" t="s">
        <v>735</v>
      </c>
      <c r="H1209">
        <v>1</v>
      </c>
      <c r="I1209">
        <v>3</v>
      </c>
      <c r="J1209" s="19" t="s">
        <v>58</v>
      </c>
      <c r="K1209">
        <v>124</v>
      </c>
      <c r="L1209">
        <v>3</v>
      </c>
      <c r="M1209" s="19" t="s">
        <v>51</v>
      </c>
      <c r="N1209">
        <v>2</v>
      </c>
      <c r="O1209">
        <v>3</v>
      </c>
      <c r="P1209" s="19" t="s">
        <v>168</v>
      </c>
      <c r="Q1209">
        <v>1</v>
      </c>
      <c r="R1209" s="19" t="s">
        <v>113</v>
      </c>
      <c r="S1209">
        <v>48882</v>
      </c>
      <c r="T1209" s="19" t="s">
        <v>72</v>
      </c>
      <c r="U1209">
        <v>305.51</v>
      </c>
      <c r="V1209">
        <v>2</v>
      </c>
      <c r="W1209" s="19" t="s">
        <v>47</v>
      </c>
      <c r="X1209">
        <v>13</v>
      </c>
      <c r="Y1209">
        <v>3</v>
      </c>
      <c r="Z1209">
        <v>3</v>
      </c>
      <c r="AA1209">
        <v>1</v>
      </c>
      <c r="AB1209">
        <v>21</v>
      </c>
      <c r="AC1209">
        <v>5</v>
      </c>
      <c r="AD1209">
        <v>2</v>
      </c>
      <c r="AE1209">
        <v>10</v>
      </c>
      <c r="AF1209">
        <v>9</v>
      </c>
      <c r="AG1209">
        <v>9</v>
      </c>
      <c r="AH1209">
        <v>9</v>
      </c>
      <c r="AI1209">
        <v>0</v>
      </c>
      <c r="AJ1209" s="19" t="s">
        <v>1569</v>
      </c>
      <c r="AK1209" s="19" t="s">
        <v>1570</v>
      </c>
      <c r="AL1209">
        <v>4</v>
      </c>
      <c r="AM1209" s="19" t="s">
        <v>1568</v>
      </c>
      <c r="AN1209">
        <v>1.4377868162360268E-2</v>
      </c>
      <c r="AO1209">
        <v>586584</v>
      </c>
    </row>
    <row r="1210" spans="1:41" x14ac:dyDescent="0.3">
      <c r="A1210" s="19" t="s">
        <v>1277</v>
      </c>
      <c r="B1210">
        <v>46</v>
      </c>
      <c r="C1210" s="19" t="s">
        <v>1272</v>
      </c>
      <c r="D1210" s="19" t="s">
        <v>55</v>
      </c>
      <c r="E1210" s="19" t="s">
        <v>48</v>
      </c>
      <c r="F1210">
        <v>526</v>
      </c>
      <c r="G1210" s="19" t="s">
        <v>932</v>
      </c>
      <c r="H1210">
        <v>1</v>
      </c>
      <c r="I1210">
        <v>2</v>
      </c>
      <c r="J1210" s="19" t="s">
        <v>63</v>
      </c>
      <c r="K1210">
        <v>244</v>
      </c>
      <c r="L1210">
        <v>2</v>
      </c>
      <c r="M1210" s="19" t="s">
        <v>59</v>
      </c>
      <c r="N1210">
        <v>3</v>
      </c>
      <c r="O1210">
        <v>3</v>
      </c>
      <c r="P1210" s="19" t="s">
        <v>145</v>
      </c>
      <c r="Q1210">
        <v>1</v>
      </c>
      <c r="R1210" s="19" t="s">
        <v>113</v>
      </c>
      <c r="S1210">
        <v>14718</v>
      </c>
      <c r="T1210" s="19" t="s">
        <v>54</v>
      </c>
      <c r="U1210">
        <v>91.99</v>
      </c>
      <c r="V1210">
        <v>1</v>
      </c>
      <c r="W1210" s="19" t="s">
        <v>55</v>
      </c>
      <c r="X1210">
        <v>25</v>
      </c>
      <c r="Y1210">
        <v>4</v>
      </c>
      <c r="Z1210">
        <v>3</v>
      </c>
      <c r="AA1210">
        <v>3</v>
      </c>
      <c r="AB1210">
        <v>24</v>
      </c>
      <c r="AC1210">
        <v>2</v>
      </c>
      <c r="AD1210">
        <v>3</v>
      </c>
      <c r="AE1210">
        <v>24</v>
      </c>
      <c r="AF1210">
        <v>13</v>
      </c>
      <c r="AG1210">
        <v>15</v>
      </c>
      <c r="AH1210">
        <v>7</v>
      </c>
      <c r="AI1210">
        <v>0</v>
      </c>
      <c r="AJ1210" s="19" t="s">
        <v>1571</v>
      </c>
      <c r="AK1210" s="19" t="s">
        <v>1570</v>
      </c>
      <c r="AL1210">
        <v>2</v>
      </c>
      <c r="AM1210" s="19" t="s">
        <v>1564</v>
      </c>
      <c r="AN1210">
        <v>-0.69998758369851144</v>
      </c>
      <c r="AO1210">
        <v>176616</v>
      </c>
    </row>
    <row r="1211" spans="1:41" x14ac:dyDescent="0.3">
      <c r="A1211" s="19" t="s">
        <v>1278</v>
      </c>
      <c r="B1211">
        <v>46</v>
      </c>
      <c r="C1211" s="19" t="s">
        <v>1272</v>
      </c>
      <c r="D1211" s="19" t="s">
        <v>55</v>
      </c>
      <c r="E1211" s="19" t="s">
        <v>48</v>
      </c>
      <c r="F1211">
        <v>644</v>
      </c>
      <c r="G1211" s="19" t="s">
        <v>735</v>
      </c>
      <c r="H1211">
        <v>1</v>
      </c>
      <c r="I1211">
        <v>4</v>
      </c>
      <c r="J1211" s="19" t="s">
        <v>58</v>
      </c>
      <c r="K1211">
        <v>288</v>
      </c>
      <c r="L1211">
        <v>4</v>
      </c>
      <c r="M1211" s="19" t="s">
        <v>51</v>
      </c>
      <c r="N1211">
        <v>3</v>
      </c>
      <c r="O1211">
        <v>3</v>
      </c>
      <c r="P1211" s="19" t="s">
        <v>168</v>
      </c>
      <c r="Q1211">
        <v>1</v>
      </c>
      <c r="R1211" s="19" t="s">
        <v>113</v>
      </c>
      <c r="S1211">
        <v>35560</v>
      </c>
      <c r="T1211" s="19" t="s">
        <v>72</v>
      </c>
      <c r="U1211">
        <v>222.25</v>
      </c>
      <c r="V1211">
        <v>7</v>
      </c>
      <c r="W1211" s="19" t="s">
        <v>55</v>
      </c>
      <c r="X1211">
        <v>16</v>
      </c>
      <c r="Y1211">
        <v>3</v>
      </c>
      <c r="Z1211">
        <v>3</v>
      </c>
      <c r="AA1211">
        <v>1</v>
      </c>
      <c r="AB1211">
        <v>17</v>
      </c>
      <c r="AC1211">
        <v>3</v>
      </c>
      <c r="AD1211">
        <v>3</v>
      </c>
      <c r="AE1211">
        <v>4</v>
      </c>
      <c r="AF1211">
        <v>2</v>
      </c>
      <c r="AG1211">
        <v>0</v>
      </c>
      <c r="AH1211">
        <v>2</v>
      </c>
      <c r="AI1211">
        <v>0</v>
      </c>
      <c r="AJ1211" s="19" t="s">
        <v>1567</v>
      </c>
      <c r="AK1211" s="19" t="s">
        <v>1562</v>
      </c>
      <c r="AL1211">
        <v>1</v>
      </c>
      <c r="AM1211" s="19" t="s">
        <v>1565</v>
      </c>
      <c r="AN1211">
        <v>-0.26207444474748309</v>
      </c>
      <c r="AO1211">
        <v>426720</v>
      </c>
    </row>
    <row r="1212" spans="1:41" x14ac:dyDescent="0.3">
      <c r="A1212" s="19" t="s">
        <v>1279</v>
      </c>
      <c r="B1212">
        <v>46</v>
      </c>
      <c r="C1212" s="19" t="s">
        <v>1272</v>
      </c>
      <c r="D1212" s="19" t="s">
        <v>55</v>
      </c>
      <c r="E1212" s="19" t="s">
        <v>48</v>
      </c>
      <c r="F1212">
        <v>488</v>
      </c>
      <c r="G1212" s="19" t="s">
        <v>932</v>
      </c>
      <c r="H1212">
        <v>2</v>
      </c>
      <c r="I1212">
        <v>3</v>
      </c>
      <c r="J1212" s="19" t="s">
        <v>77</v>
      </c>
      <c r="K1212">
        <v>363</v>
      </c>
      <c r="L1212">
        <v>3</v>
      </c>
      <c r="M1212" s="19" t="s">
        <v>59</v>
      </c>
      <c r="N1212">
        <v>1</v>
      </c>
      <c r="O1212">
        <v>4</v>
      </c>
      <c r="P1212" s="19" t="s">
        <v>444</v>
      </c>
      <c r="Q1212">
        <v>2</v>
      </c>
      <c r="R1212" s="19" t="s">
        <v>113</v>
      </c>
      <c r="S1212">
        <v>77589</v>
      </c>
      <c r="T1212" s="19" t="s">
        <v>64</v>
      </c>
      <c r="U1212">
        <v>484.93</v>
      </c>
      <c r="V1212">
        <v>3</v>
      </c>
      <c r="W1212" s="19" t="s">
        <v>47</v>
      </c>
      <c r="X1212">
        <v>12</v>
      </c>
      <c r="Y1212">
        <v>3</v>
      </c>
      <c r="Z1212">
        <v>2</v>
      </c>
      <c r="AA1212">
        <v>1</v>
      </c>
      <c r="AB1212">
        <v>28</v>
      </c>
      <c r="AC1212">
        <v>2</v>
      </c>
      <c r="AD1212">
        <v>2</v>
      </c>
      <c r="AE1212">
        <v>7</v>
      </c>
      <c r="AF1212">
        <v>7</v>
      </c>
      <c r="AG1212">
        <v>7</v>
      </c>
      <c r="AH1212">
        <v>7</v>
      </c>
      <c r="AI1212">
        <v>0</v>
      </c>
      <c r="AJ1212" s="19" t="s">
        <v>1569</v>
      </c>
      <c r="AK1212" s="19" t="s">
        <v>1570</v>
      </c>
      <c r="AL1212">
        <v>4</v>
      </c>
      <c r="AM1212" s="19" t="s">
        <v>1568</v>
      </c>
      <c r="AN1212">
        <v>0.48642732805582334</v>
      </c>
      <c r="AO1212">
        <v>931068</v>
      </c>
    </row>
    <row r="1213" spans="1:41" x14ac:dyDescent="0.3">
      <c r="A1213" s="19" t="s">
        <v>1280</v>
      </c>
      <c r="B1213">
        <v>46</v>
      </c>
      <c r="C1213" s="19" t="s">
        <v>1272</v>
      </c>
      <c r="D1213" s="19" t="s">
        <v>55</v>
      </c>
      <c r="E1213" s="19" t="s">
        <v>66</v>
      </c>
      <c r="F1213">
        <v>1144</v>
      </c>
      <c r="G1213" s="19" t="s">
        <v>735</v>
      </c>
      <c r="H1213">
        <v>7</v>
      </c>
      <c r="I1213">
        <v>4</v>
      </c>
      <c r="J1213" s="19" t="s">
        <v>58</v>
      </c>
      <c r="K1213">
        <v>487</v>
      </c>
      <c r="L1213">
        <v>3</v>
      </c>
      <c r="M1213" s="19" t="s">
        <v>59</v>
      </c>
      <c r="N1213">
        <v>3</v>
      </c>
      <c r="O1213">
        <v>2</v>
      </c>
      <c r="P1213" s="19" t="s">
        <v>120</v>
      </c>
      <c r="Q1213">
        <v>3</v>
      </c>
      <c r="R1213" s="19" t="s">
        <v>113</v>
      </c>
      <c r="S1213">
        <v>23116</v>
      </c>
      <c r="T1213" s="19" t="s">
        <v>54</v>
      </c>
      <c r="U1213">
        <v>144.47999999999999</v>
      </c>
      <c r="V1213">
        <v>2</v>
      </c>
      <c r="W1213" s="19" t="s">
        <v>55</v>
      </c>
      <c r="X1213">
        <v>14</v>
      </c>
      <c r="Y1213">
        <v>3</v>
      </c>
      <c r="Z1213">
        <v>3</v>
      </c>
      <c r="AA1213">
        <v>0</v>
      </c>
      <c r="AB1213">
        <v>7</v>
      </c>
      <c r="AC1213">
        <v>2</v>
      </c>
      <c r="AD1213">
        <v>4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 s="19" t="s">
        <v>1561</v>
      </c>
      <c r="AK1213" s="19" t="s">
        <v>1562</v>
      </c>
      <c r="AL1213">
        <v>0</v>
      </c>
      <c r="AM1213" s="19" t="s">
        <v>1563</v>
      </c>
      <c r="AN1213">
        <v>-0.47813918376946524</v>
      </c>
      <c r="AO1213">
        <v>277392</v>
      </c>
    </row>
    <row r="1214" spans="1:41" x14ac:dyDescent="0.3">
      <c r="A1214" s="19" t="s">
        <v>1281</v>
      </c>
      <c r="B1214">
        <v>46</v>
      </c>
      <c r="C1214" s="19" t="s">
        <v>1272</v>
      </c>
      <c r="D1214" s="19" t="s">
        <v>55</v>
      </c>
      <c r="E1214" s="19" t="s">
        <v>48</v>
      </c>
      <c r="F1214">
        <v>1485</v>
      </c>
      <c r="G1214" s="19" t="s">
        <v>735</v>
      </c>
      <c r="H1214">
        <v>18</v>
      </c>
      <c r="I1214">
        <v>3</v>
      </c>
      <c r="J1214" s="19" t="s">
        <v>58</v>
      </c>
      <c r="K1214">
        <v>550</v>
      </c>
      <c r="L1214">
        <v>3</v>
      </c>
      <c r="M1214" s="19" t="s">
        <v>59</v>
      </c>
      <c r="N1214">
        <v>3</v>
      </c>
      <c r="O1214">
        <v>2</v>
      </c>
      <c r="P1214" s="19" t="s">
        <v>120</v>
      </c>
      <c r="Q1214">
        <v>3</v>
      </c>
      <c r="R1214" s="19" t="s">
        <v>113</v>
      </c>
      <c r="S1214">
        <v>37244</v>
      </c>
      <c r="T1214" s="19" t="s">
        <v>72</v>
      </c>
      <c r="U1214">
        <v>232.78</v>
      </c>
      <c r="V1214">
        <v>2</v>
      </c>
      <c r="W1214" s="19" t="s">
        <v>55</v>
      </c>
      <c r="X1214">
        <v>14</v>
      </c>
      <c r="Y1214">
        <v>3</v>
      </c>
      <c r="Z1214">
        <v>3</v>
      </c>
      <c r="AA1214">
        <v>1</v>
      </c>
      <c r="AB1214">
        <v>19</v>
      </c>
      <c r="AC1214">
        <v>5</v>
      </c>
      <c r="AD1214">
        <v>2</v>
      </c>
      <c r="AE1214">
        <v>10</v>
      </c>
      <c r="AF1214">
        <v>7</v>
      </c>
      <c r="AG1214">
        <v>0</v>
      </c>
      <c r="AH1214">
        <v>8</v>
      </c>
      <c r="AI1214">
        <v>0</v>
      </c>
      <c r="AJ1214" s="19" t="s">
        <v>1569</v>
      </c>
      <c r="AK1214" s="19" t="s">
        <v>1562</v>
      </c>
      <c r="AL1214">
        <v>1</v>
      </c>
      <c r="AM1214" s="19" t="s">
        <v>1565</v>
      </c>
      <c r="AN1214">
        <v>-0.15918912269899477</v>
      </c>
      <c r="AO1214">
        <v>446928</v>
      </c>
    </row>
    <row r="1215" spans="1:41" x14ac:dyDescent="0.3">
      <c r="A1215" s="19" t="s">
        <v>1282</v>
      </c>
      <c r="B1215">
        <v>46</v>
      </c>
      <c r="C1215" s="19" t="s">
        <v>1272</v>
      </c>
      <c r="D1215" s="19" t="s">
        <v>55</v>
      </c>
      <c r="E1215" s="19" t="s">
        <v>48</v>
      </c>
      <c r="F1215">
        <v>1009</v>
      </c>
      <c r="G1215" s="19" t="s">
        <v>735</v>
      </c>
      <c r="H1215">
        <v>2</v>
      </c>
      <c r="I1215">
        <v>3</v>
      </c>
      <c r="J1215" s="19" t="s">
        <v>50</v>
      </c>
      <c r="K1215">
        <v>575</v>
      </c>
      <c r="L1215">
        <v>1</v>
      </c>
      <c r="M1215" s="19" t="s">
        <v>51</v>
      </c>
      <c r="N1215">
        <v>3</v>
      </c>
      <c r="O1215">
        <v>4</v>
      </c>
      <c r="P1215" s="19" t="s">
        <v>257</v>
      </c>
      <c r="Q1215">
        <v>3</v>
      </c>
      <c r="R1215" s="19" t="s">
        <v>113</v>
      </c>
      <c r="S1215">
        <v>2645</v>
      </c>
      <c r="T1215" s="19" t="s">
        <v>54</v>
      </c>
      <c r="U1215">
        <v>16.53</v>
      </c>
      <c r="V1215">
        <v>6</v>
      </c>
      <c r="W1215" s="19" t="s">
        <v>55</v>
      </c>
      <c r="X1215">
        <v>13</v>
      </c>
      <c r="Y1215">
        <v>3</v>
      </c>
      <c r="Z1215">
        <v>3</v>
      </c>
      <c r="AA1215">
        <v>0</v>
      </c>
      <c r="AB1215">
        <v>26</v>
      </c>
      <c r="AC1215">
        <v>2</v>
      </c>
      <c r="AD1215">
        <v>1</v>
      </c>
      <c r="AE1215">
        <v>3</v>
      </c>
      <c r="AF1215">
        <v>2</v>
      </c>
      <c r="AG1215">
        <v>0</v>
      </c>
      <c r="AH1215">
        <v>1</v>
      </c>
      <c r="AI1215">
        <v>0</v>
      </c>
      <c r="AJ1215" s="19" t="s">
        <v>1566</v>
      </c>
      <c r="AK1215" s="19" t="s">
        <v>1562</v>
      </c>
      <c r="AL1215">
        <v>1</v>
      </c>
      <c r="AM1215" s="19" t="s">
        <v>1565</v>
      </c>
      <c r="AN1215">
        <v>-0.94779235172756493</v>
      </c>
      <c r="AO1215">
        <v>31740</v>
      </c>
    </row>
    <row r="1216" spans="1:41" x14ac:dyDescent="0.3">
      <c r="A1216" s="19" t="s">
        <v>1283</v>
      </c>
      <c r="B1216">
        <v>46</v>
      </c>
      <c r="C1216" s="19" t="s">
        <v>1272</v>
      </c>
      <c r="D1216" s="19" t="s">
        <v>55</v>
      </c>
      <c r="E1216" s="19" t="s">
        <v>48</v>
      </c>
      <c r="F1216">
        <v>1125</v>
      </c>
      <c r="G1216" s="19" t="s">
        <v>932</v>
      </c>
      <c r="H1216">
        <v>10</v>
      </c>
      <c r="I1216">
        <v>3</v>
      </c>
      <c r="J1216" s="19" t="s">
        <v>63</v>
      </c>
      <c r="K1216">
        <v>580</v>
      </c>
      <c r="L1216">
        <v>3</v>
      </c>
      <c r="M1216" s="19" t="s">
        <v>59</v>
      </c>
      <c r="N1216">
        <v>2</v>
      </c>
      <c r="O1216">
        <v>3</v>
      </c>
      <c r="P1216" s="19" t="s">
        <v>145</v>
      </c>
      <c r="Q1216">
        <v>4</v>
      </c>
      <c r="R1216" s="19" t="s">
        <v>113</v>
      </c>
      <c r="S1216">
        <v>48523</v>
      </c>
      <c r="T1216" s="19" t="s">
        <v>72</v>
      </c>
      <c r="U1216">
        <v>303.27</v>
      </c>
      <c r="V1216">
        <v>2</v>
      </c>
      <c r="W1216" s="19" t="s">
        <v>47</v>
      </c>
      <c r="X1216">
        <v>19</v>
      </c>
      <c r="Y1216">
        <v>3</v>
      </c>
      <c r="Z1216">
        <v>3</v>
      </c>
      <c r="AA1216">
        <v>1</v>
      </c>
      <c r="AB1216">
        <v>15</v>
      </c>
      <c r="AC1216">
        <v>3</v>
      </c>
      <c r="AD1216">
        <v>3</v>
      </c>
      <c r="AE1216">
        <v>3</v>
      </c>
      <c r="AF1216">
        <v>2</v>
      </c>
      <c r="AG1216">
        <v>1</v>
      </c>
      <c r="AH1216">
        <v>2</v>
      </c>
      <c r="AI1216">
        <v>0</v>
      </c>
      <c r="AJ1216" s="19" t="s">
        <v>1566</v>
      </c>
      <c r="AK1216" s="19" t="s">
        <v>1562</v>
      </c>
      <c r="AL1216">
        <v>1</v>
      </c>
      <c r="AM1216" s="19" t="s">
        <v>1565</v>
      </c>
      <c r="AN1216">
        <v>-1.0904846025470085E-2</v>
      </c>
      <c r="AO1216">
        <v>582276</v>
      </c>
    </row>
    <row r="1217" spans="1:41" x14ac:dyDescent="0.3">
      <c r="A1217" s="19" t="s">
        <v>1284</v>
      </c>
      <c r="B1217">
        <v>46</v>
      </c>
      <c r="C1217" s="19" t="s">
        <v>1272</v>
      </c>
      <c r="D1217" s="19" t="s">
        <v>55</v>
      </c>
      <c r="E1217" s="19" t="s">
        <v>62</v>
      </c>
      <c r="F1217">
        <v>1034</v>
      </c>
      <c r="G1217" s="19" t="s">
        <v>735</v>
      </c>
      <c r="H1217">
        <v>18</v>
      </c>
      <c r="I1217">
        <v>1</v>
      </c>
      <c r="J1217" s="19" t="s">
        <v>58</v>
      </c>
      <c r="K1217">
        <v>624</v>
      </c>
      <c r="L1217">
        <v>1</v>
      </c>
      <c r="M1217" s="19" t="s">
        <v>59</v>
      </c>
      <c r="N1217">
        <v>3</v>
      </c>
      <c r="O1217">
        <v>3</v>
      </c>
      <c r="P1217" s="19" t="s">
        <v>168</v>
      </c>
      <c r="Q1217">
        <v>3</v>
      </c>
      <c r="R1217" s="19" t="s">
        <v>113</v>
      </c>
      <c r="S1217">
        <v>20256</v>
      </c>
      <c r="T1217" s="19" t="s">
        <v>54</v>
      </c>
      <c r="U1217">
        <v>126.6</v>
      </c>
      <c r="V1217">
        <v>5</v>
      </c>
      <c r="W1217" s="19" t="s">
        <v>55</v>
      </c>
      <c r="X1217">
        <v>11</v>
      </c>
      <c r="Y1217">
        <v>3</v>
      </c>
      <c r="Z1217">
        <v>4</v>
      </c>
      <c r="AA1217">
        <v>0</v>
      </c>
      <c r="AB1217">
        <v>28</v>
      </c>
      <c r="AC1217">
        <v>3</v>
      </c>
      <c r="AD1217">
        <v>2</v>
      </c>
      <c r="AE1217">
        <v>2</v>
      </c>
      <c r="AF1217">
        <v>2</v>
      </c>
      <c r="AG1217">
        <v>1</v>
      </c>
      <c r="AH1217">
        <v>2</v>
      </c>
      <c r="AI1217">
        <v>0</v>
      </c>
      <c r="AJ1217" s="19" t="s">
        <v>1566</v>
      </c>
      <c r="AK1217" s="19" t="s">
        <v>1562</v>
      </c>
      <c r="AL1217">
        <v>1</v>
      </c>
      <c r="AM1217" s="19" t="s">
        <v>1565</v>
      </c>
      <c r="AN1217">
        <v>-0.57965635412837513</v>
      </c>
      <c r="AO1217">
        <v>243072</v>
      </c>
    </row>
    <row r="1218" spans="1:41" x14ac:dyDescent="0.3">
      <c r="A1218" s="19" t="s">
        <v>1285</v>
      </c>
      <c r="B1218">
        <v>46</v>
      </c>
      <c r="C1218" s="19" t="s">
        <v>1272</v>
      </c>
      <c r="D1218" s="19" t="s">
        <v>55</v>
      </c>
      <c r="E1218" s="19" t="s">
        <v>48</v>
      </c>
      <c r="F1218">
        <v>566</v>
      </c>
      <c r="G1218" s="19" t="s">
        <v>735</v>
      </c>
      <c r="H1218">
        <v>7</v>
      </c>
      <c r="I1218">
        <v>2</v>
      </c>
      <c r="J1218" s="19" t="s">
        <v>58</v>
      </c>
      <c r="K1218">
        <v>1007</v>
      </c>
      <c r="L1218">
        <v>4</v>
      </c>
      <c r="M1218" s="19" t="s">
        <v>51</v>
      </c>
      <c r="N1218">
        <v>3</v>
      </c>
      <c r="O1218">
        <v>3</v>
      </c>
      <c r="P1218" s="19" t="s">
        <v>120</v>
      </c>
      <c r="Q1218">
        <v>3</v>
      </c>
      <c r="R1218" s="19" t="s">
        <v>113</v>
      </c>
      <c r="S1218">
        <v>54173</v>
      </c>
      <c r="T1218" s="19" t="s">
        <v>64</v>
      </c>
      <c r="U1218">
        <v>338.58</v>
      </c>
      <c r="V1218">
        <v>6</v>
      </c>
      <c r="W1218" s="19" t="s">
        <v>55</v>
      </c>
      <c r="X1218">
        <v>13</v>
      </c>
      <c r="Y1218">
        <v>3</v>
      </c>
      <c r="Z1218">
        <v>2</v>
      </c>
      <c r="AA1218">
        <v>1</v>
      </c>
      <c r="AB1218">
        <v>13</v>
      </c>
      <c r="AC1218">
        <v>3</v>
      </c>
      <c r="AD1218">
        <v>3</v>
      </c>
      <c r="AE1218">
        <v>8</v>
      </c>
      <c r="AF1218">
        <v>7</v>
      </c>
      <c r="AG1218">
        <v>0</v>
      </c>
      <c r="AH1218">
        <v>7</v>
      </c>
      <c r="AI1218">
        <v>0</v>
      </c>
      <c r="AJ1218" s="19" t="s">
        <v>1569</v>
      </c>
      <c r="AK1218" s="19" t="s">
        <v>1562</v>
      </c>
      <c r="AL1218">
        <v>0</v>
      </c>
      <c r="AM1218" s="19" t="s">
        <v>1563</v>
      </c>
      <c r="AN1218">
        <v>0.2229955873705122</v>
      </c>
      <c r="AO1218">
        <v>650076</v>
      </c>
    </row>
    <row r="1219" spans="1:41" x14ac:dyDescent="0.3">
      <c r="A1219" s="19" t="s">
        <v>1286</v>
      </c>
      <c r="B1219">
        <v>46</v>
      </c>
      <c r="C1219" s="19" t="s">
        <v>1272</v>
      </c>
      <c r="D1219" s="19" t="s">
        <v>55</v>
      </c>
      <c r="E1219" s="19" t="s">
        <v>48</v>
      </c>
      <c r="F1219">
        <v>430</v>
      </c>
      <c r="G1219" s="19" t="s">
        <v>735</v>
      </c>
      <c r="H1219">
        <v>1</v>
      </c>
      <c r="I1219">
        <v>4</v>
      </c>
      <c r="J1219" s="19" t="s">
        <v>58</v>
      </c>
      <c r="K1219">
        <v>1069</v>
      </c>
      <c r="L1219">
        <v>4</v>
      </c>
      <c r="M1219" s="19" t="s">
        <v>51</v>
      </c>
      <c r="N1219">
        <v>3</v>
      </c>
      <c r="O1219">
        <v>5</v>
      </c>
      <c r="P1219" s="19" t="s">
        <v>257</v>
      </c>
      <c r="Q1219">
        <v>4</v>
      </c>
      <c r="R1219" s="19" t="s">
        <v>113</v>
      </c>
      <c r="S1219">
        <v>38430</v>
      </c>
      <c r="T1219" s="19" t="s">
        <v>72</v>
      </c>
      <c r="U1219">
        <v>240.19</v>
      </c>
      <c r="V1219">
        <v>9</v>
      </c>
      <c r="W1219" s="19" t="s">
        <v>55</v>
      </c>
      <c r="X1219">
        <v>17</v>
      </c>
      <c r="Y1219">
        <v>3</v>
      </c>
      <c r="Z1219">
        <v>4</v>
      </c>
      <c r="AA1219">
        <v>2</v>
      </c>
      <c r="AB1219">
        <v>23</v>
      </c>
      <c r="AC1219">
        <v>0</v>
      </c>
      <c r="AD1219">
        <v>3</v>
      </c>
      <c r="AE1219">
        <v>2</v>
      </c>
      <c r="AF1219">
        <v>2</v>
      </c>
      <c r="AG1219">
        <v>2</v>
      </c>
      <c r="AH1219">
        <v>2</v>
      </c>
      <c r="AI1219">
        <v>0</v>
      </c>
      <c r="AJ1219" s="19" t="s">
        <v>1566</v>
      </c>
      <c r="AK1219" s="19" t="s">
        <v>1562</v>
      </c>
      <c r="AL1219">
        <v>0</v>
      </c>
      <c r="AM1219" s="19" t="s">
        <v>1563</v>
      </c>
      <c r="AN1219">
        <v>-0.24145938634794667</v>
      </c>
      <c r="AO1219">
        <v>461160</v>
      </c>
    </row>
    <row r="1220" spans="1:41" x14ac:dyDescent="0.3">
      <c r="A1220" s="19" t="s">
        <v>1287</v>
      </c>
      <c r="B1220">
        <v>46</v>
      </c>
      <c r="C1220" s="19" t="s">
        <v>1272</v>
      </c>
      <c r="D1220" s="19" t="s">
        <v>55</v>
      </c>
      <c r="E1220" s="19" t="s">
        <v>48</v>
      </c>
      <c r="F1220">
        <v>1003</v>
      </c>
      <c r="G1220" s="19" t="s">
        <v>735</v>
      </c>
      <c r="H1220">
        <v>8</v>
      </c>
      <c r="I1220">
        <v>4</v>
      </c>
      <c r="J1220" s="19" t="s">
        <v>50</v>
      </c>
      <c r="K1220">
        <v>1080</v>
      </c>
      <c r="L1220">
        <v>4</v>
      </c>
      <c r="M1220" s="19" t="s">
        <v>59</v>
      </c>
      <c r="N1220">
        <v>2</v>
      </c>
      <c r="O1220">
        <v>2</v>
      </c>
      <c r="P1220" s="19" t="s">
        <v>67</v>
      </c>
      <c r="Q1220">
        <v>1</v>
      </c>
      <c r="R1220" s="19" t="s">
        <v>113</v>
      </c>
      <c r="S1220">
        <v>40282</v>
      </c>
      <c r="T1220" s="19" t="s">
        <v>72</v>
      </c>
      <c r="U1220">
        <v>251.76</v>
      </c>
      <c r="V1220">
        <v>8</v>
      </c>
      <c r="W1220" s="19" t="s">
        <v>47</v>
      </c>
      <c r="X1220">
        <v>23</v>
      </c>
      <c r="Y1220">
        <v>4</v>
      </c>
      <c r="Z1220">
        <v>1</v>
      </c>
      <c r="AA1220">
        <v>3</v>
      </c>
      <c r="AB1220">
        <v>19</v>
      </c>
      <c r="AC1220">
        <v>2</v>
      </c>
      <c r="AD1220">
        <v>3</v>
      </c>
      <c r="AE1220">
        <v>16</v>
      </c>
      <c r="AF1220">
        <v>13</v>
      </c>
      <c r="AG1220">
        <v>1</v>
      </c>
      <c r="AH1220">
        <v>7</v>
      </c>
      <c r="AI1220">
        <v>0</v>
      </c>
      <c r="AJ1220" s="19" t="s">
        <v>1571</v>
      </c>
      <c r="AK1220" s="19" t="s">
        <v>1562</v>
      </c>
      <c r="AL1220">
        <v>2</v>
      </c>
      <c r="AM1220" s="19" t="s">
        <v>1564</v>
      </c>
      <c r="AN1220">
        <v>-0.19219674147176935</v>
      </c>
      <c r="AO1220">
        <v>483384</v>
      </c>
    </row>
    <row r="1221" spans="1:41" x14ac:dyDescent="0.3">
      <c r="A1221" s="19" t="s">
        <v>1288</v>
      </c>
      <c r="B1221">
        <v>46</v>
      </c>
      <c r="C1221" s="19" t="s">
        <v>1272</v>
      </c>
      <c r="D1221" s="19" t="s">
        <v>55</v>
      </c>
      <c r="E1221" s="19" t="s">
        <v>48</v>
      </c>
      <c r="F1221">
        <v>406</v>
      </c>
      <c r="G1221" s="19" t="s">
        <v>932</v>
      </c>
      <c r="H1221">
        <v>3</v>
      </c>
      <c r="I1221">
        <v>1</v>
      </c>
      <c r="J1221" s="19" t="s">
        <v>63</v>
      </c>
      <c r="K1221">
        <v>1124</v>
      </c>
      <c r="L1221">
        <v>1</v>
      </c>
      <c r="M1221" s="19" t="s">
        <v>51</v>
      </c>
      <c r="N1221">
        <v>3</v>
      </c>
      <c r="O1221">
        <v>4</v>
      </c>
      <c r="P1221" s="19" t="s">
        <v>444</v>
      </c>
      <c r="Q1221">
        <v>3</v>
      </c>
      <c r="R1221" s="19" t="s">
        <v>113</v>
      </c>
      <c r="S1221">
        <v>64374</v>
      </c>
      <c r="T1221" s="19" t="s">
        <v>64</v>
      </c>
      <c r="U1221">
        <v>402.34</v>
      </c>
      <c r="V1221">
        <v>3</v>
      </c>
      <c r="W1221" s="19" t="s">
        <v>55</v>
      </c>
      <c r="X1221">
        <v>12</v>
      </c>
      <c r="Y1221">
        <v>3</v>
      </c>
      <c r="Z1221">
        <v>4</v>
      </c>
      <c r="AA1221">
        <v>1</v>
      </c>
      <c r="AB1221">
        <v>23</v>
      </c>
      <c r="AC1221">
        <v>3</v>
      </c>
      <c r="AD1221">
        <v>3</v>
      </c>
      <c r="AE1221">
        <v>12</v>
      </c>
      <c r="AF1221">
        <v>9</v>
      </c>
      <c r="AG1221">
        <v>4</v>
      </c>
      <c r="AH1221">
        <v>9</v>
      </c>
      <c r="AI1221">
        <v>0</v>
      </c>
      <c r="AJ1221" s="19" t="s">
        <v>1571</v>
      </c>
      <c r="AK1221" s="19" t="s">
        <v>1570</v>
      </c>
      <c r="AL1221">
        <v>1</v>
      </c>
      <c r="AM1221" s="19" t="s">
        <v>1565</v>
      </c>
      <c r="AN1221">
        <v>0.23325823011336105</v>
      </c>
      <c r="AO1221">
        <v>772488</v>
      </c>
    </row>
    <row r="1222" spans="1:41" x14ac:dyDescent="0.3">
      <c r="A1222" s="19" t="s">
        <v>1289</v>
      </c>
      <c r="B1222">
        <v>46</v>
      </c>
      <c r="C1222" s="19" t="s">
        <v>1272</v>
      </c>
      <c r="D1222" s="19" t="s">
        <v>55</v>
      </c>
      <c r="E1222" s="19" t="s">
        <v>48</v>
      </c>
      <c r="F1222">
        <v>1402</v>
      </c>
      <c r="G1222" s="19" t="s">
        <v>932</v>
      </c>
      <c r="H1222">
        <v>2</v>
      </c>
      <c r="I1222">
        <v>3</v>
      </c>
      <c r="J1222" s="19" t="s">
        <v>63</v>
      </c>
      <c r="K1222">
        <v>1204</v>
      </c>
      <c r="L1222">
        <v>3</v>
      </c>
      <c r="M1222" s="19" t="s">
        <v>59</v>
      </c>
      <c r="N1222">
        <v>3</v>
      </c>
      <c r="O1222">
        <v>4</v>
      </c>
      <c r="P1222" s="19" t="s">
        <v>444</v>
      </c>
      <c r="Q1222">
        <v>1</v>
      </c>
      <c r="R1222" s="19" t="s">
        <v>113</v>
      </c>
      <c r="S1222">
        <v>69244</v>
      </c>
      <c r="T1222" s="19" t="s">
        <v>64</v>
      </c>
      <c r="U1222">
        <v>432.78</v>
      </c>
      <c r="V1222">
        <v>8</v>
      </c>
      <c r="W1222" s="19" t="s">
        <v>55</v>
      </c>
      <c r="X1222">
        <v>23</v>
      </c>
      <c r="Y1222">
        <v>4</v>
      </c>
      <c r="Z1222">
        <v>1</v>
      </c>
      <c r="AA1222">
        <v>0</v>
      </c>
      <c r="AB1222">
        <v>28</v>
      </c>
      <c r="AC1222">
        <v>2</v>
      </c>
      <c r="AD1222">
        <v>3</v>
      </c>
      <c r="AE1222">
        <v>26</v>
      </c>
      <c r="AF1222">
        <v>15</v>
      </c>
      <c r="AG1222">
        <v>15</v>
      </c>
      <c r="AH1222">
        <v>9</v>
      </c>
      <c r="AI1222">
        <v>0</v>
      </c>
      <c r="AJ1222" s="19" t="s">
        <v>1571</v>
      </c>
      <c r="AK1222" s="19" t="s">
        <v>1570</v>
      </c>
      <c r="AL1222">
        <v>2</v>
      </c>
      <c r="AM1222" s="19" t="s">
        <v>1564</v>
      </c>
      <c r="AN1222">
        <v>0.32655626318031461</v>
      </c>
      <c r="AO1222">
        <v>830928</v>
      </c>
    </row>
    <row r="1223" spans="1:41" x14ac:dyDescent="0.3">
      <c r="A1223" s="19" t="s">
        <v>1290</v>
      </c>
      <c r="B1223">
        <v>46</v>
      </c>
      <c r="C1223" s="19" t="s">
        <v>1272</v>
      </c>
      <c r="D1223" s="19" t="s">
        <v>55</v>
      </c>
      <c r="E1223" s="19" t="s">
        <v>48</v>
      </c>
      <c r="F1223">
        <v>1450</v>
      </c>
      <c r="G1223" s="19" t="s">
        <v>735</v>
      </c>
      <c r="H1223">
        <v>15</v>
      </c>
      <c r="I1223">
        <v>2</v>
      </c>
      <c r="J1223" s="19" t="s">
        <v>50</v>
      </c>
      <c r="K1223">
        <v>1217</v>
      </c>
      <c r="L1223">
        <v>4</v>
      </c>
      <c r="M1223" s="19" t="s">
        <v>51</v>
      </c>
      <c r="N1223">
        <v>3</v>
      </c>
      <c r="O1223">
        <v>5</v>
      </c>
      <c r="P1223" s="19" t="s">
        <v>257</v>
      </c>
      <c r="Q1223">
        <v>2</v>
      </c>
      <c r="R1223" s="19" t="s">
        <v>113</v>
      </c>
      <c r="S1223">
        <v>12694</v>
      </c>
      <c r="T1223" s="19" t="s">
        <v>54</v>
      </c>
      <c r="U1223">
        <v>79.34</v>
      </c>
      <c r="V1223">
        <v>5</v>
      </c>
      <c r="W1223" s="19" t="s">
        <v>55</v>
      </c>
      <c r="X1223">
        <v>11</v>
      </c>
      <c r="Y1223">
        <v>3</v>
      </c>
      <c r="Z1223">
        <v>1</v>
      </c>
      <c r="AA1223">
        <v>1</v>
      </c>
      <c r="AB1223">
        <v>25</v>
      </c>
      <c r="AC1223">
        <v>2</v>
      </c>
      <c r="AD1223">
        <v>3</v>
      </c>
      <c r="AE1223">
        <v>4</v>
      </c>
      <c r="AF1223">
        <v>2</v>
      </c>
      <c r="AG1223">
        <v>0</v>
      </c>
      <c r="AH1223">
        <v>3</v>
      </c>
      <c r="AI1223">
        <v>0</v>
      </c>
      <c r="AJ1223" s="19" t="s">
        <v>1567</v>
      </c>
      <c r="AK1223" s="19" t="s">
        <v>1562</v>
      </c>
      <c r="AL1223">
        <v>1</v>
      </c>
      <c r="AM1223" s="19" t="s">
        <v>1565</v>
      </c>
      <c r="AN1223">
        <v>-0.74944276477493721</v>
      </c>
      <c r="AO1223">
        <v>152328</v>
      </c>
    </row>
    <row r="1224" spans="1:41" x14ac:dyDescent="0.3">
      <c r="A1224" s="19" t="s">
        <v>1291</v>
      </c>
      <c r="B1224">
        <v>46</v>
      </c>
      <c r="C1224" s="19" t="s">
        <v>1272</v>
      </c>
      <c r="D1224" s="19" t="s">
        <v>55</v>
      </c>
      <c r="E1224" s="19" t="s">
        <v>48</v>
      </c>
      <c r="F1224">
        <v>150</v>
      </c>
      <c r="G1224" s="19" t="s">
        <v>735</v>
      </c>
      <c r="H1224">
        <v>2</v>
      </c>
      <c r="I1224">
        <v>4</v>
      </c>
      <c r="J1224" s="19" t="s">
        <v>77</v>
      </c>
      <c r="K1224">
        <v>1228</v>
      </c>
      <c r="L1224">
        <v>4</v>
      </c>
      <c r="M1224" s="19" t="s">
        <v>51</v>
      </c>
      <c r="N1224">
        <v>3</v>
      </c>
      <c r="O1224">
        <v>2</v>
      </c>
      <c r="P1224" s="19" t="s">
        <v>120</v>
      </c>
      <c r="Q1224">
        <v>4</v>
      </c>
      <c r="R1224" s="19" t="s">
        <v>113</v>
      </c>
      <c r="S1224">
        <v>57264</v>
      </c>
      <c r="T1224" s="19" t="s">
        <v>64</v>
      </c>
      <c r="U1224">
        <v>357.9</v>
      </c>
      <c r="V1224">
        <v>2</v>
      </c>
      <c r="W1224" s="19" t="s">
        <v>55</v>
      </c>
      <c r="X1224">
        <v>11</v>
      </c>
      <c r="Y1224">
        <v>3</v>
      </c>
      <c r="Z1224">
        <v>3</v>
      </c>
      <c r="AA1224">
        <v>1</v>
      </c>
      <c r="AB1224">
        <v>12</v>
      </c>
      <c r="AC1224">
        <v>3</v>
      </c>
      <c r="AD1224">
        <v>2</v>
      </c>
      <c r="AE1224">
        <v>6</v>
      </c>
      <c r="AF1224">
        <v>3</v>
      </c>
      <c r="AG1224">
        <v>1</v>
      </c>
      <c r="AH1224">
        <v>4</v>
      </c>
      <c r="AI1224">
        <v>0</v>
      </c>
      <c r="AJ1224" s="19" t="s">
        <v>1569</v>
      </c>
      <c r="AK1224" s="19" t="s">
        <v>1562</v>
      </c>
      <c r="AL1224">
        <v>1</v>
      </c>
      <c r="AM1224" s="19" t="s">
        <v>1565</v>
      </c>
      <c r="AN1224">
        <v>0.29277720109990235</v>
      </c>
      <c r="AO1224">
        <v>687168</v>
      </c>
    </row>
    <row r="1225" spans="1:41" x14ac:dyDescent="0.3">
      <c r="A1225" s="19" t="s">
        <v>1292</v>
      </c>
      <c r="B1225">
        <v>46</v>
      </c>
      <c r="C1225" s="19" t="s">
        <v>1272</v>
      </c>
      <c r="D1225" s="19" t="s">
        <v>55</v>
      </c>
      <c r="E1225" s="19" t="s">
        <v>48</v>
      </c>
      <c r="F1225">
        <v>168</v>
      </c>
      <c r="G1225" s="19" t="s">
        <v>932</v>
      </c>
      <c r="H1225">
        <v>4</v>
      </c>
      <c r="I1225">
        <v>2</v>
      </c>
      <c r="J1225" s="19" t="s">
        <v>63</v>
      </c>
      <c r="K1225">
        <v>1280</v>
      </c>
      <c r="L1225">
        <v>4</v>
      </c>
      <c r="M1225" s="19" t="s">
        <v>59</v>
      </c>
      <c r="N1225">
        <v>2</v>
      </c>
      <c r="O1225">
        <v>5</v>
      </c>
      <c r="P1225" s="19" t="s">
        <v>444</v>
      </c>
      <c r="Q1225">
        <v>2</v>
      </c>
      <c r="R1225" s="19" t="s">
        <v>113</v>
      </c>
      <c r="S1225">
        <v>76060</v>
      </c>
      <c r="T1225" s="19" t="s">
        <v>64</v>
      </c>
      <c r="U1225">
        <v>475.38</v>
      </c>
      <c r="V1225">
        <v>2</v>
      </c>
      <c r="W1225" s="19" t="s">
        <v>55</v>
      </c>
      <c r="X1225">
        <v>14</v>
      </c>
      <c r="Y1225">
        <v>3</v>
      </c>
      <c r="Z1225">
        <v>3</v>
      </c>
      <c r="AA1225">
        <v>1</v>
      </c>
      <c r="AB1225">
        <v>26</v>
      </c>
      <c r="AC1225">
        <v>2</v>
      </c>
      <c r="AD1225">
        <v>3</v>
      </c>
      <c r="AE1225">
        <v>11</v>
      </c>
      <c r="AF1225">
        <v>4</v>
      </c>
      <c r="AG1225">
        <v>0</v>
      </c>
      <c r="AH1225">
        <v>8</v>
      </c>
      <c r="AI1225">
        <v>0</v>
      </c>
      <c r="AJ1225" s="19" t="s">
        <v>1571</v>
      </c>
      <c r="AK1225" s="19" t="s">
        <v>1562</v>
      </c>
      <c r="AL1225">
        <v>1</v>
      </c>
      <c r="AM1225" s="19" t="s">
        <v>1565</v>
      </c>
      <c r="AN1225">
        <v>0.45713519406005904</v>
      </c>
      <c r="AO1225">
        <v>912720</v>
      </c>
    </row>
    <row r="1226" spans="1:41" x14ac:dyDescent="0.3">
      <c r="A1226" s="19" t="s">
        <v>1293</v>
      </c>
      <c r="B1226">
        <v>46</v>
      </c>
      <c r="C1226" s="19" t="s">
        <v>1272</v>
      </c>
      <c r="D1226" s="19" t="s">
        <v>55</v>
      </c>
      <c r="E1226" s="19" t="s">
        <v>48</v>
      </c>
      <c r="F1226">
        <v>991</v>
      </c>
      <c r="G1226" s="19" t="s">
        <v>80</v>
      </c>
      <c r="H1226">
        <v>1</v>
      </c>
      <c r="I1226">
        <v>2</v>
      </c>
      <c r="J1226" s="19" t="s">
        <v>50</v>
      </c>
      <c r="K1226">
        <v>1314</v>
      </c>
      <c r="L1226">
        <v>4</v>
      </c>
      <c r="M1226" s="19" t="s">
        <v>59</v>
      </c>
      <c r="N1226">
        <v>3</v>
      </c>
      <c r="O1226">
        <v>1</v>
      </c>
      <c r="P1226" s="19" t="s">
        <v>80</v>
      </c>
      <c r="Q1226">
        <v>1</v>
      </c>
      <c r="R1226" s="19" t="s">
        <v>53</v>
      </c>
      <c r="S1226">
        <v>98416</v>
      </c>
      <c r="T1226" s="19" t="s">
        <v>70</v>
      </c>
      <c r="U1226">
        <v>615.1</v>
      </c>
      <c r="V1226">
        <v>6</v>
      </c>
      <c r="W1226" s="19" t="s">
        <v>55</v>
      </c>
      <c r="X1226">
        <v>12</v>
      </c>
      <c r="Y1226">
        <v>3</v>
      </c>
      <c r="Z1226">
        <v>3</v>
      </c>
      <c r="AA1226">
        <v>0</v>
      </c>
      <c r="AB1226">
        <v>10</v>
      </c>
      <c r="AC1226">
        <v>3</v>
      </c>
      <c r="AD1226">
        <v>4</v>
      </c>
      <c r="AE1226">
        <v>7</v>
      </c>
      <c r="AF1226">
        <v>6</v>
      </c>
      <c r="AG1226">
        <v>5</v>
      </c>
      <c r="AH1226">
        <v>7</v>
      </c>
      <c r="AI1226">
        <v>0</v>
      </c>
      <c r="AJ1226" s="19" t="s">
        <v>1569</v>
      </c>
      <c r="AK1226" s="19" t="s">
        <v>1570</v>
      </c>
      <c r="AL1226">
        <v>2</v>
      </c>
      <c r="AM1226" s="19" t="s">
        <v>1564</v>
      </c>
      <c r="AN1226">
        <v>0.93945935293649507</v>
      </c>
      <c r="AO1226">
        <v>1180992</v>
      </c>
    </row>
    <row r="1227" spans="1:41" x14ac:dyDescent="0.3">
      <c r="A1227" s="19" t="s">
        <v>1294</v>
      </c>
      <c r="B1227">
        <v>46</v>
      </c>
      <c r="C1227" s="19" t="s">
        <v>1272</v>
      </c>
      <c r="D1227" s="19" t="s">
        <v>47</v>
      </c>
      <c r="E1227" s="19" t="s">
        <v>48</v>
      </c>
      <c r="F1227">
        <v>377</v>
      </c>
      <c r="G1227" s="19" t="s">
        <v>932</v>
      </c>
      <c r="H1227">
        <v>9</v>
      </c>
      <c r="I1227">
        <v>3</v>
      </c>
      <c r="J1227" s="19" t="s">
        <v>63</v>
      </c>
      <c r="K1227">
        <v>1457</v>
      </c>
      <c r="L1227">
        <v>1</v>
      </c>
      <c r="M1227" s="19" t="s">
        <v>51</v>
      </c>
      <c r="N1227">
        <v>3</v>
      </c>
      <c r="O1227">
        <v>3</v>
      </c>
      <c r="P1227" s="19" t="s">
        <v>145</v>
      </c>
      <c r="Q1227">
        <v>4</v>
      </c>
      <c r="R1227" s="19" t="s">
        <v>113</v>
      </c>
      <c r="S1227">
        <v>58545</v>
      </c>
      <c r="T1227" s="19" t="s">
        <v>64</v>
      </c>
      <c r="U1227">
        <v>365.91</v>
      </c>
      <c r="V1227">
        <v>4</v>
      </c>
      <c r="W1227" s="19" t="s">
        <v>55</v>
      </c>
      <c r="X1227">
        <v>11</v>
      </c>
      <c r="Y1227">
        <v>3</v>
      </c>
      <c r="Z1227">
        <v>1</v>
      </c>
      <c r="AA1227">
        <v>1</v>
      </c>
      <c r="AB1227">
        <v>28</v>
      </c>
      <c r="AC1227">
        <v>1</v>
      </c>
      <c r="AD1227">
        <v>4</v>
      </c>
      <c r="AE1227">
        <v>7</v>
      </c>
      <c r="AF1227">
        <v>7</v>
      </c>
      <c r="AG1227">
        <v>4</v>
      </c>
      <c r="AH1227">
        <v>3</v>
      </c>
      <c r="AI1227">
        <v>1</v>
      </c>
      <c r="AJ1227" s="19" t="s">
        <v>1569</v>
      </c>
      <c r="AK1227" s="19" t="s">
        <v>1570</v>
      </c>
      <c r="AL1227">
        <v>1</v>
      </c>
      <c r="AM1227" s="19" t="s">
        <v>1565</v>
      </c>
      <c r="AN1227">
        <v>0.19338408155800041</v>
      </c>
      <c r="AO1227">
        <v>702540</v>
      </c>
    </row>
    <row r="1228" spans="1:41" x14ac:dyDescent="0.3">
      <c r="A1228" s="19" t="s">
        <v>1295</v>
      </c>
      <c r="B1228">
        <v>46</v>
      </c>
      <c r="C1228" s="19" t="s">
        <v>1272</v>
      </c>
      <c r="D1228" s="19" t="s">
        <v>55</v>
      </c>
      <c r="E1228" s="19" t="s">
        <v>48</v>
      </c>
      <c r="F1228">
        <v>228</v>
      </c>
      <c r="G1228" s="19" t="s">
        <v>932</v>
      </c>
      <c r="H1228">
        <v>3</v>
      </c>
      <c r="I1228">
        <v>3</v>
      </c>
      <c r="J1228" s="19" t="s">
        <v>50</v>
      </c>
      <c r="K1228">
        <v>1527</v>
      </c>
      <c r="L1228">
        <v>3</v>
      </c>
      <c r="M1228" s="19" t="s">
        <v>59</v>
      </c>
      <c r="N1228">
        <v>3</v>
      </c>
      <c r="O1228">
        <v>4</v>
      </c>
      <c r="P1228" s="19" t="s">
        <v>444</v>
      </c>
      <c r="Q1228">
        <v>2</v>
      </c>
      <c r="R1228" s="19" t="s">
        <v>113</v>
      </c>
      <c r="S1228">
        <v>40224</v>
      </c>
      <c r="T1228" s="19" t="s">
        <v>72</v>
      </c>
      <c r="U1228">
        <v>251.4</v>
      </c>
      <c r="V1228">
        <v>8</v>
      </c>
      <c r="W1228" s="19" t="s">
        <v>55</v>
      </c>
      <c r="X1228">
        <v>12</v>
      </c>
      <c r="Y1228">
        <v>3</v>
      </c>
      <c r="Z1228">
        <v>4</v>
      </c>
      <c r="AA1228">
        <v>1</v>
      </c>
      <c r="AB1228">
        <v>23</v>
      </c>
      <c r="AC1228">
        <v>2</v>
      </c>
      <c r="AD1228">
        <v>4</v>
      </c>
      <c r="AE1228">
        <v>13</v>
      </c>
      <c r="AF1228">
        <v>12</v>
      </c>
      <c r="AG1228">
        <v>5</v>
      </c>
      <c r="AH1228">
        <v>1</v>
      </c>
      <c r="AI1228">
        <v>0</v>
      </c>
      <c r="AJ1228" s="19" t="s">
        <v>1571</v>
      </c>
      <c r="AK1228" s="19" t="s">
        <v>1570</v>
      </c>
      <c r="AL1228">
        <v>2</v>
      </c>
      <c r="AM1228" s="19" t="s">
        <v>1564</v>
      </c>
      <c r="AN1228">
        <v>-0.22940039382235322</v>
      </c>
      <c r="AO1228">
        <v>482688</v>
      </c>
    </row>
    <row r="1229" spans="1:41" x14ac:dyDescent="0.3">
      <c r="A1229" s="19" t="s">
        <v>1296</v>
      </c>
      <c r="B1229">
        <v>46</v>
      </c>
      <c r="C1229" s="19" t="s">
        <v>1272</v>
      </c>
      <c r="D1229" s="19" t="s">
        <v>55</v>
      </c>
      <c r="E1229" s="19" t="s">
        <v>48</v>
      </c>
      <c r="F1229">
        <v>563</v>
      </c>
      <c r="G1229" s="19" t="s">
        <v>932</v>
      </c>
      <c r="H1229">
        <v>1</v>
      </c>
      <c r="I1229">
        <v>4</v>
      </c>
      <c r="J1229" s="19" t="s">
        <v>50</v>
      </c>
      <c r="K1229">
        <v>1602</v>
      </c>
      <c r="L1229">
        <v>4</v>
      </c>
      <c r="M1229" s="19" t="s">
        <v>51</v>
      </c>
      <c r="N1229">
        <v>4</v>
      </c>
      <c r="O1229">
        <v>4</v>
      </c>
      <c r="P1229" s="19" t="s">
        <v>444</v>
      </c>
      <c r="Q1229">
        <v>1</v>
      </c>
      <c r="R1229" s="19" t="s">
        <v>53</v>
      </c>
      <c r="S1229">
        <v>98945</v>
      </c>
      <c r="T1229" s="19" t="s">
        <v>70</v>
      </c>
      <c r="U1229">
        <v>618.41</v>
      </c>
      <c r="V1229">
        <v>1</v>
      </c>
      <c r="W1229" s="19" t="s">
        <v>55</v>
      </c>
      <c r="X1229">
        <v>15</v>
      </c>
      <c r="Y1229">
        <v>3</v>
      </c>
      <c r="Z1229">
        <v>2</v>
      </c>
      <c r="AA1229">
        <v>0</v>
      </c>
      <c r="AB1229">
        <v>27</v>
      </c>
      <c r="AC1229">
        <v>5</v>
      </c>
      <c r="AD1229">
        <v>1</v>
      </c>
      <c r="AE1229">
        <v>26</v>
      </c>
      <c r="AF1229">
        <v>0</v>
      </c>
      <c r="AG1229">
        <v>0</v>
      </c>
      <c r="AH1229">
        <v>12</v>
      </c>
      <c r="AI1229">
        <v>0</v>
      </c>
      <c r="AJ1229" s="19" t="s">
        <v>1571</v>
      </c>
      <c r="AK1229" s="19" t="s">
        <v>1562</v>
      </c>
      <c r="AL1229">
        <v>2</v>
      </c>
      <c r="AM1229" s="19" t="s">
        <v>1564</v>
      </c>
      <c r="AN1229">
        <v>0.89555931864675964</v>
      </c>
      <c r="AO1229">
        <v>1187340</v>
      </c>
    </row>
    <row r="1230" spans="1:41" x14ac:dyDescent="0.3">
      <c r="A1230" s="19" t="s">
        <v>1297</v>
      </c>
      <c r="B1230">
        <v>46</v>
      </c>
      <c r="C1230" s="19" t="s">
        <v>1272</v>
      </c>
      <c r="D1230" s="19" t="s">
        <v>55</v>
      </c>
      <c r="E1230" s="19" t="s">
        <v>48</v>
      </c>
      <c r="F1230">
        <v>717</v>
      </c>
      <c r="G1230" s="19" t="s">
        <v>735</v>
      </c>
      <c r="H1230">
        <v>13</v>
      </c>
      <c r="I1230">
        <v>4</v>
      </c>
      <c r="J1230" s="19" t="s">
        <v>50</v>
      </c>
      <c r="K1230">
        <v>1727</v>
      </c>
      <c r="L1230">
        <v>3</v>
      </c>
      <c r="M1230" s="19" t="s">
        <v>51</v>
      </c>
      <c r="N1230">
        <v>3</v>
      </c>
      <c r="O1230">
        <v>2</v>
      </c>
      <c r="P1230" s="19" t="s">
        <v>168</v>
      </c>
      <c r="Q1230">
        <v>2</v>
      </c>
      <c r="R1230" s="19" t="s">
        <v>53</v>
      </c>
      <c r="S1230">
        <v>14224</v>
      </c>
      <c r="T1230" s="19" t="s">
        <v>54</v>
      </c>
      <c r="U1230">
        <v>88.9</v>
      </c>
      <c r="V1230">
        <v>6</v>
      </c>
      <c r="W1230" s="19" t="s">
        <v>55</v>
      </c>
      <c r="X1230">
        <v>14</v>
      </c>
      <c r="Y1230">
        <v>3</v>
      </c>
      <c r="Z1230">
        <v>4</v>
      </c>
      <c r="AA1230">
        <v>0</v>
      </c>
      <c r="AB1230">
        <v>19</v>
      </c>
      <c r="AC1230">
        <v>3</v>
      </c>
      <c r="AD1230">
        <v>3</v>
      </c>
      <c r="AE1230">
        <v>10</v>
      </c>
      <c r="AF1230">
        <v>7</v>
      </c>
      <c r="AG1230">
        <v>0</v>
      </c>
      <c r="AH1230">
        <v>9</v>
      </c>
      <c r="AI1230">
        <v>0</v>
      </c>
      <c r="AJ1230" s="19" t="s">
        <v>1569</v>
      </c>
      <c r="AK1230" s="19" t="s">
        <v>1562</v>
      </c>
      <c r="AL1230">
        <v>1</v>
      </c>
      <c r="AM1230" s="19" t="s">
        <v>1565</v>
      </c>
      <c r="AN1230">
        <v>-0.70482977789899326</v>
      </c>
      <c r="AO1230">
        <v>170688</v>
      </c>
    </row>
    <row r="1231" spans="1:41" x14ac:dyDescent="0.3">
      <c r="A1231" s="19" t="s">
        <v>1298</v>
      </c>
      <c r="B1231">
        <v>46</v>
      </c>
      <c r="C1231" s="19" t="s">
        <v>1272</v>
      </c>
      <c r="D1231" s="19" t="s">
        <v>55</v>
      </c>
      <c r="E1231" s="19" t="s">
        <v>48</v>
      </c>
      <c r="F1231">
        <v>1277</v>
      </c>
      <c r="G1231" s="19" t="s">
        <v>932</v>
      </c>
      <c r="H1231">
        <v>2</v>
      </c>
      <c r="I1231">
        <v>3</v>
      </c>
      <c r="J1231" s="19" t="s">
        <v>50</v>
      </c>
      <c r="K1231">
        <v>1732</v>
      </c>
      <c r="L1231">
        <v>3</v>
      </c>
      <c r="M1231" s="19" t="s">
        <v>51</v>
      </c>
      <c r="N1231">
        <v>3</v>
      </c>
      <c r="O1231">
        <v>3</v>
      </c>
      <c r="P1231" s="19" t="s">
        <v>145</v>
      </c>
      <c r="Q1231">
        <v>4</v>
      </c>
      <c r="R1231" s="19" t="s">
        <v>113</v>
      </c>
      <c r="S1231">
        <v>41738</v>
      </c>
      <c r="T1231" s="19" t="s">
        <v>72</v>
      </c>
      <c r="U1231">
        <v>260.86</v>
      </c>
      <c r="V1231">
        <v>4</v>
      </c>
      <c r="W1231" s="19" t="s">
        <v>47</v>
      </c>
      <c r="X1231">
        <v>12</v>
      </c>
      <c r="Y1231">
        <v>3</v>
      </c>
      <c r="Z1231">
        <v>2</v>
      </c>
      <c r="AA1231">
        <v>1</v>
      </c>
      <c r="AB1231">
        <v>13</v>
      </c>
      <c r="AC1231">
        <v>5</v>
      </c>
      <c r="AD1231">
        <v>2</v>
      </c>
      <c r="AE1231">
        <v>10</v>
      </c>
      <c r="AF1231">
        <v>6</v>
      </c>
      <c r="AG1231">
        <v>0</v>
      </c>
      <c r="AH1231">
        <v>3</v>
      </c>
      <c r="AI1231">
        <v>0</v>
      </c>
      <c r="AJ1231" s="19" t="s">
        <v>1569</v>
      </c>
      <c r="AK1231" s="19" t="s">
        <v>1562</v>
      </c>
      <c r="AL1231">
        <v>2</v>
      </c>
      <c r="AM1231" s="19" t="s">
        <v>1564</v>
      </c>
      <c r="AN1231">
        <v>-0.14921061070855204</v>
      </c>
      <c r="AO1231">
        <v>500856</v>
      </c>
    </row>
    <row r="1232" spans="1:41" x14ac:dyDescent="0.3">
      <c r="A1232" s="19" t="s">
        <v>1299</v>
      </c>
      <c r="B1232">
        <v>46</v>
      </c>
      <c r="C1232" s="19" t="s">
        <v>1272</v>
      </c>
      <c r="D1232" s="19" t="s">
        <v>55</v>
      </c>
      <c r="E1232" s="19" t="s">
        <v>48</v>
      </c>
      <c r="F1232">
        <v>734</v>
      </c>
      <c r="G1232" s="19" t="s">
        <v>735</v>
      </c>
      <c r="H1232">
        <v>2</v>
      </c>
      <c r="I1232">
        <v>4</v>
      </c>
      <c r="J1232" s="19" t="s">
        <v>58</v>
      </c>
      <c r="K1232">
        <v>1789</v>
      </c>
      <c r="L1232">
        <v>3</v>
      </c>
      <c r="M1232" s="19" t="s">
        <v>51</v>
      </c>
      <c r="N1232">
        <v>3</v>
      </c>
      <c r="O1232">
        <v>5</v>
      </c>
      <c r="P1232" s="19" t="s">
        <v>257</v>
      </c>
      <c r="Q1232">
        <v>4</v>
      </c>
      <c r="R1232" s="19" t="s">
        <v>113</v>
      </c>
      <c r="S1232">
        <v>26150</v>
      </c>
      <c r="T1232" s="19" t="s">
        <v>72</v>
      </c>
      <c r="U1232">
        <v>163.44</v>
      </c>
      <c r="V1232">
        <v>7</v>
      </c>
      <c r="W1232" s="19" t="s">
        <v>47</v>
      </c>
      <c r="X1232">
        <v>17</v>
      </c>
      <c r="Y1232">
        <v>3</v>
      </c>
      <c r="Z1232">
        <v>3</v>
      </c>
      <c r="AA1232">
        <v>1</v>
      </c>
      <c r="AB1232">
        <v>24</v>
      </c>
      <c r="AC1232">
        <v>3</v>
      </c>
      <c r="AD1232">
        <v>3</v>
      </c>
      <c r="AE1232">
        <v>2</v>
      </c>
      <c r="AF1232">
        <v>1</v>
      </c>
      <c r="AG1232">
        <v>2</v>
      </c>
      <c r="AH1232">
        <v>2</v>
      </c>
      <c r="AI1232">
        <v>0</v>
      </c>
      <c r="AJ1232" s="19" t="s">
        <v>1566</v>
      </c>
      <c r="AK1232" s="19" t="s">
        <v>1562</v>
      </c>
      <c r="AL1232">
        <v>1</v>
      </c>
      <c r="AM1232" s="19" t="s">
        <v>1565</v>
      </c>
      <c r="AN1232">
        <v>-0.4838449896694979</v>
      </c>
      <c r="AO1232">
        <v>313800</v>
      </c>
    </row>
    <row r="1233" spans="1:41" x14ac:dyDescent="0.3">
      <c r="A1233" s="19" t="s">
        <v>1300</v>
      </c>
      <c r="B1233">
        <v>46</v>
      </c>
      <c r="C1233" s="19" t="s">
        <v>1272</v>
      </c>
      <c r="D1233" s="19" t="s">
        <v>55</v>
      </c>
      <c r="E1233" s="19" t="s">
        <v>66</v>
      </c>
      <c r="F1233">
        <v>849</v>
      </c>
      <c r="G1233" s="19" t="s">
        <v>932</v>
      </c>
      <c r="H1233">
        <v>26</v>
      </c>
      <c r="I1233">
        <v>2</v>
      </c>
      <c r="J1233" s="19" t="s">
        <v>50</v>
      </c>
      <c r="K1233">
        <v>1801</v>
      </c>
      <c r="L1233">
        <v>2</v>
      </c>
      <c r="M1233" s="19" t="s">
        <v>51</v>
      </c>
      <c r="N1233">
        <v>2</v>
      </c>
      <c r="O1233">
        <v>2</v>
      </c>
      <c r="P1233" s="19" t="s">
        <v>145</v>
      </c>
      <c r="Q1233">
        <v>2</v>
      </c>
      <c r="R1233" s="19" t="s">
        <v>53</v>
      </c>
      <c r="S1233">
        <v>64731</v>
      </c>
      <c r="T1233" s="19" t="s">
        <v>64</v>
      </c>
      <c r="U1233">
        <v>404.57</v>
      </c>
      <c r="V1233">
        <v>8</v>
      </c>
      <c r="W1233" s="19" t="s">
        <v>55</v>
      </c>
      <c r="X1233">
        <v>15</v>
      </c>
      <c r="Y1233">
        <v>3</v>
      </c>
      <c r="Z1233">
        <v>3</v>
      </c>
      <c r="AA1233">
        <v>0</v>
      </c>
      <c r="AB1233">
        <v>6</v>
      </c>
      <c r="AC1233">
        <v>3</v>
      </c>
      <c r="AD1233">
        <v>3</v>
      </c>
      <c r="AE1233">
        <v>2</v>
      </c>
      <c r="AF1233">
        <v>2</v>
      </c>
      <c r="AG1233">
        <v>2</v>
      </c>
      <c r="AH1233">
        <v>2</v>
      </c>
      <c r="AI1233">
        <v>0</v>
      </c>
      <c r="AJ1233" s="19" t="s">
        <v>1566</v>
      </c>
      <c r="AK1233" s="19" t="s">
        <v>1562</v>
      </c>
      <c r="AL1233">
        <v>1</v>
      </c>
      <c r="AM1233" s="19" t="s">
        <v>1565</v>
      </c>
      <c r="AN1233">
        <v>0.31947980157709327</v>
      </c>
      <c r="AO1233">
        <v>776772</v>
      </c>
    </row>
    <row r="1234" spans="1:41" x14ac:dyDescent="0.3">
      <c r="A1234" s="19" t="s">
        <v>1301</v>
      </c>
      <c r="B1234">
        <v>46</v>
      </c>
      <c r="C1234" s="19" t="s">
        <v>1272</v>
      </c>
      <c r="D1234" s="19" t="s">
        <v>47</v>
      </c>
      <c r="E1234" s="19" t="s">
        <v>48</v>
      </c>
      <c r="F1234">
        <v>261</v>
      </c>
      <c r="G1234" s="19" t="s">
        <v>735</v>
      </c>
      <c r="H1234">
        <v>21</v>
      </c>
      <c r="I1234">
        <v>2</v>
      </c>
      <c r="J1234" s="19" t="s">
        <v>58</v>
      </c>
      <c r="K1234">
        <v>1821</v>
      </c>
      <c r="L1234">
        <v>4</v>
      </c>
      <c r="M1234" s="19" t="s">
        <v>59</v>
      </c>
      <c r="N1234">
        <v>3</v>
      </c>
      <c r="O1234">
        <v>2</v>
      </c>
      <c r="P1234" s="19" t="s">
        <v>168</v>
      </c>
      <c r="Q1234">
        <v>2</v>
      </c>
      <c r="R1234" s="19" t="s">
        <v>113</v>
      </c>
      <c r="S1234">
        <v>50688</v>
      </c>
      <c r="T1234" s="19" t="s">
        <v>64</v>
      </c>
      <c r="U1234">
        <v>316.8</v>
      </c>
      <c r="V1234">
        <v>4</v>
      </c>
      <c r="W1234" s="19" t="s">
        <v>55</v>
      </c>
      <c r="X1234">
        <v>22</v>
      </c>
      <c r="Y1234">
        <v>4</v>
      </c>
      <c r="Z1234">
        <v>4</v>
      </c>
      <c r="AA1234">
        <v>1</v>
      </c>
      <c r="AB1234">
        <v>13</v>
      </c>
      <c r="AC1234">
        <v>2</v>
      </c>
      <c r="AD1234">
        <v>4</v>
      </c>
      <c r="AE1234">
        <v>9</v>
      </c>
      <c r="AF1234">
        <v>7</v>
      </c>
      <c r="AG1234">
        <v>3</v>
      </c>
      <c r="AH1234">
        <v>7</v>
      </c>
      <c r="AI1234">
        <v>1</v>
      </c>
      <c r="AJ1234" s="19" t="s">
        <v>1569</v>
      </c>
      <c r="AK1234" s="19" t="s">
        <v>1570</v>
      </c>
      <c r="AL1234">
        <v>2</v>
      </c>
      <c r="AM1234" s="19" t="s">
        <v>1564</v>
      </c>
      <c r="AN1234">
        <v>5.1855189669279433E-2</v>
      </c>
      <c r="AO1234">
        <v>608256</v>
      </c>
    </row>
    <row r="1235" spans="1:41" x14ac:dyDescent="0.3">
      <c r="A1235" s="19" t="s">
        <v>1302</v>
      </c>
      <c r="B1235">
        <v>46</v>
      </c>
      <c r="C1235" s="19" t="s">
        <v>1272</v>
      </c>
      <c r="D1235" s="19" t="s">
        <v>55</v>
      </c>
      <c r="E1235" s="19" t="s">
        <v>48</v>
      </c>
      <c r="F1235">
        <v>706</v>
      </c>
      <c r="G1235" s="19" t="s">
        <v>735</v>
      </c>
      <c r="H1235">
        <v>2</v>
      </c>
      <c r="I1235">
        <v>2</v>
      </c>
      <c r="J1235" s="19" t="s">
        <v>50</v>
      </c>
      <c r="K1235">
        <v>1857</v>
      </c>
      <c r="L1235">
        <v>4</v>
      </c>
      <c r="M1235" s="19" t="s">
        <v>51</v>
      </c>
      <c r="N1235">
        <v>3</v>
      </c>
      <c r="O1235">
        <v>3</v>
      </c>
      <c r="P1235" s="19" t="s">
        <v>120</v>
      </c>
      <c r="Q1235">
        <v>4</v>
      </c>
      <c r="R1235" s="19" t="s">
        <v>113</v>
      </c>
      <c r="S1235">
        <v>74509</v>
      </c>
      <c r="T1235" s="19" t="s">
        <v>64</v>
      </c>
      <c r="U1235">
        <v>465.68</v>
      </c>
      <c r="V1235">
        <v>3</v>
      </c>
      <c r="W1235" s="19" t="s">
        <v>55</v>
      </c>
      <c r="X1235">
        <v>14</v>
      </c>
      <c r="Y1235">
        <v>3</v>
      </c>
      <c r="Z1235">
        <v>3</v>
      </c>
      <c r="AA1235">
        <v>1</v>
      </c>
      <c r="AB1235">
        <v>12</v>
      </c>
      <c r="AC1235">
        <v>4</v>
      </c>
      <c r="AD1235">
        <v>2</v>
      </c>
      <c r="AE1235">
        <v>9</v>
      </c>
      <c r="AF1235">
        <v>8</v>
      </c>
      <c r="AG1235">
        <v>4</v>
      </c>
      <c r="AH1235">
        <v>7</v>
      </c>
      <c r="AI1235">
        <v>0</v>
      </c>
      <c r="AJ1235" s="19" t="s">
        <v>1569</v>
      </c>
      <c r="AK1235" s="19" t="s">
        <v>1570</v>
      </c>
      <c r="AL1235">
        <v>2</v>
      </c>
      <c r="AM1235" s="19" t="s">
        <v>1564</v>
      </c>
      <c r="AN1235">
        <v>0.68209584515144983</v>
      </c>
      <c r="AO1235">
        <v>894108</v>
      </c>
    </row>
    <row r="1236" spans="1:41" x14ac:dyDescent="0.3">
      <c r="A1236" s="19" t="s">
        <v>1303</v>
      </c>
      <c r="B1236">
        <v>46</v>
      </c>
      <c r="C1236" s="19" t="s">
        <v>1272</v>
      </c>
      <c r="D1236" s="19" t="s">
        <v>55</v>
      </c>
      <c r="E1236" s="19" t="s">
        <v>48</v>
      </c>
      <c r="F1236">
        <v>1319</v>
      </c>
      <c r="G1236" s="19" t="s">
        <v>932</v>
      </c>
      <c r="H1236">
        <v>3</v>
      </c>
      <c r="I1236">
        <v>3</v>
      </c>
      <c r="J1236" s="19" t="s">
        <v>77</v>
      </c>
      <c r="K1236">
        <v>1863</v>
      </c>
      <c r="L1236">
        <v>1</v>
      </c>
      <c r="M1236" s="19" t="s">
        <v>59</v>
      </c>
      <c r="N1236">
        <v>4</v>
      </c>
      <c r="O1236">
        <v>4</v>
      </c>
      <c r="P1236" s="19" t="s">
        <v>145</v>
      </c>
      <c r="Q1236">
        <v>1</v>
      </c>
      <c r="R1236" s="19" t="s">
        <v>113</v>
      </c>
      <c r="S1236">
        <v>9577</v>
      </c>
      <c r="T1236" s="19" t="s">
        <v>54</v>
      </c>
      <c r="U1236">
        <v>59.86</v>
      </c>
      <c r="V1236">
        <v>2</v>
      </c>
      <c r="W1236" s="19" t="s">
        <v>55</v>
      </c>
      <c r="X1236">
        <v>12</v>
      </c>
      <c r="Y1236">
        <v>3</v>
      </c>
      <c r="Z1236">
        <v>4</v>
      </c>
      <c r="AA1236">
        <v>1</v>
      </c>
      <c r="AB1236">
        <v>25</v>
      </c>
      <c r="AC1236">
        <v>5</v>
      </c>
      <c r="AD1236">
        <v>3</v>
      </c>
      <c r="AE1236">
        <v>19</v>
      </c>
      <c r="AF1236">
        <v>17</v>
      </c>
      <c r="AG1236">
        <v>2</v>
      </c>
      <c r="AH1236">
        <v>8</v>
      </c>
      <c r="AI1236">
        <v>0</v>
      </c>
      <c r="AJ1236" s="19" t="s">
        <v>1571</v>
      </c>
      <c r="AK1236" s="19" t="s">
        <v>1562</v>
      </c>
      <c r="AL1236">
        <v>1</v>
      </c>
      <c r="AM1236" s="19" t="s">
        <v>1565</v>
      </c>
      <c r="AN1236">
        <v>-0.80478197371114579</v>
      </c>
      <c r="AO1236">
        <v>114924</v>
      </c>
    </row>
    <row r="1237" spans="1:41" x14ac:dyDescent="0.3">
      <c r="A1237" s="19" t="s">
        <v>1304</v>
      </c>
      <c r="B1237">
        <v>46</v>
      </c>
      <c r="C1237" s="19" t="s">
        <v>1272</v>
      </c>
      <c r="D1237" s="19" t="s">
        <v>47</v>
      </c>
      <c r="E1237" s="19" t="s">
        <v>48</v>
      </c>
      <c r="F1237">
        <v>1254</v>
      </c>
      <c r="G1237" s="19" t="s">
        <v>932</v>
      </c>
      <c r="H1237">
        <v>10</v>
      </c>
      <c r="I1237">
        <v>3</v>
      </c>
      <c r="J1237" s="19" t="s">
        <v>50</v>
      </c>
      <c r="K1237">
        <v>1869</v>
      </c>
      <c r="L1237">
        <v>3</v>
      </c>
      <c r="M1237" s="19" t="s">
        <v>59</v>
      </c>
      <c r="N1237">
        <v>3</v>
      </c>
      <c r="O1237">
        <v>3</v>
      </c>
      <c r="P1237" s="19" t="s">
        <v>145</v>
      </c>
      <c r="Q1237">
        <v>2</v>
      </c>
      <c r="R1237" s="19" t="s">
        <v>113</v>
      </c>
      <c r="S1237">
        <v>9070</v>
      </c>
      <c r="T1237" s="19" t="s">
        <v>54</v>
      </c>
      <c r="U1237">
        <v>56.69</v>
      </c>
      <c r="V1237">
        <v>5</v>
      </c>
      <c r="W1237" s="19" t="s">
        <v>55</v>
      </c>
      <c r="X1237">
        <v>21</v>
      </c>
      <c r="Y1237">
        <v>4</v>
      </c>
      <c r="Z1237">
        <v>3</v>
      </c>
      <c r="AA1237">
        <v>3</v>
      </c>
      <c r="AB1237">
        <v>14</v>
      </c>
      <c r="AC1237">
        <v>2</v>
      </c>
      <c r="AD1237">
        <v>3</v>
      </c>
      <c r="AE1237">
        <v>8</v>
      </c>
      <c r="AF1237">
        <v>7</v>
      </c>
      <c r="AG1237">
        <v>0</v>
      </c>
      <c r="AH1237">
        <v>7</v>
      </c>
      <c r="AI1237">
        <v>1</v>
      </c>
      <c r="AJ1237" s="19" t="s">
        <v>1569</v>
      </c>
      <c r="AK1237" s="19" t="s">
        <v>1562</v>
      </c>
      <c r="AL1237">
        <v>1</v>
      </c>
      <c r="AM1237" s="19" t="s">
        <v>1565</v>
      </c>
      <c r="AN1237">
        <v>-0.81511668597265241</v>
      </c>
      <c r="AO1237">
        <v>108840</v>
      </c>
    </row>
    <row r="1238" spans="1:41" x14ac:dyDescent="0.3">
      <c r="A1238" s="19" t="s">
        <v>1305</v>
      </c>
      <c r="B1238">
        <v>47</v>
      </c>
      <c r="C1238" s="19" t="s">
        <v>1272</v>
      </c>
      <c r="D1238" s="19" t="s">
        <v>47</v>
      </c>
      <c r="E1238" s="19" t="s">
        <v>66</v>
      </c>
      <c r="F1238">
        <v>666</v>
      </c>
      <c r="G1238" s="19" t="s">
        <v>735</v>
      </c>
      <c r="H1238">
        <v>29</v>
      </c>
      <c r="I1238">
        <v>4</v>
      </c>
      <c r="J1238" s="19" t="s">
        <v>50</v>
      </c>
      <c r="K1238">
        <v>376</v>
      </c>
      <c r="L1238">
        <v>1</v>
      </c>
      <c r="M1238" s="19" t="s">
        <v>51</v>
      </c>
      <c r="N1238">
        <v>3</v>
      </c>
      <c r="O1238">
        <v>3</v>
      </c>
      <c r="P1238" s="19" t="s">
        <v>444</v>
      </c>
      <c r="Q1238">
        <v>2</v>
      </c>
      <c r="R1238" s="19" t="s">
        <v>113</v>
      </c>
      <c r="S1238">
        <v>9666</v>
      </c>
      <c r="T1238" s="19" t="s">
        <v>54</v>
      </c>
      <c r="U1238">
        <v>60.41</v>
      </c>
      <c r="V1238">
        <v>1</v>
      </c>
      <c r="W1238" s="19" t="s">
        <v>47</v>
      </c>
      <c r="X1238">
        <v>12</v>
      </c>
      <c r="Y1238">
        <v>3</v>
      </c>
      <c r="Z1238">
        <v>4</v>
      </c>
      <c r="AA1238">
        <v>1</v>
      </c>
      <c r="AB1238">
        <v>10</v>
      </c>
      <c r="AC1238">
        <v>2</v>
      </c>
      <c r="AD1238">
        <v>2</v>
      </c>
      <c r="AE1238">
        <v>10</v>
      </c>
      <c r="AF1238">
        <v>7</v>
      </c>
      <c r="AG1238">
        <v>9</v>
      </c>
      <c r="AH1238">
        <v>9</v>
      </c>
      <c r="AI1238">
        <v>1</v>
      </c>
      <c r="AJ1238" s="19" t="s">
        <v>1569</v>
      </c>
      <c r="AK1238" s="19" t="s">
        <v>1570</v>
      </c>
      <c r="AL1238">
        <v>4</v>
      </c>
      <c r="AM1238" s="19" t="s">
        <v>1568</v>
      </c>
      <c r="AN1238">
        <v>-0.81482160418374272</v>
      </c>
      <c r="AO1238">
        <v>115992</v>
      </c>
    </row>
    <row r="1239" spans="1:41" x14ac:dyDescent="0.3">
      <c r="A1239" s="19" t="s">
        <v>1306</v>
      </c>
      <c r="B1239">
        <v>47</v>
      </c>
      <c r="C1239" s="19" t="s">
        <v>1272</v>
      </c>
      <c r="D1239" s="19" t="s">
        <v>55</v>
      </c>
      <c r="E1239" s="19" t="s">
        <v>48</v>
      </c>
      <c r="F1239">
        <v>1482</v>
      </c>
      <c r="G1239" s="19" t="s">
        <v>735</v>
      </c>
      <c r="H1239">
        <v>5</v>
      </c>
      <c r="I1239">
        <v>5</v>
      </c>
      <c r="J1239" s="19" t="s">
        <v>50</v>
      </c>
      <c r="K1239">
        <v>447</v>
      </c>
      <c r="L1239">
        <v>4</v>
      </c>
      <c r="M1239" s="19" t="s">
        <v>51</v>
      </c>
      <c r="N1239">
        <v>3</v>
      </c>
      <c r="O1239">
        <v>5</v>
      </c>
      <c r="P1239" s="19" t="s">
        <v>257</v>
      </c>
      <c r="Q1239">
        <v>3</v>
      </c>
      <c r="R1239" s="19" t="s">
        <v>113</v>
      </c>
      <c r="S1239">
        <v>58761</v>
      </c>
      <c r="T1239" s="19" t="s">
        <v>64</v>
      </c>
      <c r="U1239">
        <v>367.26</v>
      </c>
      <c r="V1239">
        <v>4</v>
      </c>
      <c r="W1239" s="19" t="s">
        <v>55</v>
      </c>
      <c r="X1239">
        <v>11</v>
      </c>
      <c r="Y1239">
        <v>3</v>
      </c>
      <c r="Z1239">
        <v>2</v>
      </c>
      <c r="AA1239">
        <v>1</v>
      </c>
      <c r="AB1239">
        <v>21</v>
      </c>
      <c r="AC1239">
        <v>2</v>
      </c>
      <c r="AD1239">
        <v>3</v>
      </c>
      <c r="AE1239">
        <v>3</v>
      </c>
      <c r="AF1239">
        <v>2</v>
      </c>
      <c r="AG1239">
        <v>1</v>
      </c>
      <c r="AH1239">
        <v>1</v>
      </c>
      <c r="AI1239">
        <v>0</v>
      </c>
      <c r="AJ1239" s="19" t="s">
        <v>1566</v>
      </c>
      <c r="AK1239" s="19" t="s">
        <v>1562</v>
      </c>
      <c r="AL1239">
        <v>0</v>
      </c>
      <c r="AM1239" s="19" t="s">
        <v>1563</v>
      </c>
      <c r="AN1239">
        <v>0.15983879778319818</v>
      </c>
      <c r="AO1239">
        <v>705132</v>
      </c>
    </row>
    <row r="1240" spans="1:41" x14ac:dyDescent="0.3">
      <c r="A1240" s="19" t="s">
        <v>1307</v>
      </c>
      <c r="B1240">
        <v>47</v>
      </c>
      <c r="C1240" s="19" t="s">
        <v>1272</v>
      </c>
      <c r="D1240" s="19" t="s">
        <v>55</v>
      </c>
      <c r="E1240" s="19" t="s">
        <v>62</v>
      </c>
      <c r="F1240">
        <v>1309</v>
      </c>
      <c r="G1240" s="19" t="s">
        <v>932</v>
      </c>
      <c r="H1240">
        <v>4</v>
      </c>
      <c r="I1240">
        <v>1</v>
      </c>
      <c r="J1240" s="19" t="s">
        <v>58</v>
      </c>
      <c r="K1240">
        <v>467</v>
      </c>
      <c r="L1240">
        <v>2</v>
      </c>
      <c r="M1240" s="19" t="s">
        <v>51</v>
      </c>
      <c r="N1240">
        <v>3</v>
      </c>
      <c r="O1240">
        <v>2</v>
      </c>
      <c r="P1240" s="19" t="s">
        <v>60</v>
      </c>
      <c r="Q1240">
        <v>3</v>
      </c>
      <c r="R1240" s="19" t="s">
        <v>53</v>
      </c>
      <c r="S1240">
        <v>37368</v>
      </c>
      <c r="T1240" s="19" t="s">
        <v>72</v>
      </c>
      <c r="U1240">
        <v>233.55</v>
      </c>
      <c r="V1240">
        <v>3</v>
      </c>
      <c r="W1240" s="19" t="s">
        <v>55</v>
      </c>
      <c r="X1240">
        <v>19</v>
      </c>
      <c r="Y1240">
        <v>3</v>
      </c>
      <c r="Z1240">
        <v>1</v>
      </c>
      <c r="AA1240">
        <v>0</v>
      </c>
      <c r="AB1240">
        <v>5</v>
      </c>
      <c r="AC1240">
        <v>3</v>
      </c>
      <c r="AD1240">
        <v>3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 s="19" t="s">
        <v>1561</v>
      </c>
      <c r="AK1240" s="19" t="s">
        <v>1562</v>
      </c>
      <c r="AL1240">
        <v>0</v>
      </c>
      <c r="AM1240" s="19" t="s">
        <v>1563</v>
      </c>
      <c r="AN1240">
        <v>-0.24244017848889729</v>
      </c>
      <c r="AO1240">
        <v>448416</v>
      </c>
    </row>
    <row r="1241" spans="1:41" x14ac:dyDescent="0.3">
      <c r="A1241" s="19" t="s">
        <v>1308</v>
      </c>
      <c r="B1241">
        <v>47</v>
      </c>
      <c r="C1241" s="19" t="s">
        <v>1272</v>
      </c>
      <c r="D1241" s="19" t="s">
        <v>55</v>
      </c>
      <c r="E1241" s="19" t="s">
        <v>48</v>
      </c>
      <c r="F1241">
        <v>983</v>
      </c>
      <c r="G1241" s="19" t="s">
        <v>735</v>
      </c>
      <c r="H1241">
        <v>2</v>
      </c>
      <c r="I1241">
        <v>2</v>
      </c>
      <c r="J1241" s="19" t="s">
        <v>58</v>
      </c>
      <c r="K1241">
        <v>574</v>
      </c>
      <c r="L1241">
        <v>1</v>
      </c>
      <c r="M1241" s="19" t="s">
        <v>59</v>
      </c>
      <c r="N1241">
        <v>3</v>
      </c>
      <c r="O1241">
        <v>2</v>
      </c>
      <c r="P1241" s="19" t="s">
        <v>120</v>
      </c>
      <c r="Q1241">
        <v>4</v>
      </c>
      <c r="R1241" s="19" t="s">
        <v>113</v>
      </c>
      <c r="S1241">
        <v>7783</v>
      </c>
      <c r="T1241" s="19" t="s">
        <v>54</v>
      </c>
      <c r="U1241">
        <v>48.64</v>
      </c>
      <c r="V1241">
        <v>5</v>
      </c>
      <c r="W1241" s="19" t="s">
        <v>55</v>
      </c>
      <c r="X1241">
        <v>13</v>
      </c>
      <c r="Y1241">
        <v>3</v>
      </c>
      <c r="Z1241">
        <v>3</v>
      </c>
      <c r="AA1241">
        <v>3</v>
      </c>
      <c r="AB1241">
        <v>20</v>
      </c>
      <c r="AC1241">
        <v>2</v>
      </c>
      <c r="AD1241">
        <v>3</v>
      </c>
      <c r="AE1241">
        <v>5</v>
      </c>
      <c r="AF1241">
        <v>0</v>
      </c>
      <c r="AG1241">
        <v>0</v>
      </c>
      <c r="AH1241">
        <v>4</v>
      </c>
      <c r="AI1241">
        <v>0</v>
      </c>
      <c r="AJ1241" s="19" t="s">
        <v>1567</v>
      </c>
      <c r="AK1241" s="19" t="s">
        <v>1562</v>
      </c>
      <c r="AL1241">
        <v>0</v>
      </c>
      <c r="AM1241" s="19" t="s">
        <v>1563</v>
      </c>
      <c r="AN1241">
        <v>-0.82429301208157757</v>
      </c>
      <c r="AO1241">
        <v>93396</v>
      </c>
    </row>
    <row r="1242" spans="1:41" x14ac:dyDescent="0.3">
      <c r="A1242" s="19" t="s">
        <v>1309</v>
      </c>
      <c r="B1242">
        <v>47</v>
      </c>
      <c r="C1242" s="19" t="s">
        <v>1272</v>
      </c>
      <c r="D1242" s="19" t="s">
        <v>55</v>
      </c>
      <c r="E1242" s="19" t="s">
        <v>48</v>
      </c>
      <c r="F1242">
        <v>703</v>
      </c>
      <c r="G1242" s="19" t="s">
        <v>932</v>
      </c>
      <c r="H1242">
        <v>14</v>
      </c>
      <c r="I1242">
        <v>4</v>
      </c>
      <c r="J1242" s="19" t="s">
        <v>63</v>
      </c>
      <c r="K1242">
        <v>728</v>
      </c>
      <c r="L1242">
        <v>4</v>
      </c>
      <c r="M1242" s="19" t="s">
        <v>51</v>
      </c>
      <c r="N1242">
        <v>3</v>
      </c>
      <c r="O1242">
        <v>2</v>
      </c>
      <c r="P1242" s="19" t="s">
        <v>145</v>
      </c>
      <c r="Q1242">
        <v>1</v>
      </c>
      <c r="R1242" s="19" t="s">
        <v>53</v>
      </c>
      <c r="S1242">
        <v>42914</v>
      </c>
      <c r="T1242" s="19" t="s">
        <v>72</v>
      </c>
      <c r="U1242">
        <v>268.20999999999998</v>
      </c>
      <c r="V1242">
        <v>2</v>
      </c>
      <c r="W1242" s="19" t="s">
        <v>55</v>
      </c>
      <c r="X1242">
        <v>12</v>
      </c>
      <c r="Y1242">
        <v>3</v>
      </c>
      <c r="Z1242">
        <v>4</v>
      </c>
      <c r="AA1242">
        <v>0</v>
      </c>
      <c r="AB1242">
        <v>20</v>
      </c>
      <c r="AC1242">
        <v>2</v>
      </c>
      <c r="AD1242">
        <v>3</v>
      </c>
      <c r="AE1242">
        <v>7</v>
      </c>
      <c r="AF1242">
        <v>7</v>
      </c>
      <c r="AG1242">
        <v>1</v>
      </c>
      <c r="AH1242">
        <v>7</v>
      </c>
      <c r="AI1242">
        <v>0</v>
      </c>
      <c r="AJ1242" s="19" t="s">
        <v>1569</v>
      </c>
      <c r="AK1242" s="19" t="s">
        <v>1562</v>
      </c>
      <c r="AL1242">
        <v>1</v>
      </c>
      <c r="AM1242" s="19" t="s">
        <v>1565</v>
      </c>
      <c r="AN1242">
        <v>-0.12523897043334137</v>
      </c>
      <c r="AO1242">
        <v>514968</v>
      </c>
    </row>
    <row r="1243" spans="1:41" x14ac:dyDescent="0.3">
      <c r="A1243" s="19" t="s">
        <v>1310</v>
      </c>
      <c r="B1243">
        <v>47</v>
      </c>
      <c r="C1243" s="19" t="s">
        <v>1272</v>
      </c>
      <c r="D1243" s="19" t="s">
        <v>55</v>
      </c>
      <c r="E1243" s="19" t="s">
        <v>62</v>
      </c>
      <c r="F1243">
        <v>217</v>
      </c>
      <c r="G1243" s="19" t="s">
        <v>932</v>
      </c>
      <c r="H1243">
        <v>3</v>
      </c>
      <c r="I1243">
        <v>3</v>
      </c>
      <c r="J1243" s="19" t="s">
        <v>58</v>
      </c>
      <c r="K1243">
        <v>746</v>
      </c>
      <c r="L1243">
        <v>4</v>
      </c>
      <c r="M1243" s="19" t="s">
        <v>59</v>
      </c>
      <c r="N1243">
        <v>3</v>
      </c>
      <c r="O1243">
        <v>4</v>
      </c>
      <c r="P1243" s="19" t="s">
        <v>145</v>
      </c>
      <c r="Q1243">
        <v>3</v>
      </c>
      <c r="R1243" s="19" t="s">
        <v>53</v>
      </c>
      <c r="S1243">
        <v>71507</v>
      </c>
      <c r="T1243" s="19" t="s">
        <v>64</v>
      </c>
      <c r="U1243">
        <v>446.92</v>
      </c>
      <c r="V1243">
        <v>9</v>
      </c>
      <c r="W1243" s="19" t="s">
        <v>47</v>
      </c>
      <c r="X1243">
        <v>12</v>
      </c>
      <c r="Y1243">
        <v>3</v>
      </c>
      <c r="Z1243">
        <v>4</v>
      </c>
      <c r="AA1243">
        <v>2</v>
      </c>
      <c r="AB1243">
        <v>28</v>
      </c>
      <c r="AC1243">
        <v>2</v>
      </c>
      <c r="AD1243">
        <v>2</v>
      </c>
      <c r="AE1243">
        <v>22</v>
      </c>
      <c r="AF1243">
        <v>2</v>
      </c>
      <c r="AG1243">
        <v>11</v>
      </c>
      <c r="AH1243">
        <v>13</v>
      </c>
      <c r="AI1243">
        <v>0</v>
      </c>
      <c r="AJ1243" s="19" t="s">
        <v>1571</v>
      </c>
      <c r="AK1243" s="19" t="s">
        <v>1570</v>
      </c>
      <c r="AL1243">
        <v>3</v>
      </c>
      <c r="AM1243" s="19" t="s">
        <v>1568</v>
      </c>
      <c r="AN1243">
        <v>0.45760210982949756</v>
      </c>
      <c r="AO1243">
        <v>858084</v>
      </c>
    </row>
    <row r="1244" spans="1:41" x14ac:dyDescent="0.3">
      <c r="A1244" s="19" t="s">
        <v>1311</v>
      </c>
      <c r="B1244">
        <v>47</v>
      </c>
      <c r="C1244" s="19" t="s">
        <v>1272</v>
      </c>
      <c r="D1244" s="19" t="s">
        <v>47</v>
      </c>
      <c r="E1244" s="19" t="s">
        <v>62</v>
      </c>
      <c r="F1244">
        <v>719</v>
      </c>
      <c r="G1244" s="19" t="s">
        <v>932</v>
      </c>
      <c r="H1244">
        <v>27</v>
      </c>
      <c r="I1244">
        <v>2</v>
      </c>
      <c r="J1244" s="19" t="s">
        <v>50</v>
      </c>
      <c r="K1244">
        <v>785</v>
      </c>
      <c r="L1244">
        <v>2</v>
      </c>
      <c r="M1244" s="19" t="s">
        <v>59</v>
      </c>
      <c r="N1244">
        <v>4</v>
      </c>
      <c r="O1244">
        <v>2</v>
      </c>
      <c r="P1244" s="19" t="s">
        <v>145</v>
      </c>
      <c r="Q1244">
        <v>3</v>
      </c>
      <c r="R1244" s="19" t="s">
        <v>53</v>
      </c>
      <c r="S1244">
        <v>80026</v>
      </c>
      <c r="T1244" s="19" t="s">
        <v>64</v>
      </c>
      <c r="U1244">
        <v>500.16</v>
      </c>
      <c r="V1244">
        <v>4</v>
      </c>
      <c r="W1244" s="19" t="s">
        <v>47</v>
      </c>
      <c r="X1244">
        <v>12</v>
      </c>
      <c r="Y1244">
        <v>3</v>
      </c>
      <c r="Z1244">
        <v>4</v>
      </c>
      <c r="AA1244">
        <v>0</v>
      </c>
      <c r="AB1244">
        <v>8</v>
      </c>
      <c r="AC1244">
        <v>2</v>
      </c>
      <c r="AD1244">
        <v>3</v>
      </c>
      <c r="AE1244">
        <v>5</v>
      </c>
      <c r="AF1244">
        <v>4</v>
      </c>
      <c r="AG1244">
        <v>1</v>
      </c>
      <c r="AH1244">
        <v>3</v>
      </c>
      <c r="AI1244">
        <v>1</v>
      </c>
      <c r="AJ1244" s="19" t="s">
        <v>1567</v>
      </c>
      <c r="AK1244" s="19" t="s">
        <v>1562</v>
      </c>
      <c r="AL1244">
        <v>1</v>
      </c>
      <c r="AM1244" s="19" t="s">
        <v>1565</v>
      </c>
      <c r="AN1244">
        <v>0.63125381348980336</v>
      </c>
      <c r="AO1244">
        <v>960312</v>
      </c>
    </row>
    <row r="1245" spans="1:41" x14ac:dyDescent="0.3">
      <c r="A1245" s="19" t="s">
        <v>1312</v>
      </c>
      <c r="B1245">
        <v>47</v>
      </c>
      <c r="C1245" s="19" t="s">
        <v>1272</v>
      </c>
      <c r="D1245" s="19" t="s">
        <v>55</v>
      </c>
      <c r="E1245" s="19" t="s">
        <v>48</v>
      </c>
      <c r="F1245">
        <v>202</v>
      </c>
      <c r="G1245" s="19" t="s">
        <v>735</v>
      </c>
      <c r="H1245">
        <v>2</v>
      </c>
      <c r="I1245">
        <v>2</v>
      </c>
      <c r="J1245" s="19" t="s">
        <v>82</v>
      </c>
      <c r="K1245">
        <v>820</v>
      </c>
      <c r="L1245">
        <v>3</v>
      </c>
      <c r="M1245" s="19" t="s">
        <v>59</v>
      </c>
      <c r="N1245">
        <v>3</v>
      </c>
      <c r="O1245">
        <v>4</v>
      </c>
      <c r="P1245" s="19" t="s">
        <v>444</v>
      </c>
      <c r="Q1245">
        <v>4</v>
      </c>
      <c r="R1245" s="19" t="s">
        <v>113</v>
      </c>
      <c r="S1245">
        <v>68526</v>
      </c>
      <c r="T1245" s="19" t="s">
        <v>64</v>
      </c>
      <c r="U1245">
        <v>428.29</v>
      </c>
      <c r="V1245">
        <v>1</v>
      </c>
      <c r="W1245" s="19" t="s">
        <v>47</v>
      </c>
      <c r="X1245">
        <v>11</v>
      </c>
      <c r="Y1245">
        <v>3</v>
      </c>
      <c r="Z1245">
        <v>3</v>
      </c>
      <c r="AA1245">
        <v>1</v>
      </c>
      <c r="AB1245">
        <v>26</v>
      </c>
      <c r="AC1245">
        <v>3</v>
      </c>
      <c r="AD1245">
        <v>2</v>
      </c>
      <c r="AE1245">
        <v>26</v>
      </c>
      <c r="AF1245">
        <v>14</v>
      </c>
      <c r="AG1245">
        <v>3</v>
      </c>
      <c r="AH1245">
        <v>0</v>
      </c>
      <c r="AI1245">
        <v>0</v>
      </c>
      <c r="AJ1245" s="19" t="s">
        <v>1571</v>
      </c>
      <c r="AK1245" s="19" t="s">
        <v>1570</v>
      </c>
      <c r="AL1245">
        <v>3</v>
      </c>
      <c r="AM1245" s="19" t="s">
        <v>1568</v>
      </c>
      <c r="AN1245">
        <v>0.31280102955771238</v>
      </c>
      <c r="AO1245">
        <v>822312</v>
      </c>
    </row>
    <row r="1246" spans="1:41" x14ac:dyDescent="0.3">
      <c r="A1246" s="19" t="s">
        <v>1313</v>
      </c>
      <c r="B1246">
        <v>47</v>
      </c>
      <c r="C1246" s="19" t="s">
        <v>1272</v>
      </c>
      <c r="D1246" s="19" t="s">
        <v>55</v>
      </c>
      <c r="E1246" s="19" t="s">
        <v>48</v>
      </c>
      <c r="F1246">
        <v>249</v>
      </c>
      <c r="G1246" s="19" t="s">
        <v>932</v>
      </c>
      <c r="H1246">
        <v>2</v>
      </c>
      <c r="I1246">
        <v>2</v>
      </c>
      <c r="J1246" s="19" t="s">
        <v>63</v>
      </c>
      <c r="K1246">
        <v>903</v>
      </c>
      <c r="L1246">
        <v>3</v>
      </c>
      <c r="M1246" s="19" t="s">
        <v>59</v>
      </c>
      <c r="N1246">
        <v>3</v>
      </c>
      <c r="O1246">
        <v>2</v>
      </c>
      <c r="P1246" s="19" t="s">
        <v>145</v>
      </c>
      <c r="Q1246">
        <v>4</v>
      </c>
      <c r="R1246" s="19" t="s">
        <v>113</v>
      </c>
      <c r="S1246">
        <v>71835</v>
      </c>
      <c r="T1246" s="19" t="s">
        <v>64</v>
      </c>
      <c r="U1246">
        <v>448.97</v>
      </c>
      <c r="V1246">
        <v>0</v>
      </c>
      <c r="W1246" s="19" t="s">
        <v>47</v>
      </c>
      <c r="X1246">
        <v>22</v>
      </c>
      <c r="Y1246">
        <v>4</v>
      </c>
      <c r="Z1246">
        <v>1</v>
      </c>
      <c r="AA1246">
        <v>1</v>
      </c>
      <c r="AB1246">
        <v>8</v>
      </c>
      <c r="AC1246">
        <v>2</v>
      </c>
      <c r="AD1246">
        <v>3</v>
      </c>
      <c r="AE1246">
        <v>7</v>
      </c>
      <c r="AF1246">
        <v>6</v>
      </c>
      <c r="AG1246">
        <v>7</v>
      </c>
      <c r="AH1246">
        <v>7</v>
      </c>
      <c r="AI1246">
        <v>0</v>
      </c>
      <c r="AJ1246" s="19" t="s">
        <v>1569</v>
      </c>
      <c r="AK1246" s="19" t="s">
        <v>1570</v>
      </c>
      <c r="AL1246">
        <v>2</v>
      </c>
      <c r="AM1246" s="19" t="s">
        <v>1564</v>
      </c>
      <c r="AN1246">
        <v>0.46428807752530465</v>
      </c>
      <c r="AO1246">
        <v>862020</v>
      </c>
    </row>
    <row r="1247" spans="1:41" x14ac:dyDescent="0.3">
      <c r="A1247" s="19" t="s">
        <v>1314</v>
      </c>
      <c r="B1247">
        <v>47</v>
      </c>
      <c r="C1247" s="19" t="s">
        <v>1272</v>
      </c>
      <c r="D1247" s="19" t="s">
        <v>55</v>
      </c>
      <c r="E1247" s="19" t="s">
        <v>48</v>
      </c>
      <c r="F1247">
        <v>1454</v>
      </c>
      <c r="G1247" s="19" t="s">
        <v>932</v>
      </c>
      <c r="H1247">
        <v>2</v>
      </c>
      <c r="I1247">
        <v>4</v>
      </c>
      <c r="J1247" s="19" t="s">
        <v>50</v>
      </c>
      <c r="K1247">
        <v>925</v>
      </c>
      <c r="L1247">
        <v>4</v>
      </c>
      <c r="M1247" s="19" t="s">
        <v>59</v>
      </c>
      <c r="N1247">
        <v>2</v>
      </c>
      <c r="O1247">
        <v>1</v>
      </c>
      <c r="P1247" s="19" t="s">
        <v>60</v>
      </c>
      <c r="Q1247">
        <v>4</v>
      </c>
      <c r="R1247" s="19" t="s">
        <v>53</v>
      </c>
      <c r="S1247">
        <v>46765</v>
      </c>
      <c r="T1247" s="19" t="s">
        <v>72</v>
      </c>
      <c r="U1247">
        <v>292.27999999999997</v>
      </c>
      <c r="V1247">
        <v>1</v>
      </c>
      <c r="W1247" s="19" t="s">
        <v>47</v>
      </c>
      <c r="X1247">
        <v>18</v>
      </c>
      <c r="Y1247">
        <v>3</v>
      </c>
      <c r="Z1247">
        <v>1</v>
      </c>
      <c r="AA1247">
        <v>0</v>
      </c>
      <c r="AB1247">
        <v>3</v>
      </c>
      <c r="AC1247">
        <v>3</v>
      </c>
      <c r="AD1247">
        <v>2</v>
      </c>
      <c r="AE1247">
        <v>3</v>
      </c>
      <c r="AF1247">
        <v>2</v>
      </c>
      <c r="AG1247">
        <v>1</v>
      </c>
      <c r="AH1247">
        <v>2</v>
      </c>
      <c r="AI1247">
        <v>0</v>
      </c>
      <c r="AJ1247" s="19" t="s">
        <v>1566</v>
      </c>
      <c r="AK1247" s="19" t="s">
        <v>1562</v>
      </c>
      <c r="AL1247">
        <v>2</v>
      </c>
      <c r="AM1247" s="19" t="s">
        <v>1564</v>
      </c>
      <c r="AN1247">
        <v>-5.1935210528614904E-2</v>
      </c>
      <c r="AO1247">
        <v>561180</v>
      </c>
    </row>
    <row r="1248" spans="1:41" x14ac:dyDescent="0.3">
      <c r="A1248" s="19" t="s">
        <v>1315</v>
      </c>
      <c r="B1248">
        <v>47</v>
      </c>
      <c r="C1248" s="19" t="s">
        <v>1272</v>
      </c>
      <c r="D1248" s="19" t="s">
        <v>55</v>
      </c>
      <c r="E1248" s="19" t="s">
        <v>62</v>
      </c>
      <c r="F1248">
        <v>1379</v>
      </c>
      <c r="G1248" s="19" t="s">
        <v>735</v>
      </c>
      <c r="H1248">
        <v>16</v>
      </c>
      <c r="I1248">
        <v>4</v>
      </c>
      <c r="J1248" s="19" t="s">
        <v>58</v>
      </c>
      <c r="K1248">
        <v>987</v>
      </c>
      <c r="L1248">
        <v>3</v>
      </c>
      <c r="M1248" s="19" t="s">
        <v>51</v>
      </c>
      <c r="N1248">
        <v>4</v>
      </c>
      <c r="O1248">
        <v>2</v>
      </c>
      <c r="P1248" s="19" t="s">
        <v>120</v>
      </c>
      <c r="Q1248">
        <v>3</v>
      </c>
      <c r="R1248" s="19" t="s">
        <v>53</v>
      </c>
      <c r="S1248">
        <v>20956</v>
      </c>
      <c r="T1248" s="19" t="s">
        <v>54</v>
      </c>
      <c r="U1248">
        <v>130.97999999999999</v>
      </c>
      <c r="V1248">
        <v>1</v>
      </c>
      <c r="W1248" s="19" t="s">
        <v>47</v>
      </c>
      <c r="X1248">
        <v>19</v>
      </c>
      <c r="Y1248">
        <v>3</v>
      </c>
      <c r="Z1248">
        <v>3</v>
      </c>
      <c r="AA1248">
        <v>0</v>
      </c>
      <c r="AB1248">
        <v>20</v>
      </c>
      <c r="AC1248">
        <v>3</v>
      </c>
      <c r="AD1248">
        <v>4</v>
      </c>
      <c r="AE1248">
        <v>19</v>
      </c>
      <c r="AF1248">
        <v>10</v>
      </c>
      <c r="AG1248">
        <v>2</v>
      </c>
      <c r="AH1248">
        <v>7</v>
      </c>
      <c r="AI1248">
        <v>0</v>
      </c>
      <c r="AJ1248" s="19" t="s">
        <v>1571</v>
      </c>
      <c r="AK1248" s="19" t="s">
        <v>1562</v>
      </c>
      <c r="AL1248">
        <v>1</v>
      </c>
      <c r="AM1248" s="19" t="s">
        <v>1565</v>
      </c>
      <c r="AN1248">
        <v>-0.5269027831403752</v>
      </c>
      <c r="AO1248">
        <v>251472</v>
      </c>
    </row>
    <row r="1249" spans="1:41" x14ac:dyDescent="0.3">
      <c r="A1249" s="19" t="s">
        <v>1316</v>
      </c>
      <c r="B1249">
        <v>47</v>
      </c>
      <c r="C1249" s="19" t="s">
        <v>1272</v>
      </c>
      <c r="D1249" s="19" t="s">
        <v>55</v>
      </c>
      <c r="E1249" s="19" t="s">
        <v>48</v>
      </c>
      <c r="F1249">
        <v>955</v>
      </c>
      <c r="G1249" s="19" t="s">
        <v>932</v>
      </c>
      <c r="H1249">
        <v>4</v>
      </c>
      <c r="I1249">
        <v>2</v>
      </c>
      <c r="J1249" s="19" t="s">
        <v>50</v>
      </c>
      <c r="K1249">
        <v>1003</v>
      </c>
      <c r="L1249">
        <v>4</v>
      </c>
      <c r="M1249" s="19" t="s">
        <v>59</v>
      </c>
      <c r="N1249">
        <v>3</v>
      </c>
      <c r="O1249">
        <v>2</v>
      </c>
      <c r="P1249" s="19" t="s">
        <v>145</v>
      </c>
      <c r="Q1249">
        <v>4</v>
      </c>
      <c r="R1249" s="19" t="s">
        <v>53</v>
      </c>
      <c r="S1249">
        <v>88895</v>
      </c>
      <c r="T1249" s="19" t="s">
        <v>70</v>
      </c>
      <c r="U1249">
        <v>555.59</v>
      </c>
      <c r="V1249">
        <v>1</v>
      </c>
      <c r="W1249" s="19" t="s">
        <v>47</v>
      </c>
      <c r="X1249">
        <v>17</v>
      </c>
      <c r="Y1249">
        <v>3</v>
      </c>
      <c r="Z1249">
        <v>3</v>
      </c>
      <c r="AA1249">
        <v>0</v>
      </c>
      <c r="AB1249">
        <v>9</v>
      </c>
      <c r="AC1249">
        <v>0</v>
      </c>
      <c r="AD1249">
        <v>3</v>
      </c>
      <c r="AE1249">
        <v>9</v>
      </c>
      <c r="AF1249">
        <v>0</v>
      </c>
      <c r="AG1249">
        <v>0</v>
      </c>
      <c r="AH1249">
        <v>7</v>
      </c>
      <c r="AI1249">
        <v>0</v>
      </c>
      <c r="AJ1249" s="19" t="s">
        <v>1569</v>
      </c>
      <c r="AK1249" s="19" t="s">
        <v>1562</v>
      </c>
      <c r="AL1249">
        <v>1</v>
      </c>
      <c r="AM1249" s="19" t="s">
        <v>1565</v>
      </c>
      <c r="AN1249">
        <v>0.8120399338986839</v>
      </c>
      <c r="AO1249">
        <v>1066740</v>
      </c>
    </row>
    <row r="1250" spans="1:41" x14ac:dyDescent="0.3">
      <c r="A1250" s="19" t="s">
        <v>1317</v>
      </c>
      <c r="B1250">
        <v>47</v>
      </c>
      <c r="C1250" s="19" t="s">
        <v>1272</v>
      </c>
      <c r="D1250" s="19" t="s">
        <v>55</v>
      </c>
      <c r="E1250" s="19" t="s">
        <v>48</v>
      </c>
      <c r="F1250">
        <v>465</v>
      </c>
      <c r="G1250" s="19" t="s">
        <v>735</v>
      </c>
      <c r="H1250">
        <v>1</v>
      </c>
      <c r="I1250">
        <v>3</v>
      </c>
      <c r="J1250" s="19" t="s">
        <v>77</v>
      </c>
      <c r="K1250">
        <v>1438</v>
      </c>
      <c r="L1250">
        <v>1</v>
      </c>
      <c r="M1250" s="19" t="s">
        <v>51</v>
      </c>
      <c r="N1250">
        <v>3</v>
      </c>
      <c r="O1250">
        <v>1</v>
      </c>
      <c r="P1250" s="19" t="s">
        <v>67</v>
      </c>
      <c r="Q1250">
        <v>4</v>
      </c>
      <c r="R1250" s="19" t="s">
        <v>113</v>
      </c>
      <c r="S1250">
        <v>47240</v>
      </c>
      <c r="T1250" s="19" t="s">
        <v>72</v>
      </c>
      <c r="U1250">
        <v>295.25</v>
      </c>
      <c r="V1250">
        <v>7</v>
      </c>
      <c r="W1250" s="19" t="s">
        <v>55</v>
      </c>
      <c r="X1250">
        <v>12</v>
      </c>
      <c r="Y1250">
        <v>3</v>
      </c>
      <c r="Z1250">
        <v>3</v>
      </c>
      <c r="AA1250">
        <v>1</v>
      </c>
      <c r="AB1250">
        <v>17</v>
      </c>
      <c r="AC1250">
        <v>2</v>
      </c>
      <c r="AD1250">
        <v>2</v>
      </c>
      <c r="AE1250">
        <v>6</v>
      </c>
      <c r="AF1250">
        <v>5</v>
      </c>
      <c r="AG1250">
        <v>1</v>
      </c>
      <c r="AH1250">
        <v>2</v>
      </c>
      <c r="AI1250">
        <v>0</v>
      </c>
      <c r="AJ1250" s="19" t="s">
        <v>1569</v>
      </c>
      <c r="AK1250" s="19" t="s">
        <v>1562</v>
      </c>
      <c r="AL1250">
        <v>1</v>
      </c>
      <c r="AM1250" s="19" t="s">
        <v>1565</v>
      </c>
      <c r="AN1250">
        <v>-5.2663076985412435E-2</v>
      </c>
      <c r="AO1250">
        <v>566880</v>
      </c>
    </row>
    <row r="1251" spans="1:41" x14ac:dyDescent="0.3">
      <c r="A1251" s="19" t="s">
        <v>1318</v>
      </c>
      <c r="B1251">
        <v>47</v>
      </c>
      <c r="C1251" s="19" t="s">
        <v>1272</v>
      </c>
      <c r="D1251" s="19" t="s">
        <v>55</v>
      </c>
      <c r="E1251" s="19" t="s">
        <v>48</v>
      </c>
      <c r="F1251">
        <v>359</v>
      </c>
      <c r="G1251" s="19" t="s">
        <v>735</v>
      </c>
      <c r="H1251">
        <v>2</v>
      </c>
      <c r="I1251">
        <v>4</v>
      </c>
      <c r="J1251" s="19" t="s">
        <v>58</v>
      </c>
      <c r="K1251">
        <v>1443</v>
      </c>
      <c r="L1251">
        <v>1</v>
      </c>
      <c r="M1251" s="19" t="s">
        <v>59</v>
      </c>
      <c r="N1251">
        <v>3</v>
      </c>
      <c r="O1251">
        <v>4</v>
      </c>
      <c r="P1251" s="19" t="s">
        <v>257</v>
      </c>
      <c r="Q1251">
        <v>3</v>
      </c>
      <c r="R1251" s="19" t="s">
        <v>113</v>
      </c>
      <c r="S1251">
        <v>38148</v>
      </c>
      <c r="T1251" s="19" t="s">
        <v>72</v>
      </c>
      <c r="U1251">
        <v>238.42</v>
      </c>
      <c r="V1251">
        <v>3</v>
      </c>
      <c r="W1251" s="19" t="s">
        <v>55</v>
      </c>
      <c r="X1251">
        <v>19</v>
      </c>
      <c r="Y1251">
        <v>3</v>
      </c>
      <c r="Z1251">
        <v>2</v>
      </c>
      <c r="AA1251">
        <v>2</v>
      </c>
      <c r="AB1251">
        <v>26</v>
      </c>
      <c r="AC1251">
        <v>2</v>
      </c>
      <c r="AD1251">
        <v>4</v>
      </c>
      <c r="AE1251">
        <v>20</v>
      </c>
      <c r="AF1251">
        <v>17</v>
      </c>
      <c r="AG1251">
        <v>5</v>
      </c>
      <c r="AH1251">
        <v>6</v>
      </c>
      <c r="AI1251">
        <v>0</v>
      </c>
      <c r="AJ1251" s="19" t="s">
        <v>1571</v>
      </c>
      <c r="AK1251" s="19" t="s">
        <v>1570</v>
      </c>
      <c r="AL1251">
        <v>1</v>
      </c>
      <c r="AM1251" s="19" t="s">
        <v>1565</v>
      </c>
      <c r="AN1251">
        <v>-0.2470255703981647</v>
      </c>
      <c r="AO1251">
        <v>457776</v>
      </c>
    </row>
    <row r="1252" spans="1:41" x14ac:dyDescent="0.3">
      <c r="A1252" s="19" t="s">
        <v>1319</v>
      </c>
      <c r="B1252">
        <v>47</v>
      </c>
      <c r="C1252" s="19" t="s">
        <v>1272</v>
      </c>
      <c r="D1252" s="19" t="s">
        <v>55</v>
      </c>
      <c r="E1252" s="19" t="s">
        <v>48</v>
      </c>
      <c r="F1252">
        <v>571</v>
      </c>
      <c r="G1252" s="19" t="s">
        <v>932</v>
      </c>
      <c r="H1252">
        <v>14</v>
      </c>
      <c r="I1252">
        <v>3</v>
      </c>
      <c r="J1252" s="19" t="s">
        <v>58</v>
      </c>
      <c r="K1252">
        <v>1503</v>
      </c>
      <c r="L1252">
        <v>3</v>
      </c>
      <c r="M1252" s="19" t="s">
        <v>59</v>
      </c>
      <c r="N1252">
        <v>3</v>
      </c>
      <c r="O1252">
        <v>2</v>
      </c>
      <c r="P1252" s="19" t="s">
        <v>145</v>
      </c>
      <c r="Q1252">
        <v>3</v>
      </c>
      <c r="R1252" s="19" t="s">
        <v>113</v>
      </c>
      <c r="S1252">
        <v>95270</v>
      </c>
      <c r="T1252" s="19" t="s">
        <v>70</v>
      </c>
      <c r="U1252">
        <v>595.44000000000005</v>
      </c>
      <c r="V1252">
        <v>3</v>
      </c>
      <c r="W1252" s="19" t="s">
        <v>47</v>
      </c>
      <c r="X1252">
        <v>17</v>
      </c>
      <c r="Y1252">
        <v>3</v>
      </c>
      <c r="Z1252">
        <v>3</v>
      </c>
      <c r="AA1252">
        <v>1</v>
      </c>
      <c r="AB1252">
        <v>11</v>
      </c>
      <c r="AC1252">
        <v>4</v>
      </c>
      <c r="AD1252">
        <v>2</v>
      </c>
      <c r="AE1252">
        <v>5</v>
      </c>
      <c r="AF1252">
        <v>4</v>
      </c>
      <c r="AG1252">
        <v>1</v>
      </c>
      <c r="AH1252">
        <v>2</v>
      </c>
      <c r="AI1252">
        <v>0</v>
      </c>
      <c r="AJ1252" s="19" t="s">
        <v>1567</v>
      </c>
      <c r="AK1252" s="19" t="s">
        <v>1562</v>
      </c>
      <c r="AL1252">
        <v>2</v>
      </c>
      <c r="AM1252" s="19" t="s">
        <v>1564</v>
      </c>
      <c r="AN1252">
        <v>0.94198823896200701</v>
      </c>
      <c r="AO1252">
        <v>1143240</v>
      </c>
    </row>
    <row r="1253" spans="1:41" x14ac:dyDescent="0.3">
      <c r="A1253" s="19" t="s">
        <v>1320</v>
      </c>
      <c r="B1253">
        <v>47</v>
      </c>
      <c r="C1253" s="19" t="s">
        <v>1272</v>
      </c>
      <c r="D1253" s="19" t="s">
        <v>55</v>
      </c>
      <c r="E1253" s="19" t="s">
        <v>48</v>
      </c>
      <c r="F1253">
        <v>1176</v>
      </c>
      <c r="G1253" s="19" t="s">
        <v>80</v>
      </c>
      <c r="H1253">
        <v>26</v>
      </c>
      <c r="I1253">
        <v>4</v>
      </c>
      <c r="J1253" s="19" t="s">
        <v>50</v>
      </c>
      <c r="K1253">
        <v>1625</v>
      </c>
      <c r="L1253">
        <v>4</v>
      </c>
      <c r="M1253" s="19" t="s">
        <v>59</v>
      </c>
      <c r="N1253">
        <v>3</v>
      </c>
      <c r="O1253">
        <v>5</v>
      </c>
      <c r="P1253" s="19" t="s">
        <v>444</v>
      </c>
      <c r="Q1253">
        <v>3</v>
      </c>
      <c r="R1253" s="19" t="s">
        <v>113</v>
      </c>
      <c r="S1253">
        <v>5757</v>
      </c>
      <c r="T1253" s="19" t="s">
        <v>54</v>
      </c>
      <c r="U1253">
        <v>35.979999999999997</v>
      </c>
      <c r="V1253">
        <v>3</v>
      </c>
      <c r="W1253" s="19" t="s">
        <v>55</v>
      </c>
      <c r="X1253">
        <v>11</v>
      </c>
      <c r="Y1253">
        <v>3</v>
      </c>
      <c r="Z1253">
        <v>3</v>
      </c>
      <c r="AA1253">
        <v>1</v>
      </c>
      <c r="AB1253">
        <v>27</v>
      </c>
      <c r="AC1253">
        <v>2</v>
      </c>
      <c r="AD1253">
        <v>3</v>
      </c>
      <c r="AE1253">
        <v>5</v>
      </c>
      <c r="AF1253">
        <v>2</v>
      </c>
      <c r="AG1253">
        <v>1</v>
      </c>
      <c r="AH1253">
        <v>0</v>
      </c>
      <c r="AI1253">
        <v>0</v>
      </c>
      <c r="AJ1253" s="19" t="s">
        <v>1567</v>
      </c>
      <c r="AK1253" s="19" t="s">
        <v>1562</v>
      </c>
      <c r="AL1253">
        <v>0</v>
      </c>
      <c r="AM1253" s="19" t="s">
        <v>1563</v>
      </c>
      <c r="AN1253">
        <v>-0.88970908082824407</v>
      </c>
      <c r="AO1253">
        <v>69084</v>
      </c>
    </row>
    <row r="1254" spans="1:41" x14ac:dyDescent="0.3">
      <c r="A1254" s="19" t="s">
        <v>1321</v>
      </c>
      <c r="B1254">
        <v>47</v>
      </c>
      <c r="C1254" s="19" t="s">
        <v>1272</v>
      </c>
      <c r="D1254" s="19" t="s">
        <v>55</v>
      </c>
      <c r="E1254" s="19" t="s">
        <v>48</v>
      </c>
      <c r="F1254">
        <v>1225</v>
      </c>
      <c r="G1254" s="19" t="s">
        <v>932</v>
      </c>
      <c r="H1254">
        <v>2</v>
      </c>
      <c r="I1254">
        <v>4</v>
      </c>
      <c r="J1254" s="19" t="s">
        <v>50</v>
      </c>
      <c r="K1254">
        <v>1676</v>
      </c>
      <c r="L1254">
        <v>2</v>
      </c>
      <c r="M1254" s="19" t="s">
        <v>59</v>
      </c>
      <c r="N1254">
        <v>4</v>
      </c>
      <c r="O1254">
        <v>4</v>
      </c>
      <c r="P1254" s="19" t="s">
        <v>444</v>
      </c>
      <c r="Q1254">
        <v>2</v>
      </c>
      <c r="R1254" s="19" t="s">
        <v>113</v>
      </c>
      <c r="S1254">
        <v>20097</v>
      </c>
      <c r="T1254" s="19" t="s">
        <v>54</v>
      </c>
      <c r="U1254">
        <v>125.61</v>
      </c>
      <c r="V1254">
        <v>6</v>
      </c>
      <c r="W1254" s="19" t="s">
        <v>55</v>
      </c>
      <c r="X1254">
        <v>14</v>
      </c>
      <c r="Y1254">
        <v>3</v>
      </c>
      <c r="Z1254">
        <v>3</v>
      </c>
      <c r="AA1254">
        <v>3</v>
      </c>
      <c r="AB1254">
        <v>29</v>
      </c>
      <c r="AC1254">
        <v>2</v>
      </c>
      <c r="AD1254">
        <v>3</v>
      </c>
      <c r="AE1254">
        <v>3</v>
      </c>
      <c r="AF1254">
        <v>2</v>
      </c>
      <c r="AG1254">
        <v>1</v>
      </c>
      <c r="AH1254">
        <v>2</v>
      </c>
      <c r="AI1254">
        <v>0</v>
      </c>
      <c r="AJ1254" s="19" t="s">
        <v>1566</v>
      </c>
      <c r="AK1254" s="19" t="s">
        <v>1562</v>
      </c>
      <c r="AL1254">
        <v>1</v>
      </c>
      <c r="AM1254" s="19" t="s">
        <v>1565</v>
      </c>
      <c r="AN1254">
        <v>-0.61498756251610565</v>
      </c>
      <c r="AO1254">
        <v>241164</v>
      </c>
    </row>
    <row r="1255" spans="1:41" x14ac:dyDescent="0.3">
      <c r="A1255" s="19" t="s">
        <v>1322</v>
      </c>
      <c r="B1255">
        <v>47</v>
      </c>
      <c r="C1255" s="19" t="s">
        <v>1272</v>
      </c>
      <c r="D1255" s="19" t="s">
        <v>47</v>
      </c>
      <c r="E1255" s="19" t="s">
        <v>62</v>
      </c>
      <c r="F1255">
        <v>1093</v>
      </c>
      <c r="G1255" s="19" t="s">
        <v>932</v>
      </c>
      <c r="H1255">
        <v>9</v>
      </c>
      <c r="I1255">
        <v>3</v>
      </c>
      <c r="J1255" s="19" t="s">
        <v>50</v>
      </c>
      <c r="K1255">
        <v>1716</v>
      </c>
      <c r="L1255">
        <v>3</v>
      </c>
      <c r="M1255" s="19" t="s">
        <v>51</v>
      </c>
      <c r="N1255">
        <v>1</v>
      </c>
      <c r="O1255">
        <v>4</v>
      </c>
      <c r="P1255" s="19" t="s">
        <v>145</v>
      </c>
      <c r="Q1255">
        <v>3</v>
      </c>
      <c r="R1255" s="19" t="s">
        <v>113</v>
      </c>
      <c r="S1255">
        <v>11395</v>
      </c>
      <c r="T1255" s="19" t="s">
        <v>54</v>
      </c>
      <c r="U1255">
        <v>71.22</v>
      </c>
      <c r="V1255">
        <v>7</v>
      </c>
      <c r="W1255" s="19" t="s">
        <v>55</v>
      </c>
      <c r="X1255">
        <v>11</v>
      </c>
      <c r="Y1255">
        <v>3</v>
      </c>
      <c r="Z1255">
        <v>3</v>
      </c>
      <c r="AA1255">
        <v>0</v>
      </c>
      <c r="AB1255">
        <v>25</v>
      </c>
      <c r="AC1255">
        <v>3</v>
      </c>
      <c r="AD1255">
        <v>1</v>
      </c>
      <c r="AE1255">
        <v>23</v>
      </c>
      <c r="AF1255">
        <v>5</v>
      </c>
      <c r="AG1255">
        <v>14</v>
      </c>
      <c r="AH1255">
        <v>10</v>
      </c>
      <c r="AI1255">
        <v>1</v>
      </c>
      <c r="AJ1255" s="19" t="s">
        <v>1571</v>
      </c>
      <c r="AK1255" s="19" t="s">
        <v>1570</v>
      </c>
      <c r="AL1255">
        <v>2</v>
      </c>
      <c r="AM1255" s="19" t="s">
        <v>1564</v>
      </c>
      <c r="AN1255">
        <v>-0.76772377471426401</v>
      </c>
      <c r="AO1255">
        <v>136740</v>
      </c>
    </row>
    <row r="1256" spans="1:41" x14ac:dyDescent="0.3">
      <c r="A1256" s="19" t="s">
        <v>1323</v>
      </c>
      <c r="B1256">
        <v>47</v>
      </c>
      <c r="C1256" s="19" t="s">
        <v>1272</v>
      </c>
      <c r="D1256" s="19" t="s">
        <v>55</v>
      </c>
      <c r="E1256" s="19" t="s">
        <v>66</v>
      </c>
      <c r="F1256">
        <v>543</v>
      </c>
      <c r="G1256" s="19" t="s">
        <v>932</v>
      </c>
      <c r="H1256">
        <v>2</v>
      </c>
      <c r="I1256">
        <v>4</v>
      </c>
      <c r="J1256" s="19" t="s">
        <v>63</v>
      </c>
      <c r="K1256">
        <v>1731</v>
      </c>
      <c r="L1256">
        <v>3</v>
      </c>
      <c r="M1256" s="19" t="s">
        <v>51</v>
      </c>
      <c r="N1256">
        <v>3</v>
      </c>
      <c r="O1256">
        <v>2</v>
      </c>
      <c r="P1256" s="19" t="s">
        <v>145</v>
      </c>
      <c r="Q1256">
        <v>2</v>
      </c>
      <c r="R1256" s="19" t="s">
        <v>113</v>
      </c>
      <c r="S1256">
        <v>17241</v>
      </c>
      <c r="T1256" s="19" t="s">
        <v>54</v>
      </c>
      <c r="U1256">
        <v>107.76</v>
      </c>
      <c r="V1256">
        <v>7</v>
      </c>
      <c r="W1256" s="19" t="s">
        <v>55</v>
      </c>
      <c r="X1256">
        <v>11</v>
      </c>
      <c r="Y1256">
        <v>3</v>
      </c>
      <c r="Z1256">
        <v>4</v>
      </c>
      <c r="AA1256">
        <v>1</v>
      </c>
      <c r="AB1256">
        <v>4</v>
      </c>
      <c r="AC1256">
        <v>3</v>
      </c>
      <c r="AD1256">
        <v>1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 s="19" t="s">
        <v>1561</v>
      </c>
      <c r="AK1256" s="19" t="s">
        <v>1562</v>
      </c>
      <c r="AL1256">
        <v>2</v>
      </c>
      <c r="AM1256" s="19" t="s">
        <v>1564</v>
      </c>
      <c r="AN1256">
        <v>-0.64855863096521504</v>
      </c>
      <c r="AO1256">
        <v>206892</v>
      </c>
    </row>
    <row r="1257" spans="1:41" x14ac:dyDescent="0.3">
      <c r="A1257" s="19" t="s">
        <v>1324</v>
      </c>
      <c r="B1257">
        <v>47</v>
      </c>
      <c r="C1257" s="19" t="s">
        <v>1272</v>
      </c>
      <c r="D1257" s="19" t="s">
        <v>55</v>
      </c>
      <c r="E1257" s="19" t="s">
        <v>48</v>
      </c>
      <c r="F1257">
        <v>1001</v>
      </c>
      <c r="G1257" s="19" t="s">
        <v>735</v>
      </c>
      <c r="H1257">
        <v>4</v>
      </c>
      <c r="I1257">
        <v>3</v>
      </c>
      <c r="J1257" s="19" t="s">
        <v>50</v>
      </c>
      <c r="K1257">
        <v>1827</v>
      </c>
      <c r="L1257">
        <v>3</v>
      </c>
      <c r="M1257" s="19" t="s">
        <v>59</v>
      </c>
      <c r="N1257">
        <v>2</v>
      </c>
      <c r="O1257">
        <v>3</v>
      </c>
      <c r="P1257" s="19" t="s">
        <v>120</v>
      </c>
      <c r="Q1257">
        <v>2</v>
      </c>
      <c r="R1257" s="19" t="s">
        <v>113</v>
      </c>
      <c r="S1257">
        <v>28696</v>
      </c>
      <c r="T1257" s="19" t="s">
        <v>72</v>
      </c>
      <c r="U1257">
        <v>179.35</v>
      </c>
      <c r="V1257">
        <v>8</v>
      </c>
      <c r="W1257" s="19" t="s">
        <v>47</v>
      </c>
      <c r="X1257">
        <v>12</v>
      </c>
      <c r="Y1257">
        <v>3</v>
      </c>
      <c r="Z1257">
        <v>3</v>
      </c>
      <c r="AA1257">
        <v>1</v>
      </c>
      <c r="AB1257">
        <v>28</v>
      </c>
      <c r="AC1257">
        <v>4</v>
      </c>
      <c r="AD1257">
        <v>3</v>
      </c>
      <c r="AE1257">
        <v>22</v>
      </c>
      <c r="AF1257">
        <v>11</v>
      </c>
      <c r="AG1257">
        <v>14</v>
      </c>
      <c r="AH1257">
        <v>10</v>
      </c>
      <c r="AI1257">
        <v>0</v>
      </c>
      <c r="AJ1257" s="19" t="s">
        <v>1571</v>
      </c>
      <c r="AK1257" s="19" t="s">
        <v>1570</v>
      </c>
      <c r="AL1257">
        <v>3</v>
      </c>
      <c r="AM1257" s="19" t="s">
        <v>1568</v>
      </c>
      <c r="AN1257">
        <v>-0.35216655206128111</v>
      </c>
      <c r="AO1257">
        <v>344352</v>
      </c>
    </row>
    <row r="1258" spans="1:41" x14ac:dyDescent="0.3">
      <c r="A1258" s="19" t="s">
        <v>1325</v>
      </c>
      <c r="B1258">
        <v>47</v>
      </c>
      <c r="C1258" s="19" t="s">
        <v>1272</v>
      </c>
      <c r="D1258" s="19" t="s">
        <v>55</v>
      </c>
      <c r="E1258" s="19" t="s">
        <v>48</v>
      </c>
      <c r="F1258">
        <v>207</v>
      </c>
      <c r="G1258" s="19" t="s">
        <v>735</v>
      </c>
      <c r="H1258">
        <v>9</v>
      </c>
      <c r="I1258">
        <v>4</v>
      </c>
      <c r="J1258" s="19" t="s">
        <v>50</v>
      </c>
      <c r="K1258">
        <v>1856</v>
      </c>
      <c r="L1258">
        <v>2</v>
      </c>
      <c r="M1258" s="19" t="s">
        <v>59</v>
      </c>
      <c r="N1258">
        <v>3</v>
      </c>
      <c r="O1258">
        <v>1</v>
      </c>
      <c r="P1258" s="19" t="s">
        <v>52</v>
      </c>
      <c r="Q1258">
        <v>3</v>
      </c>
      <c r="R1258" s="19" t="s">
        <v>53</v>
      </c>
      <c r="S1258">
        <v>71480</v>
      </c>
      <c r="T1258" s="19" t="s">
        <v>64</v>
      </c>
      <c r="U1258">
        <v>446.75</v>
      </c>
      <c r="V1258">
        <v>4</v>
      </c>
      <c r="W1258" s="19" t="s">
        <v>55</v>
      </c>
      <c r="X1258">
        <v>12</v>
      </c>
      <c r="Y1258">
        <v>3</v>
      </c>
      <c r="Z1258">
        <v>3</v>
      </c>
      <c r="AA1258">
        <v>0</v>
      </c>
      <c r="AB1258">
        <v>7</v>
      </c>
      <c r="AC1258">
        <v>2</v>
      </c>
      <c r="AD1258">
        <v>3</v>
      </c>
      <c r="AE1258">
        <v>2</v>
      </c>
      <c r="AF1258">
        <v>2</v>
      </c>
      <c r="AG1258">
        <v>2</v>
      </c>
      <c r="AH1258">
        <v>0</v>
      </c>
      <c r="AI1258">
        <v>0</v>
      </c>
      <c r="AJ1258" s="19" t="s">
        <v>1566</v>
      </c>
      <c r="AK1258" s="19" t="s">
        <v>1562</v>
      </c>
      <c r="AL1258">
        <v>0</v>
      </c>
      <c r="AM1258" s="19" t="s">
        <v>1563</v>
      </c>
      <c r="AN1258">
        <v>0.38204123955303354</v>
      </c>
      <c r="AO1258">
        <v>857760</v>
      </c>
    </row>
    <row r="1259" spans="1:41" x14ac:dyDescent="0.3">
      <c r="A1259" s="19" t="s">
        <v>1326</v>
      </c>
      <c r="B1259">
        <v>47</v>
      </c>
      <c r="C1259" s="19" t="s">
        <v>1272</v>
      </c>
      <c r="D1259" s="19" t="s">
        <v>55</v>
      </c>
      <c r="E1259" s="19" t="s">
        <v>66</v>
      </c>
      <c r="F1259">
        <v>1169</v>
      </c>
      <c r="G1259" s="19" t="s">
        <v>735</v>
      </c>
      <c r="H1259">
        <v>14</v>
      </c>
      <c r="I1259">
        <v>4</v>
      </c>
      <c r="J1259" s="19" t="s">
        <v>77</v>
      </c>
      <c r="K1259">
        <v>1934</v>
      </c>
      <c r="L1259">
        <v>3</v>
      </c>
      <c r="M1259" s="19" t="s">
        <v>51</v>
      </c>
      <c r="N1259">
        <v>3</v>
      </c>
      <c r="O1259">
        <v>2</v>
      </c>
      <c r="P1259" s="19" t="s">
        <v>67</v>
      </c>
      <c r="Q1259">
        <v>2</v>
      </c>
      <c r="R1259" s="19" t="s">
        <v>113</v>
      </c>
      <c r="S1259">
        <v>47163</v>
      </c>
      <c r="T1259" s="19" t="s">
        <v>72</v>
      </c>
      <c r="U1259">
        <v>294.77</v>
      </c>
      <c r="V1259">
        <v>8</v>
      </c>
      <c r="W1259" s="19" t="s">
        <v>55</v>
      </c>
      <c r="X1259">
        <v>18</v>
      </c>
      <c r="Y1259">
        <v>3</v>
      </c>
      <c r="Z1259">
        <v>3</v>
      </c>
      <c r="AA1259">
        <v>1</v>
      </c>
      <c r="AB1259">
        <v>16</v>
      </c>
      <c r="AC1259">
        <v>4</v>
      </c>
      <c r="AD1259">
        <v>4</v>
      </c>
      <c r="AE1259">
        <v>8</v>
      </c>
      <c r="AF1259">
        <v>7</v>
      </c>
      <c r="AG1259">
        <v>1</v>
      </c>
      <c r="AH1259">
        <v>7</v>
      </c>
      <c r="AI1259">
        <v>0</v>
      </c>
      <c r="AJ1259" s="19" t="s">
        <v>1569</v>
      </c>
      <c r="AK1259" s="19" t="s">
        <v>1562</v>
      </c>
      <c r="AL1259">
        <v>1</v>
      </c>
      <c r="AM1259" s="19" t="s">
        <v>1565</v>
      </c>
      <c r="AN1259">
        <v>-5.420721210548278E-2</v>
      </c>
      <c r="AO1259">
        <v>565956</v>
      </c>
    </row>
    <row r="1260" spans="1:41" x14ac:dyDescent="0.3">
      <c r="A1260" s="19" t="s">
        <v>1327</v>
      </c>
      <c r="B1260">
        <v>47</v>
      </c>
      <c r="C1260" s="19" t="s">
        <v>1272</v>
      </c>
      <c r="D1260" s="19" t="s">
        <v>55</v>
      </c>
      <c r="E1260" s="19" t="s">
        <v>48</v>
      </c>
      <c r="F1260">
        <v>1180</v>
      </c>
      <c r="G1260" s="19" t="s">
        <v>735</v>
      </c>
      <c r="H1260">
        <v>25</v>
      </c>
      <c r="I1260">
        <v>3</v>
      </c>
      <c r="J1260" s="19" t="s">
        <v>58</v>
      </c>
      <c r="K1260">
        <v>1993</v>
      </c>
      <c r="L1260">
        <v>1</v>
      </c>
      <c r="M1260" s="19" t="s">
        <v>51</v>
      </c>
      <c r="N1260">
        <v>3</v>
      </c>
      <c r="O1260">
        <v>3</v>
      </c>
      <c r="P1260" s="19" t="s">
        <v>168</v>
      </c>
      <c r="Q1260">
        <v>3</v>
      </c>
      <c r="R1260" s="19" t="s">
        <v>53</v>
      </c>
      <c r="S1260">
        <v>20816</v>
      </c>
      <c r="T1260" s="19" t="s">
        <v>54</v>
      </c>
      <c r="U1260">
        <v>130.1</v>
      </c>
      <c r="V1260">
        <v>2</v>
      </c>
      <c r="W1260" s="19" t="s">
        <v>55</v>
      </c>
      <c r="X1260">
        <v>23</v>
      </c>
      <c r="Y1260">
        <v>4</v>
      </c>
      <c r="Z1260">
        <v>2</v>
      </c>
      <c r="AA1260">
        <v>0</v>
      </c>
      <c r="AB1260">
        <v>25</v>
      </c>
      <c r="AC1260">
        <v>3</v>
      </c>
      <c r="AD1260">
        <v>3</v>
      </c>
      <c r="AE1260">
        <v>17</v>
      </c>
      <c r="AF1260">
        <v>14</v>
      </c>
      <c r="AG1260">
        <v>12</v>
      </c>
      <c r="AH1260">
        <v>11</v>
      </c>
      <c r="AI1260">
        <v>0</v>
      </c>
      <c r="AJ1260" s="19" t="s">
        <v>1571</v>
      </c>
      <c r="AK1260" s="19" t="s">
        <v>1570</v>
      </c>
      <c r="AL1260">
        <v>1</v>
      </c>
      <c r="AM1260" s="19" t="s">
        <v>1565</v>
      </c>
      <c r="AN1260">
        <v>-0.56803547924250863</v>
      </c>
      <c r="AO1260">
        <v>249792</v>
      </c>
    </row>
    <row r="1261" spans="1:41" x14ac:dyDescent="0.3">
      <c r="A1261" s="19" t="s">
        <v>1328</v>
      </c>
      <c r="B1261">
        <v>47</v>
      </c>
      <c r="C1261" s="19" t="s">
        <v>1272</v>
      </c>
      <c r="D1261" s="19" t="s">
        <v>55</v>
      </c>
      <c r="E1261" s="19" t="s">
        <v>66</v>
      </c>
      <c r="F1261">
        <v>1162</v>
      </c>
      <c r="G1261" s="19" t="s">
        <v>735</v>
      </c>
      <c r="H1261">
        <v>1</v>
      </c>
      <c r="I1261">
        <v>1</v>
      </c>
      <c r="J1261" s="19" t="s">
        <v>58</v>
      </c>
      <c r="K1261">
        <v>2000</v>
      </c>
      <c r="L1261">
        <v>3</v>
      </c>
      <c r="M1261" s="19" t="s">
        <v>59</v>
      </c>
      <c r="N1261">
        <v>3</v>
      </c>
      <c r="O1261">
        <v>3</v>
      </c>
      <c r="P1261" s="19" t="s">
        <v>257</v>
      </c>
      <c r="Q1261">
        <v>2</v>
      </c>
      <c r="R1261" s="19" t="s">
        <v>113</v>
      </c>
      <c r="S1261">
        <v>50840</v>
      </c>
      <c r="T1261" s="19" t="s">
        <v>64</v>
      </c>
      <c r="U1261">
        <v>317.75</v>
      </c>
      <c r="V1261">
        <v>0</v>
      </c>
      <c r="W1261" s="19" t="s">
        <v>55</v>
      </c>
      <c r="X1261">
        <v>18</v>
      </c>
      <c r="Y1261">
        <v>3</v>
      </c>
      <c r="Z1261">
        <v>1</v>
      </c>
      <c r="AA1261">
        <v>2</v>
      </c>
      <c r="AB1261">
        <v>14</v>
      </c>
      <c r="AC1261">
        <v>3</v>
      </c>
      <c r="AD1261">
        <v>1</v>
      </c>
      <c r="AE1261">
        <v>13</v>
      </c>
      <c r="AF1261">
        <v>8</v>
      </c>
      <c r="AG1261">
        <v>5</v>
      </c>
      <c r="AH1261">
        <v>12</v>
      </c>
      <c r="AI1261">
        <v>0</v>
      </c>
      <c r="AJ1261" s="19" t="s">
        <v>1571</v>
      </c>
      <c r="AK1261" s="19" t="s">
        <v>1570</v>
      </c>
      <c r="AL1261">
        <v>3</v>
      </c>
      <c r="AM1261" s="19" t="s">
        <v>1568</v>
      </c>
      <c r="AN1261">
        <v>3.4921883442724888E-3</v>
      </c>
      <c r="AO1261">
        <v>610080</v>
      </c>
    </row>
    <row r="1262" spans="1:41" x14ac:dyDescent="0.3">
      <c r="A1262" s="19" t="s">
        <v>1329</v>
      </c>
      <c r="B1262">
        <v>48</v>
      </c>
      <c r="C1262" s="19" t="s">
        <v>1272</v>
      </c>
      <c r="D1262" s="19" t="s">
        <v>47</v>
      </c>
      <c r="E1262" s="19" t="s">
        <v>48</v>
      </c>
      <c r="F1262">
        <v>626</v>
      </c>
      <c r="G1262" s="19" t="s">
        <v>735</v>
      </c>
      <c r="H1262">
        <v>1</v>
      </c>
      <c r="I1262">
        <v>2</v>
      </c>
      <c r="J1262" s="19" t="s">
        <v>50</v>
      </c>
      <c r="K1262">
        <v>64</v>
      </c>
      <c r="L1262">
        <v>1</v>
      </c>
      <c r="M1262" s="19" t="s">
        <v>51</v>
      </c>
      <c r="N1262">
        <v>2</v>
      </c>
      <c r="O1262">
        <v>3</v>
      </c>
      <c r="P1262" s="19" t="s">
        <v>52</v>
      </c>
      <c r="Q1262">
        <v>3</v>
      </c>
      <c r="R1262" s="19" t="s">
        <v>53</v>
      </c>
      <c r="S1262">
        <v>53853</v>
      </c>
      <c r="T1262" s="19" t="s">
        <v>64</v>
      </c>
      <c r="U1262">
        <v>336.58</v>
      </c>
      <c r="V1262">
        <v>9</v>
      </c>
      <c r="W1262" s="19" t="s">
        <v>47</v>
      </c>
      <c r="X1262">
        <v>13</v>
      </c>
      <c r="Y1262">
        <v>3</v>
      </c>
      <c r="Z1262">
        <v>4</v>
      </c>
      <c r="AA1262">
        <v>0</v>
      </c>
      <c r="AB1262">
        <v>23</v>
      </c>
      <c r="AC1262">
        <v>2</v>
      </c>
      <c r="AD1262">
        <v>3</v>
      </c>
      <c r="AE1262">
        <v>1</v>
      </c>
      <c r="AF1262">
        <v>0</v>
      </c>
      <c r="AG1262">
        <v>0</v>
      </c>
      <c r="AH1262">
        <v>0</v>
      </c>
      <c r="AI1262">
        <v>1</v>
      </c>
      <c r="AJ1262" s="19" t="s">
        <v>1561</v>
      </c>
      <c r="AK1262" s="19" t="s">
        <v>1562</v>
      </c>
      <c r="AL1262">
        <v>1</v>
      </c>
      <c r="AM1262" s="19" t="s">
        <v>1565</v>
      </c>
      <c r="AN1262">
        <v>4.1229251170250635E-2</v>
      </c>
      <c r="AO1262">
        <v>646236</v>
      </c>
    </row>
    <row r="1263" spans="1:41" x14ac:dyDescent="0.3">
      <c r="A1263" s="19" t="s">
        <v>1330</v>
      </c>
      <c r="B1263">
        <v>48</v>
      </c>
      <c r="C1263" s="19" t="s">
        <v>1272</v>
      </c>
      <c r="D1263" s="19" t="s">
        <v>55</v>
      </c>
      <c r="E1263" s="19" t="s">
        <v>48</v>
      </c>
      <c r="F1263">
        <v>530</v>
      </c>
      <c r="G1263" s="19" t="s">
        <v>932</v>
      </c>
      <c r="H1263">
        <v>29</v>
      </c>
      <c r="I1263">
        <v>1</v>
      </c>
      <c r="J1263" s="19" t="s">
        <v>58</v>
      </c>
      <c r="K1263">
        <v>473</v>
      </c>
      <c r="L1263">
        <v>1</v>
      </c>
      <c r="M1263" s="19" t="s">
        <v>59</v>
      </c>
      <c r="N1263">
        <v>3</v>
      </c>
      <c r="O1263">
        <v>3</v>
      </c>
      <c r="P1263" s="19" t="s">
        <v>444</v>
      </c>
      <c r="Q1263">
        <v>3</v>
      </c>
      <c r="R1263" s="19" t="s">
        <v>113</v>
      </c>
      <c r="S1263">
        <v>25917</v>
      </c>
      <c r="T1263" s="19" t="s">
        <v>72</v>
      </c>
      <c r="U1263">
        <v>161.97999999999999</v>
      </c>
      <c r="V1263">
        <v>3</v>
      </c>
      <c r="W1263" s="19" t="s">
        <v>55</v>
      </c>
      <c r="X1263">
        <v>21</v>
      </c>
      <c r="Y1263">
        <v>4</v>
      </c>
      <c r="Z1263">
        <v>2</v>
      </c>
      <c r="AA1263">
        <v>1</v>
      </c>
      <c r="AB1263">
        <v>15</v>
      </c>
      <c r="AC1263">
        <v>3</v>
      </c>
      <c r="AD1263">
        <v>1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 s="19" t="s">
        <v>1561</v>
      </c>
      <c r="AK1263" s="19" t="s">
        <v>1562</v>
      </c>
      <c r="AL1263">
        <v>1</v>
      </c>
      <c r="AM1263" s="19" t="s">
        <v>1565</v>
      </c>
      <c r="AN1263">
        <v>-0.50348970780364777</v>
      </c>
      <c r="AO1263">
        <v>311004</v>
      </c>
    </row>
    <row r="1264" spans="1:41" x14ac:dyDescent="0.3">
      <c r="A1264" s="19" t="s">
        <v>1331</v>
      </c>
      <c r="B1264">
        <v>48</v>
      </c>
      <c r="C1264" s="19" t="s">
        <v>1272</v>
      </c>
      <c r="D1264" s="19" t="s">
        <v>55</v>
      </c>
      <c r="E1264" s="19" t="s">
        <v>48</v>
      </c>
      <c r="F1264">
        <v>163</v>
      </c>
      <c r="G1264" s="19" t="s">
        <v>932</v>
      </c>
      <c r="H1264">
        <v>2</v>
      </c>
      <c r="I1264">
        <v>5</v>
      </c>
      <c r="J1264" s="19" t="s">
        <v>63</v>
      </c>
      <c r="K1264">
        <v>595</v>
      </c>
      <c r="L1264">
        <v>2</v>
      </c>
      <c r="M1264" s="19" t="s">
        <v>59</v>
      </c>
      <c r="N1264">
        <v>3</v>
      </c>
      <c r="O1264">
        <v>2</v>
      </c>
      <c r="P1264" s="19" t="s">
        <v>145</v>
      </c>
      <c r="Q1264">
        <v>4</v>
      </c>
      <c r="R1264" s="19" t="s">
        <v>113</v>
      </c>
      <c r="S1264">
        <v>97731</v>
      </c>
      <c r="T1264" s="19" t="s">
        <v>70</v>
      </c>
      <c r="U1264">
        <v>610.82000000000005</v>
      </c>
      <c r="V1264">
        <v>2</v>
      </c>
      <c r="W1264" s="19" t="s">
        <v>55</v>
      </c>
      <c r="X1264">
        <v>14</v>
      </c>
      <c r="Y1264">
        <v>3</v>
      </c>
      <c r="Z1264">
        <v>1</v>
      </c>
      <c r="AA1264">
        <v>1</v>
      </c>
      <c r="AB1264">
        <v>14</v>
      </c>
      <c r="AC1264">
        <v>2</v>
      </c>
      <c r="AD1264">
        <v>3</v>
      </c>
      <c r="AE1264">
        <v>9</v>
      </c>
      <c r="AF1264">
        <v>7</v>
      </c>
      <c r="AG1264">
        <v>6</v>
      </c>
      <c r="AH1264">
        <v>7</v>
      </c>
      <c r="AI1264">
        <v>0</v>
      </c>
      <c r="AJ1264" s="19" t="s">
        <v>1569</v>
      </c>
      <c r="AK1264" s="19" t="s">
        <v>1570</v>
      </c>
      <c r="AL1264">
        <v>1</v>
      </c>
      <c r="AM1264" s="19" t="s">
        <v>1565</v>
      </c>
      <c r="AN1264">
        <v>0.99215338072841297</v>
      </c>
      <c r="AO1264">
        <v>1172772</v>
      </c>
    </row>
    <row r="1265" spans="1:41" x14ac:dyDescent="0.3">
      <c r="A1265" s="19" t="s">
        <v>1332</v>
      </c>
      <c r="B1265">
        <v>48</v>
      </c>
      <c r="C1265" s="19" t="s">
        <v>1272</v>
      </c>
      <c r="D1265" s="19" t="s">
        <v>55</v>
      </c>
      <c r="E1265" s="19" t="s">
        <v>48</v>
      </c>
      <c r="F1265">
        <v>1236</v>
      </c>
      <c r="G1265" s="19" t="s">
        <v>735</v>
      </c>
      <c r="H1265">
        <v>1</v>
      </c>
      <c r="I1265">
        <v>4</v>
      </c>
      <c r="J1265" s="19" t="s">
        <v>50</v>
      </c>
      <c r="K1265">
        <v>664</v>
      </c>
      <c r="L1265">
        <v>4</v>
      </c>
      <c r="M1265" s="19" t="s">
        <v>59</v>
      </c>
      <c r="N1265">
        <v>2</v>
      </c>
      <c r="O1265">
        <v>4</v>
      </c>
      <c r="P1265" s="19" t="s">
        <v>444</v>
      </c>
      <c r="Q1265">
        <v>1</v>
      </c>
      <c r="R1265" s="19" t="s">
        <v>113</v>
      </c>
      <c r="S1265">
        <v>22566</v>
      </c>
      <c r="T1265" s="19" t="s">
        <v>54</v>
      </c>
      <c r="U1265">
        <v>141.04</v>
      </c>
      <c r="V1265">
        <v>7</v>
      </c>
      <c r="W1265" s="19" t="s">
        <v>55</v>
      </c>
      <c r="X1265">
        <v>11</v>
      </c>
      <c r="Y1265">
        <v>3</v>
      </c>
      <c r="Z1265">
        <v>1</v>
      </c>
      <c r="AA1265">
        <v>1</v>
      </c>
      <c r="AB1265">
        <v>21</v>
      </c>
      <c r="AC1265">
        <v>3</v>
      </c>
      <c r="AD1265">
        <v>1</v>
      </c>
      <c r="AE1265">
        <v>3</v>
      </c>
      <c r="AF1265">
        <v>2</v>
      </c>
      <c r="AG1265">
        <v>0</v>
      </c>
      <c r="AH1265">
        <v>2</v>
      </c>
      <c r="AI1265">
        <v>0</v>
      </c>
      <c r="AJ1265" s="19" t="s">
        <v>1566</v>
      </c>
      <c r="AK1265" s="19" t="s">
        <v>1562</v>
      </c>
      <c r="AL1265">
        <v>2</v>
      </c>
      <c r="AM1265" s="19" t="s">
        <v>1564</v>
      </c>
      <c r="AN1265">
        <v>-0.56768718394478979</v>
      </c>
      <c r="AO1265">
        <v>270792</v>
      </c>
    </row>
    <row r="1266" spans="1:41" x14ac:dyDescent="0.3">
      <c r="A1266" s="19" t="s">
        <v>1333</v>
      </c>
      <c r="B1266">
        <v>48</v>
      </c>
      <c r="C1266" s="19" t="s">
        <v>1272</v>
      </c>
      <c r="D1266" s="19" t="s">
        <v>55</v>
      </c>
      <c r="E1266" s="19" t="s">
        <v>48</v>
      </c>
      <c r="F1266">
        <v>817</v>
      </c>
      <c r="G1266" s="19" t="s">
        <v>932</v>
      </c>
      <c r="H1266">
        <v>2</v>
      </c>
      <c r="I1266">
        <v>1</v>
      </c>
      <c r="J1266" s="19" t="s">
        <v>63</v>
      </c>
      <c r="K1266">
        <v>712</v>
      </c>
      <c r="L1266">
        <v>2</v>
      </c>
      <c r="M1266" s="19" t="s">
        <v>51</v>
      </c>
      <c r="N1266">
        <v>4</v>
      </c>
      <c r="O1266">
        <v>2</v>
      </c>
      <c r="P1266" s="19" t="s">
        <v>145</v>
      </c>
      <c r="Q1266">
        <v>2</v>
      </c>
      <c r="R1266" s="19" t="s">
        <v>113</v>
      </c>
      <c r="S1266">
        <v>76452</v>
      </c>
      <c r="T1266" s="19" t="s">
        <v>64</v>
      </c>
      <c r="U1266">
        <v>477.82</v>
      </c>
      <c r="V1266">
        <v>3</v>
      </c>
      <c r="W1266" s="19" t="s">
        <v>55</v>
      </c>
      <c r="X1266">
        <v>12</v>
      </c>
      <c r="Y1266">
        <v>3</v>
      </c>
      <c r="Z1266">
        <v>4</v>
      </c>
      <c r="AA1266">
        <v>0</v>
      </c>
      <c r="AB1266">
        <v>12</v>
      </c>
      <c r="AC1266">
        <v>3</v>
      </c>
      <c r="AD1266">
        <v>3</v>
      </c>
      <c r="AE1266">
        <v>2</v>
      </c>
      <c r="AF1266">
        <v>2</v>
      </c>
      <c r="AG1266">
        <v>2</v>
      </c>
      <c r="AH1266">
        <v>2</v>
      </c>
      <c r="AI1266">
        <v>0</v>
      </c>
      <c r="AJ1266" s="19" t="s">
        <v>1566</v>
      </c>
      <c r="AK1266" s="19" t="s">
        <v>1562</v>
      </c>
      <c r="AL1266">
        <v>1</v>
      </c>
      <c r="AM1266" s="19" t="s">
        <v>1565</v>
      </c>
      <c r="AN1266">
        <v>0.55840122646293022</v>
      </c>
      <c r="AO1266">
        <v>917424</v>
      </c>
    </row>
    <row r="1267" spans="1:41" x14ac:dyDescent="0.3">
      <c r="A1267" s="19" t="s">
        <v>1334</v>
      </c>
      <c r="B1267">
        <v>48</v>
      </c>
      <c r="C1267" s="19" t="s">
        <v>1272</v>
      </c>
      <c r="D1267" s="19" t="s">
        <v>55</v>
      </c>
      <c r="E1267" s="19" t="s">
        <v>48</v>
      </c>
      <c r="F1267">
        <v>1469</v>
      </c>
      <c r="G1267" s="19" t="s">
        <v>735</v>
      </c>
      <c r="H1267">
        <v>20</v>
      </c>
      <c r="I1267">
        <v>4</v>
      </c>
      <c r="J1267" s="19" t="s">
        <v>58</v>
      </c>
      <c r="K1267">
        <v>945</v>
      </c>
      <c r="L1267">
        <v>4</v>
      </c>
      <c r="M1267" s="19" t="s">
        <v>51</v>
      </c>
      <c r="N1267">
        <v>3</v>
      </c>
      <c r="O1267">
        <v>1</v>
      </c>
      <c r="P1267" s="19" t="s">
        <v>67</v>
      </c>
      <c r="Q1267">
        <v>3</v>
      </c>
      <c r="R1267" s="19" t="s">
        <v>113</v>
      </c>
      <c r="S1267">
        <v>63823</v>
      </c>
      <c r="T1267" s="19" t="s">
        <v>64</v>
      </c>
      <c r="U1267">
        <v>398.89</v>
      </c>
      <c r="V1267">
        <v>4</v>
      </c>
      <c r="W1267" s="19" t="s">
        <v>55</v>
      </c>
      <c r="X1267">
        <v>17</v>
      </c>
      <c r="Y1267">
        <v>3</v>
      </c>
      <c r="Z1267">
        <v>1</v>
      </c>
      <c r="AA1267">
        <v>2</v>
      </c>
      <c r="AB1267">
        <v>13</v>
      </c>
      <c r="AC1267">
        <v>2</v>
      </c>
      <c r="AD1267">
        <v>2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 s="19" t="s">
        <v>1561</v>
      </c>
      <c r="AK1267" s="19" t="s">
        <v>1562</v>
      </c>
      <c r="AL1267">
        <v>1</v>
      </c>
      <c r="AM1267" s="19" t="s">
        <v>1565</v>
      </c>
      <c r="AN1267">
        <v>0.27988747750973797</v>
      </c>
      <c r="AO1267">
        <v>765876</v>
      </c>
    </row>
    <row r="1268" spans="1:41" x14ac:dyDescent="0.3">
      <c r="A1268" s="19" t="s">
        <v>1335</v>
      </c>
      <c r="B1268">
        <v>48</v>
      </c>
      <c r="C1268" s="19" t="s">
        <v>1272</v>
      </c>
      <c r="D1268" s="19" t="s">
        <v>55</v>
      </c>
      <c r="E1268" s="19" t="s">
        <v>48</v>
      </c>
      <c r="F1268">
        <v>277</v>
      </c>
      <c r="G1268" s="19" t="s">
        <v>735</v>
      </c>
      <c r="H1268">
        <v>6</v>
      </c>
      <c r="I1268">
        <v>3</v>
      </c>
      <c r="J1268" s="19" t="s">
        <v>50</v>
      </c>
      <c r="K1268">
        <v>1022</v>
      </c>
      <c r="L1268">
        <v>1</v>
      </c>
      <c r="M1268" s="19" t="s">
        <v>51</v>
      </c>
      <c r="N1268">
        <v>2</v>
      </c>
      <c r="O1268">
        <v>2</v>
      </c>
      <c r="P1268" s="19" t="s">
        <v>168</v>
      </c>
      <c r="Q1268">
        <v>3</v>
      </c>
      <c r="R1268" s="19" t="s">
        <v>53</v>
      </c>
      <c r="S1268">
        <v>21806</v>
      </c>
      <c r="T1268" s="19" t="s">
        <v>54</v>
      </c>
      <c r="U1268">
        <v>136.29</v>
      </c>
      <c r="V1268">
        <v>2</v>
      </c>
      <c r="W1268" s="19" t="s">
        <v>55</v>
      </c>
      <c r="X1268">
        <v>13</v>
      </c>
      <c r="Y1268">
        <v>3</v>
      </c>
      <c r="Z1268">
        <v>4</v>
      </c>
      <c r="AA1268">
        <v>0</v>
      </c>
      <c r="AB1268">
        <v>19</v>
      </c>
      <c r="AC1268">
        <v>0</v>
      </c>
      <c r="AD1268">
        <v>3</v>
      </c>
      <c r="AE1268">
        <v>2</v>
      </c>
      <c r="AF1268">
        <v>2</v>
      </c>
      <c r="AG1268">
        <v>2</v>
      </c>
      <c r="AH1268">
        <v>2</v>
      </c>
      <c r="AI1268">
        <v>0</v>
      </c>
      <c r="AJ1268" s="19" t="s">
        <v>1566</v>
      </c>
      <c r="AK1268" s="19" t="s">
        <v>1562</v>
      </c>
      <c r="AL1268">
        <v>0</v>
      </c>
      <c r="AM1268" s="19" t="s">
        <v>1563</v>
      </c>
      <c r="AN1268">
        <v>-0.54749143256928057</v>
      </c>
      <c r="AO1268">
        <v>261672</v>
      </c>
    </row>
    <row r="1269" spans="1:41" x14ac:dyDescent="0.3">
      <c r="A1269" s="19" t="s">
        <v>1336</v>
      </c>
      <c r="B1269">
        <v>48</v>
      </c>
      <c r="C1269" s="19" t="s">
        <v>1272</v>
      </c>
      <c r="D1269" s="19" t="s">
        <v>55</v>
      </c>
      <c r="E1269" s="19" t="s">
        <v>48</v>
      </c>
      <c r="F1269">
        <v>1355</v>
      </c>
      <c r="G1269" s="19" t="s">
        <v>735</v>
      </c>
      <c r="H1269">
        <v>4</v>
      </c>
      <c r="I1269">
        <v>4</v>
      </c>
      <c r="J1269" s="19" t="s">
        <v>50</v>
      </c>
      <c r="K1269">
        <v>1024</v>
      </c>
      <c r="L1269">
        <v>3</v>
      </c>
      <c r="M1269" s="19" t="s">
        <v>51</v>
      </c>
      <c r="N1269">
        <v>2</v>
      </c>
      <c r="O1269">
        <v>3</v>
      </c>
      <c r="P1269" s="19" t="s">
        <v>168</v>
      </c>
      <c r="Q1269">
        <v>3</v>
      </c>
      <c r="R1269" s="19" t="s">
        <v>53</v>
      </c>
      <c r="S1269">
        <v>76520</v>
      </c>
      <c r="T1269" s="19" t="s">
        <v>64</v>
      </c>
      <c r="U1269">
        <v>478.25</v>
      </c>
      <c r="V1269">
        <v>7</v>
      </c>
      <c r="W1269" s="19" t="s">
        <v>55</v>
      </c>
      <c r="X1269">
        <v>14</v>
      </c>
      <c r="Y1269">
        <v>3</v>
      </c>
      <c r="Z1269">
        <v>2</v>
      </c>
      <c r="AA1269">
        <v>0</v>
      </c>
      <c r="AB1269">
        <v>27</v>
      </c>
      <c r="AC1269">
        <v>3</v>
      </c>
      <c r="AD1269">
        <v>3</v>
      </c>
      <c r="AE1269">
        <v>15</v>
      </c>
      <c r="AF1269">
        <v>11</v>
      </c>
      <c r="AG1269">
        <v>4</v>
      </c>
      <c r="AH1269">
        <v>8</v>
      </c>
      <c r="AI1269">
        <v>0</v>
      </c>
      <c r="AJ1269" s="19" t="s">
        <v>1571</v>
      </c>
      <c r="AK1269" s="19" t="s">
        <v>1570</v>
      </c>
      <c r="AL1269">
        <v>1</v>
      </c>
      <c r="AM1269" s="19" t="s">
        <v>1565</v>
      </c>
      <c r="AN1269">
        <v>0.58790954690445985</v>
      </c>
      <c r="AO1269">
        <v>918240</v>
      </c>
    </row>
    <row r="1270" spans="1:41" x14ac:dyDescent="0.3">
      <c r="A1270" s="19" t="s">
        <v>1337</v>
      </c>
      <c r="B1270">
        <v>48</v>
      </c>
      <c r="C1270" s="19" t="s">
        <v>1272</v>
      </c>
      <c r="D1270" s="19" t="s">
        <v>55</v>
      </c>
      <c r="E1270" s="19" t="s">
        <v>66</v>
      </c>
      <c r="F1270">
        <v>1262</v>
      </c>
      <c r="G1270" s="19" t="s">
        <v>735</v>
      </c>
      <c r="H1270">
        <v>1</v>
      </c>
      <c r="I1270">
        <v>4</v>
      </c>
      <c r="J1270" s="19" t="s">
        <v>58</v>
      </c>
      <c r="K1270">
        <v>1116</v>
      </c>
      <c r="L1270">
        <v>1</v>
      </c>
      <c r="M1270" s="19" t="s">
        <v>51</v>
      </c>
      <c r="N1270">
        <v>4</v>
      </c>
      <c r="O1270">
        <v>4</v>
      </c>
      <c r="P1270" s="19" t="s">
        <v>444</v>
      </c>
      <c r="Q1270">
        <v>4</v>
      </c>
      <c r="R1270" s="19" t="s">
        <v>53</v>
      </c>
      <c r="S1270">
        <v>2759</v>
      </c>
      <c r="T1270" s="19" t="s">
        <v>54</v>
      </c>
      <c r="U1270">
        <v>17.239999999999998</v>
      </c>
      <c r="V1270">
        <v>2</v>
      </c>
      <c r="W1270" s="19" t="s">
        <v>55</v>
      </c>
      <c r="X1270">
        <v>22</v>
      </c>
      <c r="Y1270">
        <v>4</v>
      </c>
      <c r="Z1270">
        <v>3</v>
      </c>
      <c r="AA1270">
        <v>0</v>
      </c>
      <c r="AB1270">
        <v>27</v>
      </c>
      <c r="AC1270">
        <v>3</v>
      </c>
      <c r="AD1270">
        <v>2</v>
      </c>
      <c r="AE1270">
        <v>5</v>
      </c>
      <c r="AF1270">
        <v>4</v>
      </c>
      <c r="AG1270">
        <v>2</v>
      </c>
      <c r="AH1270">
        <v>1</v>
      </c>
      <c r="AI1270">
        <v>0</v>
      </c>
      <c r="AJ1270" s="19" t="s">
        <v>1567</v>
      </c>
      <c r="AK1270" s="19" t="s">
        <v>1562</v>
      </c>
      <c r="AL1270">
        <v>1</v>
      </c>
      <c r="AM1270" s="19" t="s">
        <v>1565</v>
      </c>
      <c r="AN1270">
        <v>-0.94714388640005653</v>
      </c>
      <c r="AO1270">
        <v>33108</v>
      </c>
    </row>
    <row r="1271" spans="1:41" x14ac:dyDescent="0.3">
      <c r="A1271" s="19" t="s">
        <v>1338</v>
      </c>
      <c r="B1271">
        <v>48</v>
      </c>
      <c r="C1271" s="19" t="s">
        <v>1272</v>
      </c>
      <c r="D1271" s="19" t="s">
        <v>55</v>
      </c>
      <c r="E1271" s="19" t="s">
        <v>48</v>
      </c>
      <c r="F1271">
        <v>969</v>
      </c>
      <c r="G1271" s="19" t="s">
        <v>735</v>
      </c>
      <c r="H1271">
        <v>2</v>
      </c>
      <c r="I1271">
        <v>2</v>
      </c>
      <c r="J1271" s="19" t="s">
        <v>77</v>
      </c>
      <c r="K1271">
        <v>1258</v>
      </c>
      <c r="L1271">
        <v>4</v>
      </c>
      <c r="M1271" s="19" t="s">
        <v>51</v>
      </c>
      <c r="N1271">
        <v>4</v>
      </c>
      <c r="O1271">
        <v>1</v>
      </c>
      <c r="P1271" s="19" t="s">
        <v>52</v>
      </c>
      <c r="Q1271">
        <v>2</v>
      </c>
      <c r="R1271" s="19" t="s">
        <v>53</v>
      </c>
      <c r="S1271">
        <v>42949</v>
      </c>
      <c r="T1271" s="19" t="s">
        <v>72</v>
      </c>
      <c r="U1271">
        <v>268.43</v>
      </c>
      <c r="V1271">
        <v>5</v>
      </c>
      <c r="W1271" s="19" t="s">
        <v>55</v>
      </c>
      <c r="X1271">
        <v>11</v>
      </c>
      <c r="Y1271">
        <v>3</v>
      </c>
      <c r="Z1271">
        <v>3</v>
      </c>
      <c r="AA1271">
        <v>0</v>
      </c>
      <c r="AB1271">
        <v>7</v>
      </c>
      <c r="AC1271">
        <v>4</v>
      </c>
      <c r="AD1271">
        <v>2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 s="19" t="s">
        <v>1561</v>
      </c>
      <c r="AK1271" s="19" t="s">
        <v>1562</v>
      </c>
      <c r="AL1271">
        <v>2</v>
      </c>
      <c r="AM1271" s="19" t="s">
        <v>1564</v>
      </c>
      <c r="AN1271">
        <v>-0.16959584222771071</v>
      </c>
      <c r="AO1271">
        <v>515388</v>
      </c>
    </row>
    <row r="1272" spans="1:41" x14ac:dyDescent="0.3">
      <c r="A1272" s="19" t="s">
        <v>1339</v>
      </c>
      <c r="B1272">
        <v>48</v>
      </c>
      <c r="C1272" s="19" t="s">
        <v>1272</v>
      </c>
      <c r="D1272" s="19" t="s">
        <v>55</v>
      </c>
      <c r="E1272" s="19" t="s">
        <v>48</v>
      </c>
      <c r="F1272">
        <v>715</v>
      </c>
      <c r="G1272" s="19" t="s">
        <v>735</v>
      </c>
      <c r="H1272">
        <v>1</v>
      </c>
      <c r="I1272">
        <v>3</v>
      </c>
      <c r="J1272" s="19" t="s">
        <v>50</v>
      </c>
      <c r="K1272">
        <v>1263</v>
      </c>
      <c r="L1272">
        <v>4</v>
      </c>
      <c r="M1272" s="19" t="s">
        <v>51</v>
      </c>
      <c r="N1272">
        <v>2</v>
      </c>
      <c r="O1272">
        <v>5</v>
      </c>
      <c r="P1272" s="19" t="s">
        <v>257</v>
      </c>
      <c r="Q1272">
        <v>4</v>
      </c>
      <c r="R1272" s="19" t="s">
        <v>53</v>
      </c>
      <c r="S1272">
        <v>93374</v>
      </c>
      <c r="T1272" s="19" t="s">
        <v>70</v>
      </c>
      <c r="U1272">
        <v>583.59</v>
      </c>
      <c r="V1272">
        <v>6</v>
      </c>
      <c r="W1272" s="19" t="s">
        <v>55</v>
      </c>
      <c r="X1272">
        <v>12</v>
      </c>
      <c r="Y1272">
        <v>3</v>
      </c>
      <c r="Z1272">
        <v>3</v>
      </c>
      <c r="AA1272">
        <v>0</v>
      </c>
      <c r="AB1272">
        <v>25</v>
      </c>
      <c r="AC1272">
        <v>3</v>
      </c>
      <c r="AD1272">
        <v>4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 s="19" t="s">
        <v>1561</v>
      </c>
      <c r="AK1272" s="19" t="s">
        <v>1562</v>
      </c>
      <c r="AL1272">
        <v>0</v>
      </c>
      <c r="AM1272" s="19" t="s">
        <v>1563</v>
      </c>
      <c r="AN1272">
        <v>0.8430385443441798</v>
      </c>
      <c r="AO1272">
        <v>1120488</v>
      </c>
    </row>
    <row r="1273" spans="1:41" x14ac:dyDescent="0.3">
      <c r="A1273" s="19" t="s">
        <v>1340</v>
      </c>
      <c r="B1273">
        <v>48</v>
      </c>
      <c r="C1273" s="19" t="s">
        <v>1272</v>
      </c>
      <c r="D1273" s="19" t="s">
        <v>55</v>
      </c>
      <c r="E1273" s="19" t="s">
        <v>48</v>
      </c>
      <c r="F1273">
        <v>855</v>
      </c>
      <c r="G1273" s="19" t="s">
        <v>735</v>
      </c>
      <c r="H1273">
        <v>4</v>
      </c>
      <c r="I1273">
        <v>3</v>
      </c>
      <c r="J1273" s="19" t="s">
        <v>50</v>
      </c>
      <c r="K1273">
        <v>1363</v>
      </c>
      <c r="L1273">
        <v>4</v>
      </c>
      <c r="M1273" s="19" t="s">
        <v>51</v>
      </c>
      <c r="N1273">
        <v>3</v>
      </c>
      <c r="O1273">
        <v>3</v>
      </c>
      <c r="P1273" s="19" t="s">
        <v>120</v>
      </c>
      <c r="Q1273">
        <v>4</v>
      </c>
      <c r="R1273" s="19" t="s">
        <v>53</v>
      </c>
      <c r="S1273">
        <v>3482</v>
      </c>
      <c r="T1273" s="19" t="s">
        <v>54</v>
      </c>
      <c r="U1273">
        <v>21.76</v>
      </c>
      <c r="V1273">
        <v>1</v>
      </c>
      <c r="W1273" s="19" t="s">
        <v>55</v>
      </c>
      <c r="X1273">
        <v>11</v>
      </c>
      <c r="Y1273">
        <v>3</v>
      </c>
      <c r="Z1273">
        <v>3</v>
      </c>
      <c r="AA1273">
        <v>0</v>
      </c>
      <c r="AB1273">
        <v>11</v>
      </c>
      <c r="AC1273">
        <v>2</v>
      </c>
      <c r="AD1273">
        <v>3</v>
      </c>
      <c r="AE1273">
        <v>10</v>
      </c>
      <c r="AF1273">
        <v>9</v>
      </c>
      <c r="AG1273">
        <v>0</v>
      </c>
      <c r="AH1273">
        <v>8</v>
      </c>
      <c r="AI1273">
        <v>0</v>
      </c>
      <c r="AJ1273" s="19" t="s">
        <v>1569</v>
      </c>
      <c r="AK1273" s="19" t="s">
        <v>1562</v>
      </c>
      <c r="AL1273">
        <v>0</v>
      </c>
      <c r="AM1273" s="19" t="s">
        <v>1563</v>
      </c>
      <c r="AN1273">
        <v>-0.92139127175485713</v>
      </c>
      <c r="AO1273">
        <v>41784</v>
      </c>
    </row>
    <row r="1274" spans="1:41" x14ac:dyDescent="0.3">
      <c r="A1274" s="19" t="s">
        <v>1341</v>
      </c>
      <c r="B1274">
        <v>48</v>
      </c>
      <c r="C1274" s="19" t="s">
        <v>1272</v>
      </c>
      <c r="D1274" s="19" t="s">
        <v>55</v>
      </c>
      <c r="E1274" s="19" t="s">
        <v>48</v>
      </c>
      <c r="F1274">
        <v>1221</v>
      </c>
      <c r="G1274" s="19" t="s">
        <v>932</v>
      </c>
      <c r="H1274">
        <v>7</v>
      </c>
      <c r="I1274">
        <v>3</v>
      </c>
      <c r="J1274" s="19" t="s">
        <v>63</v>
      </c>
      <c r="K1274">
        <v>1466</v>
      </c>
      <c r="L1274">
        <v>3</v>
      </c>
      <c r="M1274" s="19" t="s">
        <v>51</v>
      </c>
      <c r="N1274">
        <v>3</v>
      </c>
      <c r="O1274">
        <v>2</v>
      </c>
      <c r="P1274" s="19" t="s">
        <v>145</v>
      </c>
      <c r="Q1274">
        <v>1</v>
      </c>
      <c r="R1274" s="19" t="s">
        <v>113</v>
      </c>
      <c r="S1274">
        <v>25442</v>
      </c>
      <c r="T1274" s="19" t="s">
        <v>72</v>
      </c>
      <c r="U1274">
        <v>159.01</v>
      </c>
      <c r="V1274">
        <v>4</v>
      </c>
      <c r="W1274" s="19" t="s">
        <v>55</v>
      </c>
      <c r="X1274">
        <v>11</v>
      </c>
      <c r="Y1274">
        <v>3</v>
      </c>
      <c r="Z1274">
        <v>1</v>
      </c>
      <c r="AA1274">
        <v>3</v>
      </c>
      <c r="AB1274">
        <v>15</v>
      </c>
      <c r="AC1274">
        <v>3</v>
      </c>
      <c r="AD1274">
        <v>3</v>
      </c>
      <c r="AE1274">
        <v>2</v>
      </c>
      <c r="AF1274">
        <v>2</v>
      </c>
      <c r="AG1274">
        <v>2</v>
      </c>
      <c r="AH1274">
        <v>2</v>
      </c>
      <c r="AI1274">
        <v>0</v>
      </c>
      <c r="AJ1274" s="19" t="s">
        <v>1566</v>
      </c>
      <c r="AK1274" s="19" t="s">
        <v>1562</v>
      </c>
      <c r="AL1274">
        <v>1</v>
      </c>
      <c r="AM1274" s="19" t="s">
        <v>1565</v>
      </c>
      <c r="AN1274">
        <v>-0.48138905452218556</v>
      </c>
      <c r="AO1274">
        <v>305304</v>
      </c>
    </row>
    <row r="1275" spans="1:41" x14ac:dyDescent="0.3">
      <c r="A1275" s="19" t="s">
        <v>1342</v>
      </c>
      <c r="B1275">
        <v>48</v>
      </c>
      <c r="C1275" s="19" t="s">
        <v>1272</v>
      </c>
      <c r="D1275" s="19" t="s">
        <v>55</v>
      </c>
      <c r="E1275" s="19" t="s">
        <v>48</v>
      </c>
      <c r="F1275">
        <v>492</v>
      </c>
      <c r="G1275" s="19" t="s">
        <v>932</v>
      </c>
      <c r="H1275">
        <v>16</v>
      </c>
      <c r="I1275">
        <v>4</v>
      </c>
      <c r="J1275" s="19" t="s">
        <v>50</v>
      </c>
      <c r="K1275">
        <v>1557</v>
      </c>
      <c r="L1275">
        <v>3</v>
      </c>
      <c r="M1275" s="19" t="s">
        <v>59</v>
      </c>
      <c r="N1275">
        <v>3</v>
      </c>
      <c r="O1275">
        <v>2</v>
      </c>
      <c r="P1275" s="19" t="s">
        <v>145</v>
      </c>
      <c r="Q1275">
        <v>3</v>
      </c>
      <c r="R1275" s="19" t="s">
        <v>113</v>
      </c>
      <c r="S1275">
        <v>34719</v>
      </c>
      <c r="T1275" s="19" t="s">
        <v>72</v>
      </c>
      <c r="U1275">
        <v>216.99</v>
      </c>
      <c r="V1275">
        <v>8</v>
      </c>
      <c r="W1275" s="19" t="s">
        <v>55</v>
      </c>
      <c r="X1275">
        <v>14</v>
      </c>
      <c r="Y1275">
        <v>3</v>
      </c>
      <c r="Z1275">
        <v>3</v>
      </c>
      <c r="AA1275">
        <v>1</v>
      </c>
      <c r="AB1275">
        <v>18</v>
      </c>
      <c r="AC1275">
        <v>2</v>
      </c>
      <c r="AD1275">
        <v>3</v>
      </c>
      <c r="AE1275">
        <v>8</v>
      </c>
      <c r="AF1275">
        <v>7</v>
      </c>
      <c r="AG1275">
        <v>7</v>
      </c>
      <c r="AH1275">
        <v>7</v>
      </c>
      <c r="AI1275">
        <v>0</v>
      </c>
      <c r="AJ1275" s="19" t="s">
        <v>1569</v>
      </c>
      <c r="AK1275" s="19" t="s">
        <v>1570</v>
      </c>
      <c r="AL1275">
        <v>1</v>
      </c>
      <c r="AM1275" s="19" t="s">
        <v>1565</v>
      </c>
      <c r="AN1275">
        <v>-0.29228624258925245</v>
      </c>
      <c r="AO1275">
        <v>416628</v>
      </c>
    </row>
    <row r="1276" spans="1:41" x14ac:dyDescent="0.3">
      <c r="A1276" s="19" t="s">
        <v>1343</v>
      </c>
      <c r="B1276">
        <v>48</v>
      </c>
      <c r="C1276" s="19" t="s">
        <v>1272</v>
      </c>
      <c r="D1276" s="19" t="s">
        <v>55</v>
      </c>
      <c r="E1276" s="19" t="s">
        <v>48</v>
      </c>
      <c r="F1276">
        <v>1108</v>
      </c>
      <c r="G1276" s="19" t="s">
        <v>735</v>
      </c>
      <c r="H1276">
        <v>15</v>
      </c>
      <c r="I1276">
        <v>4</v>
      </c>
      <c r="J1276" s="19" t="s">
        <v>82</v>
      </c>
      <c r="K1276">
        <v>1576</v>
      </c>
      <c r="L1276">
        <v>3</v>
      </c>
      <c r="M1276" s="19" t="s">
        <v>59</v>
      </c>
      <c r="N1276">
        <v>3</v>
      </c>
      <c r="O1276">
        <v>1</v>
      </c>
      <c r="P1276" s="19" t="s">
        <v>67</v>
      </c>
      <c r="Q1276">
        <v>1</v>
      </c>
      <c r="R1276" s="19" t="s">
        <v>113</v>
      </c>
      <c r="S1276">
        <v>59066</v>
      </c>
      <c r="T1276" s="19" t="s">
        <v>64</v>
      </c>
      <c r="U1276">
        <v>369.16</v>
      </c>
      <c r="V1276">
        <v>8</v>
      </c>
      <c r="W1276" s="19" t="s">
        <v>55</v>
      </c>
      <c r="X1276">
        <v>12</v>
      </c>
      <c r="Y1276">
        <v>3</v>
      </c>
      <c r="Z1276">
        <v>4</v>
      </c>
      <c r="AA1276">
        <v>1</v>
      </c>
      <c r="AB1276">
        <v>10</v>
      </c>
      <c r="AC1276">
        <v>3</v>
      </c>
      <c r="AD1276">
        <v>2</v>
      </c>
      <c r="AE1276">
        <v>8</v>
      </c>
      <c r="AF1276">
        <v>2</v>
      </c>
      <c r="AG1276">
        <v>7</v>
      </c>
      <c r="AH1276">
        <v>6</v>
      </c>
      <c r="AI1276">
        <v>0</v>
      </c>
      <c r="AJ1276" s="19" t="s">
        <v>1569</v>
      </c>
      <c r="AK1276" s="19" t="s">
        <v>1570</v>
      </c>
      <c r="AL1276">
        <v>3</v>
      </c>
      <c r="AM1276" s="19" t="s">
        <v>1568</v>
      </c>
      <c r="AN1276">
        <v>0.18449201301396337</v>
      </c>
      <c r="AO1276">
        <v>708792</v>
      </c>
    </row>
    <row r="1277" spans="1:41" x14ac:dyDescent="0.3">
      <c r="A1277" s="19" t="s">
        <v>1344</v>
      </c>
      <c r="B1277">
        <v>48</v>
      </c>
      <c r="C1277" s="19" t="s">
        <v>1272</v>
      </c>
      <c r="D1277" s="19" t="s">
        <v>55</v>
      </c>
      <c r="E1277" s="19" t="s">
        <v>62</v>
      </c>
      <c r="F1277">
        <v>365</v>
      </c>
      <c r="G1277" s="19" t="s">
        <v>735</v>
      </c>
      <c r="H1277">
        <v>4</v>
      </c>
      <c r="I1277">
        <v>5</v>
      </c>
      <c r="J1277" s="19" t="s">
        <v>58</v>
      </c>
      <c r="K1277">
        <v>1644</v>
      </c>
      <c r="L1277">
        <v>3</v>
      </c>
      <c r="M1277" s="19" t="s">
        <v>51</v>
      </c>
      <c r="N1277">
        <v>2</v>
      </c>
      <c r="O1277">
        <v>4</v>
      </c>
      <c r="P1277" s="19" t="s">
        <v>444</v>
      </c>
      <c r="Q1277">
        <v>4</v>
      </c>
      <c r="R1277" s="19" t="s">
        <v>113</v>
      </c>
      <c r="S1277">
        <v>94501</v>
      </c>
      <c r="T1277" s="19" t="s">
        <v>70</v>
      </c>
      <c r="U1277">
        <v>590.63</v>
      </c>
      <c r="V1277">
        <v>2</v>
      </c>
      <c r="W1277" s="19" t="s">
        <v>55</v>
      </c>
      <c r="X1277">
        <v>25</v>
      </c>
      <c r="Y1277">
        <v>4</v>
      </c>
      <c r="Z1277">
        <v>2</v>
      </c>
      <c r="AA1277">
        <v>1</v>
      </c>
      <c r="AB1277">
        <v>23</v>
      </c>
      <c r="AC1277">
        <v>3</v>
      </c>
      <c r="AD1277">
        <v>3</v>
      </c>
      <c r="AE1277">
        <v>2</v>
      </c>
      <c r="AF1277">
        <v>2</v>
      </c>
      <c r="AG1277">
        <v>2</v>
      </c>
      <c r="AH1277">
        <v>2</v>
      </c>
      <c r="AI1277">
        <v>0</v>
      </c>
      <c r="AJ1277" s="19" t="s">
        <v>1566</v>
      </c>
      <c r="AK1277" s="19" t="s">
        <v>1562</v>
      </c>
      <c r="AL1277">
        <v>0</v>
      </c>
      <c r="AM1277" s="19" t="s">
        <v>1563</v>
      </c>
      <c r="AN1277">
        <v>0.81042246875979018</v>
      </c>
      <c r="AO1277">
        <v>1134012</v>
      </c>
    </row>
    <row r="1278" spans="1:41" x14ac:dyDescent="0.3">
      <c r="A1278" s="19" t="s">
        <v>1345</v>
      </c>
      <c r="B1278">
        <v>48</v>
      </c>
      <c r="C1278" s="19" t="s">
        <v>1272</v>
      </c>
      <c r="D1278" s="19" t="s">
        <v>47</v>
      </c>
      <c r="E1278" s="19" t="s">
        <v>62</v>
      </c>
      <c r="F1278">
        <v>708</v>
      </c>
      <c r="G1278" s="19" t="s">
        <v>932</v>
      </c>
      <c r="H1278">
        <v>7</v>
      </c>
      <c r="I1278">
        <v>2</v>
      </c>
      <c r="J1278" s="19" t="s">
        <v>58</v>
      </c>
      <c r="K1278">
        <v>1691</v>
      </c>
      <c r="L1278">
        <v>4</v>
      </c>
      <c r="M1278" s="19" t="s">
        <v>59</v>
      </c>
      <c r="N1278">
        <v>3</v>
      </c>
      <c r="O1278">
        <v>1</v>
      </c>
      <c r="P1278" s="19" t="s">
        <v>60</v>
      </c>
      <c r="Q1278">
        <v>3</v>
      </c>
      <c r="R1278" s="19" t="s">
        <v>113</v>
      </c>
      <c r="S1278">
        <v>3079</v>
      </c>
      <c r="T1278" s="19" t="s">
        <v>54</v>
      </c>
      <c r="U1278">
        <v>19.239999999999998</v>
      </c>
      <c r="V1278">
        <v>2</v>
      </c>
      <c r="W1278" s="19" t="s">
        <v>47</v>
      </c>
      <c r="X1278">
        <v>11</v>
      </c>
      <c r="Y1278">
        <v>3</v>
      </c>
      <c r="Z1278">
        <v>3</v>
      </c>
      <c r="AA1278">
        <v>2</v>
      </c>
      <c r="AB1278">
        <v>19</v>
      </c>
      <c r="AC1278">
        <v>3</v>
      </c>
      <c r="AD1278">
        <v>3</v>
      </c>
      <c r="AE1278">
        <v>9</v>
      </c>
      <c r="AF1278">
        <v>7</v>
      </c>
      <c r="AG1278">
        <v>7</v>
      </c>
      <c r="AH1278">
        <v>7</v>
      </c>
      <c r="AI1278">
        <v>1</v>
      </c>
      <c r="AJ1278" s="19" t="s">
        <v>1569</v>
      </c>
      <c r="AK1278" s="19" t="s">
        <v>1570</v>
      </c>
      <c r="AL1278">
        <v>2</v>
      </c>
      <c r="AM1278" s="19" t="s">
        <v>1564</v>
      </c>
      <c r="AN1278">
        <v>-0.93757956833566991</v>
      </c>
      <c r="AO1278">
        <v>36948</v>
      </c>
    </row>
    <row r="1279" spans="1:41" x14ac:dyDescent="0.3">
      <c r="A1279" s="19" t="s">
        <v>1346</v>
      </c>
      <c r="B1279">
        <v>48</v>
      </c>
      <c r="C1279" s="19" t="s">
        <v>1272</v>
      </c>
      <c r="D1279" s="19" t="s">
        <v>55</v>
      </c>
      <c r="E1279" s="19" t="s">
        <v>48</v>
      </c>
      <c r="F1279">
        <v>1224</v>
      </c>
      <c r="G1279" s="19" t="s">
        <v>735</v>
      </c>
      <c r="H1279">
        <v>10</v>
      </c>
      <c r="I1279">
        <v>3</v>
      </c>
      <c r="J1279" s="19" t="s">
        <v>50</v>
      </c>
      <c r="K1279">
        <v>1867</v>
      </c>
      <c r="L1279">
        <v>4</v>
      </c>
      <c r="M1279" s="19" t="s">
        <v>51</v>
      </c>
      <c r="N1279">
        <v>2</v>
      </c>
      <c r="O1279">
        <v>5</v>
      </c>
      <c r="P1279" s="19" t="s">
        <v>257</v>
      </c>
      <c r="Q1279">
        <v>2</v>
      </c>
      <c r="R1279" s="19" t="s">
        <v>113</v>
      </c>
      <c r="S1279">
        <v>3717</v>
      </c>
      <c r="T1279" s="19" t="s">
        <v>54</v>
      </c>
      <c r="U1279">
        <v>23.23</v>
      </c>
      <c r="V1279">
        <v>4</v>
      </c>
      <c r="W1279" s="19" t="s">
        <v>55</v>
      </c>
      <c r="X1279">
        <v>12</v>
      </c>
      <c r="Y1279">
        <v>3</v>
      </c>
      <c r="Z1279">
        <v>4</v>
      </c>
      <c r="AA1279">
        <v>0</v>
      </c>
      <c r="AB1279">
        <v>29</v>
      </c>
      <c r="AC1279">
        <v>3</v>
      </c>
      <c r="AD1279">
        <v>3</v>
      </c>
      <c r="AE1279">
        <v>22</v>
      </c>
      <c r="AF1279">
        <v>10</v>
      </c>
      <c r="AG1279">
        <v>12</v>
      </c>
      <c r="AH1279">
        <v>9</v>
      </c>
      <c r="AI1279">
        <v>0</v>
      </c>
      <c r="AJ1279" s="19" t="s">
        <v>1571</v>
      </c>
      <c r="AK1279" s="19" t="s">
        <v>1570</v>
      </c>
      <c r="AL1279">
        <v>2</v>
      </c>
      <c r="AM1279" s="19" t="s">
        <v>1564</v>
      </c>
      <c r="AN1279">
        <v>-0.9266329570402112</v>
      </c>
      <c r="AO1279">
        <v>44604</v>
      </c>
    </row>
    <row r="1280" spans="1:41" x14ac:dyDescent="0.3">
      <c r="A1280" s="19" t="s">
        <v>1347</v>
      </c>
      <c r="B1280">
        <v>48</v>
      </c>
      <c r="C1280" s="19" t="s">
        <v>1272</v>
      </c>
      <c r="D1280" s="19" t="s">
        <v>55</v>
      </c>
      <c r="E1280" s="19" t="s">
        <v>62</v>
      </c>
      <c r="F1280">
        <v>117</v>
      </c>
      <c r="G1280" s="19" t="s">
        <v>735</v>
      </c>
      <c r="H1280">
        <v>22</v>
      </c>
      <c r="I1280">
        <v>3</v>
      </c>
      <c r="J1280" s="19" t="s">
        <v>58</v>
      </c>
      <c r="K1280">
        <v>1900</v>
      </c>
      <c r="L1280">
        <v>4</v>
      </c>
      <c r="M1280" s="19" t="s">
        <v>59</v>
      </c>
      <c r="N1280">
        <v>3</v>
      </c>
      <c r="O1280">
        <v>4</v>
      </c>
      <c r="P1280" s="19" t="s">
        <v>444</v>
      </c>
      <c r="Q1280">
        <v>4</v>
      </c>
      <c r="R1280" s="19" t="s">
        <v>53</v>
      </c>
      <c r="S1280">
        <v>60676</v>
      </c>
      <c r="T1280" s="19" t="s">
        <v>64</v>
      </c>
      <c r="U1280">
        <v>379.22</v>
      </c>
      <c r="V1280">
        <v>3</v>
      </c>
      <c r="W1280" s="19" t="s">
        <v>55</v>
      </c>
      <c r="X1280">
        <v>11</v>
      </c>
      <c r="Y1280">
        <v>3</v>
      </c>
      <c r="Z1280">
        <v>2</v>
      </c>
      <c r="AA1280">
        <v>1</v>
      </c>
      <c r="AB1280">
        <v>24</v>
      </c>
      <c r="AC1280">
        <v>3</v>
      </c>
      <c r="AD1280">
        <v>3</v>
      </c>
      <c r="AE1280">
        <v>22</v>
      </c>
      <c r="AF1280">
        <v>17</v>
      </c>
      <c r="AG1280">
        <v>4</v>
      </c>
      <c r="AH1280">
        <v>7</v>
      </c>
      <c r="AI1280">
        <v>0</v>
      </c>
      <c r="AJ1280" s="19" t="s">
        <v>1571</v>
      </c>
      <c r="AK1280" s="19" t="s">
        <v>1570</v>
      </c>
      <c r="AL1280">
        <v>1</v>
      </c>
      <c r="AM1280" s="19" t="s">
        <v>1565</v>
      </c>
      <c r="AN1280">
        <v>0.16241302964486121</v>
      </c>
      <c r="AO1280">
        <v>728112</v>
      </c>
    </row>
    <row r="1281" spans="1:41" x14ac:dyDescent="0.3">
      <c r="A1281" s="19" t="s">
        <v>1348</v>
      </c>
      <c r="B1281">
        <v>49</v>
      </c>
      <c r="C1281" s="19" t="s">
        <v>1272</v>
      </c>
      <c r="D1281" s="19" t="s">
        <v>55</v>
      </c>
      <c r="E1281" s="19" t="s">
        <v>62</v>
      </c>
      <c r="F1281">
        <v>279</v>
      </c>
      <c r="G1281" s="19" t="s">
        <v>735</v>
      </c>
      <c r="H1281">
        <v>8</v>
      </c>
      <c r="I1281">
        <v>1</v>
      </c>
      <c r="J1281" s="19" t="s">
        <v>50</v>
      </c>
      <c r="K1281">
        <v>2</v>
      </c>
      <c r="L1281">
        <v>3</v>
      </c>
      <c r="M1281" s="19" t="s">
        <v>51</v>
      </c>
      <c r="N1281">
        <v>2</v>
      </c>
      <c r="O1281">
        <v>2</v>
      </c>
      <c r="P1281" s="19" t="s">
        <v>67</v>
      </c>
      <c r="Q1281">
        <v>2</v>
      </c>
      <c r="R1281" s="19" t="s">
        <v>113</v>
      </c>
      <c r="S1281">
        <v>28952</v>
      </c>
      <c r="T1281" s="19" t="s">
        <v>72</v>
      </c>
      <c r="U1281">
        <v>180.95</v>
      </c>
      <c r="V1281">
        <v>1</v>
      </c>
      <c r="W1281" s="19" t="s">
        <v>55</v>
      </c>
      <c r="X1281">
        <v>23</v>
      </c>
      <c r="Y1281">
        <v>4</v>
      </c>
      <c r="Z1281">
        <v>4</v>
      </c>
      <c r="AA1281">
        <v>1</v>
      </c>
      <c r="AB1281">
        <v>10</v>
      </c>
      <c r="AC1281">
        <v>3</v>
      </c>
      <c r="AD1281">
        <v>3</v>
      </c>
      <c r="AE1281">
        <v>10</v>
      </c>
      <c r="AF1281">
        <v>7</v>
      </c>
      <c r="AG1281">
        <v>1</v>
      </c>
      <c r="AH1281">
        <v>7</v>
      </c>
      <c r="AI1281">
        <v>0</v>
      </c>
      <c r="AJ1281" s="19" t="s">
        <v>1569</v>
      </c>
      <c r="AK1281" s="19" t="s">
        <v>1562</v>
      </c>
      <c r="AL1281">
        <v>1</v>
      </c>
      <c r="AM1281" s="19" t="s">
        <v>1565</v>
      </c>
      <c r="AN1281">
        <v>-0.4194051948535491</v>
      </c>
      <c r="AO1281">
        <v>347424</v>
      </c>
    </row>
    <row r="1282" spans="1:41" x14ac:dyDescent="0.3">
      <c r="A1282" s="19" t="s">
        <v>1349</v>
      </c>
      <c r="B1282">
        <v>49</v>
      </c>
      <c r="C1282" s="19" t="s">
        <v>1272</v>
      </c>
      <c r="D1282" s="19" t="s">
        <v>55</v>
      </c>
      <c r="E1282" s="19" t="s">
        <v>48</v>
      </c>
      <c r="F1282">
        <v>470</v>
      </c>
      <c r="G1282" s="19" t="s">
        <v>735</v>
      </c>
      <c r="H1282">
        <v>20</v>
      </c>
      <c r="I1282">
        <v>4</v>
      </c>
      <c r="J1282" s="19" t="s">
        <v>58</v>
      </c>
      <c r="K1282">
        <v>170</v>
      </c>
      <c r="L1282">
        <v>3</v>
      </c>
      <c r="M1282" s="19" t="s">
        <v>59</v>
      </c>
      <c r="N1282">
        <v>3</v>
      </c>
      <c r="O1282">
        <v>2</v>
      </c>
      <c r="P1282" s="19" t="s">
        <v>120</v>
      </c>
      <c r="Q1282">
        <v>1</v>
      </c>
      <c r="R1282" s="19" t="s">
        <v>113</v>
      </c>
      <c r="S1282">
        <v>87444</v>
      </c>
      <c r="T1282" s="19" t="s">
        <v>70</v>
      </c>
      <c r="U1282">
        <v>546.52</v>
      </c>
      <c r="V1282">
        <v>1</v>
      </c>
      <c r="W1282" s="19" t="s">
        <v>55</v>
      </c>
      <c r="X1282">
        <v>14</v>
      </c>
      <c r="Y1282">
        <v>3</v>
      </c>
      <c r="Z1282">
        <v>3</v>
      </c>
      <c r="AA1282">
        <v>0</v>
      </c>
      <c r="AB1282">
        <v>16</v>
      </c>
      <c r="AC1282">
        <v>2</v>
      </c>
      <c r="AD1282">
        <v>2</v>
      </c>
      <c r="AE1282">
        <v>15</v>
      </c>
      <c r="AF1282">
        <v>11</v>
      </c>
      <c r="AG1282">
        <v>5</v>
      </c>
      <c r="AH1282">
        <v>11</v>
      </c>
      <c r="AI1282">
        <v>0</v>
      </c>
      <c r="AJ1282" s="19" t="s">
        <v>1571</v>
      </c>
      <c r="AK1282" s="19" t="s">
        <v>1570</v>
      </c>
      <c r="AL1282">
        <v>3</v>
      </c>
      <c r="AM1282" s="19" t="s">
        <v>1568</v>
      </c>
      <c r="AN1282">
        <v>0.97411304786567243</v>
      </c>
      <c r="AO1282">
        <v>1049328</v>
      </c>
    </row>
    <row r="1283" spans="1:41" x14ac:dyDescent="0.3">
      <c r="A1283" s="19" t="s">
        <v>1350</v>
      </c>
      <c r="B1283">
        <v>49</v>
      </c>
      <c r="C1283" s="19" t="s">
        <v>1272</v>
      </c>
      <c r="D1283" s="19" t="s">
        <v>55</v>
      </c>
      <c r="E1283" s="19" t="s">
        <v>66</v>
      </c>
      <c r="F1283">
        <v>1002</v>
      </c>
      <c r="G1283" s="19" t="s">
        <v>735</v>
      </c>
      <c r="H1283">
        <v>18</v>
      </c>
      <c r="I1283">
        <v>4</v>
      </c>
      <c r="J1283" s="19" t="s">
        <v>50</v>
      </c>
      <c r="K1283">
        <v>275</v>
      </c>
      <c r="L1283">
        <v>4</v>
      </c>
      <c r="M1283" s="19" t="s">
        <v>51</v>
      </c>
      <c r="N1283">
        <v>3</v>
      </c>
      <c r="O1283">
        <v>2</v>
      </c>
      <c r="P1283" s="19" t="s">
        <v>120</v>
      </c>
      <c r="Q1283">
        <v>4</v>
      </c>
      <c r="R1283" s="19" t="s">
        <v>53</v>
      </c>
      <c r="S1283">
        <v>43460</v>
      </c>
      <c r="T1283" s="19" t="s">
        <v>72</v>
      </c>
      <c r="U1283">
        <v>271.62</v>
      </c>
      <c r="V1283">
        <v>1</v>
      </c>
      <c r="W1283" s="19" t="s">
        <v>47</v>
      </c>
      <c r="X1283">
        <v>15</v>
      </c>
      <c r="Y1283">
        <v>3</v>
      </c>
      <c r="Z1283">
        <v>1</v>
      </c>
      <c r="AA1283">
        <v>2</v>
      </c>
      <c r="AB1283">
        <v>7</v>
      </c>
      <c r="AC1283">
        <v>0</v>
      </c>
      <c r="AD1283">
        <v>3</v>
      </c>
      <c r="AE1283">
        <v>7</v>
      </c>
      <c r="AF1283">
        <v>7</v>
      </c>
      <c r="AG1283">
        <v>1</v>
      </c>
      <c r="AH1283">
        <v>7</v>
      </c>
      <c r="AI1283">
        <v>0</v>
      </c>
      <c r="AJ1283" s="19" t="s">
        <v>1569</v>
      </c>
      <c r="AK1283" s="19" t="s">
        <v>1562</v>
      </c>
      <c r="AL1283">
        <v>1</v>
      </c>
      <c r="AM1283" s="19" t="s">
        <v>1565</v>
      </c>
      <c r="AN1283">
        <v>-1.8858320064931593E-2</v>
      </c>
      <c r="AO1283">
        <v>521520</v>
      </c>
    </row>
    <row r="1284" spans="1:41" x14ac:dyDescent="0.3">
      <c r="A1284" s="19" t="s">
        <v>1351</v>
      </c>
      <c r="B1284">
        <v>49</v>
      </c>
      <c r="C1284" s="19" t="s">
        <v>1272</v>
      </c>
      <c r="D1284" s="19" t="s">
        <v>55</v>
      </c>
      <c r="E1284" s="19" t="s">
        <v>62</v>
      </c>
      <c r="F1284">
        <v>636</v>
      </c>
      <c r="G1284" s="19" t="s">
        <v>735</v>
      </c>
      <c r="H1284">
        <v>10</v>
      </c>
      <c r="I1284">
        <v>4</v>
      </c>
      <c r="J1284" s="19" t="s">
        <v>50</v>
      </c>
      <c r="K1284">
        <v>396</v>
      </c>
      <c r="L1284">
        <v>3</v>
      </c>
      <c r="M1284" s="19" t="s">
        <v>59</v>
      </c>
      <c r="N1284">
        <v>3</v>
      </c>
      <c r="O1284">
        <v>5</v>
      </c>
      <c r="P1284" s="19" t="s">
        <v>257</v>
      </c>
      <c r="Q1284">
        <v>1</v>
      </c>
      <c r="R1284" s="19" t="s">
        <v>53</v>
      </c>
      <c r="S1284">
        <v>91397</v>
      </c>
      <c r="T1284" s="19" t="s">
        <v>70</v>
      </c>
      <c r="U1284">
        <v>571.23</v>
      </c>
      <c r="V1284">
        <v>9</v>
      </c>
      <c r="W1284" s="19" t="s">
        <v>47</v>
      </c>
      <c r="X1284">
        <v>11</v>
      </c>
      <c r="Y1284">
        <v>3</v>
      </c>
      <c r="Z1284">
        <v>4</v>
      </c>
      <c r="AA1284">
        <v>0</v>
      </c>
      <c r="AB1284">
        <v>22</v>
      </c>
      <c r="AC1284">
        <v>4</v>
      </c>
      <c r="AD1284">
        <v>3</v>
      </c>
      <c r="AE1284">
        <v>3</v>
      </c>
      <c r="AF1284">
        <v>2</v>
      </c>
      <c r="AG1284">
        <v>1</v>
      </c>
      <c r="AH1284">
        <v>2</v>
      </c>
      <c r="AI1284">
        <v>0</v>
      </c>
      <c r="AJ1284" s="19" t="s">
        <v>1566</v>
      </c>
      <c r="AK1284" s="19" t="s">
        <v>1562</v>
      </c>
      <c r="AL1284">
        <v>2</v>
      </c>
      <c r="AM1284" s="19" t="s">
        <v>1564</v>
      </c>
      <c r="AN1284">
        <v>0.80401604126871506</v>
      </c>
      <c r="AO1284">
        <v>1096764</v>
      </c>
    </row>
    <row r="1285" spans="1:41" x14ac:dyDescent="0.3">
      <c r="A1285" s="19" t="s">
        <v>1352</v>
      </c>
      <c r="B1285">
        <v>49</v>
      </c>
      <c r="C1285" s="19" t="s">
        <v>1272</v>
      </c>
      <c r="D1285" s="19" t="s">
        <v>55</v>
      </c>
      <c r="E1285" s="19" t="s">
        <v>48</v>
      </c>
      <c r="F1285">
        <v>1091</v>
      </c>
      <c r="G1285" s="19" t="s">
        <v>735</v>
      </c>
      <c r="H1285">
        <v>1</v>
      </c>
      <c r="I1285">
        <v>2</v>
      </c>
      <c r="J1285" s="19" t="s">
        <v>77</v>
      </c>
      <c r="K1285">
        <v>431</v>
      </c>
      <c r="L1285">
        <v>3</v>
      </c>
      <c r="M1285" s="19" t="s">
        <v>59</v>
      </c>
      <c r="N1285">
        <v>2</v>
      </c>
      <c r="O1285">
        <v>4</v>
      </c>
      <c r="P1285" s="19" t="s">
        <v>168</v>
      </c>
      <c r="Q1285">
        <v>3</v>
      </c>
      <c r="R1285" s="19" t="s">
        <v>53</v>
      </c>
      <c r="S1285">
        <v>73847</v>
      </c>
      <c r="T1285" s="19" t="s">
        <v>64</v>
      </c>
      <c r="U1285">
        <v>461.54</v>
      </c>
      <c r="V1285">
        <v>7</v>
      </c>
      <c r="W1285" s="19" t="s">
        <v>47</v>
      </c>
      <c r="X1285">
        <v>12</v>
      </c>
      <c r="Y1285">
        <v>3</v>
      </c>
      <c r="Z1285">
        <v>4</v>
      </c>
      <c r="AA1285">
        <v>0</v>
      </c>
      <c r="AB1285">
        <v>25</v>
      </c>
      <c r="AC1285">
        <v>2</v>
      </c>
      <c r="AD1285">
        <v>3</v>
      </c>
      <c r="AE1285">
        <v>7</v>
      </c>
      <c r="AF1285">
        <v>1</v>
      </c>
      <c r="AG1285">
        <v>0</v>
      </c>
      <c r="AH1285">
        <v>7</v>
      </c>
      <c r="AI1285">
        <v>0</v>
      </c>
      <c r="AJ1285" s="19" t="s">
        <v>1569</v>
      </c>
      <c r="AK1285" s="19" t="s">
        <v>1562</v>
      </c>
      <c r="AL1285">
        <v>1</v>
      </c>
      <c r="AM1285" s="19" t="s">
        <v>1565</v>
      </c>
      <c r="AN1285">
        <v>0.53244062088674393</v>
      </c>
      <c r="AO1285">
        <v>886164</v>
      </c>
    </row>
    <row r="1286" spans="1:41" x14ac:dyDescent="0.3">
      <c r="A1286" s="19" t="s">
        <v>1353</v>
      </c>
      <c r="B1286">
        <v>49</v>
      </c>
      <c r="C1286" s="19" t="s">
        <v>1272</v>
      </c>
      <c r="D1286" s="19" t="s">
        <v>55</v>
      </c>
      <c r="E1286" s="19" t="s">
        <v>48</v>
      </c>
      <c r="F1286">
        <v>1261</v>
      </c>
      <c r="G1286" s="19" t="s">
        <v>735</v>
      </c>
      <c r="H1286">
        <v>7</v>
      </c>
      <c r="I1286">
        <v>3</v>
      </c>
      <c r="J1286" s="19" t="s">
        <v>82</v>
      </c>
      <c r="K1286">
        <v>499</v>
      </c>
      <c r="L1286">
        <v>2</v>
      </c>
      <c r="M1286" s="19" t="s">
        <v>51</v>
      </c>
      <c r="N1286">
        <v>2</v>
      </c>
      <c r="O1286">
        <v>3</v>
      </c>
      <c r="P1286" s="19" t="s">
        <v>168</v>
      </c>
      <c r="Q1286">
        <v>3</v>
      </c>
      <c r="R1286" s="19" t="s">
        <v>53</v>
      </c>
      <c r="S1286">
        <v>94607</v>
      </c>
      <c r="T1286" s="19" t="s">
        <v>70</v>
      </c>
      <c r="U1286">
        <v>591.29</v>
      </c>
      <c r="V1286">
        <v>8</v>
      </c>
      <c r="W1286" s="19" t="s">
        <v>55</v>
      </c>
      <c r="X1286">
        <v>24</v>
      </c>
      <c r="Y1286">
        <v>4</v>
      </c>
      <c r="Z1286">
        <v>3</v>
      </c>
      <c r="AA1286">
        <v>0</v>
      </c>
      <c r="AB1286">
        <v>26</v>
      </c>
      <c r="AC1286">
        <v>2</v>
      </c>
      <c r="AD1286">
        <v>3</v>
      </c>
      <c r="AE1286">
        <v>5</v>
      </c>
      <c r="AF1286">
        <v>2</v>
      </c>
      <c r="AG1286">
        <v>0</v>
      </c>
      <c r="AH1286">
        <v>0</v>
      </c>
      <c r="AI1286">
        <v>0</v>
      </c>
      <c r="AJ1286" s="19" t="s">
        <v>1567</v>
      </c>
      <c r="AK1286" s="19" t="s">
        <v>1562</v>
      </c>
      <c r="AL1286">
        <v>0</v>
      </c>
      <c r="AM1286" s="19" t="s">
        <v>1563</v>
      </c>
      <c r="AN1286">
        <v>0.9632430541556487</v>
      </c>
      <c r="AO1286">
        <v>1135284</v>
      </c>
    </row>
    <row r="1287" spans="1:41" x14ac:dyDescent="0.3">
      <c r="A1287" s="19" t="s">
        <v>1354</v>
      </c>
      <c r="B1287">
        <v>49</v>
      </c>
      <c r="C1287" s="19" t="s">
        <v>1272</v>
      </c>
      <c r="D1287" s="19" t="s">
        <v>55</v>
      </c>
      <c r="E1287" s="19" t="s">
        <v>48</v>
      </c>
      <c r="F1287">
        <v>1245</v>
      </c>
      <c r="G1287" s="19" t="s">
        <v>735</v>
      </c>
      <c r="H1287">
        <v>18</v>
      </c>
      <c r="I1287">
        <v>4</v>
      </c>
      <c r="J1287" s="19" t="s">
        <v>50</v>
      </c>
      <c r="K1287">
        <v>638</v>
      </c>
      <c r="L1287">
        <v>4</v>
      </c>
      <c r="M1287" s="19" t="s">
        <v>51</v>
      </c>
      <c r="N1287">
        <v>2</v>
      </c>
      <c r="O1287">
        <v>5</v>
      </c>
      <c r="P1287" s="19" t="s">
        <v>257</v>
      </c>
      <c r="Q1287">
        <v>3</v>
      </c>
      <c r="R1287" s="19" t="s">
        <v>113</v>
      </c>
      <c r="S1287">
        <v>90106</v>
      </c>
      <c r="T1287" s="19" t="s">
        <v>70</v>
      </c>
      <c r="U1287">
        <v>563.16</v>
      </c>
      <c r="V1287">
        <v>1</v>
      </c>
      <c r="W1287" s="19" t="s">
        <v>47</v>
      </c>
      <c r="X1287">
        <v>17</v>
      </c>
      <c r="Y1287">
        <v>3</v>
      </c>
      <c r="Z1287">
        <v>3</v>
      </c>
      <c r="AA1287">
        <v>1</v>
      </c>
      <c r="AB1287">
        <v>31</v>
      </c>
      <c r="AC1287">
        <v>5</v>
      </c>
      <c r="AD1287">
        <v>3</v>
      </c>
      <c r="AE1287">
        <v>31</v>
      </c>
      <c r="AF1287">
        <v>9</v>
      </c>
      <c r="AG1287">
        <v>0</v>
      </c>
      <c r="AH1287">
        <v>9</v>
      </c>
      <c r="AI1287">
        <v>0</v>
      </c>
      <c r="AJ1287" s="19" t="s">
        <v>1571</v>
      </c>
      <c r="AK1287" s="19" t="s">
        <v>1562</v>
      </c>
      <c r="AL1287">
        <v>1</v>
      </c>
      <c r="AM1287" s="19" t="s">
        <v>1565</v>
      </c>
      <c r="AN1287">
        <v>0.77853397173385164</v>
      </c>
      <c r="AO1287">
        <v>1081272</v>
      </c>
    </row>
    <row r="1288" spans="1:41" x14ac:dyDescent="0.3">
      <c r="A1288" s="19" t="s">
        <v>1355</v>
      </c>
      <c r="B1288">
        <v>49</v>
      </c>
      <c r="C1288" s="19" t="s">
        <v>1272</v>
      </c>
      <c r="D1288" s="19" t="s">
        <v>47</v>
      </c>
      <c r="E1288" s="19" t="s">
        <v>48</v>
      </c>
      <c r="F1288">
        <v>1184</v>
      </c>
      <c r="G1288" s="19" t="s">
        <v>932</v>
      </c>
      <c r="H1288">
        <v>11</v>
      </c>
      <c r="I1288">
        <v>3</v>
      </c>
      <c r="J1288" s="19" t="s">
        <v>63</v>
      </c>
      <c r="K1288">
        <v>840</v>
      </c>
      <c r="L1288">
        <v>3</v>
      </c>
      <c r="M1288" s="19" t="s">
        <v>59</v>
      </c>
      <c r="N1288">
        <v>3</v>
      </c>
      <c r="O1288">
        <v>3</v>
      </c>
      <c r="P1288" s="19" t="s">
        <v>145</v>
      </c>
      <c r="Q1288">
        <v>4</v>
      </c>
      <c r="R1288" s="19" t="s">
        <v>113</v>
      </c>
      <c r="S1288">
        <v>19449</v>
      </c>
      <c r="T1288" s="19" t="s">
        <v>54</v>
      </c>
      <c r="U1288">
        <v>121.56</v>
      </c>
      <c r="V1288">
        <v>1</v>
      </c>
      <c r="W1288" s="19" t="s">
        <v>55</v>
      </c>
      <c r="X1288">
        <v>18</v>
      </c>
      <c r="Y1288">
        <v>3</v>
      </c>
      <c r="Z1288">
        <v>1</v>
      </c>
      <c r="AA1288">
        <v>2</v>
      </c>
      <c r="AB1288">
        <v>9</v>
      </c>
      <c r="AC1288">
        <v>3</v>
      </c>
      <c r="AD1288">
        <v>4</v>
      </c>
      <c r="AE1288">
        <v>9</v>
      </c>
      <c r="AF1288">
        <v>8</v>
      </c>
      <c r="AG1288">
        <v>7</v>
      </c>
      <c r="AH1288">
        <v>7</v>
      </c>
      <c r="AI1288">
        <v>1</v>
      </c>
      <c r="AJ1288" s="19" t="s">
        <v>1569</v>
      </c>
      <c r="AK1288" s="19" t="s">
        <v>1570</v>
      </c>
      <c r="AL1288">
        <v>1</v>
      </c>
      <c r="AM1288" s="19" t="s">
        <v>1565</v>
      </c>
      <c r="AN1288">
        <v>-0.60355065330563584</v>
      </c>
      <c r="AO1288">
        <v>233388</v>
      </c>
    </row>
    <row r="1289" spans="1:41" x14ac:dyDescent="0.3">
      <c r="A1289" s="19" t="s">
        <v>1356</v>
      </c>
      <c r="B1289">
        <v>49</v>
      </c>
      <c r="C1289" s="19" t="s">
        <v>1272</v>
      </c>
      <c r="D1289" s="19" t="s">
        <v>55</v>
      </c>
      <c r="E1289" s="19" t="s">
        <v>48</v>
      </c>
      <c r="F1289">
        <v>1418</v>
      </c>
      <c r="G1289" s="19" t="s">
        <v>735</v>
      </c>
      <c r="H1289">
        <v>1</v>
      </c>
      <c r="I1289">
        <v>3</v>
      </c>
      <c r="J1289" s="19" t="s">
        <v>77</v>
      </c>
      <c r="K1289">
        <v>887</v>
      </c>
      <c r="L1289">
        <v>3</v>
      </c>
      <c r="M1289" s="19" t="s">
        <v>59</v>
      </c>
      <c r="N1289">
        <v>3</v>
      </c>
      <c r="O1289">
        <v>1</v>
      </c>
      <c r="P1289" s="19" t="s">
        <v>67</v>
      </c>
      <c r="Q1289">
        <v>1</v>
      </c>
      <c r="R1289" s="19" t="s">
        <v>113</v>
      </c>
      <c r="S1289">
        <v>34536</v>
      </c>
      <c r="T1289" s="19" t="s">
        <v>72</v>
      </c>
      <c r="U1289">
        <v>215.85</v>
      </c>
      <c r="V1289">
        <v>2</v>
      </c>
      <c r="W1289" s="19" t="s">
        <v>55</v>
      </c>
      <c r="X1289">
        <v>16</v>
      </c>
      <c r="Y1289">
        <v>3</v>
      </c>
      <c r="Z1289">
        <v>2</v>
      </c>
      <c r="AA1289">
        <v>1</v>
      </c>
      <c r="AB1289">
        <v>7</v>
      </c>
      <c r="AC1289">
        <v>2</v>
      </c>
      <c r="AD1289">
        <v>3</v>
      </c>
      <c r="AE1289">
        <v>4</v>
      </c>
      <c r="AF1289">
        <v>2</v>
      </c>
      <c r="AG1289">
        <v>0</v>
      </c>
      <c r="AH1289">
        <v>2</v>
      </c>
      <c r="AI1289">
        <v>0</v>
      </c>
      <c r="AJ1289" s="19" t="s">
        <v>1567</v>
      </c>
      <c r="AK1289" s="19" t="s">
        <v>1562</v>
      </c>
      <c r="AL1289">
        <v>1</v>
      </c>
      <c r="AM1289" s="19" t="s">
        <v>1565</v>
      </c>
      <c r="AN1289">
        <v>-0.30742531809416179</v>
      </c>
      <c r="AO1289">
        <v>414432</v>
      </c>
    </row>
    <row r="1290" spans="1:41" x14ac:dyDescent="0.3">
      <c r="A1290" s="19" t="s">
        <v>1357</v>
      </c>
      <c r="B1290">
        <v>49</v>
      </c>
      <c r="C1290" s="19" t="s">
        <v>1272</v>
      </c>
      <c r="D1290" s="19" t="s">
        <v>55</v>
      </c>
      <c r="E1290" s="19" t="s">
        <v>48</v>
      </c>
      <c r="F1290">
        <v>527</v>
      </c>
      <c r="G1290" s="19" t="s">
        <v>735</v>
      </c>
      <c r="H1290">
        <v>8</v>
      </c>
      <c r="I1290">
        <v>2</v>
      </c>
      <c r="J1290" s="19" t="s">
        <v>82</v>
      </c>
      <c r="K1290">
        <v>944</v>
      </c>
      <c r="L1290">
        <v>1</v>
      </c>
      <c r="M1290" s="19" t="s">
        <v>59</v>
      </c>
      <c r="N1290">
        <v>3</v>
      </c>
      <c r="O1290">
        <v>3</v>
      </c>
      <c r="P1290" s="19" t="s">
        <v>52</v>
      </c>
      <c r="Q1290">
        <v>2</v>
      </c>
      <c r="R1290" s="19" t="s">
        <v>113</v>
      </c>
      <c r="S1290">
        <v>65077</v>
      </c>
      <c r="T1290" s="19" t="s">
        <v>64</v>
      </c>
      <c r="U1290">
        <v>406.73</v>
      </c>
      <c r="V1290">
        <v>4</v>
      </c>
      <c r="W1290" s="19" t="s">
        <v>55</v>
      </c>
      <c r="X1290">
        <v>11</v>
      </c>
      <c r="Y1290">
        <v>3</v>
      </c>
      <c r="Z1290">
        <v>3</v>
      </c>
      <c r="AA1290">
        <v>1</v>
      </c>
      <c r="AB1290">
        <v>29</v>
      </c>
      <c r="AC1290">
        <v>3</v>
      </c>
      <c r="AD1290">
        <v>2</v>
      </c>
      <c r="AE1290">
        <v>26</v>
      </c>
      <c r="AF1290">
        <v>9</v>
      </c>
      <c r="AG1290">
        <v>1</v>
      </c>
      <c r="AH1290">
        <v>7</v>
      </c>
      <c r="AI1290">
        <v>0</v>
      </c>
      <c r="AJ1290" s="19" t="s">
        <v>1571</v>
      </c>
      <c r="AK1290" s="19" t="s">
        <v>1562</v>
      </c>
      <c r="AL1290">
        <v>2</v>
      </c>
      <c r="AM1290" s="19" t="s">
        <v>1564</v>
      </c>
      <c r="AN1290">
        <v>0.25824143461657478</v>
      </c>
      <c r="AO1290">
        <v>780924</v>
      </c>
    </row>
    <row r="1291" spans="1:41" x14ac:dyDescent="0.3">
      <c r="A1291" s="19" t="s">
        <v>1358</v>
      </c>
      <c r="B1291">
        <v>49</v>
      </c>
      <c r="C1291" s="19" t="s">
        <v>1272</v>
      </c>
      <c r="D1291" s="19" t="s">
        <v>55</v>
      </c>
      <c r="E1291" s="19" t="s">
        <v>48</v>
      </c>
      <c r="F1291">
        <v>174</v>
      </c>
      <c r="G1291" s="19" t="s">
        <v>932</v>
      </c>
      <c r="H1291">
        <v>8</v>
      </c>
      <c r="I1291">
        <v>4</v>
      </c>
      <c r="J1291" s="19" t="s">
        <v>77</v>
      </c>
      <c r="K1291">
        <v>1138</v>
      </c>
      <c r="L1291">
        <v>4</v>
      </c>
      <c r="M1291" s="19" t="s">
        <v>51</v>
      </c>
      <c r="N1291">
        <v>2</v>
      </c>
      <c r="O1291">
        <v>4</v>
      </c>
      <c r="P1291" s="19" t="s">
        <v>145</v>
      </c>
      <c r="Q1291">
        <v>2</v>
      </c>
      <c r="R1291" s="19" t="s">
        <v>113</v>
      </c>
      <c r="S1291">
        <v>39258</v>
      </c>
      <c r="T1291" s="19" t="s">
        <v>72</v>
      </c>
      <c r="U1291">
        <v>245.36</v>
      </c>
      <c r="V1291">
        <v>6</v>
      </c>
      <c r="W1291" s="19" t="s">
        <v>55</v>
      </c>
      <c r="X1291">
        <v>17</v>
      </c>
      <c r="Y1291">
        <v>3</v>
      </c>
      <c r="Z1291">
        <v>2</v>
      </c>
      <c r="AA1291">
        <v>1</v>
      </c>
      <c r="AB1291">
        <v>22</v>
      </c>
      <c r="AC1291">
        <v>3</v>
      </c>
      <c r="AD1291">
        <v>3</v>
      </c>
      <c r="AE1291">
        <v>9</v>
      </c>
      <c r="AF1291">
        <v>8</v>
      </c>
      <c r="AG1291">
        <v>2</v>
      </c>
      <c r="AH1291">
        <v>3</v>
      </c>
      <c r="AI1291">
        <v>0</v>
      </c>
      <c r="AJ1291" s="19" t="s">
        <v>1569</v>
      </c>
      <c r="AK1291" s="19" t="s">
        <v>1562</v>
      </c>
      <c r="AL1291">
        <v>1</v>
      </c>
      <c r="AM1291" s="19" t="s">
        <v>1565</v>
      </c>
      <c r="AN1291">
        <v>-0.19976304938416636</v>
      </c>
      <c r="AO1291">
        <v>471096</v>
      </c>
    </row>
    <row r="1292" spans="1:41" x14ac:dyDescent="0.3">
      <c r="A1292" s="19" t="s">
        <v>1359</v>
      </c>
      <c r="B1292">
        <v>49</v>
      </c>
      <c r="C1292" s="19" t="s">
        <v>1272</v>
      </c>
      <c r="D1292" s="19" t="s">
        <v>55</v>
      </c>
      <c r="E1292" s="19" t="s">
        <v>48</v>
      </c>
      <c r="F1292">
        <v>1098</v>
      </c>
      <c r="G1292" s="19" t="s">
        <v>735</v>
      </c>
      <c r="H1292">
        <v>4</v>
      </c>
      <c r="I1292">
        <v>2</v>
      </c>
      <c r="J1292" s="19" t="s">
        <v>58</v>
      </c>
      <c r="K1292">
        <v>1256</v>
      </c>
      <c r="L1292">
        <v>1</v>
      </c>
      <c r="M1292" s="19" t="s">
        <v>51</v>
      </c>
      <c r="N1292">
        <v>2</v>
      </c>
      <c r="O1292">
        <v>5</v>
      </c>
      <c r="P1292" s="19" t="s">
        <v>444</v>
      </c>
      <c r="Q1292">
        <v>3</v>
      </c>
      <c r="R1292" s="19" t="s">
        <v>113</v>
      </c>
      <c r="S1292">
        <v>49302</v>
      </c>
      <c r="T1292" s="19" t="s">
        <v>72</v>
      </c>
      <c r="U1292">
        <v>308.14</v>
      </c>
      <c r="V1292">
        <v>2</v>
      </c>
      <c r="W1292" s="19" t="s">
        <v>55</v>
      </c>
      <c r="X1292">
        <v>13</v>
      </c>
      <c r="Y1292">
        <v>3</v>
      </c>
      <c r="Z1292">
        <v>3</v>
      </c>
      <c r="AA1292">
        <v>1</v>
      </c>
      <c r="AB1292">
        <v>23</v>
      </c>
      <c r="AC1292">
        <v>2</v>
      </c>
      <c r="AD1292">
        <v>4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 s="19" t="s">
        <v>1561</v>
      </c>
      <c r="AK1292" s="19" t="s">
        <v>1562</v>
      </c>
      <c r="AL1292">
        <v>0</v>
      </c>
      <c r="AM1292" s="19" t="s">
        <v>1563</v>
      </c>
      <c r="AN1292">
        <v>-5.5486729719313295E-2</v>
      </c>
      <c r="AO1292">
        <v>591624</v>
      </c>
    </row>
    <row r="1293" spans="1:41" x14ac:dyDescent="0.3">
      <c r="A1293" s="19" t="s">
        <v>1360</v>
      </c>
      <c r="B1293">
        <v>49</v>
      </c>
      <c r="C1293" s="19" t="s">
        <v>1272</v>
      </c>
      <c r="D1293" s="19" t="s">
        <v>47</v>
      </c>
      <c r="E1293" s="19" t="s">
        <v>62</v>
      </c>
      <c r="F1293">
        <v>1475</v>
      </c>
      <c r="G1293" s="19" t="s">
        <v>735</v>
      </c>
      <c r="H1293">
        <v>28</v>
      </c>
      <c r="I1293">
        <v>2</v>
      </c>
      <c r="J1293" s="19" t="s">
        <v>50</v>
      </c>
      <c r="K1293">
        <v>1420</v>
      </c>
      <c r="L1293">
        <v>1</v>
      </c>
      <c r="M1293" s="19" t="s">
        <v>51</v>
      </c>
      <c r="N1293">
        <v>2</v>
      </c>
      <c r="O1293">
        <v>2</v>
      </c>
      <c r="P1293" s="19" t="s">
        <v>52</v>
      </c>
      <c r="Q1293">
        <v>1</v>
      </c>
      <c r="R1293" s="19" t="s">
        <v>53</v>
      </c>
      <c r="S1293">
        <v>29865</v>
      </c>
      <c r="T1293" s="19" t="s">
        <v>72</v>
      </c>
      <c r="U1293">
        <v>186.66</v>
      </c>
      <c r="V1293">
        <v>3</v>
      </c>
      <c r="W1293" s="19" t="s">
        <v>55</v>
      </c>
      <c r="X1293">
        <v>20</v>
      </c>
      <c r="Y1293">
        <v>4</v>
      </c>
      <c r="Z1293">
        <v>1</v>
      </c>
      <c r="AA1293">
        <v>0</v>
      </c>
      <c r="AB1293">
        <v>20</v>
      </c>
      <c r="AC1293">
        <v>2</v>
      </c>
      <c r="AD1293">
        <v>3</v>
      </c>
      <c r="AE1293">
        <v>4</v>
      </c>
      <c r="AF1293">
        <v>3</v>
      </c>
      <c r="AG1293">
        <v>1</v>
      </c>
      <c r="AH1293">
        <v>3</v>
      </c>
      <c r="AI1293">
        <v>1</v>
      </c>
      <c r="AJ1293" s="19" t="s">
        <v>1567</v>
      </c>
      <c r="AK1293" s="19" t="s">
        <v>1562</v>
      </c>
      <c r="AL1293">
        <v>1</v>
      </c>
      <c r="AM1293" s="19" t="s">
        <v>1565</v>
      </c>
      <c r="AN1293">
        <v>-0.42257048658014346</v>
      </c>
      <c r="AO1293">
        <v>358380</v>
      </c>
    </row>
    <row r="1294" spans="1:41" x14ac:dyDescent="0.3">
      <c r="A1294" s="19" t="s">
        <v>1361</v>
      </c>
      <c r="B1294">
        <v>49</v>
      </c>
      <c r="C1294" s="19" t="s">
        <v>1272</v>
      </c>
      <c r="D1294" s="19" t="s">
        <v>55</v>
      </c>
      <c r="E1294" s="19" t="s">
        <v>48</v>
      </c>
      <c r="F1294">
        <v>1495</v>
      </c>
      <c r="G1294" s="19" t="s">
        <v>735</v>
      </c>
      <c r="H1294">
        <v>5</v>
      </c>
      <c r="I1294">
        <v>4</v>
      </c>
      <c r="J1294" s="19" t="s">
        <v>77</v>
      </c>
      <c r="K1294">
        <v>1473</v>
      </c>
      <c r="L1294">
        <v>1</v>
      </c>
      <c r="M1294" s="19" t="s">
        <v>51</v>
      </c>
      <c r="N1294">
        <v>3</v>
      </c>
      <c r="O1294">
        <v>2</v>
      </c>
      <c r="P1294" s="19" t="s">
        <v>168</v>
      </c>
      <c r="Q1294">
        <v>3</v>
      </c>
      <c r="R1294" s="19" t="s">
        <v>113</v>
      </c>
      <c r="S1294">
        <v>7645</v>
      </c>
      <c r="T1294" s="19" t="s">
        <v>54</v>
      </c>
      <c r="U1294">
        <v>47.78</v>
      </c>
      <c r="V1294">
        <v>2</v>
      </c>
      <c r="W1294" s="19" t="s">
        <v>55</v>
      </c>
      <c r="X1294">
        <v>14</v>
      </c>
      <c r="Y1294">
        <v>3</v>
      </c>
      <c r="Z1294">
        <v>2</v>
      </c>
      <c r="AA1294">
        <v>1</v>
      </c>
      <c r="AB1294">
        <v>20</v>
      </c>
      <c r="AC1294">
        <v>0</v>
      </c>
      <c r="AD1294">
        <v>2</v>
      </c>
      <c r="AE1294">
        <v>3</v>
      </c>
      <c r="AF1294">
        <v>2</v>
      </c>
      <c r="AG1294">
        <v>1</v>
      </c>
      <c r="AH1294">
        <v>2</v>
      </c>
      <c r="AI1294">
        <v>0</v>
      </c>
      <c r="AJ1294" s="19" t="s">
        <v>1566</v>
      </c>
      <c r="AK1294" s="19" t="s">
        <v>1562</v>
      </c>
      <c r="AL1294">
        <v>1</v>
      </c>
      <c r="AM1294" s="19" t="s">
        <v>1565</v>
      </c>
      <c r="AN1294">
        <v>-0.84135430624562735</v>
      </c>
      <c r="AO1294">
        <v>91740</v>
      </c>
    </row>
    <row r="1295" spans="1:41" x14ac:dyDescent="0.3">
      <c r="A1295" s="19" t="s">
        <v>1362</v>
      </c>
      <c r="B1295">
        <v>49</v>
      </c>
      <c r="C1295" s="19" t="s">
        <v>1272</v>
      </c>
      <c r="D1295" s="19" t="s">
        <v>55</v>
      </c>
      <c r="E1295" s="19" t="s">
        <v>48</v>
      </c>
      <c r="F1295">
        <v>1490</v>
      </c>
      <c r="G1295" s="19" t="s">
        <v>735</v>
      </c>
      <c r="H1295">
        <v>7</v>
      </c>
      <c r="I1295">
        <v>4</v>
      </c>
      <c r="J1295" s="19" t="s">
        <v>50</v>
      </c>
      <c r="K1295">
        <v>1484</v>
      </c>
      <c r="L1295">
        <v>3</v>
      </c>
      <c r="M1295" s="19" t="s">
        <v>51</v>
      </c>
      <c r="N1295">
        <v>3</v>
      </c>
      <c r="O1295">
        <v>3</v>
      </c>
      <c r="P1295" s="19" t="s">
        <v>168</v>
      </c>
      <c r="Q1295">
        <v>2</v>
      </c>
      <c r="R1295" s="19" t="s">
        <v>113</v>
      </c>
      <c r="S1295">
        <v>39000</v>
      </c>
      <c r="T1295" s="19" t="s">
        <v>72</v>
      </c>
      <c r="U1295">
        <v>243.75</v>
      </c>
      <c r="V1295">
        <v>3</v>
      </c>
      <c r="W1295" s="19" t="s">
        <v>55</v>
      </c>
      <c r="X1295">
        <v>14</v>
      </c>
      <c r="Y1295">
        <v>3</v>
      </c>
      <c r="Z1295">
        <v>2</v>
      </c>
      <c r="AA1295">
        <v>2</v>
      </c>
      <c r="AB1295">
        <v>29</v>
      </c>
      <c r="AC1295">
        <v>3</v>
      </c>
      <c r="AD1295">
        <v>3</v>
      </c>
      <c r="AE1295">
        <v>8</v>
      </c>
      <c r="AF1295">
        <v>7</v>
      </c>
      <c r="AG1295">
        <v>0</v>
      </c>
      <c r="AH1295">
        <v>7</v>
      </c>
      <c r="AI1295">
        <v>0</v>
      </c>
      <c r="AJ1295" s="19" t="s">
        <v>1569</v>
      </c>
      <c r="AK1295" s="19" t="s">
        <v>1562</v>
      </c>
      <c r="AL1295">
        <v>1</v>
      </c>
      <c r="AM1295" s="19" t="s">
        <v>1565</v>
      </c>
      <c r="AN1295">
        <v>-0.19068907044858946</v>
      </c>
      <c r="AO1295">
        <v>468000</v>
      </c>
    </row>
    <row r="1296" spans="1:41" x14ac:dyDescent="0.3">
      <c r="A1296" s="19" t="s">
        <v>1363</v>
      </c>
      <c r="B1296">
        <v>49</v>
      </c>
      <c r="C1296" s="19" t="s">
        <v>1272</v>
      </c>
      <c r="D1296" s="19" t="s">
        <v>55</v>
      </c>
      <c r="E1296" s="19" t="s">
        <v>48</v>
      </c>
      <c r="F1296">
        <v>271</v>
      </c>
      <c r="G1296" s="19" t="s">
        <v>735</v>
      </c>
      <c r="H1296">
        <v>3</v>
      </c>
      <c r="I1296">
        <v>2</v>
      </c>
      <c r="J1296" s="19" t="s">
        <v>58</v>
      </c>
      <c r="K1296">
        <v>1509</v>
      </c>
      <c r="L1296">
        <v>3</v>
      </c>
      <c r="M1296" s="19" t="s">
        <v>59</v>
      </c>
      <c r="N1296">
        <v>2</v>
      </c>
      <c r="O1296">
        <v>2</v>
      </c>
      <c r="P1296" s="19" t="s">
        <v>52</v>
      </c>
      <c r="Q1296">
        <v>1</v>
      </c>
      <c r="R1296" s="19" t="s">
        <v>113</v>
      </c>
      <c r="S1296">
        <v>27737</v>
      </c>
      <c r="T1296" s="19" t="s">
        <v>72</v>
      </c>
      <c r="U1296">
        <v>173.36</v>
      </c>
      <c r="V1296">
        <v>4</v>
      </c>
      <c r="W1296" s="19" t="s">
        <v>55</v>
      </c>
      <c r="X1296">
        <v>25</v>
      </c>
      <c r="Y1296">
        <v>4</v>
      </c>
      <c r="Z1296">
        <v>1</v>
      </c>
      <c r="AA1296">
        <v>1</v>
      </c>
      <c r="AB1296">
        <v>10</v>
      </c>
      <c r="AC1296">
        <v>3</v>
      </c>
      <c r="AD1296">
        <v>3</v>
      </c>
      <c r="AE1296">
        <v>3</v>
      </c>
      <c r="AF1296">
        <v>2</v>
      </c>
      <c r="AG1296">
        <v>1</v>
      </c>
      <c r="AH1296">
        <v>2</v>
      </c>
      <c r="AI1296">
        <v>0</v>
      </c>
      <c r="AJ1296" s="19" t="s">
        <v>1566</v>
      </c>
      <c r="AK1296" s="19" t="s">
        <v>1562</v>
      </c>
      <c r="AL1296">
        <v>1</v>
      </c>
      <c r="AM1296" s="19" t="s">
        <v>1565</v>
      </c>
      <c r="AN1296">
        <v>-0.46371463540175584</v>
      </c>
      <c r="AO1296">
        <v>332844</v>
      </c>
    </row>
    <row r="1297" spans="1:41" x14ac:dyDescent="0.3">
      <c r="A1297" s="19" t="s">
        <v>1364</v>
      </c>
      <c r="B1297">
        <v>49</v>
      </c>
      <c r="C1297" s="19" t="s">
        <v>1272</v>
      </c>
      <c r="D1297" s="19" t="s">
        <v>55</v>
      </c>
      <c r="E1297" s="19" t="s">
        <v>48</v>
      </c>
      <c r="F1297">
        <v>722</v>
      </c>
      <c r="G1297" s="19" t="s">
        <v>735</v>
      </c>
      <c r="H1297">
        <v>25</v>
      </c>
      <c r="I1297">
        <v>4</v>
      </c>
      <c r="J1297" s="19" t="s">
        <v>50</v>
      </c>
      <c r="K1297">
        <v>1617</v>
      </c>
      <c r="L1297">
        <v>3</v>
      </c>
      <c r="M1297" s="19" t="s">
        <v>59</v>
      </c>
      <c r="N1297">
        <v>3</v>
      </c>
      <c r="O1297">
        <v>1</v>
      </c>
      <c r="P1297" s="19" t="s">
        <v>52</v>
      </c>
      <c r="Q1297">
        <v>1</v>
      </c>
      <c r="R1297" s="19" t="s">
        <v>113</v>
      </c>
      <c r="S1297">
        <v>12485</v>
      </c>
      <c r="T1297" s="19" t="s">
        <v>54</v>
      </c>
      <c r="U1297">
        <v>78.03</v>
      </c>
      <c r="V1297">
        <v>1</v>
      </c>
      <c r="W1297" s="19" t="s">
        <v>55</v>
      </c>
      <c r="X1297">
        <v>14</v>
      </c>
      <c r="Y1297">
        <v>3</v>
      </c>
      <c r="Z1297">
        <v>4</v>
      </c>
      <c r="AA1297">
        <v>1</v>
      </c>
      <c r="AB1297">
        <v>10</v>
      </c>
      <c r="AC1297">
        <v>3</v>
      </c>
      <c r="AD1297">
        <v>2</v>
      </c>
      <c r="AE1297">
        <v>9</v>
      </c>
      <c r="AF1297">
        <v>6</v>
      </c>
      <c r="AG1297">
        <v>1</v>
      </c>
      <c r="AH1297">
        <v>4</v>
      </c>
      <c r="AI1297">
        <v>0</v>
      </c>
      <c r="AJ1297" s="19" t="s">
        <v>1569</v>
      </c>
      <c r="AK1297" s="19" t="s">
        <v>1562</v>
      </c>
      <c r="AL1297">
        <v>2</v>
      </c>
      <c r="AM1297" s="19" t="s">
        <v>1564</v>
      </c>
      <c r="AN1297">
        <v>-0.75860681483184633</v>
      </c>
      <c r="AO1297">
        <v>149820</v>
      </c>
    </row>
    <row r="1298" spans="1:41" x14ac:dyDescent="0.3">
      <c r="A1298" s="19" t="s">
        <v>1365</v>
      </c>
      <c r="B1298">
        <v>49</v>
      </c>
      <c r="C1298" s="19" t="s">
        <v>1272</v>
      </c>
      <c r="D1298" s="19" t="s">
        <v>55</v>
      </c>
      <c r="E1298" s="19" t="s">
        <v>48</v>
      </c>
      <c r="F1298">
        <v>301</v>
      </c>
      <c r="G1298" s="19" t="s">
        <v>735</v>
      </c>
      <c r="H1298">
        <v>22</v>
      </c>
      <c r="I1298">
        <v>4</v>
      </c>
      <c r="J1298" s="19" t="s">
        <v>82</v>
      </c>
      <c r="K1298">
        <v>1655</v>
      </c>
      <c r="L1298">
        <v>1</v>
      </c>
      <c r="M1298" s="19" t="s">
        <v>59</v>
      </c>
      <c r="N1298">
        <v>3</v>
      </c>
      <c r="O1298">
        <v>4</v>
      </c>
      <c r="P1298" s="19" t="s">
        <v>257</v>
      </c>
      <c r="Q1298">
        <v>2</v>
      </c>
      <c r="R1298" s="19" t="s">
        <v>113</v>
      </c>
      <c r="S1298">
        <v>39565</v>
      </c>
      <c r="T1298" s="19" t="s">
        <v>72</v>
      </c>
      <c r="U1298">
        <v>247.28</v>
      </c>
      <c r="V1298">
        <v>3</v>
      </c>
      <c r="W1298" s="19" t="s">
        <v>55</v>
      </c>
      <c r="X1298">
        <v>16</v>
      </c>
      <c r="Y1298">
        <v>3</v>
      </c>
      <c r="Z1298">
        <v>2</v>
      </c>
      <c r="AA1298">
        <v>2</v>
      </c>
      <c r="AB1298">
        <v>27</v>
      </c>
      <c r="AC1298">
        <v>2</v>
      </c>
      <c r="AD1298">
        <v>3</v>
      </c>
      <c r="AE1298">
        <v>4</v>
      </c>
      <c r="AF1298">
        <v>2</v>
      </c>
      <c r="AG1298">
        <v>1</v>
      </c>
      <c r="AH1298">
        <v>2</v>
      </c>
      <c r="AI1298">
        <v>0</v>
      </c>
      <c r="AJ1298" s="19" t="s">
        <v>1567</v>
      </c>
      <c r="AK1298" s="19" t="s">
        <v>1562</v>
      </c>
      <c r="AL1298">
        <v>1</v>
      </c>
      <c r="AM1298" s="19" t="s">
        <v>1565</v>
      </c>
      <c r="AN1298">
        <v>-0.21905648245788473</v>
      </c>
      <c r="AO1298">
        <v>474780</v>
      </c>
    </row>
    <row r="1299" spans="1:41" x14ac:dyDescent="0.3">
      <c r="A1299" s="19" t="s">
        <v>1366</v>
      </c>
      <c r="B1299">
        <v>49</v>
      </c>
      <c r="C1299" s="19" t="s">
        <v>1272</v>
      </c>
      <c r="D1299" s="19" t="s">
        <v>55</v>
      </c>
      <c r="E1299" s="19" t="s">
        <v>48</v>
      </c>
      <c r="F1299">
        <v>465</v>
      </c>
      <c r="G1299" s="19" t="s">
        <v>735</v>
      </c>
      <c r="H1299">
        <v>6</v>
      </c>
      <c r="I1299">
        <v>1</v>
      </c>
      <c r="J1299" s="19" t="s">
        <v>50</v>
      </c>
      <c r="K1299">
        <v>1661</v>
      </c>
      <c r="L1299">
        <v>3</v>
      </c>
      <c r="M1299" s="19" t="s">
        <v>59</v>
      </c>
      <c r="N1299">
        <v>2</v>
      </c>
      <c r="O1299">
        <v>4</v>
      </c>
      <c r="P1299" s="19" t="s">
        <v>168</v>
      </c>
      <c r="Q1299">
        <v>3</v>
      </c>
      <c r="R1299" s="19" t="s">
        <v>113</v>
      </c>
      <c r="S1299">
        <v>26522</v>
      </c>
      <c r="T1299" s="19" t="s">
        <v>72</v>
      </c>
      <c r="U1299">
        <v>165.76</v>
      </c>
      <c r="V1299">
        <v>2</v>
      </c>
      <c r="W1299" s="19" t="s">
        <v>47</v>
      </c>
      <c r="X1299">
        <v>19</v>
      </c>
      <c r="Y1299">
        <v>3</v>
      </c>
      <c r="Z1299">
        <v>2</v>
      </c>
      <c r="AA1299">
        <v>1</v>
      </c>
      <c r="AB1299">
        <v>30</v>
      </c>
      <c r="AC1299">
        <v>3</v>
      </c>
      <c r="AD1299">
        <v>3</v>
      </c>
      <c r="AE1299">
        <v>15</v>
      </c>
      <c r="AF1299">
        <v>11</v>
      </c>
      <c r="AG1299">
        <v>2</v>
      </c>
      <c r="AH1299">
        <v>12</v>
      </c>
      <c r="AI1299">
        <v>0</v>
      </c>
      <c r="AJ1299" s="19" t="s">
        <v>1571</v>
      </c>
      <c r="AK1299" s="19" t="s">
        <v>1562</v>
      </c>
      <c r="AL1299">
        <v>1</v>
      </c>
      <c r="AM1299" s="19" t="s">
        <v>1565</v>
      </c>
      <c r="AN1299">
        <v>-0.44962706478044845</v>
      </c>
      <c r="AO1299">
        <v>318264</v>
      </c>
    </row>
    <row r="1300" spans="1:41" x14ac:dyDescent="0.3">
      <c r="A1300" s="19" t="s">
        <v>1367</v>
      </c>
      <c r="B1300">
        <v>49</v>
      </c>
      <c r="C1300" s="19" t="s">
        <v>1272</v>
      </c>
      <c r="D1300" s="19" t="s">
        <v>55</v>
      </c>
      <c r="E1300" s="19" t="s">
        <v>48</v>
      </c>
      <c r="F1300">
        <v>464</v>
      </c>
      <c r="G1300" s="19" t="s">
        <v>735</v>
      </c>
      <c r="H1300">
        <v>16</v>
      </c>
      <c r="I1300">
        <v>3</v>
      </c>
      <c r="J1300" s="19" t="s">
        <v>58</v>
      </c>
      <c r="K1300">
        <v>1674</v>
      </c>
      <c r="L1300">
        <v>4</v>
      </c>
      <c r="M1300" s="19" t="s">
        <v>59</v>
      </c>
      <c r="N1300">
        <v>3</v>
      </c>
      <c r="O1300">
        <v>1</v>
      </c>
      <c r="P1300" s="19" t="s">
        <v>52</v>
      </c>
      <c r="Q1300">
        <v>1</v>
      </c>
      <c r="R1300" s="19" t="s">
        <v>113</v>
      </c>
      <c r="S1300">
        <v>66155</v>
      </c>
      <c r="T1300" s="19" t="s">
        <v>64</v>
      </c>
      <c r="U1300">
        <v>413.47</v>
      </c>
      <c r="V1300">
        <v>4</v>
      </c>
      <c r="W1300" s="19" t="s">
        <v>47</v>
      </c>
      <c r="X1300">
        <v>16</v>
      </c>
      <c r="Y1300">
        <v>3</v>
      </c>
      <c r="Z1300">
        <v>2</v>
      </c>
      <c r="AA1300">
        <v>1</v>
      </c>
      <c r="AB1300">
        <v>17</v>
      </c>
      <c r="AC1300">
        <v>2</v>
      </c>
      <c r="AD1300">
        <v>2</v>
      </c>
      <c r="AE1300">
        <v>2</v>
      </c>
      <c r="AF1300">
        <v>2</v>
      </c>
      <c r="AG1300">
        <v>2</v>
      </c>
      <c r="AH1300">
        <v>2</v>
      </c>
      <c r="AI1300">
        <v>0</v>
      </c>
      <c r="AJ1300" s="19" t="s">
        <v>1566</v>
      </c>
      <c r="AK1300" s="19" t="s">
        <v>1562</v>
      </c>
      <c r="AL1300">
        <v>3</v>
      </c>
      <c r="AM1300" s="19" t="s">
        <v>1568</v>
      </c>
      <c r="AN1300">
        <v>0.27908419421699682</v>
      </c>
      <c r="AO1300">
        <v>793860</v>
      </c>
    </row>
    <row r="1301" spans="1:41" x14ac:dyDescent="0.3">
      <c r="A1301" s="19" t="s">
        <v>1368</v>
      </c>
      <c r="B1301">
        <v>49</v>
      </c>
      <c r="C1301" s="19" t="s">
        <v>1272</v>
      </c>
      <c r="D1301" s="19" t="s">
        <v>55</v>
      </c>
      <c r="E1301" s="19" t="s">
        <v>48</v>
      </c>
      <c r="F1301">
        <v>809</v>
      </c>
      <c r="G1301" s="19" t="s">
        <v>735</v>
      </c>
      <c r="H1301">
        <v>1</v>
      </c>
      <c r="I1301">
        <v>3</v>
      </c>
      <c r="J1301" s="19" t="s">
        <v>50</v>
      </c>
      <c r="K1301">
        <v>1677</v>
      </c>
      <c r="L1301">
        <v>3</v>
      </c>
      <c r="M1301" s="19" t="s">
        <v>51</v>
      </c>
      <c r="N1301">
        <v>3</v>
      </c>
      <c r="O1301">
        <v>4</v>
      </c>
      <c r="P1301" s="19" t="s">
        <v>444</v>
      </c>
      <c r="Q1301">
        <v>3</v>
      </c>
      <c r="R1301" s="19" t="s">
        <v>53</v>
      </c>
      <c r="S1301">
        <v>56168</v>
      </c>
      <c r="T1301" s="19" t="s">
        <v>64</v>
      </c>
      <c r="U1301">
        <v>351.05</v>
      </c>
      <c r="V1301">
        <v>4</v>
      </c>
      <c r="W1301" s="19" t="s">
        <v>55</v>
      </c>
      <c r="X1301">
        <v>14</v>
      </c>
      <c r="Y1301">
        <v>3</v>
      </c>
      <c r="Z1301">
        <v>1</v>
      </c>
      <c r="AA1301">
        <v>0</v>
      </c>
      <c r="AB1301">
        <v>23</v>
      </c>
      <c r="AC1301">
        <v>2</v>
      </c>
      <c r="AD1301">
        <v>3</v>
      </c>
      <c r="AE1301">
        <v>8</v>
      </c>
      <c r="AF1301">
        <v>7</v>
      </c>
      <c r="AG1301">
        <v>0</v>
      </c>
      <c r="AH1301">
        <v>0</v>
      </c>
      <c r="AI1301">
        <v>0</v>
      </c>
      <c r="AJ1301" s="19" t="s">
        <v>1569</v>
      </c>
      <c r="AK1301" s="19" t="s">
        <v>1562</v>
      </c>
      <c r="AL1301">
        <v>0</v>
      </c>
      <c r="AM1301" s="19" t="s">
        <v>1563</v>
      </c>
      <c r="AN1301">
        <v>7.6050086510194542E-2</v>
      </c>
      <c r="AO1301">
        <v>674016</v>
      </c>
    </row>
    <row r="1302" spans="1:41" x14ac:dyDescent="0.3">
      <c r="A1302" s="19" t="s">
        <v>1369</v>
      </c>
      <c r="B1302">
        <v>49</v>
      </c>
      <c r="C1302" s="19" t="s">
        <v>1272</v>
      </c>
      <c r="D1302" s="19" t="s">
        <v>55</v>
      </c>
      <c r="E1302" s="19" t="s">
        <v>48</v>
      </c>
      <c r="F1302">
        <v>1313</v>
      </c>
      <c r="G1302" s="19" t="s">
        <v>932</v>
      </c>
      <c r="H1302">
        <v>11</v>
      </c>
      <c r="I1302">
        <v>4</v>
      </c>
      <c r="J1302" s="19" t="s">
        <v>63</v>
      </c>
      <c r="K1302">
        <v>1757</v>
      </c>
      <c r="L1302">
        <v>4</v>
      </c>
      <c r="M1302" s="19" t="s">
        <v>59</v>
      </c>
      <c r="N1302">
        <v>3</v>
      </c>
      <c r="O1302">
        <v>2</v>
      </c>
      <c r="P1302" s="19" t="s">
        <v>145</v>
      </c>
      <c r="Q1302">
        <v>4</v>
      </c>
      <c r="R1302" s="19" t="s">
        <v>53</v>
      </c>
      <c r="S1302">
        <v>53487</v>
      </c>
      <c r="T1302" s="19" t="s">
        <v>64</v>
      </c>
      <c r="U1302">
        <v>334.29</v>
      </c>
      <c r="V1302">
        <v>3</v>
      </c>
      <c r="W1302" s="19" t="s">
        <v>55</v>
      </c>
      <c r="X1302">
        <v>12</v>
      </c>
      <c r="Y1302">
        <v>3</v>
      </c>
      <c r="Z1302">
        <v>3</v>
      </c>
      <c r="AA1302">
        <v>0</v>
      </c>
      <c r="AB1302">
        <v>8</v>
      </c>
      <c r="AC1302">
        <v>1</v>
      </c>
      <c r="AD1302">
        <v>4</v>
      </c>
      <c r="AE1302">
        <v>5</v>
      </c>
      <c r="AF1302">
        <v>1</v>
      </c>
      <c r="AG1302">
        <v>0</v>
      </c>
      <c r="AH1302">
        <v>4</v>
      </c>
      <c r="AI1302">
        <v>0</v>
      </c>
      <c r="AJ1302" s="19" t="s">
        <v>1567</v>
      </c>
      <c r="AK1302" s="19" t="s">
        <v>1562</v>
      </c>
      <c r="AL1302">
        <v>0</v>
      </c>
      <c r="AM1302" s="19" t="s">
        <v>1563</v>
      </c>
      <c r="AN1302">
        <v>9.0281567517170855E-2</v>
      </c>
      <c r="AO1302">
        <v>641844</v>
      </c>
    </row>
    <row r="1303" spans="1:41" x14ac:dyDescent="0.3">
      <c r="A1303" s="19" t="s">
        <v>1370</v>
      </c>
      <c r="B1303">
        <v>49</v>
      </c>
      <c r="C1303" s="19" t="s">
        <v>1272</v>
      </c>
      <c r="D1303" s="19" t="s">
        <v>55</v>
      </c>
      <c r="E1303" s="19" t="s">
        <v>62</v>
      </c>
      <c r="F1303">
        <v>1064</v>
      </c>
      <c r="G1303" s="19" t="s">
        <v>735</v>
      </c>
      <c r="H1303">
        <v>2</v>
      </c>
      <c r="I1303">
        <v>1</v>
      </c>
      <c r="J1303" s="19" t="s">
        <v>50</v>
      </c>
      <c r="K1303">
        <v>1941</v>
      </c>
      <c r="L1303">
        <v>2</v>
      </c>
      <c r="M1303" s="19" t="s">
        <v>51</v>
      </c>
      <c r="N1303">
        <v>3</v>
      </c>
      <c r="O1303">
        <v>5</v>
      </c>
      <c r="P1303" s="19" t="s">
        <v>257</v>
      </c>
      <c r="Q1303">
        <v>4</v>
      </c>
      <c r="R1303" s="19" t="s">
        <v>113</v>
      </c>
      <c r="S1303">
        <v>13342</v>
      </c>
      <c r="T1303" s="19" t="s">
        <v>54</v>
      </c>
      <c r="U1303">
        <v>83.39</v>
      </c>
      <c r="V1303">
        <v>3</v>
      </c>
      <c r="W1303" s="19" t="s">
        <v>55</v>
      </c>
      <c r="X1303">
        <v>15</v>
      </c>
      <c r="Y1303">
        <v>3</v>
      </c>
      <c r="Z1303">
        <v>4</v>
      </c>
      <c r="AA1303">
        <v>0</v>
      </c>
      <c r="AB1303">
        <v>28</v>
      </c>
      <c r="AC1303">
        <v>3</v>
      </c>
      <c r="AD1303">
        <v>3</v>
      </c>
      <c r="AE1303">
        <v>5</v>
      </c>
      <c r="AF1303">
        <v>4</v>
      </c>
      <c r="AG1303">
        <v>4</v>
      </c>
      <c r="AH1303">
        <v>3</v>
      </c>
      <c r="AI1303">
        <v>0</v>
      </c>
      <c r="AJ1303" s="19" t="s">
        <v>1567</v>
      </c>
      <c r="AK1303" s="19" t="s">
        <v>1570</v>
      </c>
      <c r="AL1303">
        <v>1</v>
      </c>
      <c r="AM1303" s="19" t="s">
        <v>1565</v>
      </c>
      <c r="AN1303">
        <v>-0.73665238440422343</v>
      </c>
      <c r="AO1303">
        <v>160104</v>
      </c>
    </row>
    <row r="1304" spans="1:41" x14ac:dyDescent="0.3">
      <c r="A1304" s="19" t="s">
        <v>1371</v>
      </c>
      <c r="B1304">
        <v>49</v>
      </c>
      <c r="C1304" s="19" t="s">
        <v>1272</v>
      </c>
      <c r="D1304" s="19" t="s">
        <v>55</v>
      </c>
      <c r="E1304" s="19" t="s">
        <v>62</v>
      </c>
      <c r="F1304">
        <v>1023</v>
      </c>
      <c r="G1304" s="19" t="s">
        <v>932</v>
      </c>
      <c r="H1304">
        <v>2</v>
      </c>
      <c r="I1304">
        <v>3</v>
      </c>
      <c r="J1304" s="19" t="s">
        <v>58</v>
      </c>
      <c r="K1304">
        <v>2065</v>
      </c>
      <c r="L1304">
        <v>4</v>
      </c>
      <c r="M1304" s="19" t="s">
        <v>51</v>
      </c>
      <c r="N1304">
        <v>2</v>
      </c>
      <c r="O1304">
        <v>2</v>
      </c>
      <c r="P1304" s="19" t="s">
        <v>145</v>
      </c>
      <c r="Q1304">
        <v>2</v>
      </c>
      <c r="R1304" s="19" t="s">
        <v>113</v>
      </c>
      <c r="S1304">
        <v>41806</v>
      </c>
      <c r="T1304" s="19" t="s">
        <v>72</v>
      </c>
      <c r="U1304">
        <v>261.29000000000002</v>
      </c>
      <c r="V1304">
        <v>2</v>
      </c>
      <c r="W1304" s="19" t="s">
        <v>55</v>
      </c>
      <c r="X1304">
        <v>14</v>
      </c>
      <c r="Y1304">
        <v>3</v>
      </c>
      <c r="Z1304">
        <v>4</v>
      </c>
      <c r="AA1304">
        <v>0</v>
      </c>
      <c r="AB1304">
        <v>17</v>
      </c>
      <c r="AC1304">
        <v>3</v>
      </c>
      <c r="AD1304">
        <v>2</v>
      </c>
      <c r="AE1304">
        <v>9</v>
      </c>
      <c r="AF1304">
        <v>6</v>
      </c>
      <c r="AG1304">
        <v>0</v>
      </c>
      <c r="AH1304">
        <v>8</v>
      </c>
      <c r="AI1304">
        <v>0</v>
      </c>
      <c r="AJ1304" s="19" t="s">
        <v>1569</v>
      </c>
      <c r="AK1304" s="19" t="s">
        <v>1562</v>
      </c>
      <c r="AL1304">
        <v>2</v>
      </c>
      <c r="AM1304" s="19" t="s">
        <v>1564</v>
      </c>
      <c r="AN1304">
        <v>-0.14782449545454326</v>
      </c>
      <c r="AO1304">
        <v>501672</v>
      </c>
    </row>
    <row r="1305" spans="1:41" x14ac:dyDescent="0.3">
      <c r="A1305" s="19" t="s">
        <v>1371</v>
      </c>
      <c r="B1305">
        <v>49</v>
      </c>
      <c r="C1305" s="19" t="s">
        <v>1272</v>
      </c>
      <c r="D1305" s="19" t="s">
        <v>55</v>
      </c>
      <c r="E1305" s="19" t="s">
        <v>62</v>
      </c>
      <c r="F1305">
        <v>1023</v>
      </c>
      <c r="G1305" s="19" t="s">
        <v>932</v>
      </c>
      <c r="H1305">
        <v>2</v>
      </c>
      <c r="I1305">
        <v>3</v>
      </c>
      <c r="J1305" s="19" t="s">
        <v>58</v>
      </c>
      <c r="K1305">
        <v>2065</v>
      </c>
      <c r="L1305">
        <v>4</v>
      </c>
      <c r="M1305" s="19" t="s">
        <v>51</v>
      </c>
      <c r="N1305">
        <v>2</v>
      </c>
      <c r="O1305">
        <v>2</v>
      </c>
      <c r="P1305" s="19" t="s">
        <v>145</v>
      </c>
      <c r="Q1305">
        <v>2</v>
      </c>
      <c r="R1305" s="19" t="s">
        <v>113</v>
      </c>
      <c r="S1305">
        <v>49770</v>
      </c>
      <c r="T1305" s="19" t="s">
        <v>72</v>
      </c>
      <c r="U1305">
        <v>311.06</v>
      </c>
      <c r="V1305">
        <v>2</v>
      </c>
      <c r="W1305" s="19" t="s">
        <v>55</v>
      </c>
      <c r="X1305">
        <v>14</v>
      </c>
      <c r="Y1305">
        <v>3</v>
      </c>
      <c r="Z1305">
        <v>4</v>
      </c>
      <c r="AA1305">
        <v>0</v>
      </c>
      <c r="AB1305">
        <v>17</v>
      </c>
      <c r="AC1305">
        <v>3</v>
      </c>
      <c r="AD1305">
        <v>2</v>
      </c>
      <c r="AE1305">
        <v>9</v>
      </c>
      <c r="AF1305">
        <v>6</v>
      </c>
      <c r="AG1305">
        <v>0</v>
      </c>
      <c r="AH1305">
        <v>8</v>
      </c>
      <c r="AI1305">
        <v>0</v>
      </c>
      <c r="AJ1305" s="19" t="s">
        <v>1569</v>
      </c>
      <c r="AK1305" s="19" t="s">
        <v>1562</v>
      </c>
      <c r="AL1305">
        <v>2</v>
      </c>
      <c r="AM1305" s="19" t="s">
        <v>1564</v>
      </c>
      <c r="AN1305">
        <v>1.4514061647308573E-2</v>
      </c>
      <c r="AO1305">
        <v>597240</v>
      </c>
    </row>
    <row r="1306" spans="1:41" x14ac:dyDescent="0.3">
      <c r="A1306" s="19" t="s">
        <v>1372</v>
      </c>
      <c r="B1306">
        <v>50</v>
      </c>
      <c r="C1306" s="19" t="s">
        <v>1272</v>
      </c>
      <c r="D1306" s="19" t="s">
        <v>47</v>
      </c>
      <c r="E1306" s="19" t="s">
        <v>48</v>
      </c>
      <c r="F1306">
        <v>869</v>
      </c>
      <c r="G1306" s="19" t="s">
        <v>932</v>
      </c>
      <c r="H1306">
        <v>3</v>
      </c>
      <c r="I1306">
        <v>2</v>
      </c>
      <c r="J1306" s="19" t="s">
        <v>63</v>
      </c>
      <c r="K1306">
        <v>47</v>
      </c>
      <c r="L1306">
        <v>1</v>
      </c>
      <c r="M1306" s="19" t="s">
        <v>51</v>
      </c>
      <c r="N1306">
        <v>2</v>
      </c>
      <c r="O1306">
        <v>1</v>
      </c>
      <c r="P1306" s="19" t="s">
        <v>60</v>
      </c>
      <c r="Q1306">
        <v>3</v>
      </c>
      <c r="R1306" s="19" t="s">
        <v>113</v>
      </c>
      <c r="S1306">
        <v>79623</v>
      </c>
      <c r="T1306" s="19" t="s">
        <v>64</v>
      </c>
      <c r="U1306">
        <v>497.64</v>
      </c>
      <c r="V1306">
        <v>1</v>
      </c>
      <c r="W1306" s="19" t="s">
        <v>47</v>
      </c>
      <c r="X1306">
        <v>14</v>
      </c>
      <c r="Y1306">
        <v>3</v>
      </c>
      <c r="Z1306">
        <v>3</v>
      </c>
      <c r="AA1306">
        <v>0</v>
      </c>
      <c r="AB1306">
        <v>3</v>
      </c>
      <c r="AC1306">
        <v>2</v>
      </c>
      <c r="AD1306">
        <v>3</v>
      </c>
      <c r="AE1306">
        <v>3</v>
      </c>
      <c r="AF1306">
        <v>2</v>
      </c>
      <c r="AG1306">
        <v>0</v>
      </c>
      <c r="AH1306">
        <v>2</v>
      </c>
      <c r="AI1306">
        <v>1</v>
      </c>
      <c r="AJ1306" s="19" t="s">
        <v>1566</v>
      </c>
      <c r="AK1306" s="19" t="s">
        <v>1562</v>
      </c>
      <c r="AL1306">
        <v>1</v>
      </c>
      <c r="AM1306" s="19" t="s">
        <v>1565</v>
      </c>
      <c r="AN1306">
        <v>0.61419357921693774</v>
      </c>
      <c r="AO1306">
        <v>955476</v>
      </c>
    </row>
    <row r="1307" spans="1:41" x14ac:dyDescent="0.3">
      <c r="A1307" s="19" t="s">
        <v>1373</v>
      </c>
      <c r="B1307">
        <v>50</v>
      </c>
      <c r="C1307" s="19" t="s">
        <v>1272</v>
      </c>
      <c r="D1307" s="19" t="s">
        <v>55</v>
      </c>
      <c r="E1307" s="19" t="s">
        <v>48</v>
      </c>
      <c r="F1307">
        <v>989</v>
      </c>
      <c r="G1307" s="19" t="s">
        <v>735</v>
      </c>
      <c r="H1307">
        <v>7</v>
      </c>
      <c r="I1307">
        <v>2</v>
      </c>
      <c r="J1307" s="19" t="s">
        <v>58</v>
      </c>
      <c r="K1307">
        <v>80</v>
      </c>
      <c r="L1307">
        <v>2</v>
      </c>
      <c r="M1307" s="19" t="s">
        <v>59</v>
      </c>
      <c r="N1307">
        <v>2</v>
      </c>
      <c r="O1307">
        <v>5</v>
      </c>
      <c r="P1307" s="19" t="s">
        <v>257</v>
      </c>
      <c r="Q1307">
        <v>3</v>
      </c>
      <c r="R1307" s="19" t="s">
        <v>113</v>
      </c>
      <c r="S1307">
        <v>76629</v>
      </c>
      <c r="T1307" s="19" t="s">
        <v>64</v>
      </c>
      <c r="U1307">
        <v>478.93</v>
      </c>
      <c r="V1307">
        <v>5</v>
      </c>
      <c r="W1307" s="19" t="s">
        <v>47</v>
      </c>
      <c r="X1307">
        <v>12</v>
      </c>
      <c r="Y1307">
        <v>3</v>
      </c>
      <c r="Z1307">
        <v>4</v>
      </c>
      <c r="AA1307">
        <v>1</v>
      </c>
      <c r="AB1307">
        <v>29</v>
      </c>
      <c r="AC1307">
        <v>2</v>
      </c>
      <c r="AD1307">
        <v>2</v>
      </c>
      <c r="AE1307">
        <v>27</v>
      </c>
      <c r="AF1307">
        <v>3</v>
      </c>
      <c r="AG1307">
        <v>13</v>
      </c>
      <c r="AH1307">
        <v>8</v>
      </c>
      <c r="AI1307">
        <v>0</v>
      </c>
      <c r="AJ1307" s="19" t="s">
        <v>1571</v>
      </c>
      <c r="AK1307" s="19" t="s">
        <v>1570</v>
      </c>
      <c r="AL1307">
        <v>3</v>
      </c>
      <c r="AM1307" s="19" t="s">
        <v>1568</v>
      </c>
      <c r="AN1307">
        <v>0.51252169356084298</v>
      </c>
      <c r="AO1307">
        <v>919548</v>
      </c>
    </row>
    <row r="1308" spans="1:41" x14ac:dyDescent="0.3">
      <c r="A1308" s="19" t="s">
        <v>1374</v>
      </c>
      <c r="B1308">
        <v>50</v>
      </c>
      <c r="C1308" s="19" t="s">
        <v>1272</v>
      </c>
      <c r="D1308" s="19" t="s">
        <v>55</v>
      </c>
      <c r="E1308" s="19" t="s">
        <v>62</v>
      </c>
      <c r="F1308">
        <v>1115</v>
      </c>
      <c r="G1308" s="19" t="s">
        <v>735</v>
      </c>
      <c r="H1308">
        <v>1</v>
      </c>
      <c r="I1308">
        <v>3</v>
      </c>
      <c r="J1308" s="19" t="s">
        <v>50</v>
      </c>
      <c r="K1308">
        <v>141</v>
      </c>
      <c r="L1308">
        <v>1</v>
      </c>
      <c r="M1308" s="19" t="s">
        <v>59</v>
      </c>
      <c r="N1308">
        <v>3</v>
      </c>
      <c r="O1308">
        <v>5</v>
      </c>
      <c r="P1308" s="19" t="s">
        <v>257</v>
      </c>
      <c r="Q1308">
        <v>2</v>
      </c>
      <c r="R1308" s="19" t="s">
        <v>113</v>
      </c>
      <c r="S1308">
        <v>53603</v>
      </c>
      <c r="T1308" s="19" t="s">
        <v>64</v>
      </c>
      <c r="U1308">
        <v>335.02</v>
      </c>
      <c r="V1308">
        <v>3</v>
      </c>
      <c r="W1308" s="19" t="s">
        <v>47</v>
      </c>
      <c r="X1308">
        <v>19</v>
      </c>
      <c r="Y1308">
        <v>3</v>
      </c>
      <c r="Z1308">
        <v>1</v>
      </c>
      <c r="AA1308">
        <v>0</v>
      </c>
      <c r="AB1308">
        <v>28</v>
      </c>
      <c r="AC1308">
        <v>1</v>
      </c>
      <c r="AD1308">
        <v>2</v>
      </c>
      <c r="AE1308">
        <v>8</v>
      </c>
      <c r="AF1308">
        <v>3</v>
      </c>
      <c r="AG1308">
        <v>0</v>
      </c>
      <c r="AH1308">
        <v>7</v>
      </c>
      <c r="AI1308">
        <v>0</v>
      </c>
      <c r="AJ1308" s="19" t="s">
        <v>1569</v>
      </c>
      <c r="AK1308" s="19" t="s">
        <v>1562</v>
      </c>
      <c r="AL1308">
        <v>3</v>
      </c>
      <c r="AM1308" s="19" t="s">
        <v>1568</v>
      </c>
      <c r="AN1308">
        <v>5.8028949091621526E-2</v>
      </c>
      <c r="AO1308">
        <v>643236</v>
      </c>
    </row>
    <row r="1309" spans="1:41" x14ac:dyDescent="0.3">
      <c r="A1309" s="19" t="s">
        <v>1375</v>
      </c>
      <c r="B1309">
        <v>50</v>
      </c>
      <c r="C1309" s="19" t="s">
        <v>1272</v>
      </c>
      <c r="D1309" s="19" t="s">
        <v>55</v>
      </c>
      <c r="E1309" s="19" t="s">
        <v>62</v>
      </c>
      <c r="F1309">
        <v>809</v>
      </c>
      <c r="G1309" s="19" t="s">
        <v>932</v>
      </c>
      <c r="H1309">
        <v>12</v>
      </c>
      <c r="I1309">
        <v>3</v>
      </c>
      <c r="J1309" s="19" t="s">
        <v>63</v>
      </c>
      <c r="K1309">
        <v>174</v>
      </c>
      <c r="L1309">
        <v>3</v>
      </c>
      <c r="M1309" s="19" t="s">
        <v>59</v>
      </c>
      <c r="N1309">
        <v>3</v>
      </c>
      <c r="O1309">
        <v>3</v>
      </c>
      <c r="P1309" s="19" t="s">
        <v>145</v>
      </c>
      <c r="Q1309">
        <v>4</v>
      </c>
      <c r="R1309" s="19" t="s">
        <v>53</v>
      </c>
      <c r="S1309">
        <v>82974</v>
      </c>
      <c r="T1309" s="19" t="s">
        <v>64</v>
      </c>
      <c r="U1309">
        <v>518.59</v>
      </c>
      <c r="V1309">
        <v>4</v>
      </c>
      <c r="W1309" s="19" t="s">
        <v>55</v>
      </c>
      <c r="X1309">
        <v>11</v>
      </c>
      <c r="Y1309">
        <v>3</v>
      </c>
      <c r="Z1309">
        <v>4</v>
      </c>
      <c r="AA1309">
        <v>0</v>
      </c>
      <c r="AB1309">
        <v>16</v>
      </c>
      <c r="AC1309">
        <v>3</v>
      </c>
      <c r="AD1309">
        <v>3</v>
      </c>
      <c r="AE1309">
        <v>2</v>
      </c>
      <c r="AF1309">
        <v>2</v>
      </c>
      <c r="AG1309">
        <v>2</v>
      </c>
      <c r="AH1309">
        <v>1</v>
      </c>
      <c r="AI1309">
        <v>0</v>
      </c>
      <c r="AJ1309" s="19" t="s">
        <v>1566</v>
      </c>
      <c r="AK1309" s="19" t="s">
        <v>1562</v>
      </c>
      <c r="AL1309">
        <v>0</v>
      </c>
      <c r="AM1309" s="19" t="s">
        <v>1563</v>
      </c>
      <c r="AN1309">
        <v>0.6913459865606546</v>
      </c>
      <c r="AO1309">
        <v>995688</v>
      </c>
    </row>
    <row r="1310" spans="1:41" x14ac:dyDescent="0.3">
      <c r="A1310" s="19" t="s">
        <v>1376</v>
      </c>
      <c r="B1310">
        <v>50</v>
      </c>
      <c r="C1310" s="19" t="s">
        <v>1272</v>
      </c>
      <c r="D1310" s="19" t="s">
        <v>55</v>
      </c>
      <c r="E1310" s="19" t="s">
        <v>48</v>
      </c>
      <c r="F1310">
        <v>1452</v>
      </c>
      <c r="G1310" s="19" t="s">
        <v>735</v>
      </c>
      <c r="H1310">
        <v>11</v>
      </c>
      <c r="I1310">
        <v>3</v>
      </c>
      <c r="J1310" s="19" t="s">
        <v>50</v>
      </c>
      <c r="K1310">
        <v>226</v>
      </c>
      <c r="L1310">
        <v>3</v>
      </c>
      <c r="M1310" s="19" t="s">
        <v>59</v>
      </c>
      <c r="N1310">
        <v>3</v>
      </c>
      <c r="O1310">
        <v>5</v>
      </c>
      <c r="P1310" s="19" t="s">
        <v>444</v>
      </c>
      <c r="Q1310">
        <v>2</v>
      </c>
      <c r="R1310" s="19" t="s">
        <v>53</v>
      </c>
      <c r="S1310">
        <v>27399</v>
      </c>
      <c r="T1310" s="19" t="s">
        <v>72</v>
      </c>
      <c r="U1310">
        <v>171.24</v>
      </c>
      <c r="V1310">
        <v>3</v>
      </c>
      <c r="W1310" s="19" t="s">
        <v>55</v>
      </c>
      <c r="X1310">
        <v>15</v>
      </c>
      <c r="Y1310">
        <v>3</v>
      </c>
      <c r="Z1310">
        <v>2</v>
      </c>
      <c r="AA1310">
        <v>0</v>
      </c>
      <c r="AB1310">
        <v>21</v>
      </c>
      <c r="AC1310">
        <v>5</v>
      </c>
      <c r="AD1310">
        <v>3</v>
      </c>
      <c r="AE1310">
        <v>5</v>
      </c>
      <c r="AF1310">
        <v>4</v>
      </c>
      <c r="AG1310">
        <v>4</v>
      </c>
      <c r="AH1310">
        <v>4</v>
      </c>
      <c r="AI1310">
        <v>0</v>
      </c>
      <c r="AJ1310" s="19" t="s">
        <v>1567</v>
      </c>
      <c r="AK1310" s="19" t="s">
        <v>1570</v>
      </c>
      <c r="AL1310">
        <v>2</v>
      </c>
      <c r="AM1310" s="19" t="s">
        <v>1564</v>
      </c>
      <c r="AN1310">
        <v>-0.47509798603666109</v>
      </c>
      <c r="AO1310">
        <v>328788</v>
      </c>
    </row>
    <row r="1311" spans="1:41" x14ac:dyDescent="0.3">
      <c r="A1311" s="19" t="s">
        <v>1377</v>
      </c>
      <c r="B1311">
        <v>50</v>
      </c>
      <c r="C1311" s="19" t="s">
        <v>1272</v>
      </c>
      <c r="D1311" s="19" t="s">
        <v>55</v>
      </c>
      <c r="E1311" s="19" t="s">
        <v>48</v>
      </c>
      <c r="F1311">
        <v>328</v>
      </c>
      <c r="G1311" s="19" t="s">
        <v>735</v>
      </c>
      <c r="H1311">
        <v>1</v>
      </c>
      <c r="I1311">
        <v>3</v>
      </c>
      <c r="J1311" s="19" t="s">
        <v>58</v>
      </c>
      <c r="K1311">
        <v>249</v>
      </c>
      <c r="L1311">
        <v>3</v>
      </c>
      <c r="M1311" s="19" t="s">
        <v>51</v>
      </c>
      <c r="N1311">
        <v>2</v>
      </c>
      <c r="O1311">
        <v>1</v>
      </c>
      <c r="P1311" s="19" t="s">
        <v>52</v>
      </c>
      <c r="Q1311">
        <v>3</v>
      </c>
      <c r="R1311" s="19" t="s">
        <v>113</v>
      </c>
      <c r="S1311">
        <v>86382</v>
      </c>
      <c r="T1311" s="19" t="s">
        <v>70</v>
      </c>
      <c r="U1311">
        <v>539.89</v>
      </c>
      <c r="V1311">
        <v>2</v>
      </c>
      <c r="W1311" s="19" t="s">
        <v>55</v>
      </c>
      <c r="X1311">
        <v>15</v>
      </c>
      <c r="Y1311">
        <v>3</v>
      </c>
      <c r="Z1311">
        <v>4</v>
      </c>
      <c r="AA1311">
        <v>1</v>
      </c>
      <c r="AB1311">
        <v>5</v>
      </c>
      <c r="AC1311">
        <v>2</v>
      </c>
      <c r="AD1311">
        <v>2</v>
      </c>
      <c r="AE1311">
        <v>3</v>
      </c>
      <c r="AF1311">
        <v>2</v>
      </c>
      <c r="AG1311">
        <v>0</v>
      </c>
      <c r="AH1311">
        <v>2</v>
      </c>
      <c r="AI1311">
        <v>0</v>
      </c>
      <c r="AJ1311" s="19" t="s">
        <v>1566</v>
      </c>
      <c r="AK1311" s="19" t="s">
        <v>1562</v>
      </c>
      <c r="AL1311">
        <v>1</v>
      </c>
      <c r="AM1311" s="19" t="s">
        <v>1565</v>
      </c>
      <c r="AN1311">
        <v>0.67016628924272725</v>
      </c>
      <c r="AO1311">
        <v>1036584</v>
      </c>
    </row>
    <row r="1312" spans="1:41" x14ac:dyDescent="0.3">
      <c r="A1312" s="19" t="s">
        <v>1378</v>
      </c>
      <c r="B1312">
        <v>50</v>
      </c>
      <c r="C1312" s="19" t="s">
        <v>1272</v>
      </c>
      <c r="D1312" s="19" t="s">
        <v>55</v>
      </c>
      <c r="E1312" s="19" t="s">
        <v>48</v>
      </c>
      <c r="F1312">
        <v>854</v>
      </c>
      <c r="G1312" s="19" t="s">
        <v>932</v>
      </c>
      <c r="H1312">
        <v>1</v>
      </c>
      <c r="I1312">
        <v>4</v>
      </c>
      <c r="J1312" s="19" t="s">
        <v>58</v>
      </c>
      <c r="K1312">
        <v>323</v>
      </c>
      <c r="L1312">
        <v>4</v>
      </c>
      <c r="M1312" s="19" t="s">
        <v>59</v>
      </c>
      <c r="N1312">
        <v>3</v>
      </c>
      <c r="O1312">
        <v>5</v>
      </c>
      <c r="P1312" s="19" t="s">
        <v>444</v>
      </c>
      <c r="Q1312">
        <v>4</v>
      </c>
      <c r="R1312" s="19" t="s">
        <v>113</v>
      </c>
      <c r="S1312">
        <v>82244</v>
      </c>
      <c r="T1312" s="19" t="s">
        <v>64</v>
      </c>
      <c r="U1312">
        <v>514.02</v>
      </c>
      <c r="V1312">
        <v>3</v>
      </c>
      <c r="W1312" s="19" t="s">
        <v>55</v>
      </c>
      <c r="X1312">
        <v>11</v>
      </c>
      <c r="Y1312">
        <v>3</v>
      </c>
      <c r="Z1312">
        <v>3</v>
      </c>
      <c r="AA1312">
        <v>1</v>
      </c>
      <c r="AB1312">
        <v>32</v>
      </c>
      <c r="AC1312">
        <v>3</v>
      </c>
      <c r="AD1312">
        <v>2</v>
      </c>
      <c r="AE1312">
        <v>7</v>
      </c>
      <c r="AF1312">
        <v>0</v>
      </c>
      <c r="AG1312">
        <v>0</v>
      </c>
      <c r="AH1312">
        <v>6</v>
      </c>
      <c r="AI1312">
        <v>0</v>
      </c>
      <c r="AJ1312" s="19" t="s">
        <v>1569</v>
      </c>
      <c r="AK1312" s="19" t="s">
        <v>1562</v>
      </c>
      <c r="AL1312">
        <v>1</v>
      </c>
      <c r="AM1312" s="19" t="s">
        <v>1565</v>
      </c>
      <c r="AN1312">
        <v>0.5756064541187943</v>
      </c>
      <c r="AO1312">
        <v>986928</v>
      </c>
    </row>
    <row r="1313" spans="1:41" x14ac:dyDescent="0.3">
      <c r="A1313" s="19" t="s">
        <v>1379</v>
      </c>
      <c r="B1313">
        <v>50</v>
      </c>
      <c r="C1313" s="19" t="s">
        <v>1272</v>
      </c>
      <c r="D1313" s="19" t="s">
        <v>55</v>
      </c>
      <c r="E1313" s="19" t="s">
        <v>48</v>
      </c>
      <c r="F1313">
        <v>797</v>
      </c>
      <c r="G1313" s="19" t="s">
        <v>735</v>
      </c>
      <c r="H1313">
        <v>4</v>
      </c>
      <c r="I1313">
        <v>1</v>
      </c>
      <c r="J1313" s="19" t="s">
        <v>50</v>
      </c>
      <c r="K1313">
        <v>385</v>
      </c>
      <c r="L1313">
        <v>1</v>
      </c>
      <c r="M1313" s="19" t="s">
        <v>51</v>
      </c>
      <c r="N1313">
        <v>3</v>
      </c>
      <c r="O1313">
        <v>5</v>
      </c>
      <c r="P1313" s="19" t="s">
        <v>257</v>
      </c>
      <c r="Q1313">
        <v>2</v>
      </c>
      <c r="R1313" s="19" t="s">
        <v>113</v>
      </c>
      <c r="S1313">
        <v>77534</v>
      </c>
      <c r="T1313" s="19" t="s">
        <v>64</v>
      </c>
      <c r="U1313">
        <v>484.59</v>
      </c>
      <c r="V1313">
        <v>3</v>
      </c>
      <c r="W1313" s="19" t="s">
        <v>55</v>
      </c>
      <c r="X1313">
        <v>14</v>
      </c>
      <c r="Y1313">
        <v>3</v>
      </c>
      <c r="Z1313">
        <v>1</v>
      </c>
      <c r="AA1313">
        <v>2</v>
      </c>
      <c r="AB1313">
        <v>28</v>
      </c>
      <c r="AC1313">
        <v>4</v>
      </c>
      <c r="AD1313">
        <v>2</v>
      </c>
      <c r="AE1313">
        <v>10</v>
      </c>
      <c r="AF1313">
        <v>4</v>
      </c>
      <c r="AG1313">
        <v>1</v>
      </c>
      <c r="AH1313">
        <v>6</v>
      </c>
      <c r="AI1313">
        <v>0</v>
      </c>
      <c r="AJ1313" s="19" t="s">
        <v>1569</v>
      </c>
      <c r="AK1313" s="19" t="s">
        <v>1562</v>
      </c>
      <c r="AL1313">
        <v>2</v>
      </c>
      <c r="AM1313" s="19" t="s">
        <v>1564</v>
      </c>
      <c r="AN1313">
        <v>0.53038480194895399</v>
      </c>
      <c r="AO1313">
        <v>930408</v>
      </c>
    </row>
    <row r="1314" spans="1:41" x14ac:dyDescent="0.3">
      <c r="A1314" s="19" t="s">
        <v>1380</v>
      </c>
      <c r="B1314">
        <v>50</v>
      </c>
      <c r="C1314" s="19" t="s">
        <v>1272</v>
      </c>
      <c r="D1314" s="19" t="s">
        <v>55</v>
      </c>
      <c r="E1314" s="19" t="s">
        <v>48</v>
      </c>
      <c r="F1314">
        <v>1046</v>
      </c>
      <c r="G1314" s="19" t="s">
        <v>735</v>
      </c>
      <c r="H1314">
        <v>10</v>
      </c>
      <c r="I1314">
        <v>3</v>
      </c>
      <c r="J1314" s="19" t="s">
        <v>77</v>
      </c>
      <c r="K1314">
        <v>491</v>
      </c>
      <c r="L1314">
        <v>4</v>
      </c>
      <c r="M1314" s="19" t="s">
        <v>51</v>
      </c>
      <c r="N1314">
        <v>2</v>
      </c>
      <c r="O1314">
        <v>3</v>
      </c>
      <c r="P1314" s="19" t="s">
        <v>168</v>
      </c>
      <c r="Q1314">
        <v>4</v>
      </c>
      <c r="R1314" s="19" t="s">
        <v>53</v>
      </c>
      <c r="S1314">
        <v>56106</v>
      </c>
      <c r="T1314" s="19" t="s">
        <v>64</v>
      </c>
      <c r="U1314">
        <v>350.66</v>
      </c>
      <c r="V1314">
        <v>6</v>
      </c>
      <c r="W1314" s="19" t="s">
        <v>55</v>
      </c>
      <c r="X1314">
        <v>15</v>
      </c>
      <c r="Y1314">
        <v>3</v>
      </c>
      <c r="Z1314">
        <v>4</v>
      </c>
      <c r="AA1314">
        <v>0</v>
      </c>
      <c r="AB1314">
        <v>20</v>
      </c>
      <c r="AC1314">
        <v>2</v>
      </c>
      <c r="AD1314">
        <v>3</v>
      </c>
      <c r="AE1314">
        <v>4</v>
      </c>
      <c r="AF1314">
        <v>3</v>
      </c>
      <c r="AG1314">
        <v>1</v>
      </c>
      <c r="AH1314">
        <v>3</v>
      </c>
      <c r="AI1314">
        <v>0</v>
      </c>
      <c r="AJ1314" s="19" t="s">
        <v>1567</v>
      </c>
      <c r="AK1314" s="19" t="s">
        <v>1562</v>
      </c>
      <c r="AL1314">
        <v>0</v>
      </c>
      <c r="AM1314" s="19" t="s">
        <v>1563</v>
      </c>
      <c r="AN1314">
        <v>0.16428715419003692</v>
      </c>
      <c r="AO1314">
        <v>673272</v>
      </c>
    </row>
    <row r="1315" spans="1:41" x14ac:dyDescent="0.3">
      <c r="A1315" s="19" t="s">
        <v>1381</v>
      </c>
      <c r="B1315">
        <v>50</v>
      </c>
      <c r="C1315" s="19" t="s">
        <v>1272</v>
      </c>
      <c r="D1315" s="19" t="s">
        <v>55</v>
      </c>
      <c r="E1315" s="19" t="s">
        <v>48</v>
      </c>
      <c r="F1315">
        <v>1099</v>
      </c>
      <c r="G1315" s="19" t="s">
        <v>735</v>
      </c>
      <c r="H1315">
        <v>29</v>
      </c>
      <c r="I1315">
        <v>4</v>
      </c>
      <c r="J1315" s="19" t="s">
        <v>50</v>
      </c>
      <c r="K1315">
        <v>569</v>
      </c>
      <c r="L1315">
        <v>2</v>
      </c>
      <c r="M1315" s="19" t="s">
        <v>51</v>
      </c>
      <c r="N1315">
        <v>2</v>
      </c>
      <c r="O1315">
        <v>4</v>
      </c>
      <c r="P1315" s="19" t="s">
        <v>444</v>
      </c>
      <c r="Q1315">
        <v>3</v>
      </c>
      <c r="R1315" s="19" t="s">
        <v>113</v>
      </c>
      <c r="S1315">
        <v>31678</v>
      </c>
      <c r="T1315" s="19" t="s">
        <v>72</v>
      </c>
      <c r="U1315">
        <v>197.99</v>
      </c>
      <c r="V1315">
        <v>0</v>
      </c>
      <c r="W1315" s="19" t="s">
        <v>55</v>
      </c>
      <c r="X1315">
        <v>15</v>
      </c>
      <c r="Y1315">
        <v>3</v>
      </c>
      <c r="Z1315">
        <v>2</v>
      </c>
      <c r="AA1315">
        <v>1</v>
      </c>
      <c r="AB1315">
        <v>28</v>
      </c>
      <c r="AC1315">
        <v>2</v>
      </c>
      <c r="AD1315">
        <v>3</v>
      </c>
      <c r="AE1315">
        <v>27</v>
      </c>
      <c r="AF1315">
        <v>10</v>
      </c>
      <c r="AG1315">
        <v>15</v>
      </c>
      <c r="AH1315">
        <v>7</v>
      </c>
      <c r="AI1315">
        <v>0</v>
      </c>
      <c r="AJ1315" s="19" t="s">
        <v>1571</v>
      </c>
      <c r="AK1315" s="19" t="s">
        <v>1570</v>
      </c>
      <c r="AL1315">
        <v>1</v>
      </c>
      <c r="AM1315" s="19" t="s">
        <v>1565</v>
      </c>
      <c r="AN1315">
        <v>-0.39312215780391074</v>
      </c>
      <c r="AO1315">
        <v>380136</v>
      </c>
    </row>
    <row r="1316" spans="1:41" x14ac:dyDescent="0.3">
      <c r="A1316" s="19" t="s">
        <v>1382</v>
      </c>
      <c r="B1316">
        <v>50</v>
      </c>
      <c r="C1316" s="19" t="s">
        <v>1272</v>
      </c>
      <c r="D1316" s="19" t="s">
        <v>55</v>
      </c>
      <c r="E1316" s="19" t="s">
        <v>62</v>
      </c>
      <c r="F1316">
        <v>1246</v>
      </c>
      <c r="G1316" s="19" t="s">
        <v>80</v>
      </c>
      <c r="H1316">
        <v>3</v>
      </c>
      <c r="I1316">
        <v>3</v>
      </c>
      <c r="J1316" s="19" t="s">
        <v>58</v>
      </c>
      <c r="K1316">
        <v>644</v>
      </c>
      <c r="L1316">
        <v>1</v>
      </c>
      <c r="M1316" s="19" t="s">
        <v>51</v>
      </c>
      <c r="N1316">
        <v>3</v>
      </c>
      <c r="O1316">
        <v>5</v>
      </c>
      <c r="P1316" s="19" t="s">
        <v>444</v>
      </c>
      <c r="Q1316">
        <v>2</v>
      </c>
      <c r="R1316" s="19" t="s">
        <v>113</v>
      </c>
      <c r="S1316">
        <v>77218</v>
      </c>
      <c r="T1316" s="19" t="s">
        <v>64</v>
      </c>
      <c r="U1316">
        <v>482.61</v>
      </c>
      <c r="V1316">
        <v>1</v>
      </c>
      <c r="W1316" s="19" t="s">
        <v>55</v>
      </c>
      <c r="X1316">
        <v>11</v>
      </c>
      <c r="Y1316">
        <v>3</v>
      </c>
      <c r="Z1316">
        <v>3</v>
      </c>
      <c r="AA1316">
        <v>1</v>
      </c>
      <c r="AB1316">
        <v>32</v>
      </c>
      <c r="AC1316">
        <v>2</v>
      </c>
      <c r="AD1316">
        <v>3</v>
      </c>
      <c r="AE1316">
        <v>32</v>
      </c>
      <c r="AF1316">
        <v>5</v>
      </c>
      <c r="AG1316">
        <v>10</v>
      </c>
      <c r="AH1316">
        <v>7</v>
      </c>
      <c r="AI1316">
        <v>0</v>
      </c>
      <c r="AJ1316" s="19" t="s">
        <v>1571</v>
      </c>
      <c r="AK1316" s="19" t="s">
        <v>1570</v>
      </c>
      <c r="AL1316">
        <v>2</v>
      </c>
      <c r="AM1316" s="19" t="s">
        <v>1564</v>
      </c>
      <c r="AN1316">
        <v>0.479319818760579</v>
      </c>
      <c r="AO1316">
        <v>926616</v>
      </c>
    </row>
    <row r="1317" spans="1:41" x14ac:dyDescent="0.3">
      <c r="A1317" s="19" t="s">
        <v>1383</v>
      </c>
      <c r="B1317">
        <v>50</v>
      </c>
      <c r="C1317" s="19" t="s">
        <v>1272</v>
      </c>
      <c r="D1317" s="19" t="s">
        <v>55</v>
      </c>
      <c r="E1317" s="19" t="s">
        <v>48</v>
      </c>
      <c r="F1317">
        <v>1207</v>
      </c>
      <c r="G1317" s="19" t="s">
        <v>735</v>
      </c>
      <c r="H1317">
        <v>28</v>
      </c>
      <c r="I1317">
        <v>1</v>
      </c>
      <c r="J1317" s="19" t="s">
        <v>58</v>
      </c>
      <c r="K1317">
        <v>716</v>
      </c>
      <c r="L1317">
        <v>4</v>
      </c>
      <c r="M1317" s="19" t="s">
        <v>51</v>
      </c>
      <c r="N1317">
        <v>4</v>
      </c>
      <c r="O1317">
        <v>1</v>
      </c>
      <c r="P1317" s="19" t="s">
        <v>52</v>
      </c>
      <c r="Q1317">
        <v>3</v>
      </c>
      <c r="R1317" s="19" t="s">
        <v>113</v>
      </c>
      <c r="S1317">
        <v>64230</v>
      </c>
      <c r="T1317" s="19" t="s">
        <v>64</v>
      </c>
      <c r="U1317">
        <v>401.44</v>
      </c>
      <c r="V1317">
        <v>1</v>
      </c>
      <c r="W1317" s="19" t="s">
        <v>47</v>
      </c>
      <c r="X1317">
        <v>11</v>
      </c>
      <c r="Y1317">
        <v>3</v>
      </c>
      <c r="Z1317">
        <v>3</v>
      </c>
      <c r="AA1317">
        <v>3</v>
      </c>
      <c r="AB1317">
        <v>20</v>
      </c>
      <c r="AC1317">
        <v>3</v>
      </c>
      <c r="AD1317">
        <v>3</v>
      </c>
      <c r="AE1317">
        <v>20</v>
      </c>
      <c r="AF1317">
        <v>8</v>
      </c>
      <c r="AG1317">
        <v>3</v>
      </c>
      <c r="AH1317">
        <v>8</v>
      </c>
      <c r="AI1317">
        <v>0</v>
      </c>
      <c r="AJ1317" s="19" t="s">
        <v>1571</v>
      </c>
      <c r="AK1317" s="19" t="s">
        <v>1570</v>
      </c>
      <c r="AL1317">
        <v>2</v>
      </c>
      <c r="AM1317" s="19" t="s">
        <v>1564</v>
      </c>
      <c r="AN1317">
        <v>0.24186498064481457</v>
      </c>
      <c r="AO1317">
        <v>770760</v>
      </c>
    </row>
    <row r="1318" spans="1:41" x14ac:dyDescent="0.3">
      <c r="A1318" s="19" t="s">
        <v>1384</v>
      </c>
      <c r="B1318">
        <v>50</v>
      </c>
      <c r="C1318" s="19" t="s">
        <v>1272</v>
      </c>
      <c r="D1318" s="19" t="s">
        <v>47</v>
      </c>
      <c r="E1318" s="19" t="s">
        <v>62</v>
      </c>
      <c r="F1318">
        <v>562</v>
      </c>
      <c r="G1318" s="19" t="s">
        <v>932</v>
      </c>
      <c r="H1318">
        <v>8</v>
      </c>
      <c r="I1318">
        <v>2</v>
      </c>
      <c r="J1318" s="19" t="s">
        <v>77</v>
      </c>
      <c r="K1318">
        <v>723</v>
      </c>
      <c r="L1318">
        <v>2</v>
      </c>
      <c r="M1318" s="19" t="s">
        <v>51</v>
      </c>
      <c r="N1318">
        <v>3</v>
      </c>
      <c r="O1318">
        <v>2</v>
      </c>
      <c r="P1318" s="19" t="s">
        <v>145</v>
      </c>
      <c r="Q1318">
        <v>3</v>
      </c>
      <c r="R1318" s="19" t="s">
        <v>113</v>
      </c>
      <c r="S1318">
        <v>75055</v>
      </c>
      <c r="T1318" s="19" t="s">
        <v>64</v>
      </c>
      <c r="U1318">
        <v>469.09</v>
      </c>
      <c r="V1318">
        <v>3</v>
      </c>
      <c r="W1318" s="19" t="s">
        <v>47</v>
      </c>
      <c r="X1318">
        <v>14</v>
      </c>
      <c r="Y1318">
        <v>3</v>
      </c>
      <c r="Z1318">
        <v>1</v>
      </c>
      <c r="AA1318">
        <v>1</v>
      </c>
      <c r="AB1318">
        <v>18</v>
      </c>
      <c r="AC1318">
        <v>4</v>
      </c>
      <c r="AD1318">
        <v>3</v>
      </c>
      <c r="AE1318">
        <v>4</v>
      </c>
      <c r="AF1318">
        <v>3</v>
      </c>
      <c r="AG1318">
        <v>1</v>
      </c>
      <c r="AH1318">
        <v>3</v>
      </c>
      <c r="AI1318">
        <v>1</v>
      </c>
      <c r="AJ1318" s="19" t="s">
        <v>1567</v>
      </c>
      <c r="AK1318" s="19" t="s">
        <v>1562</v>
      </c>
      <c r="AL1318">
        <v>1</v>
      </c>
      <c r="AM1318" s="19" t="s">
        <v>1565</v>
      </c>
      <c r="AN1318">
        <v>0.52992471161219101</v>
      </c>
      <c r="AO1318">
        <v>900660</v>
      </c>
    </row>
    <row r="1319" spans="1:41" x14ac:dyDescent="0.3">
      <c r="A1319" s="19" t="s">
        <v>1385</v>
      </c>
      <c r="B1319">
        <v>50</v>
      </c>
      <c r="C1319" s="19" t="s">
        <v>1272</v>
      </c>
      <c r="D1319" s="19" t="s">
        <v>55</v>
      </c>
      <c r="E1319" s="19" t="s">
        <v>48</v>
      </c>
      <c r="F1319">
        <v>316</v>
      </c>
      <c r="G1319" s="19" t="s">
        <v>932</v>
      </c>
      <c r="H1319">
        <v>8</v>
      </c>
      <c r="I1319">
        <v>4</v>
      </c>
      <c r="J1319" s="19" t="s">
        <v>63</v>
      </c>
      <c r="K1319">
        <v>738</v>
      </c>
      <c r="L1319">
        <v>4</v>
      </c>
      <c r="M1319" s="19" t="s">
        <v>51</v>
      </c>
      <c r="N1319">
        <v>3</v>
      </c>
      <c r="O1319">
        <v>1</v>
      </c>
      <c r="P1319" s="19" t="s">
        <v>60</v>
      </c>
      <c r="Q1319">
        <v>2</v>
      </c>
      <c r="R1319" s="19" t="s">
        <v>113</v>
      </c>
      <c r="S1319">
        <v>57373</v>
      </c>
      <c r="T1319" s="19" t="s">
        <v>64</v>
      </c>
      <c r="U1319">
        <v>358.58</v>
      </c>
      <c r="V1319">
        <v>7</v>
      </c>
      <c r="W1319" s="19" t="s">
        <v>55</v>
      </c>
      <c r="X1319">
        <v>15</v>
      </c>
      <c r="Y1319">
        <v>3</v>
      </c>
      <c r="Z1319">
        <v>4</v>
      </c>
      <c r="AA1319">
        <v>1</v>
      </c>
      <c r="AB1319">
        <v>4</v>
      </c>
      <c r="AC1319">
        <v>2</v>
      </c>
      <c r="AD1319">
        <v>3</v>
      </c>
      <c r="AE1319">
        <v>2</v>
      </c>
      <c r="AF1319">
        <v>2</v>
      </c>
      <c r="AG1319">
        <v>2</v>
      </c>
      <c r="AH1319">
        <v>2</v>
      </c>
      <c r="AI1319">
        <v>0</v>
      </c>
      <c r="AJ1319" s="19" t="s">
        <v>1566</v>
      </c>
      <c r="AK1319" s="19" t="s">
        <v>1562</v>
      </c>
      <c r="AL1319">
        <v>1</v>
      </c>
      <c r="AM1319" s="19" t="s">
        <v>1565</v>
      </c>
      <c r="AN1319">
        <v>0.16312030720286064</v>
      </c>
      <c r="AO1319">
        <v>688476</v>
      </c>
    </row>
    <row r="1320" spans="1:41" x14ac:dyDescent="0.3">
      <c r="A1320" s="19" t="s">
        <v>1386</v>
      </c>
      <c r="B1320">
        <v>50</v>
      </c>
      <c r="C1320" s="19" t="s">
        <v>1272</v>
      </c>
      <c r="D1320" s="19" t="s">
        <v>55</v>
      </c>
      <c r="E1320" s="19" t="s">
        <v>48</v>
      </c>
      <c r="F1320">
        <v>691</v>
      </c>
      <c r="G1320" s="19" t="s">
        <v>735</v>
      </c>
      <c r="H1320">
        <v>2</v>
      </c>
      <c r="I1320">
        <v>3</v>
      </c>
      <c r="J1320" s="19" t="s">
        <v>58</v>
      </c>
      <c r="K1320">
        <v>815</v>
      </c>
      <c r="L1320">
        <v>3</v>
      </c>
      <c r="M1320" s="19" t="s">
        <v>51</v>
      </c>
      <c r="N1320">
        <v>3</v>
      </c>
      <c r="O1320">
        <v>4</v>
      </c>
      <c r="P1320" s="19" t="s">
        <v>257</v>
      </c>
      <c r="Q1320">
        <v>3</v>
      </c>
      <c r="R1320" s="19" t="s">
        <v>113</v>
      </c>
      <c r="S1320">
        <v>32480</v>
      </c>
      <c r="T1320" s="19" t="s">
        <v>72</v>
      </c>
      <c r="U1320">
        <v>203</v>
      </c>
      <c r="V1320">
        <v>5</v>
      </c>
      <c r="W1320" s="19" t="s">
        <v>55</v>
      </c>
      <c r="X1320">
        <v>16</v>
      </c>
      <c r="Y1320">
        <v>3</v>
      </c>
      <c r="Z1320">
        <v>4</v>
      </c>
      <c r="AA1320">
        <v>0</v>
      </c>
      <c r="AB1320">
        <v>30</v>
      </c>
      <c r="AC1320">
        <v>3</v>
      </c>
      <c r="AD1320">
        <v>3</v>
      </c>
      <c r="AE1320">
        <v>4</v>
      </c>
      <c r="AF1320">
        <v>3</v>
      </c>
      <c r="AG1320">
        <v>0</v>
      </c>
      <c r="AH1320">
        <v>3</v>
      </c>
      <c r="AI1320">
        <v>0</v>
      </c>
      <c r="AJ1320" s="19" t="s">
        <v>1567</v>
      </c>
      <c r="AK1320" s="19" t="s">
        <v>1562</v>
      </c>
      <c r="AL1320">
        <v>0</v>
      </c>
      <c r="AM1320" s="19" t="s">
        <v>1563</v>
      </c>
      <c r="AN1320">
        <v>-0.35890192215928463</v>
      </c>
      <c r="AO1320">
        <v>389760</v>
      </c>
    </row>
    <row r="1321" spans="1:41" x14ac:dyDescent="0.3">
      <c r="A1321" s="19" t="s">
        <v>1387</v>
      </c>
      <c r="B1321">
        <v>50</v>
      </c>
      <c r="C1321" s="19" t="s">
        <v>1272</v>
      </c>
      <c r="D1321" s="19" t="s">
        <v>55</v>
      </c>
      <c r="E1321" s="19" t="s">
        <v>66</v>
      </c>
      <c r="F1321">
        <v>881</v>
      </c>
      <c r="G1321" s="19" t="s">
        <v>735</v>
      </c>
      <c r="H1321">
        <v>2</v>
      </c>
      <c r="I1321">
        <v>4</v>
      </c>
      <c r="J1321" s="19" t="s">
        <v>50</v>
      </c>
      <c r="K1321">
        <v>905</v>
      </c>
      <c r="L1321">
        <v>1</v>
      </c>
      <c r="M1321" s="19" t="s">
        <v>51</v>
      </c>
      <c r="N1321">
        <v>3</v>
      </c>
      <c r="O1321">
        <v>4</v>
      </c>
      <c r="P1321" s="19" t="s">
        <v>444</v>
      </c>
      <c r="Q1321">
        <v>1</v>
      </c>
      <c r="R1321" s="19" t="s">
        <v>53</v>
      </c>
      <c r="S1321">
        <v>86230</v>
      </c>
      <c r="T1321" s="19" t="s">
        <v>70</v>
      </c>
      <c r="U1321">
        <v>538.94000000000005</v>
      </c>
      <c r="V1321">
        <v>1</v>
      </c>
      <c r="W1321" s="19" t="s">
        <v>55</v>
      </c>
      <c r="X1321">
        <v>11</v>
      </c>
      <c r="Y1321">
        <v>3</v>
      </c>
      <c r="Z1321">
        <v>4</v>
      </c>
      <c r="AA1321">
        <v>1</v>
      </c>
      <c r="AB1321">
        <v>31</v>
      </c>
      <c r="AC1321">
        <v>3</v>
      </c>
      <c r="AD1321">
        <v>3</v>
      </c>
      <c r="AE1321">
        <v>31</v>
      </c>
      <c r="AF1321">
        <v>6</v>
      </c>
      <c r="AG1321">
        <v>14</v>
      </c>
      <c r="AH1321">
        <v>7</v>
      </c>
      <c r="AI1321">
        <v>0</v>
      </c>
      <c r="AJ1321" s="19" t="s">
        <v>1571</v>
      </c>
      <c r="AK1321" s="19" t="s">
        <v>1570</v>
      </c>
      <c r="AL1321">
        <v>2</v>
      </c>
      <c r="AM1321" s="19" t="s">
        <v>1564</v>
      </c>
      <c r="AN1321">
        <v>0.65196907420193129</v>
      </c>
      <c r="AO1321">
        <v>1034760</v>
      </c>
    </row>
    <row r="1322" spans="1:41" x14ac:dyDescent="0.3">
      <c r="A1322" s="19" t="s">
        <v>1388</v>
      </c>
      <c r="B1322">
        <v>50</v>
      </c>
      <c r="C1322" s="19" t="s">
        <v>1272</v>
      </c>
      <c r="D1322" s="19" t="s">
        <v>55</v>
      </c>
      <c r="E1322" s="19" t="s">
        <v>48</v>
      </c>
      <c r="F1322">
        <v>1126</v>
      </c>
      <c r="G1322" s="19" t="s">
        <v>735</v>
      </c>
      <c r="H1322">
        <v>1</v>
      </c>
      <c r="I1322">
        <v>2</v>
      </c>
      <c r="J1322" s="19" t="s">
        <v>58</v>
      </c>
      <c r="K1322">
        <v>997</v>
      </c>
      <c r="L1322">
        <v>4</v>
      </c>
      <c r="M1322" s="19" t="s">
        <v>51</v>
      </c>
      <c r="N1322">
        <v>3</v>
      </c>
      <c r="O1322">
        <v>4</v>
      </c>
      <c r="P1322" s="19" t="s">
        <v>257</v>
      </c>
      <c r="Q1322">
        <v>4</v>
      </c>
      <c r="R1322" s="19" t="s">
        <v>113</v>
      </c>
      <c r="S1322">
        <v>69836</v>
      </c>
      <c r="T1322" s="19" t="s">
        <v>64</v>
      </c>
      <c r="U1322">
        <v>436.48</v>
      </c>
      <c r="V1322">
        <v>9</v>
      </c>
      <c r="W1322" s="19" t="s">
        <v>55</v>
      </c>
      <c r="X1322">
        <v>22</v>
      </c>
      <c r="Y1322">
        <v>4</v>
      </c>
      <c r="Z1322">
        <v>3</v>
      </c>
      <c r="AA1322">
        <v>1</v>
      </c>
      <c r="AB1322">
        <v>32</v>
      </c>
      <c r="AC1322">
        <v>1</v>
      </c>
      <c r="AD1322">
        <v>2</v>
      </c>
      <c r="AE1322">
        <v>5</v>
      </c>
      <c r="AF1322">
        <v>4</v>
      </c>
      <c r="AG1322">
        <v>1</v>
      </c>
      <c r="AH1322">
        <v>3</v>
      </c>
      <c r="AI1322">
        <v>0</v>
      </c>
      <c r="AJ1322" s="19" t="s">
        <v>1567</v>
      </c>
      <c r="AK1322" s="19" t="s">
        <v>1562</v>
      </c>
      <c r="AL1322">
        <v>1</v>
      </c>
      <c r="AM1322" s="19" t="s">
        <v>1565</v>
      </c>
      <c r="AN1322">
        <v>0.37843982032278939</v>
      </c>
      <c r="AO1322">
        <v>838032</v>
      </c>
    </row>
    <row r="1323" spans="1:41" x14ac:dyDescent="0.3">
      <c r="A1323" s="19" t="s">
        <v>1389</v>
      </c>
      <c r="B1323">
        <v>50</v>
      </c>
      <c r="C1323" s="19" t="s">
        <v>1272</v>
      </c>
      <c r="D1323" s="19" t="s">
        <v>55</v>
      </c>
      <c r="E1323" s="19" t="s">
        <v>48</v>
      </c>
      <c r="F1323">
        <v>939</v>
      </c>
      <c r="G1323" s="19" t="s">
        <v>735</v>
      </c>
      <c r="H1323">
        <v>24</v>
      </c>
      <c r="I1323">
        <v>3</v>
      </c>
      <c r="J1323" s="19" t="s">
        <v>50</v>
      </c>
      <c r="K1323">
        <v>1005</v>
      </c>
      <c r="L1323">
        <v>4</v>
      </c>
      <c r="M1323" s="19" t="s">
        <v>51</v>
      </c>
      <c r="N1323">
        <v>3</v>
      </c>
      <c r="O1323">
        <v>4</v>
      </c>
      <c r="P1323" s="19" t="s">
        <v>120</v>
      </c>
      <c r="Q1323">
        <v>3</v>
      </c>
      <c r="R1323" s="19" t="s">
        <v>113</v>
      </c>
      <c r="S1323">
        <v>73258</v>
      </c>
      <c r="T1323" s="19" t="s">
        <v>64</v>
      </c>
      <c r="U1323">
        <v>457.86</v>
      </c>
      <c r="V1323">
        <v>3</v>
      </c>
      <c r="W1323" s="19" t="s">
        <v>47</v>
      </c>
      <c r="X1323">
        <v>18</v>
      </c>
      <c r="Y1323">
        <v>3</v>
      </c>
      <c r="Z1323">
        <v>4</v>
      </c>
      <c r="AA1323">
        <v>1</v>
      </c>
      <c r="AB1323">
        <v>22</v>
      </c>
      <c r="AC1323">
        <v>2</v>
      </c>
      <c r="AD1323">
        <v>3</v>
      </c>
      <c r="AE1323">
        <v>12</v>
      </c>
      <c r="AF1323">
        <v>11</v>
      </c>
      <c r="AG1323">
        <v>1</v>
      </c>
      <c r="AH1323">
        <v>5</v>
      </c>
      <c r="AI1323">
        <v>0</v>
      </c>
      <c r="AJ1323" s="19" t="s">
        <v>1571</v>
      </c>
      <c r="AK1323" s="19" t="s">
        <v>1562</v>
      </c>
      <c r="AL1323">
        <v>1</v>
      </c>
      <c r="AM1323" s="19" t="s">
        <v>1565</v>
      </c>
      <c r="AN1323">
        <v>0.65385359384913122</v>
      </c>
      <c r="AO1323">
        <v>879096</v>
      </c>
    </row>
    <row r="1324" spans="1:41" x14ac:dyDescent="0.3">
      <c r="A1324" s="19" t="s">
        <v>1390</v>
      </c>
      <c r="B1324">
        <v>50</v>
      </c>
      <c r="C1324" s="19" t="s">
        <v>1272</v>
      </c>
      <c r="D1324" s="19" t="s">
        <v>55</v>
      </c>
      <c r="E1324" s="19" t="s">
        <v>48</v>
      </c>
      <c r="F1324">
        <v>804</v>
      </c>
      <c r="G1324" s="19" t="s">
        <v>735</v>
      </c>
      <c r="H1324">
        <v>9</v>
      </c>
      <c r="I1324">
        <v>3</v>
      </c>
      <c r="J1324" s="19" t="s">
        <v>50</v>
      </c>
      <c r="K1324">
        <v>1030</v>
      </c>
      <c r="L1324">
        <v>1</v>
      </c>
      <c r="M1324" s="19" t="s">
        <v>51</v>
      </c>
      <c r="N1324">
        <v>3</v>
      </c>
      <c r="O1324">
        <v>1</v>
      </c>
      <c r="P1324" s="19" t="s">
        <v>52</v>
      </c>
      <c r="Q1324">
        <v>4</v>
      </c>
      <c r="R1324" s="19" t="s">
        <v>113</v>
      </c>
      <c r="S1324">
        <v>40986</v>
      </c>
      <c r="T1324" s="19" t="s">
        <v>72</v>
      </c>
      <c r="U1324">
        <v>256.16000000000003</v>
      </c>
      <c r="V1324">
        <v>4</v>
      </c>
      <c r="W1324" s="19" t="s">
        <v>55</v>
      </c>
      <c r="X1324">
        <v>18</v>
      </c>
      <c r="Y1324">
        <v>3</v>
      </c>
      <c r="Z1324">
        <v>2</v>
      </c>
      <c r="AA1324">
        <v>0</v>
      </c>
      <c r="AB1324">
        <v>8</v>
      </c>
      <c r="AC1324">
        <v>5</v>
      </c>
      <c r="AD1324">
        <v>3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 s="19" t="s">
        <v>1561</v>
      </c>
      <c r="AK1324" s="19" t="s">
        <v>1562</v>
      </c>
      <c r="AL1324">
        <v>0</v>
      </c>
      <c r="AM1324" s="19" t="s">
        <v>1563</v>
      </c>
      <c r="AN1324">
        <v>-0.20754977274313607</v>
      </c>
      <c r="AO1324">
        <v>491832</v>
      </c>
    </row>
    <row r="1325" spans="1:41" x14ac:dyDescent="0.3">
      <c r="A1325" s="19" t="s">
        <v>1391</v>
      </c>
      <c r="B1325">
        <v>50</v>
      </c>
      <c r="C1325" s="19" t="s">
        <v>1272</v>
      </c>
      <c r="D1325" s="19" t="s">
        <v>55</v>
      </c>
      <c r="E1325" s="19" t="s">
        <v>66</v>
      </c>
      <c r="F1325">
        <v>145</v>
      </c>
      <c r="G1325" s="19" t="s">
        <v>932</v>
      </c>
      <c r="H1325">
        <v>1</v>
      </c>
      <c r="I1325">
        <v>3</v>
      </c>
      <c r="J1325" s="19" t="s">
        <v>50</v>
      </c>
      <c r="K1325">
        <v>1040</v>
      </c>
      <c r="L1325">
        <v>4</v>
      </c>
      <c r="M1325" s="19" t="s">
        <v>59</v>
      </c>
      <c r="N1325">
        <v>3</v>
      </c>
      <c r="O1325">
        <v>2</v>
      </c>
      <c r="P1325" s="19" t="s">
        <v>145</v>
      </c>
      <c r="Q1325">
        <v>3</v>
      </c>
      <c r="R1325" s="19" t="s">
        <v>113</v>
      </c>
      <c r="S1325">
        <v>25160</v>
      </c>
      <c r="T1325" s="19" t="s">
        <v>72</v>
      </c>
      <c r="U1325">
        <v>157.25</v>
      </c>
      <c r="V1325">
        <v>0</v>
      </c>
      <c r="W1325" s="19" t="s">
        <v>55</v>
      </c>
      <c r="X1325">
        <v>12</v>
      </c>
      <c r="Y1325">
        <v>3</v>
      </c>
      <c r="Z1325">
        <v>1</v>
      </c>
      <c r="AA1325">
        <v>1</v>
      </c>
      <c r="AB1325">
        <v>19</v>
      </c>
      <c r="AC1325">
        <v>3</v>
      </c>
      <c r="AD1325">
        <v>3</v>
      </c>
      <c r="AE1325">
        <v>18</v>
      </c>
      <c r="AF1325">
        <v>7</v>
      </c>
      <c r="AG1325">
        <v>0</v>
      </c>
      <c r="AH1325">
        <v>13</v>
      </c>
      <c r="AI1325">
        <v>0</v>
      </c>
      <c r="AJ1325" s="19" t="s">
        <v>1571</v>
      </c>
      <c r="AK1325" s="19" t="s">
        <v>1562</v>
      </c>
      <c r="AL1325">
        <v>0</v>
      </c>
      <c r="AM1325" s="19" t="s">
        <v>1563</v>
      </c>
      <c r="AN1325">
        <v>-0.4871373560167514</v>
      </c>
      <c r="AO1325">
        <v>301920</v>
      </c>
    </row>
    <row r="1326" spans="1:41" x14ac:dyDescent="0.3">
      <c r="A1326" s="19" t="s">
        <v>1392</v>
      </c>
      <c r="B1326">
        <v>50</v>
      </c>
      <c r="C1326" s="19" t="s">
        <v>1272</v>
      </c>
      <c r="D1326" s="19" t="s">
        <v>55</v>
      </c>
      <c r="E1326" s="19" t="s">
        <v>48</v>
      </c>
      <c r="F1326">
        <v>1464</v>
      </c>
      <c r="G1326" s="19" t="s">
        <v>735</v>
      </c>
      <c r="H1326">
        <v>2</v>
      </c>
      <c r="I1326">
        <v>4</v>
      </c>
      <c r="J1326" s="19" t="s">
        <v>58</v>
      </c>
      <c r="K1326">
        <v>1061</v>
      </c>
      <c r="L1326">
        <v>2</v>
      </c>
      <c r="M1326" s="19" t="s">
        <v>51</v>
      </c>
      <c r="N1326">
        <v>3</v>
      </c>
      <c r="O1326">
        <v>5</v>
      </c>
      <c r="P1326" s="19" t="s">
        <v>257</v>
      </c>
      <c r="Q1326">
        <v>3</v>
      </c>
      <c r="R1326" s="19" t="s">
        <v>113</v>
      </c>
      <c r="S1326">
        <v>86595</v>
      </c>
      <c r="T1326" s="19" t="s">
        <v>70</v>
      </c>
      <c r="U1326">
        <v>541.22</v>
      </c>
      <c r="V1326">
        <v>2</v>
      </c>
      <c r="W1326" s="19" t="s">
        <v>47</v>
      </c>
      <c r="X1326">
        <v>11</v>
      </c>
      <c r="Y1326">
        <v>3</v>
      </c>
      <c r="Z1326">
        <v>4</v>
      </c>
      <c r="AA1326">
        <v>1</v>
      </c>
      <c r="AB1326">
        <v>29</v>
      </c>
      <c r="AC1326">
        <v>2</v>
      </c>
      <c r="AD1326">
        <v>2</v>
      </c>
      <c r="AE1326">
        <v>8</v>
      </c>
      <c r="AF1326">
        <v>1</v>
      </c>
      <c r="AG1326">
        <v>7</v>
      </c>
      <c r="AH1326">
        <v>7</v>
      </c>
      <c r="AI1326">
        <v>0</v>
      </c>
      <c r="AJ1326" s="19" t="s">
        <v>1569</v>
      </c>
      <c r="AK1326" s="19" t="s">
        <v>1570</v>
      </c>
      <c r="AL1326">
        <v>3</v>
      </c>
      <c r="AM1326" s="19" t="s">
        <v>1568</v>
      </c>
      <c r="AN1326">
        <v>0.70923300648450582</v>
      </c>
      <c r="AO1326">
        <v>1039140</v>
      </c>
    </row>
    <row r="1327" spans="1:41" x14ac:dyDescent="0.3">
      <c r="A1327" s="19" t="s">
        <v>1393</v>
      </c>
      <c r="B1327">
        <v>50</v>
      </c>
      <c r="C1327" s="19" t="s">
        <v>1272</v>
      </c>
      <c r="D1327" s="19" t="s">
        <v>47</v>
      </c>
      <c r="E1327" s="19" t="s">
        <v>62</v>
      </c>
      <c r="F1327">
        <v>959</v>
      </c>
      <c r="G1327" s="19" t="s">
        <v>932</v>
      </c>
      <c r="H1327">
        <v>1</v>
      </c>
      <c r="I1327">
        <v>4</v>
      </c>
      <c r="J1327" s="19" t="s">
        <v>82</v>
      </c>
      <c r="K1327">
        <v>1113</v>
      </c>
      <c r="L1327">
        <v>4</v>
      </c>
      <c r="M1327" s="19" t="s">
        <v>51</v>
      </c>
      <c r="N1327">
        <v>3</v>
      </c>
      <c r="O1327">
        <v>2</v>
      </c>
      <c r="P1327" s="19" t="s">
        <v>145</v>
      </c>
      <c r="Q1327">
        <v>3</v>
      </c>
      <c r="R1327" s="19" t="s">
        <v>53</v>
      </c>
      <c r="S1327">
        <v>80111</v>
      </c>
      <c r="T1327" s="19" t="s">
        <v>64</v>
      </c>
      <c r="U1327">
        <v>500.69</v>
      </c>
      <c r="V1327">
        <v>3</v>
      </c>
      <c r="W1327" s="19" t="s">
        <v>47</v>
      </c>
      <c r="X1327">
        <v>14</v>
      </c>
      <c r="Y1327">
        <v>3</v>
      </c>
      <c r="Z1327">
        <v>4</v>
      </c>
      <c r="AA1327">
        <v>0</v>
      </c>
      <c r="AB1327">
        <v>5</v>
      </c>
      <c r="AC1327">
        <v>4</v>
      </c>
      <c r="AD1327">
        <v>3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 s="19" t="s">
        <v>1561</v>
      </c>
      <c r="AK1327" s="19" t="s">
        <v>1562</v>
      </c>
      <c r="AL1327">
        <v>1</v>
      </c>
      <c r="AM1327" s="19" t="s">
        <v>1565</v>
      </c>
      <c r="AN1327">
        <v>0.63298645755731442</v>
      </c>
      <c r="AO1327">
        <v>961332</v>
      </c>
    </row>
    <row r="1328" spans="1:41" x14ac:dyDescent="0.3">
      <c r="A1328" s="19" t="s">
        <v>1394</v>
      </c>
      <c r="B1328">
        <v>50</v>
      </c>
      <c r="C1328" s="19" t="s">
        <v>1272</v>
      </c>
      <c r="D1328" s="19" t="s">
        <v>55</v>
      </c>
      <c r="E1328" s="19" t="s">
        <v>62</v>
      </c>
      <c r="F1328">
        <v>1421</v>
      </c>
      <c r="G1328" s="19" t="s">
        <v>735</v>
      </c>
      <c r="H1328">
        <v>2</v>
      </c>
      <c r="I1328">
        <v>3</v>
      </c>
      <c r="J1328" s="19" t="s">
        <v>58</v>
      </c>
      <c r="K1328">
        <v>1215</v>
      </c>
      <c r="L1328">
        <v>4</v>
      </c>
      <c r="M1328" s="19" t="s">
        <v>59</v>
      </c>
      <c r="N1328">
        <v>3</v>
      </c>
      <c r="O1328">
        <v>4</v>
      </c>
      <c r="P1328" s="19" t="s">
        <v>444</v>
      </c>
      <c r="Q1328">
        <v>1</v>
      </c>
      <c r="R1328" s="19" t="s">
        <v>113</v>
      </c>
      <c r="S1328">
        <v>65929</v>
      </c>
      <c r="T1328" s="19" t="s">
        <v>64</v>
      </c>
      <c r="U1328">
        <v>412.06</v>
      </c>
      <c r="V1328">
        <v>2</v>
      </c>
      <c r="W1328" s="19" t="s">
        <v>55</v>
      </c>
      <c r="X1328">
        <v>22</v>
      </c>
      <c r="Y1328">
        <v>4</v>
      </c>
      <c r="Z1328">
        <v>3</v>
      </c>
      <c r="AA1328">
        <v>1</v>
      </c>
      <c r="AB1328">
        <v>32</v>
      </c>
      <c r="AC1328">
        <v>3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0</v>
      </c>
      <c r="AJ1328" s="19" t="s">
        <v>1566</v>
      </c>
      <c r="AK1328" s="19" t="s">
        <v>1562</v>
      </c>
      <c r="AL1328">
        <v>1</v>
      </c>
      <c r="AM1328" s="19" t="s">
        <v>1565</v>
      </c>
      <c r="AN1328">
        <v>0.26304846449100228</v>
      </c>
      <c r="AO1328">
        <v>791148</v>
      </c>
    </row>
    <row r="1329" spans="1:41" x14ac:dyDescent="0.3">
      <c r="A1329" s="19" t="s">
        <v>1395</v>
      </c>
      <c r="B1329">
        <v>50</v>
      </c>
      <c r="C1329" s="19" t="s">
        <v>1272</v>
      </c>
      <c r="D1329" s="19" t="s">
        <v>55</v>
      </c>
      <c r="E1329" s="19" t="s">
        <v>48</v>
      </c>
      <c r="F1329">
        <v>1322</v>
      </c>
      <c r="G1329" s="19" t="s">
        <v>735</v>
      </c>
      <c r="H1329">
        <v>28</v>
      </c>
      <c r="I1329">
        <v>3</v>
      </c>
      <c r="J1329" s="19" t="s">
        <v>50</v>
      </c>
      <c r="K1329">
        <v>1317</v>
      </c>
      <c r="L1329">
        <v>4</v>
      </c>
      <c r="M1329" s="19" t="s">
        <v>59</v>
      </c>
      <c r="N1329">
        <v>3</v>
      </c>
      <c r="O1329">
        <v>4</v>
      </c>
      <c r="P1329" s="19" t="s">
        <v>257</v>
      </c>
      <c r="Q1329">
        <v>1</v>
      </c>
      <c r="R1329" s="19" t="s">
        <v>113</v>
      </c>
      <c r="S1329">
        <v>74506</v>
      </c>
      <c r="T1329" s="19" t="s">
        <v>64</v>
      </c>
      <c r="U1329">
        <v>465.66</v>
      </c>
      <c r="V1329">
        <v>4</v>
      </c>
      <c r="W1329" s="19" t="s">
        <v>47</v>
      </c>
      <c r="X1329">
        <v>11</v>
      </c>
      <c r="Y1329">
        <v>3</v>
      </c>
      <c r="Z1329">
        <v>2</v>
      </c>
      <c r="AA1329">
        <v>0</v>
      </c>
      <c r="AB1329">
        <v>25</v>
      </c>
      <c r="AC1329">
        <v>2</v>
      </c>
      <c r="AD1329">
        <v>3</v>
      </c>
      <c r="AE1329">
        <v>3</v>
      </c>
      <c r="AF1329">
        <v>2</v>
      </c>
      <c r="AG1329">
        <v>1</v>
      </c>
      <c r="AH1329">
        <v>2</v>
      </c>
      <c r="AI1329">
        <v>0</v>
      </c>
      <c r="AJ1329" s="19" t="s">
        <v>1566</v>
      </c>
      <c r="AK1329" s="19" t="s">
        <v>1562</v>
      </c>
      <c r="AL1329">
        <v>2</v>
      </c>
      <c r="AM1329" s="19" t="s">
        <v>1564</v>
      </c>
      <c r="AN1329">
        <v>0.4706174072537051</v>
      </c>
      <c r="AO1329">
        <v>894072</v>
      </c>
    </row>
    <row r="1330" spans="1:41" x14ac:dyDescent="0.3">
      <c r="A1330" s="19" t="s">
        <v>1396</v>
      </c>
      <c r="B1330">
        <v>50</v>
      </c>
      <c r="C1330" s="19" t="s">
        <v>1272</v>
      </c>
      <c r="D1330" s="19" t="s">
        <v>55</v>
      </c>
      <c r="E1330" s="19" t="s">
        <v>62</v>
      </c>
      <c r="F1330">
        <v>333</v>
      </c>
      <c r="G1330" s="19" t="s">
        <v>735</v>
      </c>
      <c r="H1330">
        <v>22</v>
      </c>
      <c r="I1330">
        <v>5</v>
      </c>
      <c r="J1330" s="19" t="s">
        <v>58</v>
      </c>
      <c r="K1330">
        <v>1539</v>
      </c>
      <c r="L1330">
        <v>3</v>
      </c>
      <c r="M1330" s="19" t="s">
        <v>51</v>
      </c>
      <c r="N1330">
        <v>1</v>
      </c>
      <c r="O1330">
        <v>4</v>
      </c>
      <c r="P1330" s="19" t="s">
        <v>257</v>
      </c>
      <c r="Q1330">
        <v>4</v>
      </c>
      <c r="R1330" s="19" t="s">
        <v>53</v>
      </c>
      <c r="S1330">
        <v>35911</v>
      </c>
      <c r="T1330" s="19" t="s">
        <v>72</v>
      </c>
      <c r="U1330">
        <v>224.44</v>
      </c>
      <c r="V1330">
        <v>1</v>
      </c>
      <c r="W1330" s="19" t="s">
        <v>47</v>
      </c>
      <c r="X1330">
        <v>13</v>
      </c>
      <c r="Y1330">
        <v>3</v>
      </c>
      <c r="Z1330">
        <v>4</v>
      </c>
      <c r="AA1330">
        <v>0</v>
      </c>
      <c r="AB1330">
        <v>32</v>
      </c>
      <c r="AC1330">
        <v>2</v>
      </c>
      <c r="AD1330">
        <v>3</v>
      </c>
      <c r="AE1330">
        <v>32</v>
      </c>
      <c r="AF1330">
        <v>6</v>
      </c>
      <c r="AG1330">
        <v>13</v>
      </c>
      <c r="AH1330">
        <v>9</v>
      </c>
      <c r="AI1330">
        <v>0</v>
      </c>
      <c r="AJ1330" s="19" t="s">
        <v>1571</v>
      </c>
      <c r="AK1330" s="19" t="s">
        <v>1570</v>
      </c>
      <c r="AL1330">
        <v>2</v>
      </c>
      <c r="AM1330" s="19" t="s">
        <v>1564</v>
      </c>
      <c r="AN1330">
        <v>-0.2911800162149652</v>
      </c>
      <c r="AO1330">
        <v>430932</v>
      </c>
    </row>
    <row r="1331" spans="1:41" x14ac:dyDescent="0.3">
      <c r="A1331" s="19" t="s">
        <v>1397</v>
      </c>
      <c r="B1331">
        <v>50</v>
      </c>
      <c r="C1331" s="19" t="s">
        <v>1272</v>
      </c>
      <c r="D1331" s="19" t="s">
        <v>55</v>
      </c>
      <c r="E1331" s="19" t="s">
        <v>48</v>
      </c>
      <c r="F1331">
        <v>264</v>
      </c>
      <c r="G1331" s="19" t="s">
        <v>932</v>
      </c>
      <c r="H1331">
        <v>9</v>
      </c>
      <c r="I1331">
        <v>3</v>
      </c>
      <c r="J1331" s="19" t="s">
        <v>63</v>
      </c>
      <c r="K1331">
        <v>1591</v>
      </c>
      <c r="L1331">
        <v>3</v>
      </c>
      <c r="M1331" s="19" t="s">
        <v>51</v>
      </c>
      <c r="N1331">
        <v>3</v>
      </c>
      <c r="O1331">
        <v>5</v>
      </c>
      <c r="P1331" s="19" t="s">
        <v>444</v>
      </c>
      <c r="Q1331">
        <v>3</v>
      </c>
      <c r="R1331" s="19" t="s">
        <v>113</v>
      </c>
      <c r="S1331">
        <v>88127</v>
      </c>
      <c r="T1331" s="19" t="s">
        <v>70</v>
      </c>
      <c r="U1331">
        <v>550.79</v>
      </c>
      <c r="V1331">
        <v>4</v>
      </c>
      <c r="W1331" s="19" t="s">
        <v>47</v>
      </c>
      <c r="X1331">
        <v>16</v>
      </c>
      <c r="Y1331">
        <v>3</v>
      </c>
      <c r="Z1331">
        <v>3</v>
      </c>
      <c r="AA1331">
        <v>1</v>
      </c>
      <c r="AB1331">
        <v>27</v>
      </c>
      <c r="AC1331">
        <v>2</v>
      </c>
      <c r="AD1331">
        <v>3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 s="19" t="s">
        <v>1561</v>
      </c>
      <c r="AK1331" s="19" t="s">
        <v>1562</v>
      </c>
      <c r="AL1331">
        <v>1</v>
      </c>
      <c r="AM1331" s="19" t="s">
        <v>1565</v>
      </c>
      <c r="AN1331">
        <v>0.68831124437195401</v>
      </c>
      <c r="AO1331">
        <v>1057524</v>
      </c>
    </row>
    <row r="1332" spans="1:41" x14ac:dyDescent="0.3">
      <c r="A1332" s="19" t="s">
        <v>1398</v>
      </c>
      <c r="B1332">
        <v>50</v>
      </c>
      <c r="C1332" s="19" t="s">
        <v>1272</v>
      </c>
      <c r="D1332" s="19" t="s">
        <v>55</v>
      </c>
      <c r="E1332" s="19" t="s">
        <v>62</v>
      </c>
      <c r="F1332">
        <v>1234</v>
      </c>
      <c r="G1332" s="19" t="s">
        <v>735</v>
      </c>
      <c r="H1332">
        <v>20</v>
      </c>
      <c r="I1332">
        <v>5</v>
      </c>
      <c r="J1332" s="19" t="s">
        <v>58</v>
      </c>
      <c r="K1332">
        <v>1606</v>
      </c>
      <c r="L1332">
        <v>2</v>
      </c>
      <c r="M1332" s="19" t="s">
        <v>51</v>
      </c>
      <c r="N1332">
        <v>3</v>
      </c>
      <c r="O1332">
        <v>4</v>
      </c>
      <c r="P1332" s="19" t="s">
        <v>168</v>
      </c>
      <c r="Q1332">
        <v>3</v>
      </c>
      <c r="R1332" s="19" t="s">
        <v>113</v>
      </c>
      <c r="S1332">
        <v>32821</v>
      </c>
      <c r="T1332" s="19" t="s">
        <v>72</v>
      </c>
      <c r="U1332">
        <v>205.13</v>
      </c>
      <c r="V1332">
        <v>2</v>
      </c>
      <c r="W1332" s="19" t="s">
        <v>47</v>
      </c>
      <c r="X1332">
        <v>15</v>
      </c>
      <c r="Y1332">
        <v>3</v>
      </c>
      <c r="Z1332">
        <v>3</v>
      </c>
      <c r="AA1332">
        <v>1</v>
      </c>
      <c r="AB1332">
        <v>32</v>
      </c>
      <c r="AC1332">
        <v>3</v>
      </c>
      <c r="AD1332">
        <v>3</v>
      </c>
      <c r="AE1332">
        <v>30</v>
      </c>
      <c r="AF1332">
        <v>8</v>
      </c>
      <c r="AG1332">
        <v>12</v>
      </c>
      <c r="AH1332">
        <v>13</v>
      </c>
      <c r="AI1332">
        <v>0</v>
      </c>
      <c r="AJ1332" s="19" t="s">
        <v>1571</v>
      </c>
      <c r="AK1332" s="19" t="s">
        <v>1570</v>
      </c>
      <c r="AL1332">
        <v>2</v>
      </c>
      <c r="AM1332" s="19" t="s">
        <v>1564</v>
      </c>
      <c r="AN1332">
        <v>-0.31891297387674755</v>
      </c>
      <c r="AO1332">
        <v>393852</v>
      </c>
    </row>
    <row r="1333" spans="1:41" x14ac:dyDescent="0.3">
      <c r="A1333" s="19" t="s">
        <v>1399</v>
      </c>
      <c r="B1333">
        <v>50</v>
      </c>
      <c r="C1333" s="19" t="s">
        <v>1272</v>
      </c>
      <c r="D1333" s="19" t="s">
        <v>55</v>
      </c>
      <c r="E1333" s="19" t="s">
        <v>48</v>
      </c>
      <c r="F1333">
        <v>813</v>
      </c>
      <c r="G1333" s="19" t="s">
        <v>735</v>
      </c>
      <c r="H1333">
        <v>17</v>
      </c>
      <c r="I1333">
        <v>5</v>
      </c>
      <c r="J1333" s="19" t="s">
        <v>50</v>
      </c>
      <c r="K1333">
        <v>1656</v>
      </c>
      <c r="L1333">
        <v>4</v>
      </c>
      <c r="M1333" s="19" t="s">
        <v>59</v>
      </c>
      <c r="N1333">
        <v>2</v>
      </c>
      <c r="O1333">
        <v>3</v>
      </c>
      <c r="P1333" s="19" t="s">
        <v>257</v>
      </c>
      <c r="Q1333">
        <v>1</v>
      </c>
      <c r="R1333" s="19" t="s">
        <v>113</v>
      </c>
      <c r="S1333">
        <v>76039</v>
      </c>
      <c r="T1333" s="19" t="s">
        <v>64</v>
      </c>
      <c r="U1333">
        <v>475.24</v>
      </c>
      <c r="V1333">
        <v>5</v>
      </c>
      <c r="W1333" s="19" t="s">
        <v>55</v>
      </c>
      <c r="X1333">
        <v>15</v>
      </c>
      <c r="Y1333">
        <v>3</v>
      </c>
      <c r="Z1333">
        <v>3</v>
      </c>
      <c r="AA1333">
        <v>3</v>
      </c>
      <c r="AB1333">
        <v>19</v>
      </c>
      <c r="AC1333">
        <v>3</v>
      </c>
      <c r="AD1333">
        <v>3</v>
      </c>
      <c r="AE1333">
        <v>14</v>
      </c>
      <c r="AF1333">
        <v>11</v>
      </c>
      <c r="AG1333">
        <v>1</v>
      </c>
      <c r="AH1333">
        <v>11</v>
      </c>
      <c r="AI1333">
        <v>0</v>
      </c>
      <c r="AJ1333" s="19" t="s">
        <v>1571</v>
      </c>
      <c r="AK1333" s="19" t="s">
        <v>1562</v>
      </c>
      <c r="AL1333">
        <v>1</v>
      </c>
      <c r="AM1333" s="19" t="s">
        <v>1565</v>
      </c>
      <c r="AN1333">
        <v>0.50087613118627328</v>
      </c>
      <c r="AO1333">
        <v>912468</v>
      </c>
    </row>
    <row r="1334" spans="1:41" x14ac:dyDescent="0.3">
      <c r="A1334" s="19" t="s">
        <v>1400</v>
      </c>
      <c r="B1334">
        <v>50</v>
      </c>
      <c r="C1334" s="19" t="s">
        <v>1272</v>
      </c>
      <c r="D1334" s="19" t="s">
        <v>47</v>
      </c>
      <c r="E1334" s="19" t="s">
        <v>62</v>
      </c>
      <c r="F1334">
        <v>878</v>
      </c>
      <c r="G1334" s="19" t="s">
        <v>932</v>
      </c>
      <c r="H1334">
        <v>1</v>
      </c>
      <c r="I1334">
        <v>4</v>
      </c>
      <c r="J1334" s="19" t="s">
        <v>50</v>
      </c>
      <c r="K1334">
        <v>2044</v>
      </c>
      <c r="L1334">
        <v>2</v>
      </c>
      <c r="M1334" s="19" t="s">
        <v>51</v>
      </c>
      <c r="N1334">
        <v>3</v>
      </c>
      <c r="O1334">
        <v>2</v>
      </c>
      <c r="P1334" s="19" t="s">
        <v>145</v>
      </c>
      <c r="Q1334">
        <v>3</v>
      </c>
      <c r="R1334" s="19" t="s">
        <v>53</v>
      </c>
      <c r="S1334">
        <v>61535</v>
      </c>
      <c r="T1334" s="19" t="s">
        <v>64</v>
      </c>
      <c r="U1334">
        <v>384.59</v>
      </c>
      <c r="V1334">
        <v>7</v>
      </c>
      <c r="W1334" s="19" t="s">
        <v>55</v>
      </c>
      <c r="X1334">
        <v>12</v>
      </c>
      <c r="Y1334">
        <v>3</v>
      </c>
      <c r="Z1334">
        <v>4</v>
      </c>
      <c r="AA1334">
        <v>2</v>
      </c>
      <c r="AB1334">
        <v>12</v>
      </c>
      <c r="AC1334">
        <v>3</v>
      </c>
      <c r="AD1334">
        <v>3</v>
      </c>
      <c r="AE1334">
        <v>6</v>
      </c>
      <c r="AF1334">
        <v>3</v>
      </c>
      <c r="AG1334">
        <v>0</v>
      </c>
      <c r="AH1334">
        <v>1</v>
      </c>
      <c r="AI1334">
        <v>1</v>
      </c>
      <c r="AJ1334" s="19" t="s">
        <v>1569</v>
      </c>
      <c r="AK1334" s="19" t="s">
        <v>1562</v>
      </c>
      <c r="AL1334">
        <v>0</v>
      </c>
      <c r="AM1334" s="19" t="s">
        <v>1563</v>
      </c>
      <c r="AN1334">
        <v>0.25433238463868058</v>
      </c>
      <c r="AO1334">
        <v>738420</v>
      </c>
    </row>
    <row r="1335" spans="1:41" x14ac:dyDescent="0.3">
      <c r="A1335" s="19" t="s">
        <v>1401</v>
      </c>
      <c r="B1335">
        <v>50</v>
      </c>
      <c r="C1335" s="19" t="s">
        <v>1272</v>
      </c>
      <c r="D1335" s="19" t="s">
        <v>47</v>
      </c>
      <c r="E1335" s="19" t="s">
        <v>48</v>
      </c>
      <c r="F1335">
        <v>410</v>
      </c>
      <c r="G1335" s="19" t="s">
        <v>932</v>
      </c>
      <c r="H1335">
        <v>28</v>
      </c>
      <c r="I1335">
        <v>3</v>
      </c>
      <c r="J1335" s="19" t="s">
        <v>63</v>
      </c>
      <c r="K1335">
        <v>2055</v>
      </c>
      <c r="L1335">
        <v>4</v>
      </c>
      <c r="M1335" s="19" t="s">
        <v>51</v>
      </c>
      <c r="N1335">
        <v>2</v>
      </c>
      <c r="O1335">
        <v>3</v>
      </c>
      <c r="P1335" s="19" t="s">
        <v>145</v>
      </c>
      <c r="Q1335">
        <v>1</v>
      </c>
      <c r="R1335" s="19" t="s">
        <v>113</v>
      </c>
      <c r="S1335">
        <v>85458</v>
      </c>
      <c r="T1335" s="19" t="s">
        <v>70</v>
      </c>
      <c r="U1335">
        <v>534.11</v>
      </c>
      <c r="V1335">
        <v>4</v>
      </c>
      <c r="W1335" s="19" t="s">
        <v>47</v>
      </c>
      <c r="X1335">
        <v>13</v>
      </c>
      <c r="Y1335">
        <v>3</v>
      </c>
      <c r="Z1335">
        <v>2</v>
      </c>
      <c r="AA1335">
        <v>1</v>
      </c>
      <c r="AB1335">
        <v>20</v>
      </c>
      <c r="AC1335">
        <v>3</v>
      </c>
      <c r="AD1335">
        <v>3</v>
      </c>
      <c r="AE1335">
        <v>3</v>
      </c>
      <c r="AF1335">
        <v>2</v>
      </c>
      <c r="AG1335">
        <v>2</v>
      </c>
      <c r="AH1335">
        <v>0</v>
      </c>
      <c r="AI1335">
        <v>1</v>
      </c>
      <c r="AJ1335" s="19" t="s">
        <v>1566</v>
      </c>
      <c r="AK1335" s="19" t="s">
        <v>1562</v>
      </c>
      <c r="AL1335">
        <v>2</v>
      </c>
      <c r="AM1335" s="19" t="s">
        <v>1564</v>
      </c>
      <c r="AN1335">
        <v>0.7419799614276813</v>
      </c>
      <c r="AO1335">
        <v>1025496</v>
      </c>
    </row>
    <row r="1336" spans="1:41" x14ac:dyDescent="0.3">
      <c r="A1336" s="19" t="s">
        <v>1401</v>
      </c>
      <c r="B1336">
        <v>50</v>
      </c>
      <c r="C1336" s="19" t="s">
        <v>1272</v>
      </c>
      <c r="D1336" s="19" t="s">
        <v>47</v>
      </c>
      <c r="E1336" s="19" t="s">
        <v>48</v>
      </c>
      <c r="F1336">
        <v>410</v>
      </c>
      <c r="G1336" s="19" t="s">
        <v>932</v>
      </c>
      <c r="H1336">
        <v>28</v>
      </c>
      <c r="I1336">
        <v>3</v>
      </c>
      <c r="J1336" s="19" t="s">
        <v>63</v>
      </c>
      <c r="K1336">
        <v>2055</v>
      </c>
      <c r="L1336">
        <v>4</v>
      </c>
      <c r="M1336" s="19" t="s">
        <v>51</v>
      </c>
      <c r="N1336">
        <v>2</v>
      </c>
      <c r="O1336">
        <v>3</v>
      </c>
      <c r="P1336" s="19" t="s">
        <v>145</v>
      </c>
      <c r="Q1336">
        <v>1</v>
      </c>
      <c r="R1336" s="19" t="s">
        <v>113</v>
      </c>
      <c r="S1336">
        <v>13175</v>
      </c>
      <c r="T1336" s="19" t="s">
        <v>54</v>
      </c>
      <c r="U1336">
        <v>82.34</v>
      </c>
      <c r="V1336">
        <v>4</v>
      </c>
      <c r="W1336" s="19" t="s">
        <v>47</v>
      </c>
      <c r="X1336">
        <v>13</v>
      </c>
      <c r="Y1336">
        <v>3</v>
      </c>
      <c r="Z1336">
        <v>2</v>
      </c>
      <c r="AA1336">
        <v>1</v>
      </c>
      <c r="AB1336">
        <v>20</v>
      </c>
      <c r="AC1336">
        <v>3</v>
      </c>
      <c r="AD1336">
        <v>3</v>
      </c>
      <c r="AE1336">
        <v>3</v>
      </c>
      <c r="AF1336">
        <v>2</v>
      </c>
      <c r="AG1336">
        <v>2</v>
      </c>
      <c r="AH1336">
        <v>0</v>
      </c>
      <c r="AI1336">
        <v>1</v>
      </c>
      <c r="AJ1336" s="19" t="s">
        <v>1566</v>
      </c>
      <c r="AK1336" s="19" t="s">
        <v>1562</v>
      </c>
      <c r="AL1336">
        <v>2</v>
      </c>
      <c r="AM1336" s="19" t="s">
        <v>1564</v>
      </c>
      <c r="AN1336">
        <v>-0.73144016953579882</v>
      </c>
      <c r="AO1336">
        <v>158100</v>
      </c>
    </row>
    <row r="1337" spans="1:41" x14ac:dyDescent="0.3">
      <c r="A1337" s="19" t="s">
        <v>1402</v>
      </c>
      <c r="B1337">
        <v>51</v>
      </c>
      <c r="C1337" s="19" t="s">
        <v>1272</v>
      </c>
      <c r="D1337" s="19" t="s">
        <v>55</v>
      </c>
      <c r="E1337" s="19" t="s">
        <v>48</v>
      </c>
      <c r="F1337">
        <v>432</v>
      </c>
      <c r="G1337" s="19" t="s">
        <v>735</v>
      </c>
      <c r="H1337">
        <v>9</v>
      </c>
      <c r="I1337">
        <v>4</v>
      </c>
      <c r="J1337" s="19" t="s">
        <v>50</v>
      </c>
      <c r="K1337">
        <v>116</v>
      </c>
      <c r="L1337">
        <v>4</v>
      </c>
      <c r="M1337" s="19" t="s">
        <v>51</v>
      </c>
      <c r="N1337">
        <v>3</v>
      </c>
      <c r="O1337">
        <v>1</v>
      </c>
      <c r="P1337" s="19" t="s">
        <v>52</v>
      </c>
      <c r="Q1337">
        <v>4</v>
      </c>
      <c r="R1337" s="19" t="s">
        <v>113</v>
      </c>
      <c r="S1337">
        <v>55771</v>
      </c>
      <c r="T1337" s="19" t="s">
        <v>64</v>
      </c>
      <c r="U1337">
        <v>348.57</v>
      </c>
      <c r="V1337">
        <v>3</v>
      </c>
      <c r="W1337" s="19" t="s">
        <v>55</v>
      </c>
      <c r="X1337">
        <v>23</v>
      </c>
      <c r="Y1337">
        <v>4</v>
      </c>
      <c r="Z1337">
        <v>2</v>
      </c>
      <c r="AA1337">
        <v>2</v>
      </c>
      <c r="AB1337">
        <v>10</v>
      </c>
      <c r="AC1337">
        <v>4</v>
      </c>
      <c r="AD1337">
        <v>3</v>
      </c>
      <c r="AE1337">
        <v>4</v>
      </c>
      <c r="AF1337">
        <v>2</v>
      </c>
      <c r="AG1337">
        <v>0</v>
      </c>
      <c r="AH1337">
        <v>3</v>
      </c>
      <c r="AI1337">
        <v>0</v>
      </c>
      <c r="AJ1337" s="19" t="s">
        <v>1567</v>
      </c>
      <c r="AK1337" s="19" t="s">
        <v>1562</v>
      </c>
      <c r="AL1337">
        <v>0</v>
      </c>
      <c r="AM1337" s="19" t="s">
        <v>1563</v>
      </c>
      <c r="AN1337">
        <v>7.8313122147624981E-2</v>
      </c>
      <c r="AO1337">
        <v>669252</v>
      </c>
    </row>
    <row r="1338" spans="1:41" x14ac:dyDescent="0.3">
      <c r="A1338" s="19" t="s">
        <v>1403</v>
      </c>
      <c r="B1338">
        <v>51</v>
      </c>
      <c r="C1338" s="19" t="s">
        <v>1272</v>
      </c>
      <c r="D1338" s="19" t="s">
        <v>55</v>
      </c>
      <c r="E1338" s="19" t="s">
        <v>48</v>
      </c>
      <c r="F1338">
        <v>632</v>
      </c>
      <c r="G1338" s="19" t="s">
        <v>932</v>
      </c>
      <c r="H1338">
        <v>21</v>
      </c>
      <c r="I1338">
        <v>4</v>
      </c>
      <c r="J1338" s="19" t="s">
        <v>63</v>
      </c>
      <c r="K1338">
        <v>120</v>
      </c>
      <c r="L1338">
        <v>3</v>
      </c>
      <c r="M1338" s="19" t="s">
        <v>51</v>
      </c>
      <c r="N1338">
        <v>3</v>
      </c>
      <c r="O1338">
        <v>2</v>
      </c>
      <c r="P1338" s="19" t="s">
        <v>145</v>
      </c>
      <c r="Q1338">
        <v>4</v>
      </c>
      <c r="R1338" s="19" t="s">
        <v>53</v>
      </c>
      <c r="S1338">
        <v>87925</v>
      </c>
      <c r="T1338" s="19" t="s">
        <v>70</v>
      </c>
      <c r="U1338">
        <v>549.53</v>
      </c>
      <c r="V1338">
        <v>0</v>
      </c>
      <c r="W1338" s="19" t="s">
        <v>47</v>
      </c>
      <c r="X1338">
        <v>22</v>
      </c>
      <c r="Y1338">
        <v>4</v>
      </c>
      <c r="Z1338">
        <v>4</v>
      </c>
      <c r="AA1338">
        <v>0</v>
      </c>
      <c r="AB1338">
        <v>11</v>
      </c>
      <c r="AC1338">
        <v>2</v>
      </c>
      <c r="AD1338">
        <v>1</v>
      </c>
      <c r="AE1338">
        <v>10</v>
      </c>
      <c r="AF1338">
        <v>7</v>
      </c>
      <c r="AG1338">
        <v>1</v>
      </c>
      <c r="AH1338">
        <v>0</v>
      </c>
      <c r="AI1338">
        <v>0</v>
      </c>
      <c r="AJ1338" s="19" t="s">
        <v>1569</v>
      </c>
      <c r="AK1338" s="19" t="s">
        <v>1562</v>
      </c>
      <c r="AL1338">
        <v>2</v>
      </c>
      <c r="AM1338" s="19" t="s">
        <v>1564</v>
      </c>
      <c r="AN1338">
        <v>0.79226740748120572</v>
      </c>
      <c r="AO1338">
        <v>1055100</v>
      </c>
    </row>
    <row r="1339" spans="1:41" x14ac:dyDescent="0.3">
      <c r="A1339" s="19" t="s">
        <v>1404</v>
      </c>
      <c r="B1339">
        <v>51</v>
      </c>
      <c r="C1339" s="19" t="s">
        <v>1272</v>
      </c>
      <c r="D1339" s="19" t="s">
        <v>55</v>
      </c>
      <c r="E1339" s="19" t="s">
        <v>62</v>
      </c>
      <c r="F1339">
        <v>1456</v>
      </c>
      <c r="G1339" s="19" t="s">
        <v>735</v>
      </c>
      <c r="H1339">
        <v>1</v>
      </c>
      <c r="I1339">
        <v>4</v>
      </c>
      <c r="J1339" s="19" t="s">
        <v>58</v>
      </c>
      <c r="K1339">
        <v>145</v>
      </c>
      <c r="L1339">
        <v>1</v>
      </c>
      <c r="M1339" s="19" t="s">
        <v>59</v>
      </c>
      <c r="N1339">
        <v>2</v>
      </c>
      <c r="O1339">
        <v>3</v>
      </c>
      <c r="P1339" s="19" t="s">
        <v>168</v>
      </c>
      <c r="Q1339">
        <v>1</v>
      </c>
      <c r="R1339" s="19" t="s">
        <v>53</v>
      </c>
      <c r="S1339">
        <v>67358</v>
      </c>
      <c r="T1339" s="19" t="s">
        <v>64</v>
      </c>
      <c r="U1339">
        <v>420.99</v>
      </c>
      <c r="V1339">
        <v>3</v>
      </c>
      <c r="W1339" s="19" t="s">
        <v>55</v>
      </c>
      <c r="X1339">
        <v>20</v>
      </c>
      <c r="Y1339">
        <v>4</v>
      </c>
      <c r="Z1339">
        <v>3</v>
      </c>
      <c r="AA1339">
        <v>0</v>
      </c>
      <c r="AB1339">
        <v>23</v>
      </c>
      <c r="AC1339">
        <v>1</v>
      </c>
      <c r="AD1339">
        <v>2</v>
      </c>
      <c r="AE1339">
        <v>13</v>
      </c>
      <c r="AF1339">
        <v>12</v>
      </c>
      <c r="AG1339">
        <v>12</v>
      </c>
      <c r="AH1339">
        <v>8</v>
      </c>
      <c r="AI1339">
        <v>0</v>
      </c>
      <c r="AJ1339" s="19" t="s">
        <v>1571</v>
      </c>
      <c r="AK1339" s="19" t="s">
        <v>1570</v>
      </c>
      <c r="AL1339">
        <v>3</v>
      </c>
      <c r="AM1339" s="19" t="s">
        <v>1568</v>
      </c>
      <c r="AN1339">
        <v>0.39778373314676696</v>
      </c>
      <c r="AO1339">
        <v>808296</v>
      </c>
    </row>
    <row r="1340" spans="1:41" x14ac:dyDescent="0.3">
      <c r="A1340" s="19" t="s">
        <v>1405</v>
      </c>
      <c r="B1340">
        <v>51</v>
      </c>
      <c r="C1340" s="19" t="s">
        <v>1272</v>
      </c>
      <c r="D1340" s="19" t="s">
        <v>55</v>
      </c>
      <c r="E1340" s="19" t="s">
        <v>48</v>
      </c>
      <c r="F1340">
        <v>684</v>
      </c>
      <c r="G1340" s="19" t="s">
        <v>735</v>
      </c>
      <c r="H1340">
        <v>6</v>
      </c>
      <c r="I1340">
        <v>3</v>
      </c>
      <c r="J1340" s="19" t="s">
        <v>50</v>
      </c>
      <c r="K1340">
        <v>162</v>
      </c>
      <c r="L1340">
        <v>1</v>
      </c>
      <c r="M1340" s="19" t="s">
        <v>51</v>
      </c>
      <c r="N1340">
        <v>3</v>
      </c>
      <c r="O1340">
        <v>5</v>
      </c>
      <c r="P1340" s="19" t="s">
        <v>257</v>
      </c>
      <c r="Q1340">
        <v>3</v>
      </c>
      <c r="R1340" s="19" t="s">
        <v>53</v>
      </c>
      <c r="S1340">
        <v>18327</v>
      </c>
      <c r="T1340" s="19" t="s">
        <v>54</v>
      </c>
      <c r="U1340">
        <v>114.54</v>
      </c>
      <c r="V1340">
        <v>7</v>
      </c>
      <c r="W1340" s="19" t="s">
        <v>55</v>
      </c>
      <c r="X1340">
        <v>13</v>
      </c>
      <c r="Y1340">
        <v>3</v>
      </c>
      <c r="Z1340">
        <v>3</v>
      </c>
      <c r="AA1340">
        <v>0</v>
      </c>
      <c r="AB1340">
        <v>23</v>
      </c>
      <c r="AC1340">
        <v>5</v>
      </c>
      <c r="AD1340">
        <v>3</v>
      </c>
      <c r="AE1340">
        <v>20</v>
      </c>
      <c r="AF1340">
        <v>18</v>
      </c>
      <c r="AG1340">
        <v>15</v>
      </c>
      <c r="AH1340">
        <v>15</v>
      </c>
      <c r="AI1340">
        <v>0</v>
      </c>
      <c r="AJ1340" s="19" t="s">
        <v>1571</v>
      </c>
      <c r="AK1340" s="19" t="s">
        <v>1570</v>
      </c>
      <c r="AL1340">
        <v>1</v>
      </c>
      <c r="AM1340" s="19" t="s">
        <v>1565</v>
      </c>
      <c r="AN1340">
        <v>-0.63825725145976631</v>
      </c>
      <c r="AO1340">
        <v>219924</v>
      </c>
    </row>
    <row r="1341" spans="1:41" x14ac:dyDescent="0.3">
      <c r="A1341" s="19" t="s">
        <v>1406</v>
      </c>
      <c r="B1341">
        <v>51</v>
      </c>
      <c r="C1341" s="19" t="s">
        <v>1272</v>
      </c>
      <c r="D1341" s="19" t="s">
        <v>47</v>
      </c>
      <c r="E1341" s="19" t="s">
        <v>62</v>
      </c>
      <c r="F1341">
        <v>1150</v>
      </c>
      <c r="G1341" s="19" t="s">
        <v>735</v>
      </c>
      <c r="H1341">
        <v>8</v>
      </c>
      <c r="I1341">
        <v>4</v>
      </c>
      <c r="J1341" s="19" t="s">
        <v>50</v>
      </c>
      <c r="K1341">
        <v>179</v>
      </c>
      <c r="L1341">
        <v>1</v>
      </c>
      <c r="M1341" s="19" t="s">
        <v>51</v>
      </c>
      <c r="N1341">
        <v>1</v>
      </c>
      <c r="O1341">
        <v>3</v>
      </c>
      <c r="P1341" s="19" t="s">
        <v>120</v>
      </c>
      <c r="Q1341">
        <v>4</v>
      </c>
      <c r="R1341" s="19" t="s">
        <v>53</v>
      </c>
      <c r="S1341">
        <v>48057</v>
      </c>
      <c r="T1341" s="19" t="s">
        <v>72</v>
      </c>
      <c r="U1341">
        <v>300.36</v>
      </c>
      <c r="V1341">
        <v>2</v>
      </c>
      <c r="W1341" s="19" t="s">
        <v>55</v>
      </c>
      <c r="X1341">
        <v>15</v>
      </c>
      <c r="Y1341">
        <v>3</v>
      </c>
      <c r="Z1341">
        <v>4</v>
      </c>
      <c r="AA1341">
        <v>0</v>
      </c>
      <c r="AB1341">
        <v>18</v>
      </c>
      <c r="AC1341">
        <v>2</v>
      </c>
      <c r="AD1341">
        <v>3</v>
      </c>
      <c r="AE1341">
        <v>4</v>
      </c>
      <c r="AF1341">
        <v>2</v>
      </c>
      <c r="AG1341">
        <v>0</v>
      </c>
      <c r="AH1341">
        <v>3</v>
      </c>
      <c r="AI1341">
        <v>1</v>
      </c>
      <c r="AJ1341" s="19" t="s">
        <v>1567</v>
      </c>
      <c r="AK1341" s="19" t="s">
        <v>1562</v>
      </c>
      <c r="AL1341">
        <v>0</v>
      </c>
      <c r="AM1341" s="19" t="s">
        <v>1563</v>
      </c>
      <c r="AN1341">
        <v>8.4922358781398588E-2</v>
      </c>
      <c r="AO1341">
        <v>576684</v>
      </c>
    </row>
    <row r="1342" spans="1:41" x14ac:dyDescent="0.3">
      <c r="A1342" s="19" t="s">
        <v>1407</v>
      </c>
      <c r="B1342">
        <v>51</v>
      </c>
      <c r="C1342" s="19" t="s">
        <v>1272</v>
      </c>
      <c r="D1342" s="19" t="s">
        <v>55</v>
      </c>
      <c r="E1342" s="19" t="s">
        <v>48</v>
      </c>
      <c r="F1342">
        <v>1169</v>
      </c>
      <c r="G1342" s="19" t="s">
        <v>735</v>
      </c>
      <c r="H1342">
        <v>7</v>
      </c>
      <c r="I1342">
        <v>4</v>
      </c>
      <c r="J1342" s="19" t="s">
        <v>58</v>
      </c>
      <c r="K1342">
        <v>211</v>
      </c>
      <c r="L1342">
        <v>2</v>
      </c>
      <c r="M1342" s="19" t="s">
        <v>51</v>
      </c>
      <c r="N1342">
        <v>2</v>
      </c>
      <c r="O1342">
        <v>2</v>
      </c>
      <c r="P1342" s="19" t="s">
        <v>120</v>
      </c>
      <c r="Q1342">
        <v>3</v>
      </c>
      <c r="R1342" s="19" t="s">
        <v>113</v>
      </c>
      <c r="S1342">
        <v>7150</v>
      </c>
      <c r="T1342" s="19" t="s">
        <v>54</v>
      </c>
      <c r="U1342">
        <v>44.69</v>
      </c>
      <c r="V1342">
        <v>2</v>
      </c>
      <c r="W1342" s="19" t="s">
        <v>55</v>
      </c>
      <c r="X1342">
        <v>17</v>
      </c>
      <c r="Y1342">
        <v>3</v>
      </c>
      <c r="Z1342">
        <v>3</v>
      </c>
      <c r="AA1342">
        <v>0</v>
      </c>
      <c r="AB1342">
        <v>10</v>
      </c>
      <c r="AC1342">
        <v>2</v>
      </c>
      <c r="AD1342">
        <v>3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 s="19" t="s">
        <v>1561</v>
      </c>
      <c r="AK1342" s="19" t="s">
        <v>1562</v>
      </c>
      <c r="AL1342">
        <v>0</v>
      </c>
      <c r="AM1342" s="19" t="s">
        <v>1563</v>
      </c>
      <c r="AN1342">
        <v>-0.83858345578610816</v>
      </c>
      <c r="AO1342">
        <v>85800</v>
      </c>
    </row>
    <row r="1343" spans="1:41" x14ac:dyDescent="0.3">
      <c r="A1343" s="19" t="s">
        <v>1408</v>
      </c>
      <c r="B1343">
        <v>51</v>
      </c>
      <c r="C1343" s="19" t="s">
        <v>1272</v>
      </c>
      <c r="D1343" s="19" t="s">
        <v>55</v>
      </c>
      <c r="E1343" s="19" t="s">
        <v>48</v>
      </c>
      <c r="F1343">
        <v>313</v>
      </c>
      <c r="G1343" s="19" t="s">
        <v>735</v>
      </c>
      <c r="H1343">
        <v>3</v>
      </c>
      <c r="I1343">
        <v>3</v>
      </c>
      <c r="J1343" s="19" t="s">
        <v>58</v>
      </c>
      <c r="K1343">
        <v>258</v>
      </c>
      <c r="L1343">
        <v>4</v>
      </c>
      <c r="M1343" s="19" t="s">
        <v>59</v>
      </c>
      <c r="N1343">
        <v>3</v>
      </c>
      <c r="O1343">
        <v>4</v>
      </c>
      <c r="P1343" s="19" t="s">
        <v>168</v>
      </c>
      <c r="Q1343">
        <v>2</v>
      </c>
      <c r="R1343" s="19" t="s">
        <v>53</v>
      </c>
      <c r="S1343">
        <v>5425</v>
      </c>
      <c r="T1343" s="19" t="s">
        <v>54</v>
      </c>
      <c r="U1343">
        <v>33.909999999999997</v>
      </c>
      <c r="V1343">
        <v>3</v>
      </c>
      <c r="W1343" s="19" t="s">
        <v>55</v>
      </c>
      <c r="X1343">
        <v>18</v>
      </c>
      <c r="Y1343">
        <v>3</v>
      </c>
      <c r="Z1343">
        <v>3</v>
      </c>
      <c r="AA1343">
        <v>0</v>
      </c>
      <c r="AB1343">
        <v>21</v>
      </c>
      <c r="AC1343">
        <v>6</v>
      </c>
      <c r="AD1343">
        <v>3</v>
      </c>
      <c r="AE1343">
        <v>7</v>
      </c>
      <c r="AF1343">
        <v>7</v>
      </c>
      <c r="AG1343">
        <v>1</v>
      </c>
      <c r="AH1343">
        <v>0</v>
      </c>
      <c r="AI1343">
        <v>0</v>
      </c>
      <c r="AJ1343" s="19" t="s">
        <v>1569</v>
      </c>
      <c r="AK1343" s="19" t="s">
        <v>1562</v>
      </c>
      <c r="AL1343">
        <v>1</v>
      </c>
      <c r="AM1343" s="19" t="s">
        <v>1565</v>
      </c>
      <c r="AN1343">
        <v>-0.8874227745431692</v>
      </c>
      <c r="AO1343">
        <v>65100</v>
      </c>
    </row>
    <row r="1344" spans="1:41" x14ac:dyDescent="0.3">
      <c r="A1344" s="19" t="s">
        <v>1409</v>
      </c>
      <c r="B1344">
        <v>51</v>
      </c>
      <c r="C1344" s="19" t="s">
        <v>1272</v>
      </c>
      <c r="D1344" s="19" t="s">
        <v>55</v>
      </c>
      <c r="E1344" s="19" t="s">
        <v>48</v>
      </c>
      <c r="F1344">
        <v>1469</v>
      </c>
      <c r="G1344" s="19" t="s">
        <v>735</v>
      </c>
      <c r="H1344">
        <v>8</v>
      </c>
      <c r="I1344">
        <v>4</v>
      </c>
      <c r="J1344" s="19" t="s">
        <v>50</v>
      </c>
      <c r="K1344">
        <v>296</v>
      </c>
      <c r="L1344">
        <v>2</v>
      </c>
      <c r="M1344" s="19" t="s">
        <v>51</v>
      </c>
      <c r="N1344">
        <v>2</v>
      </c>
      <c r="O1344">
        <v>3</v>
      </c>
      <c r="P1344" s="19" t="s">
        <v>257</v>
      </c>
      <c r="Q1344">
        <v>2</v>
      </c>
      <c r="R1344" s="19" t="s">
        <v>113</v>
      </c>
      <c r="S1344">
        <v>17032</v>
      </c>
      <c r="T1344" s="19" t="s">
        <v>54</v>
      </c>
      <c r="U1344">
        <v>106.45</v>
      </c>
      <c r="V1344">
        <v>5</v>
      </c>
      <c r="W1344" s="19" t="s">
        <v>55</v>
      </c>
      <c r="X1344">
        <v>16</v>
      </c>
      <c r="Y1344">
        <v>3</v>
      </c>
      <c r="Z1344">
        <v>4</v>
      </c>
      <c r="AA1344">
        <v>2</v>
      </c>
      <c r="AB1344">
        <v>16</v>
      </c>
      <c r="AC1344">
        <v>5</v>
      </c>
      <c r="AD1344">
        <v>1</v>
      </c>
      <c r="AE1344">
        <v>10</v>
      </c>
      <c r="AF1344">
        <v>9</v>
      </c>
      <c r="AG1344">
        <v>4</v>
      </c>
      <c r="AH1344">
        <v>7</v>
      </c>
      <c r="AI1344">
        <v>0</v>
      </c>
      <c r="AJ1344" s="19" t="s">
        <v>1569</v>
      </c>
      <c r="AK1344" s="19" t="s">
        <v>1570</v>
      </c>
      <c r="AL1344">
        <v>3</v>
      </c>
      <c r="AM1344" s="19" t="s">
        <v>1568</v>
      </c>
      <c r="AN1344">
        <v>-0.66381827395988102</v>
      </c>
      <c r="AO1344">
        <v>204384</v>
      </c>
    </row>
    <row r="1345" spans="1:41" x14ac:dyDescent="0.3">
      <c r="A1345" s="19" t="s">
        <v>1410</v>
      </c>
      <c r="B1345">
        <v>51</v>
      </c>
      <c r="C1345" s="19" t="s">
        <v>1272</v>
      </c>
      <c r="D1345" s="19" t="s">
        <v>55</v>
      </c>
      <c r="E1345" s="19" t="s">
        <v>48</v>
      </c>
      <c r="F1345">
        <v>833</v>
      </c>
      <c r="G1345" s="19" t="s">
        <v>735</v>
      </c>
      <c r="H1345">
        <v>1</v>
      </c>
      <c r="I1345">
        <v>3</v>
      </c>
      <c r="J1345" s="19" t="s">
        <v>50</v>
      </c>
      <c r="K1345">
        <v>353</v>
      </c>
      <c r="L1345">
        <v>3</v>
      </c>
      <c r="M1345" s="19" t="s">
        <v>51</v>
      </c>
      <c r="N1345">
        <v>3</v>
      </c>
      <c r="O1345">
        <v>1</v>
      </c>
      <c r="P1345" s="19" t="s">
        <v>67</v>
      </c>
      <c r="Q1345">
        <v>4</v>
      </c>
      <c r="R1345" s="19" t="s">
        <v>113</v>
      </c>
      <c r="S1345">
        <v>3198</v>
      </c>
      <c r="T1345" s="19" t="s">
        <v>54</v>
      </c>
      <c r="U1345">
        <v>19.989999999999998</v>
      </c>
      <c r="V1345">
        <v>1</v>
      </c>
      <c r="W1345" s="19" t="s">
        <v>55</v>
      </c>
      <c r="X1345">
        <v>11</v>
      </c>
      <c r="Y1345">
        <v>3</v>
      </c>
      <c r="Z1345">
        <v>2</v>
      </c>
      <c r="AA1345">
        <v>0</v>
      </c>
      <c r="AB1345">
        <v>1</v>
      </c>
      <c r="AC1345">
        <v>0</v>
      </c>
      <c r="AD1345">
        <v>2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 s="19" t="s">
        <v>1561</v>
      </c>
      <c r="AK1345" s="19" t="s">
        <v>1562</v>
      </c>
      <c r="AL1345">
        <v>1</v>
      </c>
      <c r="AM1345" s="19" t="s">
        <v>1565</v>
      </c>
      <c r="AN1345">
        <v>-0.93586825825993536</v>
      </c>
      <c r="AO1345">
        <v>38376</v>
      </c>
    </row>
    <row r="1346" spans="1:41" x14ac:dyDescent="0.3">
      <c r="A1346" s="19" t="s">
        <v>1411</v>
      </c>
      <c r="B1346">
        <v>51</v>
      </c>
      <c r="C1346" s="19" t="s">
        <v>1272</v>
      </c>
      <c r="D1346" s="19" t="s">
        <v>55</v>
      </c>
      <c r="E1346" s="19" t="s">
        <v>48</v>
      </c>
      <c r="F1346">
        <v>1302</v>
      </c>
      <c r="G1346" s="19" t="s">
        <v>735</v>
      </c>
      <c r="H1346">
        <v>2</v>
      </c>
      <c r="I1346">
        <v>3</v>
      </c>
      <c r="J1346" s="19" t="s">
        <v>58</v>
      </c>
      <c r="K1346">
        <v>408</v>
      </c>
      <c r="L1346">
        <v>4</v>
      </c>
      <c r="M1346" s="19" t="s">
        <v>51</v>
      </c>
      <c r="N1346">
        <v>1</v>
      </c>
      <c r="O1346">
        <v>2</v>
      </c>
      <c r="P1346" s="19" t="s">
        <v>120</v>
      </c>
      <c r="Q1346">
        <v>2</v>
      </c>
      <c r="R1346" s="19" t="s">
        <v>113</v>
      </c>
      <c r="S1346">
        <v>61500</v>
      </c>
      <c r="T1346" s="19" t="s">
        <v>64</v>
      </c>
      <c r="U1346">
        <v>384.38</v>
      </c>
      <c r="V1346">
        <v>5</v>
      </c>
      <c r="W1346" s="19" t="s">
        <v>55</v>
      </c>
      <c r="X1346">
        <v>18</v>
      </c>
      <c r="Y1346">
        <v>3</v>
      </c>
      <c r="Z1346">
        <v>4</v>
      </c>
      <c r="AA1346">
        <v>1</v>
      </c>
      <c r="AB1346">
        <v>13</v>
      </c>
      <c r="AC1346">
        <v>3</v>
      </c>
      <c r="AD1346">
        <v>3</v>
      </c>
      <c r="AE1346">
        <v>4</v>
      </c>
      <c r="AF1346">
        <v>1</v>
      </c>
      <c r="AG1346">
        <v>1</v>
      </c>
      <c r="AH1346">
        <v>2</v>
      </c>
      <c r="AI1346">
        <v>0</v>
      </c>
      <c r="AJ1346" s="19" t="s">
        <v>1567</v>
      </c>
      <c r="AK1346" s="19" t="s">
        <v>1562</v>
      </c>
      <c r="AL1346">
        <v>1</v>
      </c>
      <c r="AM1346" s="19" t="s">
        <v>1565</v>
      </c>
      <c r="AN1346">
        <v>0.3884080376439647</v>
      </c>
      <c r="AO1346">
        <v>738000</v>
      </c>
    </row>
    <row r="1347" spans="1:41" x14ac:dyDescent="0.3">
      <c r="A1347" s="19" t="s">
        <v>1412</v>
      </c>
      <c r="B1347">
        <v>51</v>
      </c>
      <c r="C1347" s="19" t="s">
        <v>1272</v>
      </c>
      <c r="D1347" s="19" t="s">
        <v>55</v>
      </c>
      <c r="E1347" s="19" t="s">
        <v>48</v>
      </c>
      <c r="F1347">
        <v>1178</v>
      </c>
      <c r="G1347" s="19" t="s">
        <v>932</v>
      </c>
      <c r="H1347">
        <v>14</v>
      </c>
      <c r="I1347">
        <v>2</v>
      </c>
      <c r="J1347" s="19" t="s">
        <v>50</v>
      </c>
      <c r="K1347">
        <v>500</v>
      </c>
      <c r="L1347">
        <v>3</v>
      </c>
      <c r="M1347" s="19" t="s">
        <v>59</v>
      </c>
      <c r="N1347">
        <v>3</v>
      </c>
      <c r="O1347">
        <v>2</v>
      </c>
      <c r="P1347" s="19" t="s">
        <v>145</v>
      </c>
      <c r="Q1347">
        <v>4</v>
      </c>
      <c r="R1347" s="19" t="s">
        <v>113</v>
      </c>
      <c r="S1347">
        <v>54394</v>
      </c>
      <c r="T1347" s="19" t="s">
        <v>64</v>
      </c>
      <c r="U1347">
        <v>339.96</v>
      </c>
      <c r="V1347">
        <v>4</v>
      </c>
      <c r="W1347" s="19" t="s">
        <v>55</v>
      </c>
      <c r="X1347">
        <v>11</v>
      </c>
      <c r="Y1347">
        <v>3</v>
      </c>
      <c r="Z1347">
        <v>3</v>
      </c>
      <c r="AA1347">
        <v>1</v>
      </c>
      <c r="AB1347">
        <v>18</v>
      </c>
      <c r="AC1347">
        <v>2</v>
      </c>
      <c r="AD1347">
        <v>2</v>
      </c>
      <c r="AE1347">
        <v>7</v>
      </c>
      <c r="AF1347">
        <v>7</v>
      </c>
      <c r="AG1347">
        <v>0</v>
      </c>
      <c r="AH1347">
        <v>7</v>
      </c>
      <c r="AI1347">
        <v>0</v>
      </c>
      <c r="AJ1347" s="19" t="s">
        <v>1569</v>
      </c>
      <c r="AK1347" s="19" t="s">
        <v>1562</v>
      </c>
      <c r="AL1347">
        <v>1</v>
      </c>
      <c r="AM1347" s="19" t="s">
        <v>1565</v>
      </c>
      <c r="AN1347">
        <v>0.10876989891990561</v>
      </c>
      <c r="AO1347">
        <v>652728</v>
      </c>
    </row>
    <row r="1348" spans="1:41" x14ac:dyDescent="0.3">
      <c r="A1348" s="19" t="s">
        <v>1413</v>
      </c>
      <c r="B1348">
        <v>51</v>
      </c>
      <c r="C1348" s="19" t="s">
        <v>1272</v>
      </c>
      <c r="D1348" s="19" t="s">
        <v>55</v>
      </c>
      <c r="E1348" s="19" t="s">
        <v>48</v>
      </c>
      <c r="F1348">
        <v>1318</v>
      </c>
      <c r="G1348" s="19" t="s">
        <v>932</v>
      </c>
      <c r="H1348">
        <v>26</v>
      </c>
      <c r="I1348">
        <v>4</v>
      </c>
      <c r="J1348" s="19" t="s">
        <v>63</v>
      </c>
      <c r="K1348">
        <v>851</v>
      </c>
      <c r="L1348">
        <v>1</v>
      </c>
      <c r="M1348" s="19" t="s">
        <v>59</v>
      </c>
      <c r="N1348">
        <v>3</v>
      </c>
      <c r="O1348">
        <v>4</v>
      </c>
      <c r="P1348" s="19" t="s">
        <v>444</v>
      </c>
      <c r="Q1348">
        <v>3</v>
      </c>
      <c r="R1348" s="19" t="s">
        <v>113</v>
      </c>
      <c r="S1348">
        <v>21079</v>
      </c>
      <c r="T1348" s="19" t="s">
        <v>54</v>
      </c>
      <c r="U1348">
        <v>131.74</v>
      </c>
      <c r="V1348">
        <v>2</v>
      </c>
      <c r="W1348" s="19" t="s">
        <v>55</v>
      </c>
      <c r="X1348">
        <v>14</v>
      </c>
      <c r="Y1348">
        <v>3</v>
      </c>
      <c r="Z1348">
        <v>3</v>
      </c>
      <c r="AA1348">
        <v>1</v>
      </c>
      <c r="AB1348">
        <v>29</v>
      </c>
      <c r="AC1348">
        <v>2</v>
      </c>
      <c r="AD1348">
        <v>2</v>
      </c>
      <c r="AE1348">
        <v>20</v>
      </c>
      <c r="AF1348">
        <v>6</v>
      </c>
      <c r="AG1348">
        <v>4</v>
      </c>
      <c r="AH1348">
        <v>17</v>
      </c>
      <c r="AI1348">
        <v>0</v>
      </c>
      <c r="AJ1348" s="19" t="s">
        <v>1571</v>
      </c>
      <c r="AK1348" s="19" t="s">
        <v>1570</v>
      </c>
      <c r="AL1348">
        <v>2</v>
      </c>
      <c r="AM1348" s="19" t="s">
        <v>1564</v>
      </c>
      <c r="AN1348">
        <v>-0.59617469424675273</v>
      </c>
      <c r="AO1348">
        <v>252948</v>
      </c>
    </row>
    <row r="1349" spans="1:41" x14ac:dyDescent="0.3">
      <c r="A1349" s="19" t="s">
        <v>1414</v>
      </c>
      <c r="B1349">
        <v>51</v>
      </c>
      <c r="C1349" s="19" t="s">
        <v>1272</v>
      </c>
      <c r="D1349" s="19" t="s">
        <v>47</v>
      </c>
      <c r="E1349" s="19" t="s">
        <v>48</v>
      </c>
      <c r="F1349">
        <v>1323</v>
      </c>
      <c r="G1349" s="19" t="s">
        <v>735</v>
      </c>
      <c r="H1349">
        <v>4</v>
      </c>
      <c r="I1349">
        <v>4</v>
      </c>
      <c r="J1349" s="19" t="s">
        <v>50</v>
      </c>
      <c r="K1349">
        <v>1081</v>
      </c>
      <c r="L1349">
        <v>1</v>
      </c>
      <c r="M1349" s="19" t="s">
        <v>51</v>
      </c>
      <c r="N1349">
        <v>3</v>
      </c>
      <c r="O1349">
        <v>1</v>
      </c>
      <c r="P1349" s="19" t="s">
        <v>67</v>
      </c>
      <c r="Q1349">
        <v>3</v>
      </c>
      <c r="R1349" s="19" t="s">
        <v>113</v>
      </c>
      <c r="S1349">
        <v>37220</v>
      </c>
      <c r="T1349" s="19" t="s">
        <v>72</v>
      </c>
      <c r="U1349">
        <v>232.62</v>
      </c>
      <c r="V1349">
        <v>9</v>
      </c>
      <c r="W1349" s="19" t="s">
        <v>47</v>
      </c>
      <c r="X1349">
        <v>12</v>
      </c>
      <c r="Y1349">
        <v>3</v>
      </c>
      <c r="Z1349">
        <v>3</v>
      </c>
      <c r="AA1349">
        <v>3</v>
      </c>
      <c r="AB1349">
        <v>18</v>
      </c>
      <c r="AC1349">
        <v>2</v>
      </c>
      <c r="AD1349">
        <v>4</v>
      </c>
      <c r="AE1349">
        <v>10</v>
      </c>
      <c r="AF1349">
        <v>0</v>
      </c>
      <c r="AG1349">
        <v>2</v>
      </c>
      <c r="AH1349">
        <v>7</v>
      </c>
      <c r="AI1349">
        <v>1</v>
      </c>
      <c r="AJ1349" s="19" t="s">
        <v>1569</v>
      </c>
      <c r="AK1349" s="19" t="s">
        <v>1562</v>
      </c>
      <c r="AL1349">
        <v>1</v>
      </c>
      <c r="AM1349" s="19" t="s">
        <v>1565</v>
      </c>
      <c r="AN1349">
        <v>-0.25360117962313827</v>
      </c>
      <c r="AO1349">
        <v>446640</v>
      </c>
    </row>
    <row r="1350" spans="1:41" x14ac:dyDescent="0.3">
      <c r="A1350" s="19" t="s">
        <v>1415</v>
      </c>
      <c r="B1350">
        <v>51</v>
      </c>
      <c r="C1350" s="19" t="s">
        <v>1272</v>
      </c>
      <c r="D1350" s="19" t="s">
        <v>55</v>
      </c>
      <c r="E1350" s="19" t="s">
        <v>62</v>
      </c>
      <c r="F1350">
        <v>237</v>
      </c>
      <c r="G1350" s="19" t="s">
        <v>932</v>
      </c>
      <c r="H1350">
        <v>9</v>
      </c>
      <c r="I1350">
        <v>3</v>
      </c>
      <c r="J1350" s="19" t="s">
        <v>50</v>
      </c>
      <c r="K1350">
        <v>1282</v>
      </c>
      <c r="L1350">
        <v>4</v>
      </c>
      <c r="M1350" s="19" t="s">
        <v>51</v>
      </c>
      <c r="N1350">
        <v>3</v>
      </c>
      <c r="O1350">
        <v>5</v>
      </c>
      <c r="P1350" s="19" t="s">
        <v>444</v>
      </c>
      <c r="Q1350">
        <v>2</v>
      </c>
      <c r="R1350" s="19" t="s">
        <v>53</v>
      </c>
      <c r="S1350">
        <v>42874</v>
      </c>
      <c r="T1350" s="19" t="s">
        <v>72</v>
      </c>
      <c r="U1350">
        <v>267.95999999999998</v>
      </c>
      <c r="V1350">
        <v>4</v>
      </c>
      <c r="W1350" s="19" t="s">
        <v>47</v>
      </c>
      <c r="X1350">
        <v>24</v>
      </c>
      <c r="Y1350">
        <v>4</v>
      </c>
      <c r="Z1350">
        <v>1</v>
      </c>
      <c r="AA1350">
        <v>1</v>
      </c>
      <c r="AB1350">
        <v>31</v>
      </c>
      <c r="AC1350">
        <v>5</v>
      </c>
      <c r="AD1350">
        <v>2</v>
      </c>
      <c r="AE1350">
        <v>29</v>
      </c>
      <c r="AF1350">
        <v>10</v>
      </c>
      <c r="AG1350">
        <v>11</v>
      </c>
      <c r="AH1350">
        <v>10</v>
      </c>
      <c r="AI1350">
        <v>0</v>
      </c>
      <c r="AJ1350" s="19" t="s">
        <v>1571</v>
      </c>
      <c r="AK1350" s="19" t="s">
        <v>1570</v>
      </c>
      <c r="AL1350">
        <v>4</v>
      </c>
      <c r="AM1350" s="19" t="s">
        <v>1568</v>
      </c>
      <c r="AN1350">
        <v>-0.17863247028489387</v>
      </c>
      <c r="AO1350">
        <v>514488</v>
      </c>
    </row>
    <row r="1351" spans="1:41" x14ac:dyDescent="0.3">
      <c r="A1351" s="19" t="s">
        <v>1416</v>
      </c>
      <c r="B1351">
        <v>51</v>
      </c>
      <c r="C1351" s="19" t="s">
        <v>1272</v>
      </c>
      <c r="D1351" s="19" t="s">
        <v>55</v>
      </c>
      <c r="E1351" s="19" t="s">
        <v>62</v>
      </c>
      <c r="F1351">
        <v>968</v>
      </c>
      <c r="G1351" s="19" t="s">
        <v>735</v>
      </c>
      <c r="H1351">
        <v>6</v>
      </c>
      <c r="I1351">
        <v>2</v>
      </c>
      <c r="J1351" s="19" t="s">
        <v>58</v>
      </c>
      <c r="K1351">
        <v>1297</v>
      </c>
      <c r="L1351">
        <v>2</v>
      </c>
      <c r="M1351" s="19" t="s">
        <v>59</v>
      </c>
      <c r="N1351">
        <v>2</v>
      </c>
      <c r="O1351">
        <v>1</v>
      </c>
      <c r="P1351" s="19" t="s">
        <v>52</v>
      </c>
      <c r="Q1351">
        <v>3</v>
      </c>
      <c r="R1351" s="19" t="s">
        <v>53</v>
      </c>
      <c r="S1351">
        <v>14859</v>
      </c>
      <c r="T1351" s="19" t="s">
        <v>54</v>
      </c>
      <c r="U1351">
        <v>92.87</v>
      </c>
      <c r="V1351">
        <v>0</v>
      </c>
      <c r="W1351" s="19" t="s">
        <v>55</v>
      </c>
      <c r="X1351">
        <v>14</v>
      </c>
      <c r="Y1351">
        <v>3</v>
      </c>
      <c r="Z1351">
        <v>2</v>
      </c>
      <c r="AA1351">
        <v>0</v>
      </c>
      <c r="AB1351">
        <v>8</v>
      </c>
      <c r="AC1351">
        <v>6</v>
      </c>
      <c r="AD1351">
        <v>2</v>
      </c>
      <c r="AE1351">
        <v>7</v>
      </c>
      <c r="AF1351">
        <v>0</v>
      </c>
      <c r="AG1351">
        <v>7</v>
      </c>
      <c r="AH1351">
        <v>7</v>
      </c>
      <c r="AI1351">
        <v>0</v>
      </c>
      <c r="AJ1351" s="19" t="s">
        <v>1569</v>
      </c>
      <c r="AK1351" s="19" t="s">
        <v>1570</v>
      </c>
      <c r="AL1351">
        <v>2</v>
      </c>
      <c r="AM1351" s="19" t="s">
        <v>1564</v>
      </c>
      <c r="AN1351">
        <v>-0.71270634053555504</v>
      </c>
      <c r="AO1351">
        <v>178308</v>
      </c>
    </row>
    <row r="1352" spans="1:41" x14ac:dyDescent="0.3">
      <c r="A1352" s="19" t="s">
        <v>1417</v>
      </c>
      <c r="B1352">
        <v>51</v>
      </c>
      <c r="C1352" s="19" t="s">
        <v>1272</v>
      </c>
      <c r="D1352" s="19" t="s">
        <v>55</v>
      </c>
      <c r="E1352" s="19" t="s">
        <v>48</v>
      </c>
      <c r="F1352">
        <v>770</v>
      </c>
      <c r="G1352" s="19" t="s">
        <v>80</v>
      </c>
      <c r="H1352">
        <v>5</v>
      </c>
      <c r="I1352">
        <v>3</v>
      </c>
      <c r="J1352" s="19" t="s">
        <v>50</v>
      </c>
      <c r="K1352">
        <v>1352</v>
      </c>
      <c r="L1352">
        <v>3</v>
      </c>
      <c r="M1352" s="19" t="s">
        <v>51</v>
      </c>
      <c r="N1352">
        <v>3</v>
      </c>
      <c r="O1352">
        <v>4</v>
      </c>
      <c r="P1352" s="19" t="s">
        <v>444</v>
      </c>
      <c r="Q1352">
        <v>2</v>
      </c>
      <c r="R1352" s="19" t="s">
        <v>113</v>
      </c>
      <c r="S1352">
        <v>51460</v>
      </c>
      <c r="T1352" s="19" t="s">
        <v>64</v>
      </c>
      <c r="U1352">
        <v>321.62</v>
      </c>
      <c r="V1352">
        <v>1</v>
      </c>
      <c r="W1352" s="19" t="s">
        <v>47</v>
      </c>
      <c r="X1352">
        <v>11</v>
      </c>
      <c r="Y1352">
        <v>3</v>
      </c>
      <c r="Z1352">
        <v>2</v>
      </c>
      <c r="AA1352">
        <v>1</v>
      </c>
      <c r="AB1352">
        <v>33</v>
      </c>
      <c r="AC1352">
        <v>2</v>
      </c>
      <c r="AD1352">
        <v>3</v>
      </c>
      <c r="AE1352">
        <v>33</v>
      </c>
      <c r="AF1352">
        <v>9</v>
      </c>
      <c r="AG1352">
        <v>0</v>
      </c>
      <c r="AH1352">
        <v>10</v>
      </c>
      <c r="AI1352">
        <v>0</v>
      </c>
      <c r="AJ1352" s="19" t="s">
        <v>1571</v>
      </c>
      <c r="AK1352" s="19" t="s">
        <v>1562</v>
      </c>
      <c r="AL1352">
        <v>2</v>
      </c>
      <c r="AM1352" s="19" t="s">
        <v>1564</v>
      </c>
      <c r="AN1352">
        <v>-1.414439802352566E-2</v>
      </c>
      <c r="AO1352">
        <v>617520</v>
      </c>
    </row>
    <row r="1353" spans="1:41" x14ac:dyDescent="0.3">
      <c r="A1353" s="19" t="s">
        <v>1418</v>
      </c>
      <c r="B1353">
        <v>51</v>
      </c>
      <c r="C1353" s="19" t="s">
        <v>1272</v>
      </c>
      <c r="D1353" s="19" t="s">
        <v>55</v>
      </c>
      <c r="E1353" s="19" t="s">
        <v>48</v>
      </c>
      <c r="F1353">
        <v>1405</v>
      </c>
      <c r="G1353" s="19" t="s">
        <v>735</v>
      </c>
      <c r="H1353">
        <v>11</v>
      </c>
      <c r="I1353">
        <v>2</v>
      </c>
      <c r="J1353" s="19" t="s">
        <v>77</v>
      </c>
      <c r="K1353">
        <v>1367</v>
      </c>
      <c r="L1353">
        <v>4</v>
      </c>
      <c r="M1353" s="19" t="s">
        <v>59</v>
      </c>
      <c r="N1353">
        <v>2</v>
      </c>
      <c r="O1353">
        <v>4</v>
      </c>
      <c r="P1353" s="19" t="s">
        <v>120</v>
      </c>
      <c r="Q1353">
        <v>2</v>
      </c>
      <c r="R1353" s="19" t="s">
        <v>53</v>
      </c>
      <c r="S1353">
        <v>32419</v>
      </c>
      <c r="T1353" s="19" t="s">
        <v>72</v>
      </c>
      <c r="U1353">
        <v>202.62</v>
      </c>
      <c r="V1353">
        <v>3</v>
      </c>
      <c r="W1353" s="19" t="s">
        <v>55</v>
      </c>
      <c r="X1353">
        <v>16</v>
      </c>
      <c r="Y1353">
        <v>3</v>
      </c>
      <c r="Z1353">
        <v>2</v>
      </c>
      <c r="AA1353">
        <v>0</v>
      </c>
      <c r="AB1353">
        <v>29</v>
      </c>
      <c r="AC1353">
        <v>1</v>
      </c>
      <c r="AD1353">
        <v>2</v>
      </c>
      <c r="AE1353">
        <v>5</v>
      </c>
      <c r="AF1353">
        <v>2</v>
      </c>
      <c r="AG1353">
        <v>0</v>
      </c>
      <c r="AH1353">
        <v>3</v>
      </c>
      <c r="AI1353">
        <v>0</v>
      </c>
      <c r="AJ1353" s="19" t="s">
        <v>1567</v>
      </c>
      <c r="AK1353" s="19" t="s">
        <v>1562</v>
      </c>
      <c r="AL1353">
        <v>2</v>
      </c>
      <c r="AM1353" s="19" t="s">
        <v>1564</v>
      </c>
      <c r="AN1353">
        <v>-0.26811707036780991</v>
      </c>
      <c r="AO1353">
        <v>389028</v>
      </c>
    </row>
    <row r="1354" spans="1:41" x14ac:dyDescent="0.3">
      <c r="A1354" s="19" t="s">
        <v>1419</v>
      </c>
      <c r="B1354">
        <v>51</v>
      </c>
      <c r="C1354" s="19" t="s">
        <v>1272</v>
      </c>
      <c r="D1354" s="19" t="s">
        <v>55</v>
      </c>
      <c r="E1354" s="19" t="s">
        <v>62</v>
      </c>
      <c r="F1354">
        <v>541</v>
      </c>
      <c r="G1354" s="19" t="s">
        <v>932</v>
      </c>
      <c r="H1354">
        <v>2</v>
      </c>
      <c r="I1354">
        <v>3</v>
      </c>
      <c r="J1354" s="19" t="s">
        <v>63</v>
      </c>
      <c r="K1354">
        <v>1391</v>
      </c>
      <c r="L1354">
        <v>2</v>
      </c>
      <c r="M1354" s="19" t="s">
        <v>51</v>
      </c>
      <c r="N1354">
        <v>3</v>
      </c>
      <c r="O1354">
        <v>3</v>
      </c>
      <c r="P1354" s="19" t="s">
        <v>145</v>
      </c>
      <c r="Q1354">
        <v>2</v>
      </c>
      <c r="R1354" s="19" t="s">
        <v>113</v>
      </c>
      <c r="S1354">
        <v>9705</v>
      </c>
      <c r="T1354" s="19" t="s">
        <v>54</v>
      </c>
      <c r="U1354">
        <v>60.66</v>
      </c>
      <c r="V1354">
        <v>2</v>
      </c>
      <c r="W1354" s="19" t="s">
        <v>55</v>
      </c>
      <c r="X1354">
        <v>11</v>
      </c>
      <c r="Y1354">
        <v>3</v>
      </c>
      <c r="Z1354">
        <v>2</v>
      </c>
      <c r="AA1354">
        <v>0</v>
      </c>
      <c r="AB1354">
        <v>14</v>
      </c>
      <c r="AC1354">
        <v>5</v>
      </c>
      <c r="AD1354">
        <v>3</v>
      </c>
      <c r="AE1354">
        <v>4</v>
      </c>
      <c r="AF1354">
        <v>2</v>
      </c>
      <c r="AG1354">
        <v>3</v>
      </c>
      <c r="AH1354">
        <v>2</v>
      </c>
      <c r="AI1354">
        <v>0</v>
      </c>
      <c r="AJ1354" s="19" t="s">
        <v>1567</v>
      </c>
      <c r="AK1354" s="19" t="s">
        <v>1570</v>
      </c>
      <c r="AL1354">
        <v>2</v>
      </c>
      <c r="AM1354" s="19" t="s">
        <v>1564</v>
      </c>
      <c r="AN1354">
        <v>-0.80217281558595277</v>
      </c>
      <c r="AO1354">
        <v>116460</v>
      </c>
    </row>
    <row r="1355" spans="1:41" x14ac:dyDescent="0.3">
      <c r="A1355" s="19" t="s">
        <v>1420</v>
      </c>
      <c r="B1355">
        <v>51</v>
      </c>
      <c r="C1355" s="19" t="s">
        <v>1272</v>
      </c>
      <c r="D1355" s="19" t="s">
        <v>55</v>
      </c>
      <c r="E1355" s="19" t="s">
        <v>48</v>
      </c>
      <c r="F1355">
        <v>942</v>
      </c>
      <c r="G1355" s="19" t="s">
        <v>735</v>
      </c>
      <c r="H1355">
        <v>3</v>
      </c>
      <c r="I1355">
        <v>3</v>
      </c>
      <c r="J1355" s="19" t="s">
        <v>77</v>
      </c>
      <c r="K1355">
        <v>1786</v>
      </c>
      <c r="L1355">
        <v>1</v>
      </c>
      <c r="M1355" s="19" t="s">
        <v>59</v>
      </c>
      <c r="N1355">
        <v>3</v>
      </c>
      <c r="O1355">
        <v>3</v>
      </c>
      <c r="P1355" s="19" t="s">
        <v>444</v>
      </c>
      <c r="Q1355">
        <v>3</v>
      </c>
      <c r="R1355" s="19" t="s">
        <v>113</v>
      </c>
      <c r="S1355">
        <v>43880</v>
      </c>
      <c r="T1355" s="19" t="s">
        <v>72</v>
      </c>
      <c r="U1355">
        <v>274.25</v>
      </c>
      <c r="V1355">
        <v>2</v>
      </c>
      <c r="W1355" s="19" t="s">
        <v>55</v>
      </c>
      <c r="X1355">
        <v>11</v>
      </c>
      <c r="Y1355">
        <v>3</v>
      </c>
      <c r="Z1355">
        <v>4</v>
      </c>
      <c r="AA1355">
        <v>0</v>
      </c>
      <c r="AB1355">
        <v>15</v>
      </c>
      <c r="AC1355">
        <v>2</v>
      </c>
      <c r="AD1355">
        <v>3</v>
      </c>
      <c r="AE1355">
        <v>2</v>
      </c>
      <c r="AF1355">
        <v>2</v>
      </c>
      <c r="AG1355">
        <v>2</v>
      </c>
      <c r="AH1355">
        <v>2</v>
      </c>
      <c r="AI1355">
        <v>0</v>
      </c>
      <c r="AJ1355" s="19" t="s">
        <v>1566</v>
      </c>
      <c r="AK1355" s="19" t="s">
        <v>1562</v>
      </c>
      <c r="AL1355">
        <v>0</v>
      </c>
      <c r="AM1355" s="19" t="s">
        <v>1563</v>
      </c>
      <c r="AN1355">
        <v>-0.15935981704765462</v>
      </c>
      <c r="AO1355">
        <v>526560</v>
      </c>
    </row>
    <row r="1356" spans="1:41" x14ac:dyDescent="0.3">
      <c r="A1356" s="19" t="s">
        <v>1421</v>
      </c>
      <c r="B1356">
        <v>52</v>
      </c>
      <c r="C1356" s="19" t="s">
        <v>1272</v>
      </c>
      <c r="D1356" s="19" t="s">
        <v>55</v>
      </c>
      <c r="E1356" s="19" t="s">
        <v>48</v>
      </c>
      <c r="F1356">
        <v>699</v>
      </c>
      <c r="G1356" s="19" t="s">
        <v>735</v>
      </c>
      <c r="H1356">
        <v>1</v>
      </c>
      <c r="I1356">
        <v>4</v>
      </c>
      <c r="J1356" s="19" t="s">
        <v>50</v>
      </c>
      <c r="K1356">
        <v>259</v>
      </c>
      <c r="L1356">
        <v>3</v>
      </c>
      <c r="M1356" s="19" t="s">
        <v>51</v>
      </c>
      <c r="N1356">
        <v>2</v>
      </c>
      <c r="O1356">
        <v>5</v>
      </c>
      <c r="P1356" s="19" t="s">
        <v>444</v>
      </c>
      <c r="Q1356">
        <v>3</v>
      </c>
      <c r="R1356" s="19" t="s">
        <v>113</v>
      </c>
      <c r="S1356">
        <v>24236</v>
      </c>
      <c r="T1356" s="19" t="s">
        <v>54</v>
      </c>
      <c r="U1356">
        <v>151.47999999999999</v>
      </c>
      <c r="V1356">
        <v>0</v>
      </c>
      <c r="W1356" s="19" t="s">
        <v>55</v>
      </c>
      <c r="X1356">
        <v>14</v>
      </c>
      <c r="Y1356">
        <v>3</v>
      </c>
      <c r="Z1356">
        <v>1</v>
      </c>
      <c r="AA1356">
        <v>1</v>
      </c>
      <c r="AB1356">
        <v>34</v>
      </c>
      <c r="AC1356">
        <v>5</v>
      </c>
      <c r="AD1356">
        <v>3</v>
      </c>
      <c r="AE1356">
        <v>33</v>
      </c>
      <c r="AF1356">
        <v>18</v>
      </c>
      <c r="AG1356">
        <v>11</v>
      </c>
      <c r="AH1356">
        <v>9</v>
      </c>
      <c r="AI1356">
        <v>0</v>
      </c>
      <c r="AJ1356" s="19" t="s">
        <v>1571</v>
      </c>
      <c r="AK1356" s="19" t="s">
        <v>1570</v>
      </c>
      <c r="AL1356">
        <v>1</v>
      </c>
      <c r="AM1356" s="19" t="s">
        <v>1565</v>
      </c>
      <c r="AN1356">
        <v>-0.53569381326269272</v>
      </c>
      <c r="AO1356">
        <v>290832</v>
      </c>
    </row>
    <row r="1357" spans="1:41" x14ac:dyDescent="0.3">
      <c r="A1357" s="19" t="s">
        <v>1422</v>
      </c>
      <c r="B1357">
        <v>52</v>
      </c>
      <c r="C1357" s="19" t="s">
        <v>1272</v>
      </c>
      <c r="D1357" s="19" t="s">
        <v>55</v>
      </c>
      <c r="E1357" s="19" t="s">
        <v>48</v>
      </c>
      <c r="F1357">
        <v>1323</v>
      </c>
      <c r="G1357" s="19" t="s">
        <v>735</v>
      </c>
      <c r="H1357">
        <v>2</v>
      </c>
      <c r="I1357">
        <v>3</v>
      </c>
      <c r="J1357" s="19" t="s">
        <v>50</v>
      </c>
      <c r="K1357">
        <v>316</v>
      </c>
      <c r="L1357">
        <v>3</v>
      </c>
      <c r="M1357" s="19" t="s">
        <v>59</v>
      </c>
      <c r="N1357">
        <v>2</v>
      </c>
      <c r="O1357">
        <v>1</v>
      </c>
      <c r="P1357" s="19" t="s">
        <v>52</v>
      </c>
      <c r="Q1357">
        <v>4</v>
      </c>
      <c r="R1357" s="19" t="s">
        <v>53</v>
      </c>
      <c r="S1357">
        <v>88955</v>
      </c>
      <c r="T1357" s="19" t="s">
        <v>70</v>
      </c>
      <c r="U1357">
        <v>555.97</v>
      </c>
      <c r="V1357">
        <v>7</v>
      </c>
      <c r="W1357" s="19" t="s">
        <v>55</v>
      </c>
      <c r="X1357">
        <v>15</v>
      </c>
      <c r="Y1357">
        <v>3</v>
      </c>
      <c r="Z1357">
        <v>2</v>
      </c>
      <c r="AA1357">
        <v>0</v>
      </c>
      <c r="AB1357">
        <v>6</v>
      </c>
      <c r="AC1357">
        <v>3</v>
      </c>
      <c r="AD1357">
        <v>2</v>
      </c>
      <c r="AE1357">
        <v>2</v>
      </c>
      <c r="AF1357">
        <v>2</v>
      </c>
      <c r="AG1357">
        <v>2</v>
      </c>
      <c r="AH1357">
        <v>2</v>
      </c>
      <c r="AI1357">
        <v>0</v>
      </c>
      <c r="AJ1357" s="19" t="s">
        <v>1566</v>
      </c>
      <c r="AK1357" s="19" t="s">
        <v>1562</v>
      </c>
      <c r="AL1357">
        <v>1</v>
      </c>
      <c r="AM1357" s="19" t="s">
        <v>1565</v>
      </c>
      <c r="AN1357">
        <v>0.71991436016284416</v>
      </c>
      <c r="AO1357">
        <v>1067460</v>
      </c>
    </row>
    <row r="1358" spans="1:41" x14ac:dyDescent="0.3">
      <c r="A1358" s="19" t="s">
        <v>1423</v>
      </c>
      <c r="B1358">
        <v>52</v>
      </c>
      <c r="C1358" s="19" t="s">
        <v>1272</v>
      </c>
      <c r="D1358" s="19" t="s">
        <v>55</v>
      </c>
      <c r="E1358" s="19" t="s">
        <v>66</v>
      </c>
      <c r="F1358">
        <v>771</v>
      </c>
      <c r="G1358" s="19" t="s">
        <v>932</v>
      </c>
      <c r="H1358">
        <v>2</v>
      </c>
      <c r="I1358">
        <v>4</v>
      </c>
      <c r="J1358" s="19" t="s">
        <v>50</v>
      </c>
      <c r="K1358">
        <v>329</v>
      </c>
      <c r="L1358">
        <v>1</v>
      </c>
      <c r="M1358" s="19" t="s">
        <v>51</v>
      </c>
      <c r="N1358">
        <v>2</v>
      </c>
      <c r="O1358">
        <v>5</v>
      </c>
      <c r="P1358" s="19" t="s">
        <v>444</v>
      </c>
      <c r="Q1358">
        <v>3</v>
      </c>
      <c r="R1358" s="19" t="s">
        <v>53</v>
      </c>
      <c r="S1358">
        <v>86514</v>
      </c>
      <c r="T1358" s="19" t="s">
        <v>70</v>
      </c>
      <c r="U1358">
        <v>540.71</v>
      </c>
      <c r="V1358">
        <v>1</v>
      </c>
      <c r="W1358" s="19" t="s">
        <v>47</v>
      </c>
      <c r="X1358">
        <v>18</v>
      </c>
      <c r="Y1358">
        <v>3</v>
      </c>
      <c r="Z1358">
        <v>4</v>
      </c>
      <c r="AA1358">
        <v>0</v>
      </c>
      <c r="AB1358">
        <v>33</v>
      </c>
      <c r="AC1358">
        <v>2</v>
      </c>
      <c r="AD1358">
        <v>4</v>
      </c>
      <c r="AE1358">
        <v>33</v>
      </c>
      <c r="AF1358">
        <v>7</v>
      </c>
      <c r="AG1358">
        <v>15</v>
      </c>
      <c r="AH1358">
        <v>12</v>
      </c>
      <c r="AI1358">
        <v>0</v>
      </c>
      <c r="AJ1358" s="19" t="s">
        <v>1571</v>
      </c>
      <c r="AK1358" s="19" t="s">
        <v>1570</v>
      </c>
      <c r="AL1358">
        <v>2</v>
      </c>
      <c r="AM1358" s="19" t="s">
        <v>1564</v>
      </c>
      <c r="AN1358">
        <v>0.65740986298858728</v>
      </c>
      <c r="AO1358">
        <v>1038168</v>
      </c>
    </row>
    <row r="1359" spans="1:41" x14ac:dyDescent="0.3">
      <c r="A1359" s="19" t="s">
        <v>1424</v>
      </c>
      <c r="B1359">
        <v>52</v>
      </c>
      <c r="C1359" s="19" t="s">
        <v>1272</v>
      </c>
      <c r="D1359" s="19" t="s">
        <v>47</v>
      </c>
      <c r="E1359" s="19" t="s">
        <v>48</v>
      </c>
      <c r="F1359">
        <v>723</v>
      </c>
      <c r="G1359" s="19" t="s">
        <v>735</v>
      </c>
      <c r="H1359">
        <v>8</v>
      </c>
      <c r="I1359">
        <v>4</v>
      </c>
      <c r="J1359" s="19" t="s">
        <v>58</v>
      </c>
      <c r="K1359">
        <v>433</v>
      </c>
      <c r="L1359">
        <v>3</v>
      </c>
      <c r="M1359" s="19" t="s">
        <v>51</v>
      </c>
      <c r="N1359">
        <v>2</v>
      </c>
      <c r="O1359">
        <v>2</v>
      </c>
      <c r="P1359" s="19" t="s">
        <v>67</v>
      </c>
      <c r="Q1359">
        <v>2</v>
      </c>
      <c r="R1359" s="19" t="s">
        <v>113</v>
      </c>
      <c r="S1359">
        <v>16358</v>
      </c>
      <c r="T1359" s="19" t="s">
        <v>54</v>
      </c>
      <c r="U1359">
        <v>102.24</v>
      </c>
      <c r="V1359">
        <v>2</v>
      </c>
      <c r="W1359" s="19" t="s">
        <v>55</v>
      </c>
      <c r="X1359">
        <v>15</v>
      </c>
      <c r="Y1359">
        <v>3</v>
      </c>
      <c r="Z1359">
        <v>1</v>
      </c>
      <c r="AA1359">
        <v>0</v>
      </c>
      <c r="AB1359">
        <v>11</v>
      </c>
      <c r="AC1359">
        <v>3</v>
      </c>
      <c r="AD1359">
        <v>2</v>
      </c>
      <c r="AE1359">
        <v>8</v>
      </c>
      <c r="AF1359">
        <v>2</v>
      </c>
      <c r="AG1359">
        <v>7</v>
      </c>
      <c r="AH1359">
        <v>7</v>
      </c>
      <c r="AI1359">
        <v>1</v>
      </c>
      <c r="AJ1359" s="19" t="s">
        <v>1569</v>
      </c>
      <c r="AK1359" s="19" t="s">
        <v>1570</v>
      </c>
      <c r="AL1359">
        <v>3</v>
      </c>
      <c r="AM1359" s="19" t="s">
        <v>1568</v>
      </c>
      <c r="AN1359">
        <v>-0.67196152864791225</v>
      </c>
      <c r="AO1359">
        <v>196296</v>
      </c>
    </row>
    <row r="1360" spans="1:41" x14ac:dyDescent="0.3">
      <c r="A1360" s="19" t="s">
        <v>1425</v>
      </c>
      <c r="B1360">
        <v>52</v>
      </c>
      <c r="C1360" s="19" t="s">
        <v>1272</v>
      </c>
      <c r="D1360" s="19" t="s">
        <v>55</v>
      </c>
      <c r="E1360" s="19" t="s">
        <v>48</v>
      </c>
      <c r="F1360">
        <v>319</v>
      </c>
      <c r="G1360" s="19" t="s">
        <v>735</v>
      </c>
      <c r="H1360">
        <v>3</v>
      </c>
      <c r="I1360">
        <v>3</v>
      </c>
      <c r="J1360" s="19" t="s">
        <v>58</v>
      </c>
      <c r="K1360">
        <v>543</v>
      </c>
      <c r="L1360">
        <v>4</v>
      </c>
      <c r="M1360" s="19" t="s">
        <v>51</v>
      </c>
      <c r="N1360">
        <v>2</v>
      </c>
      <c r="O1360">
        <v>3</v>
      </c>
      <c r="P1360" s="19" t="s">
        <v>120</v>
      </c>
      <c r="Q1360">
        <v>3</v>
      </c>
      <c r="R1360" s="19" t="s">
        <v>113</v>
      </c>
      <c r="S1360">
        <v>95914</v>
      </c>
      <c r="T1360" s="19" t="s">
        <v>70</v>
      </c>
      <c r="U1360">
        <v>599.46</v>
      </c>
      <c r="V1360">
        <v>2</v>
      </c>
      <c r="W1360" s="19" t="s">
        <v>47</v>
      </c>
      <c r="X1360">
        <v>14</v>
      </c>
      <c r="Y1360">
        <v>3</v>
      </c>
      <c r="Z1360">
        <v>3</v>
      </c>
      <c r="AA1360">
        <v>0</v>
      </c>
      <c r="AB1360">
        <v>28</v>
      </c>
      <c r="AC1360">
        <v>4</v>
      </c>
      <c r="AD1360">
        <v>3</v>
      </c>
      <c r="AE1360">
        <v>5</v>
      </c>
      <c r="AF1360">
        <v>4</v>
      </c>
      <c r="AG1360">
        <v>0</v>
      </c>
      <c r="AH1360">
        <v>4</v>
      </c>
      <c r="AI1360">
        <v>0</v>
      </c>
      <c r="AJ1360" s="19" t="s">
        <v>1567</v>
      </c>
      <c r="AK1360" s="19" t="s">
        <v>1562</v>
      </c>
      <c r="AL1360">
        <v>1</v>
      </c>
      <c r="AM1360" s="19" t="s">
        <v>1565</v>
      </c>
      <c r="AN1360">
        <v>1.165329569472898</v>
      </c>
      <c r="AO1360">
        <v>1150968</v>
      </c>
    </row>
    <row r="1361" spans="1:41" x14ac:dyDescent="0.3">
      <c r="A1361" s="19" t="s">
        <v>1426</v>
      </c>
      <c r="B1361">
        <v>52</v>
      </c>
      <c r="C1361" s="19" t="s">
        <v>1272</v>
      </c>
      <c r="D1361" s="19" t="s">
        <v>55</v>
      </c>
      <c r="E1361" s="19" t="s">
        <v>48</v>
      </c>
      <c r="F1361">
        <v>1490</v>
      </c>
      <c r="G1361" s="19" t="s">
        <v>735</v>
      </c>
      <c r="H1361">
        <v>4</v>
      </c>
      <c r="I1361">
        <v>2</v>
      </c>
      <c r="J1361" s="19" t="s">
        <v>50</v>
      </c>
      <c r="K1361">
        <v>546</v>
      </c>
      <c r="L1361">
        <v>4</v>
      </c>
      <c r="M1361" s="19" t="s">
        <v>59</v>
      </c>
      <c r="N1361">
        <v>3</v>
      </c>
      <c r="O1361">
        <v>4</v>
      </c>
      <c r="P1361" s="19" t="s">
        <v>444</v>
      </c>
      <c r="Q1361">
        <v>4</v>
      </c>
      <c r="R1361" s="19" t="s">
        <v>113</v>
      </c>
      <c r="S1361">
        <v>77918</v>
      </c>
      <c r="T1361" s="19" t="s">
        <v>64</v>
      </c>
      <c r="U1361">
        <v>486.99</v>
      </c>
      <c r="V1361">
        <v>2</v>
      </c>
      <c r="W1361" s="19" t="s">
        <v>55</v>
      </c>
      <c r="X1361">
        <v>13</v>
      </c>
      <c r="Y1361">
        <v>3</v>
      </c>
      <c r="Z1361">
        <v>4</v>
      </c>
      <c r="AA1361">
        <v>0</v>
      </c>
      <c r="AB1361">
        <v>31</v>
      </c>
      <c r="AC1361">
        <v>2</v>
      </c>
      <c r="AD1361">
        <v>1</v>
      </c>
      <c r="AE1361">
        <v>5</v>
      </c>
      <c r="AF1361">
        <v>2</v>
      </c>
      <c r="AG1361">
        <v>1</v>
      </c>
      <c r="AH1361">
        <v>4</v>
      </c>
      <c r="AI1361">
        <v>0</v>
      </c>
      <c r="AJ1361" s="19" t="s">
        <v>1567</v>
      </c>
      <c r="AK1361" s="19" t="s">
        <v>1562</v>
      </c>
      <c r="AL1361">
        <v>1</v>
      </c>
      <c r="AM1361" s="19" t="s">
        <v>1565</v>
      </c>
      <c r="AN1361">
        <v>0.49273021365726638</v>
      </c>
      <c r="AO1361">
        <v>935016</v>
      </c>
    </row>
    <row r="1362" spans="1:41" x14ac:dyDescent="0.3">
      <c r="A1362" s="19" t="s">
        <v>1427</v>
      </c>
      <c r="B1362">
        <v>52</v>
      </c>
      <c r="C1362" s="19" t="s">
        <v>1272</v>
      </c>
      <c r="D1362" s="19" t="s">
        <v>55</v>
      </c>
      <c r="E1362" s="19" t="s">
        <v>48</v>
      </c>
      <c r="F1362">
        <v>956</v>
      </c>
      <c r="G1362" s="19" t="s">
        <v>735</v>
      </c>
      <c r="H1362">
        <v>6</v>
      </c>
      <c r="I1362">
        <v>2</v>
      </c>
      <c r="J1362" s="19" t="s">
        <v>77</v>
      </c>
      <c r="K1362">
        <v>630</v>
      </c>
      <c r="L1362">
        <v>4</v>
      </c>
      <c r="M1362" s="19" t="s">
        <v>51</v>
      </c>
      <c r="N1362">
        <v>3</v>
      </c>
      <c r="O1362">
        <v>2</v>
      </c>
      <c r="P1362" s="19" t="s">
        <v>67</v>
      </c>
      <c r="Q1362">
        <v>1</v>
      </c>
      <c r="R1362" s="19" t="s">
        <v>113</v>
      </c>
      <c r="S1362">
        <v>15596</v>
      </c>
      <c r="T1362" s="19" t="s">
        <v>54</v>
      </c>
      <c r="U1362">
        <v>97.48</v>
      </c>
      <c r="V1362">
        <v>3</v>
      </c>
      <c r="W1362" s="19" t="s">
        <v>47</v>
      </c>
      <c r="X1362">
        <v>12</v>
      </c>
      <c r="Y1362">
        <v>3</v>
      </c>
      <c r="Z1362">
        <v>2</v>
      </c>
      <c r="AA1362">
        <v>2</v>
      </c>
      <c r="AB1362">
        <v>18</v>
      </c>
      <c r="AC1362">
        <v>3</v>
      </c>
      <c r="AD1362">
        <v>3</v>
      </c>
      <c r="AE1362">
        <v>10</v>
      </c>
      <c r="AF1362">
        <v>9</v>
      </c>
      <c r="AG1362">
        <v>6</v>
      </c>
      <c r="AH1362">
        <v>9</v>
      </c>
      <c r="AI1362">
        <v>0</v>
      </c>
      <c r="AJ1362" s="19" t="s">
        <v>1569</v>
      </c>
      <c r="AK1362" s="19" t="s">
        <v>1570</v>
      </c>
      <c r="AL1362">
        <v>3</v>
      </c>
      <c r="AM1362" s="19" t="s">
        <v>1568</v>
      </c>
      <c r="AN1362">
        <v>-0.68724245022575137</v>
      </c>
      <c r="AO1362">
        <v>187152</v>
      </c>
    </row>
    <row r="1363" spans="1:41" x14ac:dyDescent="0.3">
      <c r="A1363" s="19" t="s">
        <v>1428</v>
      </c>
      <c r="B1363">
        <v>52</v>
      </c>
      <c r="C1363" s="19" t="s">
        <v>1272</v>
      </c>
      <c r="D1363" s="19" t="s">
        <v>55</v>
      </c>
      <c r="E1363" s="19" t="s">
        <v>48</v>
      </c>
      <c r="F1363">
        <v>621</v>
      </c>
      <c r="G1363" s="19" t="s">
        <v>932</v>
      </c>
      <c r="H1363">
        <v>3</v>
      </c>
      <c r="I1363">
        <v>4</v>
      </c>
      <c r="J1363" s="19" t="s">
        <v>63</v>
      </c>
      <c r="K1363">
        <v>776</v>
      </c>
      <c r="L1363">
        <v>3</v>
      </c>
      <c r="M1363" s="19" t="s">
        <v>51</v>
      </c>
      <c r="N1363">
        <v>2</v>
      </c>
      <c r="O1363">
        <v>4</v>
      </c>
      <c r="P1363" s="19" t="s">
        <v>444</v>
      </c>
      <c r="Q1363">
        <v>1</v>
      </c>
      <c r="R1363" s="19" t="s">
        <v>113</v>
      </c>
      <c r="S1363">
        <v>34572</v>
      </c>
      <c r="T1363" s="19" t="s">
        <v>72</v>
      </c>
      <c r="U1363">
        <v>216.08</v>
      </c>
      <c r="V1363">
        <v>1</v>
      </c>
      <c r="W1363" s="19" t="s">
        <v>55</v>
      </c>
      <c r="X1363">
        <v>11</v>
      </c>
      <c r="Y1363">
        <v>3</v>
      </c>
      <c r="Z1363">
        <v>1</v>
      </c>
      <c r="AA1363">
        <v>0</v>
      </c>
      <c r="AB1363">
        <v>34</v>
      </c>
      <c r="AC1363">
        <v>3</v>
      </c>
      <c r="AD1363">
        <v>4</v>
      </c>
      <c r="AE1363">
        <v>34</v>
      </c>
      <c r="AF1363">
        <v>6</v>
      </c>
      <c r="AG1363">
        <v>1</v>
      </c>
      <c r="AH1363">
        <v>16</v>
      </c>
      <c r="AI1363">
        <v>0</v>
      </c>
      <c r="AJ1363" s="19" t="s">
        <v>1571</v>
      </c>
      <c r="AK1363" s="19" t="s">
        <v>1562</v>
      </c>
      <c r="AL1363">
        <v>1</v>
      </c>
      <c r="AM1363" s="19" t="s">
        <v>1565</v>
      </c>
      <c r="AN1363">
        <v>-0.33767975375960607</v>
      </c>
      <c r="AO1363">
        <v>414864</v>
      </c>
    </row>
    <row r="1364" spans="1:41" x14ac:dyDescent="0.3">
      <c r="A1364" s="19" t="s">
        <v>1429</v>
      </c>
      <c r="B1364">
        <v>52</v>
      </c>
      <c r="C1364" s="19" t="s">
        <v>1272</v>
      </c>
      <c r="D1364" s="19" t="s">
        <v>55</v>
      </c>
      <c r="E1364" s="19" t="s">
        <v>66</v>
      </c>
      <c r="F1364">
        <v>715</v>
      </c>
      <c r="G1364" s="19" t="s">
        <v>735</v>
      </c>
      <c r="H1364">
        <v>19</v>
      </c>
      <c r="I1364">
        <v>4</v>
      </c>
      <c r="J1364" s="19" t="s">
        <v>58</v>
      </c>
      <c r="K1364">
        <v>791</v>
      </c>
      <c r="L1364">
        <v>4</v>
      </c>
      <c r="M1364" s="19" t="s">
        <v>51</v>
      </c>
      <c r="N1364">
        <v>3</v>
      </c>
      <c r="O1364">
        <v>1</v>
      </c>
      <c r="P1364" s="19" t="s">
        <v>67</v>
      </c>
      <c r="Q1364">
        <v>4</v>
      </c>
      <c r="R1364" s="19" t="s">
        <v>113</v>
      </c>
      <c r="S1364">
        <v>79757</v>
      </c>
      <c r="T1364" s="19" t="s">
        <v>64</v>
      </c>
      <c r="U1364">
        <v>498.48</v>
      </c>
      <c r="V1364">
        <v>0</v>
      </c>
      <c r="W1364" s="19" t="s">
        <v>55</v>
      </c>
      <c r="X1364">
        <v>18</v>
      </c>
      <c r="Y1364">
        <v>3</v>
      </c>
      <c r="Z1364">
        <v>1</v>
      </c>
      <c r="AA1364">
        <v>1</v>
      </c>
      <c r="AB1364">
        <v>5</v>
      </c>
      <c r="AC1364">
        <v>3</v>
      </c>
      <c r="AD1364">
        <v>3</v>
      </c>
      <c r="AE1364">
        <v>4</v>
      </c>
      <c r="AF1364">
        <v>3</v>
      </c>
      <c r="AG1364">
        <v>1</v>
      </c>
      <c r="AH1364">
        <v>2</v>
      </c>
      <c r="AI1364">
        <v>0</v>
      </c>
      <c r="AJ1364" s="19" t="s">
        <v>1567</v>
      </c>
      <c r="AK1364" s="19" t="s">
        <v>1562</v>
      </c>
      <c r="AL1364">
        <v>0</v>
      </c>
      <c r="AM1364" s="19" t="s">
        <v>1563</v>
      </c>
      <c r="AN1364">
        <v>0.59942317885000973</v>
      </c>
      <c r="AO1364">
        <v>957084</v>
      </c>
    </row>
    <row r="1365" spans="1:41" x14ac:dyDescent="0.3">
      <c r="A1365" s="19" t="s">
        <v>1430</v>
      </c>
      <c r="B1365">
        <v>52</v>
      </c>
      <c r="C1365" s="19" t="s">
        <v>1272</v>
      </c>
      <c r="D1365" s="19" t="s">
        <v>55</v>
      </c>
      <c r="E1365" s="19" t="s">
        <v>48</v>
      </c>
      <c r="F1365">
        <v>1325</v>
      </c>
      <c r="G1365" s="19" t="s">
        <v>735</v>
      </c>
      <c r="H1365">
        <v>11</v>
      </c>
      <c r="I1365">
        <v>4</v>
      </c>
      <c r="J1365" s="19" t="s">
        <v>50</v>
      </c>
      <c r="K1365">
        <v>813</v>
      </c>
      <c r="L1365">
        <v>4</v>
      </c>
      <c r="M1365" s="19" t="s">
        <v>59</v>
      </c>
      <c r="N1365">
        <v>3</v>
      </c>
      <c r="O1365">
        <v>2</v>
      </c>
      <c r="P1365" s="19" t="s">
        <v>52</v>
      </c>
      <c r="Q1365">
        <v>3</v>
      </c>
      <c r="R1365" s="19" t="s">
        <v>113</v>
      </c>
      <c r="S1365">
        <v>2279</v>
      </c>
      <c r="T1365" s="19" t="s">
        <v>54</v>
      </c>
      <c r="U1365">
        <v>14.24</v>
      </c>
      <c r="V1365">
        <v>8</v>
      </c>
      <c r="W1365" s="19" t="s">
        <v>55</v>
      </c>
      <c r="X1365">
        <v>20</v>
      </c>
      <c r="Y1365">
        <v>4</v>
      </c>
      <c r="Z1365">
        <v>2</v>
      </c>
      <c r="AA1365">
        <v>1</v>
      </c>
      <c r="AB1365">
        <v>9</v>
      </c>
      <c r="AC1365">
        <v>3</v>
      </c>
      <c r="AD1365">
        <v>3</v>
      </c>
      <c r="AE1365">
        <v>5</v>
      </c>
      <c r="AF1365">
        <v>2</v>
      </c>
      <c r="AG1365">
        <v>1</v>
      </c>
      <c r="AH1365">
        <v>4</v>
      </c>
      <c r="AI1365">
        <v>0</v>
      </c>
      <c r="AJ1365" s="19" t="s">
        <v>1567</v>
      </c>
      <c r="AK1365" s="19" t="s">
        <v>1562</v>
      </c>
      <c r="AL1365">
        <v>0</v>
      </c>
      <c r="AM1365" s="19" t="s">
        <v>1563</v>
      </c>
      <c r="AN1365">
        <v>-0.95593631806181645</v>
      </c>
      <c r="AO1365">
        <v>27348</v>
      </c>
    </row>
    <row r="1366" spans="1:41" x14ac:dyDescent="0.3">
      <c r="A1366" s="19" t="s">
        <v>1431</v>
      </c>
      <c r="B1366">
        <v>52</v>
      </c>
      <c r="C1366" s="19" t="s">
        <v>1272</v>
      </c>
      <c r="D1366" s="19" t="s">
        <v>55</v>
      </c>
      <c r="E1366" s="19" t="s">
        <v>62</v>
      </c>
      <c r="F1366">
        <v>890</v>
      </c>
      <c r="G1366" s="19" t="s">
        <v>735</v>
      </c>
      <c r="H1366">
        <v>25</v>
      </c>
      <c r="I1366">
        <v>4</v>
      </c>
      <c r="J1366" s="19" t="s">
        <v>58</v>
      </c>
      <c r="K1366">
        <v>867</v>
      </c>
      <c r="L1366">
        <v>3</v>
      </c>
      <c r="M1366" s="19" t="s">
        <v>59</v>
      </c>
      <c r="N1366">
        <v>2</v>
      </c>
      <c r="O1366">
        <v>4</v>
      </c>
      <c r="P1366" s="19" t="s">
        <v>120</v>
      </c>
      <c r="Q1366">
        <v>4</v>
      </c>
      <c r="R1366" s="19" t="s">
        <v>113</v>
      </c>
      <c r="S1366">
        <v>64197</v>
      </c>
      <c r="T1366" s="19" t="s">
        <v>64</v>
      </c>
      <c r="U1366">
        <v>401.23</v>
      </c>
      <c r="V1366">
        <v>3</v>
      </c>
      <c r="W1366" s="19" t="s">
        <v>55</v>
      </c>
      <c r="X1366">
        <v>22</v>
      </c>
      <c r="Y1366">
        <v>4</v>
      </c>
      <c r="Z1366">
        <v>3</v>
      </c>
      <c r="AA1366">
        <v>0</v>
      </c>
      <c r="AB1366">
        <v>31</v>
      </c>
      <c r="AC1366">
        <v>3</v>
      </c>
      <c r="AD1366">
        <v>3</v>
      </c>
      <c r="AE1366">
        <v>9</v>
      </c>
      <c r="AF1366">
        <v>8</v>
      </c>
      <c r="AG1366">
        <v>0</v>
      </c>
      <c r="AH1366">
        <v>0</v>
      </c>
      <c r="AI1366">
        <v>0</v>
      </c>
      <c r="AJ1366" s="19" t="s">
        <v>1569</v>
      </c>
      <c r="AK1366" s="19" t="s">
        <v>1562</v>
      </c>
      <c r="AL1366">
        <v>0</v>
      </c>
      <c r="AM1366" s="19" t="s">
        <v>1563</v>
      </c>
      <c r="AN1366">
        <v>0.44929480963625373</v>
      </c>
      <c r="AO1366">
        <v>770364</v>
      </c>
    </row>
    <row r="1367" spans="1:41" x14ac:dyDescent="0.3">
      <c r="A1367" s="19" t="s">
        <v>1432</v>
      </c>
      <c r="B1367">
        <v>52</v>
      </c>
      <c r="C1367" s="19" t="s">
        <v>1272</v>
      </c>
      <c r="D1367" s="19" t="s">
        <v>55</v>
      </c>
      <c r="E1367" s="19" t="s">
        <v>48</v>
      </c>
      <c r="F1367">
        <v>1053</v>
      </c>
      <c r="G1367" s="19" t="s">
        <v>735</v>
      </c>
      <c r="H1367">
        <v>1</v>
      </c>
      <c r="I1367">
        <v>2</v>
      </c>
      <c r="J1367" s="19" t="s">
        <v>50</v>
      </c>
      <c r="K1367">
        <v>976</v>
      </c>
      <c r="L1367">
        <v>4</v>
      </c>
      <c r="M1367" s="19" t="s">
        <v>51</v>
      </c>
      <c r="N1367">
        <v>3</v>
      </c>
      <c r="O1367">
        <v>4</v>
      </c>
      <c r="P1367" s="19" t="s">
        <v>444</v>
      </c>
      <c r="Q1367">
        <v>4</v>
      </c>
      <c r="R1367" s="19" t="s">
        <v>113</v>
      </c>
      <c r="S1367">
        <v>63516</v>
      </c>
      <c r="T1367" s="19" t="s">
        <v>64</v>
      </c>
      <c r="U1367">
        <v>396.98</v>
      </c>
      <c r="V1367">
        <v>2</v>
      </c>
      <c r="W1367" s="19" t="s">
        <v>55</v>
      </c>
      <c r="X1367">
        <v>15</v>
      </c>
      <c r="Y1367">
        <v>3</v>
      </c>
      <c r="Z1367">
        <v>2</v>
      </c>
      <c r="AA1367">
        <v>1</v>
      </c>
      <c r="AB1367">
        <v>26</v>
      </c>
      <c r="AC1367">
        <v>2</v>
      </c>
      <c r="AD1367">
        <v>2</v>
      </c>
      <c r="AE1367">
        <v>9</v>
      </c>
      <c r="AF1367">
        <v>8</v>
      </c>
      <c r="AG1367">
        <v>7</v>
      </c>
      <c r="AH1367">
        <v>8</v>
      </c>
      <c r="AI1367">
        <v>0</v>
      </c>
      <c r="AJ1367" s="19" t="s">
        <v>1569</v>
      </c>
      <c r="AK1367" s="19" t="s">
        <v>1570</v>
      </c>
      <c r="AL1367">
        <v>2</v>
      </c>
      <c r="AM1367" s="19" t="s">
        <v>1564</v>
      </c>
      <c r="AN1367">
        <v>0.21682091751142138</v>
      </c>
      <c r="AO1367">
        <v>762192</v>
      </c>
    </row>
    <row r="1368" spans="1:41" x14ac:dyDescent="0.3">
      <c r="A1368" s="19" t="s">
        <v>1433</v>
      </c>
      <c r="B1368">
        <v>52</v>
      </c>
      <c r="C1368" s="19" t="s">
        <v>1272</v>
      </c>
      <c r="D1368" s="19" t="s">
        <v>47</v>
      </c>
      <c r="E1368" s="19" t="s">
        <v>48</v>
      </c>
      <c r="F1368">
        <v>266</v>
      </c>
      <c r="G1368" s="19" t="s">
        <v>932</v>
      </c>
      <c r="H1368">
        <v>2</v>
      </c>
      <c r="I1368">
        <v>1</v>
      </c>
      <c r="J1368" s="19" t="s">
        <v>63</v>
      </c>
      <c r="K1368">
        <v>1038</v>
      </c>
      <c r="L1368">
        <v>1</v>
      </c>
      <c r="M1368" s="19" t="s">
        <v>59</v>
      </c>
      <c r="N1368">
        <v>1</v>
      </c>
      <c r="O1368">
        <v>5</v>
      </c>
      <c r="P1368" s="19" t="s">
        <v>444</v>
      </c>
      <c r="Q1368">
        <v>4</v>
      </c>
      <c r="R1368" s="19" t="s">
        <v>113</v>
      </c>
      <c r="S1368">
        <v>8083</v>
      </c>
      <c r="T1368" s="19" t="s">
        <v>54</v>
      </c>
      <c r="U1368">
        <v>50.52</v>
      </c>
      <c r="V1368">
        <v>1</v>
      </c>
      <c r="W1368" s="19" t="s">
        <v>55</v>
      </c>
      <c r="X1368">
        <v>15</v>
      </c>
      <c r="Y1368">
        <v>3</v>
      </c>
      <c r="Z1368">
        <v>4</v>
      </c>
      <c r="AA1368">
        <v>1</v>
      </c>
      <c r="AB1368">
        <v>33</v>
      </c>
      <c r="AC1368">
        <v>3</v>
      </c>
      <c r="AD1368">
        <v>3</v>
      </c>
      <c r="AE1368">
        <v>32</v>
      </c>
      <c r="AF1368">
        <v>14</v>
      </c>
      <c r="AG1368">
        <v>6</v>
      </c>
      <c r="AH1368">
        <v>9</v>
      </c>
      <c r="AI1368">
        <v>1</v>
      </c>
      <c r="AJ1368" s="19" t="s">
        <v>1571</v>
      </c>
      <c r="AK1368" s="19" t="s">
        <v>1570</v>
      </c>
      <c r="AL1368">
        <v>1</v>
      </c>
      <c r="AM1368" s="19" t="s">
        <v>1565</v>
      </c>
      <c r="AN1368">
        <v>-0.84514825435725138</v>
      </c>
      <c r="AO1368">
        <v>96996</v>
      </c>
    </row>
    <row r="1369" spans="1:41" x14ac:dyDescent="0.3">
      <c r="A1369" s="19" t="s">
        <v>1434</v>
      </c>
      <c r="B1369">
        <v>52</v>
      </c>
      <c r="C1369" s="19" t="s">
        <v>1272</v>
      </c>
      <c r="D1369" s="19" t="s">
        <v>55</v>
      </c>
      <c r="E1369" s="19" t="s">
        <v>48</v>
      </c>
      <c r="F1369">
        <v>994</v>
      </c>
      <c r="G1369" s="19" t="s">
        <v>735</v>
      </c>
      <c r="H1369">
        <v>7</v>
      </c>
      <c r="I1369">
        <v>4</v>
      </c>
      <c r="J1369" s="19" t="s">
        <v>50</v>
      </c>
      <c r="K1369">
        <v>1118</v>
      </c>
      <c r="L1369">
        <v>2</v>
      </c>
      <c r="M1369" s="19" t="s">
        <v>51</v>
      </c>
      <c r="N1369">
        <v>3</v>
      </c>
      <c r="O1369">
        <v>3</v>
      </c>
      <c r="P1369" s="19" t="s">
        <v>168</v>
      </c>
      <c r="Q1369">
        <v>2</v>
      </c>
      <c r="R1369" s="19" t="s">
        <v>53</v>
      </c>
      <c r="S1369">
        <v>18771</v>
      </c>
      <c r="T1369" s="19" t="s">
        <v>54</v>
      </c>
      <c r="U1369">
        <v>117.32</v>
      </c>
      <c r="V1369">
        <v>7</v>
      </c>
      <c r="W1369" s="19" t="s">
        <v>55</v>
      </c>
      <c r="X1369">
        <v>19</v>
      </c>
      <c r="Y1369">
        <v>3</v>
      </c>
      <c r="Z1369">
        <v>4</v>
      </c>
      <c r="AA1369">
        <v>0</v>
      </c>
      <c r="AB1369">
        <v>18</v>
      </c>
      <c r="AC1369">
        <v>4</v>
      </c>
      <c r="AD1369">
        <v>3</v>
      </c>
      <c r="AE1369">
        <v>8</v>
      </c>
      <c r="AF1369">
        <v>6</v>
      </c>
      <c r="AG1369">
        <v>4</v>
      </c>
      <c r="AH1369">
        <v>0</v>
      </c>
      <c r="AI1369">
        <v>0</v>
      </c>
      <c r="AJ1369" s="19" t="s">
        <v>1569</v>
      </c>
      <c r="AK1369" s="19" t="s">
        <v>1570</v>
      </c>
      <c r="AL1369">
        <v>2</v>
      </c>
      <c r="AM1369" s="19" t="s">
        <v>1564</v>
      </c>
      <c r="AN1369">
        <v>-0.61047242413821723</v>
      </c>
      <c r="AO1369">
        <v>225252</v>
      </c>
    </row>
    <row r="1370" spans="1:41" x14ac:dyDescent="0.3">
      <c r="A1370" s="19" t="s">
        <v>1435</v>
      </c>
      <c r="B1370">
        <v>52</v>
      </c>
      <c r="C1370" s="19" t="s">
        <v>1272</v>
      </c>
      <c r="D1370" s="19" t="s">
        <v>47</v>
      </c>
      <c r="E1370" s="19" t="s">
        <v>48</v>
      </c>
      <c r="F1370">
        <v>1030</v>
      </c>
      <c r="G1370" s="19" t="s">
        <v>932</v>
      </c>
      <c r="H1370">
        <v>5</v>
      </c>
      <c r="I1370">
        <v>3</v>
      </c>
      <c r="J1370" s="19" t="s">
        <v>50</v>
      </c>
      <c r="K1370">
        <v>1319</v>
      </c>
      <c r="L1370">
        <v>2</v>
      </c>
      <c r="M1370" s="19" t="s">
        <v>51</v>
      </c>
      <c r="N1370">
        <v>3</v>
      </c>
      <c r="O1370">
        <v>3</v>
      </c>
      <c r="P1370" s="19" t="s">
        <v>145</v>
      </c>
      <c r="Q1370">
        <v>2</v>
      </c>
      <c r="R1370" s="19" t="s">
        <v>53</v>
      </c>
      <c r="S1370">
        <v>30975</v>
      </c>
      <c r="T1370" s="19" t="s">
        <v>72</v>
      </c>
      <c r="U1370">
        <v>193.59</v>
      </c>
      <c r="V1370">
        <v>9</v>
      </c>
      <c r="W1370" s="19" t="s">
        <v>47</v>
      </c>
      <c r="X1370">
        <v>19</v>
      </c>
      <c r="Y1370">
        <v>3</v>
      </c>
      <c r="Z1370">
        <v>3</v>
      </c>
      <c r="AA1370">
        <v>0</v>
      </c>
      <c r="AB1370">
        <v>10</v>
      </c>
      <c r="AC1370">
        <v>2</v>
      </c>
      <c r="AD1370">
        <v>2</v>
      </c>
      <c r="AE1370">
        <v>8</v>
      </c>
      <c r="AF1370">
        <v>7</v>
      </c>
      <c r="AG1370">
        <v>7</v>
      </c>
      <c r="AH1370">
        <v>7</v>
      </c>
      <c r="AI1370">
        <v>1</v>
      </c>
      <c r="AJ1370" s="19" t="s">
        <v>1569</v>
      </c>
      <c r="AK1370" s="19" t="s">
        <v>1570</v>
      </c>
      <c r="AL1370">
        <v>4</v>
      </c>
      <c r="AM1370" s="19" t="s">
        <v>1568</v>
      </c>
      <c r="AN1370">
        <v>-0.3686041177511476</v>
      </c>
      <c r="AO1370">
        <v>371700</v>
      </c>
    </row>
    <row r="1371" spans="1:41" x14ac:dyDescent="0.3">
      <c r="A1371" s="19" t="s">
        <v>1436</v>
      </c>
      <c r="B1371">
        <v>52</v>
      </c>
      <c r="C1371" s="19" t="s">
        <v>1272</v>
      </c>
      <c r="D1371" s="19" t="s">
        <v>55</v>
      </c>
      <c r="E1371" s="19" t="s">
        <v>62</v>
      </c>
      <c r="F1371">
        <v>322</v>
      </c>
      <c r="G1371" s="19" t="s">
        <v>735</v>
      </c>
      <c r="H1371">
        <v>28</v>
      </c>
      <c r="I1371">
        <v>2</v>
      </c>
      <c r="J1371" s="19" t="s">
        <v>58</v>
      </c>
      <c r="K1371">
        <v>1401</v>
      </c>
      <c r="L1371">
        <v>4</v>
      </c>
      <c r="M1371" s="19" t="s">
        <v>59</v>
      </c>
      <c r="N1371">
        <v>4</v>
      </c>
      <c r="O1371">
        <v>4</v>
      </c>
      <c r="P1371" s="19" t="s">
        <v>120</v>
      </c>
      <c r="Q1371">
        <v>3</v>
      </c>
      <c r="R1371" s="19" t="s">
        <v>113</v>
      </c>
      <c r="S1371">
        <v>46648</v>
      </c>
      <c r="T1371" s="19" t="s">
        <v>72</v>
      </c>
      <c r="U1371">
        <v>291.55</v>
      </c>
      <c r="V1371">
        <v>2</v>
      </c>
      <c r="W1371" s="19" t="s">
        <v>47</v>
      </c>
      <c r="X1371">
        <v>11</v>
      </c>
      <c r="Y1371">
        <v>3</v>
      </c>
      <c r="Z1371">
        <v>2</v>
      </c>
      <c r="AA1371">
        <v>1</v>
      </c>
      <c r="AB1371">
        <v>24</v>
      </c>
      <c r="AC1371">
        <v>3</v>
      </c>
      <c r="AD1371">
        <v>2</v>
      </c>
      <c r="AE1371">
        <v>5</v>
      </c>
      <c r="AF1371">
        <v>3</v>
      </c>
      <c r="AG1371">
        <v>0</v>
      </c>
      <c r="AH1371">
        <v>2</v>
      </c>
      <c r="AI1371">
        <v>0</v>
      </c>
      <c r="AJ1371" s="19" t="s">
        <v>1567</v>
      </c>
      <c r="AK1371" s="19" t="s">
        <v>1562</v>
      </c>
      <c r="AL1371">
        <v>2</v>
      </c>
      <c r="AM1371" s="19" t="s">
        <v>1564</v>
      </c>
      <c r="AN1371">
        <v>5.3113140488059617E-2</v>
      </c>
      <c r="AO1371">
        <v>559776</v>
      </c>
    </row>
    <row r="1372" spans="1:41" x14ac:dyDescent="0.3">
      <c r="A1372" s="19" t="s">
        <v>1437</v>
      </c>
      <c r="B1372">
        <v>52</v>
      </c>
      <c r="C1372" s="19" t="s">
        <v>1272</v>
      </c>
      <c r="D1372" s="19" t="s">
        <v>55</v>
      </c>
      <c r="E1372" s="19" t="s">
        <v>48</v>
      </c>
      <c r="F1372">
        <v>258</v>
      </c>
      <c r="G1372" s="19" t="s">
        <v>735</v>
      </c>
      <c r="H1372">
        <v>8</v>
      </c>
      <c r="I1372">
        <v>4</v>
      </c>
      <c r="J1372" s="19" t="s">
        <v>82</v>
      </c>
      <c r="K1372">
        <v>1409</v>
      </c>
      <c r="L1372">
        <v>3</v>
      </c>
      <c r="M1372" s="19" t="s">
        <v>59</v>
      </c>
      <c r="N1372">
        <v>3</v>
      </c>
      <c r="O1372">
        <v>1</v>
      </c>
      <c r="P1372" s="19" t="s">
        <v>52</v>
      </c>
      <c r="Q1372">
        <v>1</v>
      </c>
      <c r="R1372" s="19" t="s">
        <v>113</v>
      </c>
      <c r="S1372">
        <v>49285</v>
      </c>
      <c r="T1372" s="19" t="s">
        <v>72</v>
      </c>
      <c r="U1372">
        <v>308.02999999999997</v>
      </c>
      <c r="V1372">
        <v>9</v>
      </c>
      <c r="W1372" s="19" t="s">
        <v>55</v>
      </c>
      <c r="X1372">
        <v>13</v>
      </c>
      <c r="Y1372">
        <v>3</v>
      </c>
      <c r="Z1372">
        <v>3</v>
      </c>
      <c r="AA1372">
        <v>0</v>
      </c>
      <c r="AB1372">
        <v>12</v>
      </c>
      <c r="AC1372">
        <v>2</v>
      </c>
      <c r="AD1372">
        <v>1</v>
      </c>
      <c r="AE1372">
        <v>5</v>
      </c>
      <c r="AF1372">
        <v>4</v>
      </c>
      <c r="AG1372">
        <v>0</v>
      </c>
      <c r="AH1372">
        <v>4</v>
      </c>
      <c r="AI1372">
        <v>0</v>
      </c>
      <c r="AJ1372" s="19" t="s">
        <v>1567</v>
      </c>
      <c r="AK1372" s="19" t="s">
        <v>1562</v>
      </c>
      <c r="AL1372">
        <v>2</v>
      </c>
      <c r="AM1372" s="19" t="s">
        <v>1564</v>
      </c>
      <c r="AN1372">
        <v>-4.7091459270127894E-2</v>
      </c>
      <c r="AO1372">
        <v>591420</v>
      </c>
    </row>
    <row r="1373" spans="1:41" x14ac:dyDescent="0.3">
      <c r="A1373" s="19" t="s">
        <v>1438</v>
      </c>
      <c r="B1373">
        <v>52</v>
      </c>
      <c r="C1373" s="19" t="s">
        <v>1272</v>
      </c>
      <c r="D1373" s="19" t="s">
        <v>55</v>
      </c>
      <c r="E1373" s="19" t="s">
        <v>66</v>
      </c>
      <c r="F1373">
        <v>585</v>
      </c>
      <c r="G1373" s="19" t="s">
        <v>932</v>
      </c>
      <c r="H1373">
        <v>29</v>
      </c>
      <c r="I1373">
        <v>4</v>
      </c>
      <c r="J1373" s="19" t="s">
        <v>50</v>
      </c>
      <c r="K1373">
        <v>2019</v>
      </c>
      <c r="L1373">
        <v>1</v>
      </c>
      <c r="M1373" s="19" t="s">
        <v>51</v>
      </c>
      <c r="N1373">
        <v>3</v>
      </c>
      <c r="O1373">
        <v>1</v>
      </c>
      <c r="P1373" s="19" t="s">
        <v>60</v>
      </c>
      <c r="Q1373">
        <v>4</v>
      </c>
      <c r="R1373" s="19" t="s">
        <v>53</v>
      </c>
      <c r="S1373">
        <v>20063</v>
      </c>
      <c r="T1373" s="19" t="s">
        <v>54</v>
      </c>
      <c r="U1373">
        <v>125.39</v>
      </c>
      <c r="V1373">
        <v>2</v>
      </c>
      <c r="W1373" s="19" t="s">
        <v>55</v>
      </c>
      <c r="X1373">
        <v>15</v>
      </c>
      <c r="Y1373">
        <v>3</v>
      </c>
      <c r="Z1373">
        <v>2</v>
      </c>
      <c r="AA1373">
        <v>2</v>
      </c>
      <c r="AB1373">
        <v>16</v>
      </c>
      <c r="AC1373">
        <v>3</v>
      </c>
      <c r="AD1373">
        <v>2</v>
      </c>
      <c r="AE1373">
        <v>9</v>
      </c>
      <c r="AF1373">
        <v>8</v>
      </c>
      <c r="AG1373">
        <v>0</v>
      </c>
      <c r="AH1373">
        <v>0</v>
      </c>
      <c r="AI1373">
        <v>0</v>
      </c>
      <c r="AJ1373" s="19" t="s">
        <v>1569</v>
      </c>
      <c r="AK1373" s="19" t="s">
        <v>1562</v>
      </c>
      <c r="AL1373">
        <v>1</v>
      </c>
      <c r="AM1373" s="19" t="s">
        <v>1565</v>
      </c>
      <c r="AN1373">
        <v>-0.59326368285759867</v>
      </c>
      <c r="AO1373">
        <v>240756</v>
      </c>
    </row>
    <row r="1374" spans="1:41" x14ac:dyDescent="0.3">
      <c r="A1374" s="19" t="s">
        <v>1439</v>
      </c>
      <c r="B1374">
        <v>53</v>
      </c>
      <c r="C1374" s="19" t="s">
        <v>1272</v>
      </c>
      <c r="D1374" s="19" t="s">
        <v>55</v>
      </c>
      <c r="E1374" s="19" t="s">
        <v>48</v>
      </c>
      <c r="F1374">
        <v>1219</v>
      </c>
      <c r="G1374" s="19" t="s">
        <v>932</v>
      </c>
      <c r="H1374">
        <v>2</v>
      </c>
      <c r="I1374">
        <v>4</v>
      </c>
      <c r="J1374" s="19" t="s">
        <v>50</v>
      </c>
      <c r="K1374">
        <v>23</v>
      </c>
      <c r="L1374">
        <v>1</v>
      </c>
      <c r="M1374" s="19" t="s">
        <v>59</v>
      </c>
      <c r="N1374">
        <v>2</v>
      </c>
      <c r="O1374">
        <v>4</v>
      </c>
      <c r="P1374" s="19" t="s">
        <v>444</v>
      </c>
      <c r="Q1374">
        <v>4</v>
      </c>
      <c r="R1374" s="19" t="s">
        <v>113</v>
      </c>
      <c r="S1374">
        <v>68642</v>
      </c>
      <c r="T1374" s="19" t="s">
        <v>64</v>
      </c>
      <c r="U1374">
        <v>429.01</v>
      </c>
      <c r="V1374">
        <v>2</v>
      </c>
      <c r="W1374" s="19" t="s">
        <v>55</v>
      </c>
      <c r="X1374">
        <v>16</v>
      </c>
      <c r="Y1374">
        <v>3</v>
      </c>
      <c r="Z1374">
        <v>3</v>
      </c>
      <c r="AA1374">
        <v>0</v>
      </c>
      <c r="AB1374">
        <v>31</v>
      </c>
      <c r="AC1374">
        <v>3</v>
      </c>
      <c r="AD1374">
        <v>3</v>
      </c>
      <c r="AE1374">
        <v>25</v>
      </c>
      <c r="AF1374">
        <v>8</v>
      </c>
      <c r="AG1374">
        <v>3</v>
      </c>
      <c r="AH1374">
        <v>7</v>
      </c>
      <c r="AI1374">
        <v>0</v>
      </c>
      <c r="AJ1374" s="19" t="s">
        <v>1571</v>
      </c>
      <c r="AK1374" s="19" t="s">
        <v>1570</v>
      </c>
      <c r="AL1374">
        <v>1</v>
      </c>
      <c r="AM1374" s="19" t="s">
        <v>1565</v>
      </c>
      <c r="AN1374">
        <v>0.31502332356916346</v>
      </c>
      <c r="AO1374">
        <v>823704</v>
      </c>
    </row>
    <row r="1375" spans="1:41" x14ac:dyDescent="0.3">
      <c r="A1375" s="19" t="s">
        <v>1440</v>
      </c>
      <c r="B1375">
        <v>53</v>
      </c>
      <c r="C1375" s="19" t="s">
        <v>1272</v>
      </c>
      <c r="D1375" s="19" t="s">
        <v>55</v>
      </c>
      <c r="E1375" s="19" t="s">
        <v>48</v>
      </c>
      <c r="F1375">
        <v>1282</v>
      </c>
      <c r="G1375" s="19" t="s">
        <v>735</v>
      </c>
      <c r="H1375">
        <v>5</v>
      </c>
      <c r="I1375">
        <v>3</v>
      </c>
      <c r="J1375" s="19" t="s">
        <v>82</v>
      </c>
      <c r="K1375">
        <v>32</v>
      </c>
      <c r="L1375">
        <v>3</v>
      </c>
      <c r="M1375" s="19" t="s">
        <v>59</v>
      </c>
      <c r="N1375">
        <v>3</v>
      </c>
      <c r="O1375">
        <v>5</v>
      </c>
      <c r="P1375" s="19" t="s">
        <v>444</v>
      </c>
      <c r="Q1375">
        <v>3</v>
      </c>
      <c r="R1375" s="19" t="s">
        <v>113</v>
      </c>
      <c r="S1375">
        <v>91093</v>
      </c>
      <c r="T1375" s="19" t="s">
        <v>70</v>
      </c>
      <c r="U1375">
        <v>569.33000000000004</v>
      </c>
      <c r="V1375">
        <v>4</v>
      </c>
      <c r="W1375" s="19" t="s">
        <v>55</v>
      </c>
      <c r="X1375">
        <v>11</v>
      </c>
      <c r="Y1375">
        <v>3</v>
      </c>
      <c r="Z1375">
        <v>4</v>
      </c>
      <c r="AA1375">
        <v>1</v>
      </c>
      <c r="AB1375">
        <v>26</v>
      </c>
      <c r="AC1375">
        <v>3</v>
      </c>
      <c r="AD1375">
        <v>2</v>
      </c>
      <c r="AE1375">
        <v>14</v>
      </c>
      <c r="AF1375">
        <v>13</v>
      </c>
      <c r="AG1375">
        <v>4</v>
      </c>
      <c r="AH1375">
        <v>13</v>
      </c>
      <c r="AI1375">
        <v>0</v>
      </c>
      <c r="AJ1375" s="19" t="s">
        <v>1571</v>
      </c>
      <c r="AK1375" s="19" t="s">
        <v>1570</v>
      </c>
      <c r="AL1375">
        <v>2</v>
      </c>
      <c r="AM1375" s="19" t="s">
        <v>1564</v>
      </c>
      <c r="AN1375">
        <v>0.74513300331991794</v>
      </c>
      <c r="AO1375">
        <v>1093116</v>
      </c>
    </row>
    <row r="1376" spans="1:41" x14ac:dyDescent="0.3">
      <c r="A1376" s="19" t="s">
        <v>1441</v>
      </c>
      <c r="B1376">
        <v>53</v>
      </c>
      <c r="C1376" s="19" t="s">
        <v>1272</v>
      </c>
      <c r="D1376" s="19" t="s">
        <v>55</v>
      </c>
      <c r="E1376" s="19" t="s">
        <v>48</v>
      </c>
      <c r="F1376">
        <v>1436</v>
      </c>
      <c r="G1376" s="19" t="s">
        <v>932</v>
      </c>
      <c r="H1376">
        <v>6</v>
      </c>
      <c r="I1376">
        <v>2</v>
      </c>
      <c r="J1376" s="19" t="s">
        <v>63</v>
      </c>
      <c r="K1376">
        <v>205</v>
      </c>
      <c r="L1376">
        <v>2</v>
      </c>
      <c r="M1376" s="19" t="s">
        <v>51</v>
      </c>
      <c r="N1376">
        <v>3</v>
      </c>
      <c r="O1376">
        <v>2</v>
      </c>
      <c r="P1376" s="19" t="s">
        <v>60</v>
      </c>
      <c r="Q1376">
        <v>3</v>
      </c>
      <c r="R1376" s="19" t="s">
        <v>113</v>
      </c>
      <c r="S1376">
        <v>87143</v>
      </c>
      <c r="T1376" s="19" t="s">
        <v>70</v>
      </c>
      <c r="U1376">
        <v>544.64</v>
      </c>
      <c r="V1376">
        <v>2</v>
      </c>
      <c r="W1376" s="19" t="s">
        <v>47</v>
      </c>
      <c r="X1376">
        <v>20</v>
      </c>
      <c r="Y1376">
        <v>4</v>
      </c>
      <c r="Z1376">
        <v>4</v>
      </c>
      <c r="AA1376">
        <v>1</v>
      </c>
      <c r="AB1376">
        <v>13</v>
      </c>
      <c r="AC1376">
        <v>3</v>
      </c>
      <c r="AD1376">
        <v>1</v>
      </c>
      <c r="AE1376">
        <v>7</v>
      </c>
      <c r="AF1376">
        <v>7</v>
      </c>
      <c r="AG1376">
        <v>4</v>
      </c>
      <c r="AH1376">
        <v>5</v>
      </c>
      <c r="AI1376">
        <v>0</v>
      </c>
      <c r="AJ1376" s="19" t="s">
        <v>1569</v>
      </c>
      <c r="AK1376" s="19" t="s">
        <v>1570</v>
      </c>
      <c r="AL1376">
        <v>3</v>
      </c>
      <c r="AM1376" s="19" t="s">
        <v>1568</v>
      </c>
      <c r="AN1376">
        <v>0.76664620867967304</v>
      </c>
      <c r="AO1376">
        <v>1045716</v>
      </c>
    </row>
    <row r="1377" spans="1:41" x14ac:dyDescent="0.3">
      <c r="A1377" s="19" t="s">
        <v>1442</v>
      </c>
      <c r="B1377">
        <v>53</v>
      </c>
      <c r="C1377" s="19" t="s">
        <v>1272</v>
      </c>
      <c r="D1377" s="19" t="s">
        <v>55</v>
      </c>
      <c r="E1377" s="19" t="s">
        <v>48</v>
      </c>
      <c r="F1377">
        <v>1084</v>
      </c>
      <c r="G1377" s="19" t="s">
        <v>735</v>
      </c>
      <c r="H1377">
        <v>13</v>
      </c>
      <c r="I1377">
        <v>2</v>
      </c>
      <c r="J1377" s="19" t="s">
        <v>58</v>
      </c>
      <c r="K1377">
        <v>250</v>
      </c>
      <c r="L1377">
        <v>4</v>
      </c>
      <c r="M1377" s="19" t="s">
        <v>59</v>
      </c>
      <c r="N1377">
        <v>4</v>
      </c>
      <c r="O1377">
        <v>2</v>
      </c>
      <c r="P1377" s="19" t="s">
        <v>120</v>
      </c>
      <c r="Q1377">
        <v>1</v>
      </c>
      <c r="R1377" s="19" t="s">
        <v>113</v>
      </c>
      <c r="S1377">
        <v>38599</v>
      </c>
      <c r="T1377" s="19" t="s">
        <v>72</v>
      </c>
      <c r="U1377">
        <v>241.24</v>
      </c>
      <c r="V1377">
        <v>1</v>
      </c>
      <c r="W1377" s="19" t="s">
        <v>55</v>
      </c>
      <c r="X1377">
        <v>11</v>
      </c>
      <c r="Y1377">
        <v>3</v>
      </c>
      <c r="Z1377">
        <v>3</v>
      </c>
      <c r="AA1377">
        <v>2</v>
      </c>
      <c r="AB1377">
        <v>5</v>
      </c>
      <c r="AC1377">
        <v>3</v>
      </c>
      <c r="AD1377">
        <v>3</v>
      </c>
      <c r="AE1377">
        <v>4</v>
      </c>
      <c r="AF1377">
        <v>2</v>
      </c>
      <c r="AG1377">
        <v>1</v>
      </c>
      <c r="AH1377">
        <v>3</v>
      </c>
      <c r="AI1377">
        <v>0</v>
      </c>
      <c r="AJ1377" s="19" t="s">
        <v>1567</v>
      </c>
      <c r="AK1377" s="19" t="s">
        <v>1562</v>
      </c>
      <c r="AL1377">
        <v>1</v>
      </c>
      <c r="AM1377" s="19" t="s">
        <v>1565</v>
      </c>
      <c r="AN1377">
        <v>-0.12859899438992856</v>
      </c>
      <c r="AO1377">
        <v>463188</v>
      </c>
    </row>
    <row r="1378" spans="1:41" x14ac:dyDescent="0.3">
      <c r="A1378" s="19" t="s">
        <v>1443</v>
      </c>
      <c r="B1378">
        <v>53</v>
      </c>
      <c r="C1378" s="19" t="s">
        <v>1272</v>
      </c>
      <c r="D1378" s="19" t="s">
        <v>55</v>
      </c>
      <c r="E1378" s="19" t="s">
        <v>48</v>
      </c>
      <c r="F1378">
        <v>1070</v>
      </c>
      <c r="G1378" s="19" t="s">
        <v>735</v>
      </c>
      <c r="H1378">
        <v>3</v>
      </c>
      <c r="I1378">
        <v>4</v>
      </c>
      <c r="J1378" s="19" t="s">
        <v>58</v>
      </c>
      <c r="K1378">
        <v>386</v>
      </c>
      <c r="L1378">
        <v>3</v>
      </c>
      <c r="M1378" s="19" t="s">
        <v>51</v>
      </c>
      <c r="N1378">
        <v>3</v>
      </c>
      <c r="O1378">
        <v>4</v>
      </c>
      <c r="P1378" s="19" t="s">
        <v>257</v>
      </c>
      <c r="Q1378">
        <v>3</v>
      </c>
      <c r="R1378" s="19" t="s">
        <v>113</v>
      </c>
      <c r="S1378">
        <v>52920</v>
      </c>
      <c r="T1378" s="19" t="s">
        <v>64</v>
      </c>
      <c r="U1378">
        <v>330.75</v>
      </c>
      <c r="V1378">
        <v>3</v>
      </c>
      <c r="W1378" s="19" t="s">
        <v>47</v>
      </c>
      <c r="X1378">
        <v>16</v>
      </c>
      <c r="Y1378">
        <v>3</v>
      </c>
      <c r="Z1378">
        <v>4</v>
      </c>
      <c r="AA1378">
        <v>3</v>
      </c>
      <c r="AB1378">
        <v>21</v>
      </c>
      <c r="AC1378">
        <v>5</v>
      </c>
      <c r="AD1378">
        <v>2</v>
      </c>
      <c r="AE1378">
        <v>5</v>
      </c>
      <c r="AF1378">
        <v>3</v>
      </c>
      <c r="AG1378">
        <v>1</v>
      </c>
      <c r="AH1378">
        <v>3</v>
      </c>
      <c r="AI1378">
        <v>0</v>
      </c>
      <c r="AJ1378" s="19" t="s">
        <v>1567</v>
      </c>
      <c r="AK1378" s="19" t="s">
        <v>1562</v>
      </c>
      <c r="AL1378">
        <v>2</v>
      </c>
      <c r="AM1378" s="19" t="s">
        <v>1564</v>
      </c>
      <c r="AN1378">
        <v>4.4547730274958695E-2</v>
      </c>
      <c r="AO1378">
        <v>635040</v>
      </c>
    </row>
    <row r="1379" spans="1:41" x14ac:dyDescent="0.3">
      <c r="A1379" s="19" t="s">
        <v>1444</v>
      </c>
      <c r="B1379">
        <v>53</v>
      </c>
      <c r="C1379" s="19" t="s">
        <v>1272</v>
      </c>
      <c r="D1379" s="19" t="s">
        <v>55</v>
      </c>
      <c r="E1379" s="19" t="s">
        <v>48</v>
      </c>
      <c r="F1379">
        <v>238</v>
      </c>
      <c r="G1379" s="19" t="s">
        <v>932</v>
      </c>
      <c r="H1379">
        <v>1</v>
      </c>
      <c r="I1379">
        <v>1</v>
      </c>
      <c r="J1379" s="19" t="s">
        <v>58</v>
      </c>
      <c r="K1379">
        <v>682</v>
      </c>
      <c r="L1379">
        <v>4</v>
      </c>
      <c r="M1379" s="19" t="s">
        <v>59</v>
      </c>
      <c r="N1379">
        <v>3</v>
      </c>
      <c r="O1379">
        <v>2</v>
      </c>
      <c r="P1379" s="19" t="s">
        <v>145</v>
      </c>
      <c r="Q1379">
        <v>1</v>
      </c>
      <c r="R1379" s="19" t="s">
        <v>53</v>
      </c>
      <c r="S1379">
        <v>29529</v>
      </c>
      <c r="T1379" s="19" t="s">
        <v>72</v>
      </c>
      <c r="U1379">
        <v>184.56</v>
      </c>
      <c r="V1379">
        <v>7</v>
      </c>
      <c r="W1379" s="19" t="s">
        <v>55</v>
      </c>
      <c r="X1379">
        <v>20</v>
      </c>
      <c r="Y1379">
        <v>4</v>
      </c>
      <c r="Z1379">
        <v>4</v>
      </c>
      <c r="AA1379">
        <v>0</v>
      </c>
      <c r="AB1379">
        <v>18</v>
      </c>
      <c r="AC1379">
        <v>2</v>
      </c>
      <c r="AD1379">
        <v>4</v>
      </c>
      <c r="AE1379">
        <v>14</v>
      </c>
      <c r="AF1379">
        <v>7</v>
      </c>
      <c r="AG1379">
        <v>8</v>
      </c>
      <c r="AH1379">
        <v>10</v>
      </c>
      <c r="AI1379">
        <v>0</v>
      </c>
      <c r="AJ1379" s="19" t="s">
        <v>1571</v>
      </c>
      <c r="AK1379" s="19" t="s">
        <v>1570</v>
      </c>
      <c r="AL1379">
        <v>2</v>
      </c>
      <c r="AM1379" s="19" t="s">
        <v>1564</v>
      </c>
      <c r="AN1379">
        <v>-0.39807945094668729</v>
      </c>
      <c r="AO1379">
        <v>354348</v>
      </c>
    </row>
    <row r="1380" spans="1:41" x14ac:dyDescent="0.3">
      <c r="A1380" s="19" t="s">
        <v>1445</v>
      </c>
      <c r="B1380">
        <v>53</v>
      </c>
      <c r="C1380" s="19" t="s">
        <v>1272</v>
      </c>
      <c r="D1380" s="19" t="s">
        <v>55</v>
      </c>
      <c r="E1380" s="19" t="s">
        <v>48</v>
      </c>
      <c r="F1380">
        <v>970</v>
      </c>
      <c r="G1380" s="19" t="s">
        <v>735</v>
      </c>
      <c r="H1380">
        <v>7</v>
      </c>
      <c r="I1380">
        <v>3</v>
      </c>
      <c r="J1380" s="19" t="s">
        <v>50</v>
      </c>
      <c r="K1380">
        <v>730</v>
      </c>
      <c r="L1380">
        <v>3</v>
      </c>
      <c r="M1380" s="19" t="s">
        <v>51</v>
      </c>
      <c r="N1380">
        <v>4</v>
      </c>
      <c r="O1380">
        <v>4</v>
      </c>
      <c r="P1380" s="19" t="s">
        <v>257</v>
      </c>
      <c r="Q1380">
        <v>3</v>
      </c>
      <c r="R1380" s="19" t="s">
        <v>113</v>
      </c>
      <c r="S1380">
        <v>36954</v>
      </c>
      <c r="T1380" s="19" t="s">
        <v>72</v>
      </c>
      <c r="U1380">
        <v>230.96</v>
      </c>
      <c r="V1380">
        <v>3</v>
      </c>
      <c r="W1380" s="19" t="s">
        <v>55</v>
      </c>
      <c r="X1380">
        <v>19</v>
      </c>
      <c r="Y1380">
        <v>3</v>
      </c>
      <c r="Z1380">
        <v>3</v>
      </c>
      <c r="AA1380">
        <v>0</v>
      </c>
      <c r="AB1380">
        <v>32</v>
      </c>
      <c r="AC1380">
        <v>3</v>
      </c>
      <c r="AD1380">
        <v>3</v>
      </c>
      <c r="AE1380">
        <v>5</v>
      </c>
      <c r="AF1380">
        <v>1</v>
      </c>
      <c r="AG1380">
        <v>1</v>
      </c>
      <c r="AH1380">
        <v>3</v>
      </c>
      <c r="AI1380">
        <v>0</v>
      </c>
      <c r="AJ1380" s="19" t="s">
        <v>1567</v>
      </c>
      <c r="AK1380" s="19" t="s">
        <v>1562</v>
      </c>
      <c r="AL1380">
        <v>0</v>
      </c>
      <c r="AM1380" s="19" t="s">
        <v>1563</v>
      </c>
      <c r="AN1380">
        <v>-0.27059303052568362</v>
      </c>
      <c r="AO1380">
        <v>443448</v>
      </c>
    </row>
    <row r="1381" spans="1:41" x14ac:dyDescent="0.3">
      <c r="A1381" s="19" t="s">
        <v>1446</v>
      </c>
      <c r="B1381">
        <v>53</v>
      </c>
      <c r="C1381" s="19" t="s">
        <v>1272</v>
      </c>
      <c r="D1381" s="19" t="s">
        <v>55</v>
      </c>
      <c r="E1381" s="19" t="s">
        <v>48</v>
      </c>
      <c r="F1381">
        <v>346</v>
      </c>
      <c r="G1381" s="19" t="s">
        <v>735</v>
      </c>
      <c r="H1381">
        <v>6</v>
      </c>
      <c r="I1381">
        <v>3</v>
      </c>
      <c r="J1381" s="19" t="s">
        <v>50</v>
      </c>
      <c r="K1381">
        <v>769</v>
      </c>
      <c r="L1381">
        <v>4</v>
      </c>
      <c r="M1381" s="19" t="s">
        <v>51</v>
      </c>
      <c r="N1381">
        <v>3</v>
      </c>
      <c r="O1381">
        <v>2</v>
      </c>
      <c r="P1381" s="19" t="s">
        <v>52</v>
      </c>
      <c r="Q1381">
        <v>4</v>
      </c>
      <c r="R1381" s="19" t="s">
        <v>53</v>
      </c>
      <c r="S1381">
        <v>28856</v>
      </c>
      <c r="T1381" s="19" t="s">
        <v>72</v>
      </c>
      <c r="U1381">
        <v>180.35</v>
      </c>
      <c r="V1381">
        <v>2</v>
      </c>
      <c r="W1381" s="19" t="s">
        <v>55</v>
      </c>
      <c r="X1381">
        <v>17</v>
      </c>
      <c r="Y1381">
        <v>3</v>
      </c>
      <c r="Z1381">
        <v>4</v>
      </c>
      <c r="AA1381">
        <v>0</v>
      </c>
      <c r="AB1381">
        <v>19</v>
      </c>
      <c r="AC1381">
        <v>4</v>
      </c>
      <c r="AD1381">
        <v>3</v>
      </c>
      <c r="AE1381">
        <v>2</v>
      </c>
      <c r="AF1381">
        <v>2</v>
      </c>
      <c r="AG1381">
        <v>2</v>
      </c>
      <c r="AH1381">
        <v>2</v>
      </c>
      <c r="AI1381">
        <v>0</v>
      </c>
      <c r="AJ1381" s="19" t="s">
        <v>1566</v>
      </c>
      <c r="AK1381" s="19" t="s">
        <v>1562</v>
      </c>
      <c r="AL1381">
        <v>0</v>
      </c>
      <c r="AM1381" s="19" t="s">
        <v>1563</v>
      </c>
      <c r="AN1381">
        <v>-0.44207915488888727</v>
      </c>
      <c r="AO1381">
        <v>346272</v>
      </c>
    </row>
    <row r="1382" spans="1:41" x14ac:dyDescent="0.3">
      <c r="A1382" s="19" t="s">
        <v>1447</v>
      </c>
      <c r="B1382">
        <v>53</v>
      </c>
      <c r="C1382" s="19" t="s">
        <v>1272</v>
      </c>
      <c r="D1382" s="19" t="s">
        <v>55</v>
      </c>
      <c r="E1382" s="19" t="s">
        <v>48</v>
      </c>
      <c r="F1382">
        <v>661</v>
      </c>
      <c r="G1382" s="19" t="s">
        <v>932</v>
      </c>
      <c r="H1382">
        <v>7</v>
      </c>
      <c r="I1382">
        <v>2</v>
      </c>
      <c r="J1382" s="19" t="s">
        <v>63</v>
      </c>
      <c r="K1382">
        <v>862</v>
      </c>
      <c r="L1382">
        <v>1</v>
      </c>
      <c r="M1382" s="19" t="s">
        <v>59</v>
      </c>
      <c r="N1382">
        <v>2</v>
      </c>
      <c r="O1382">
        <v>3</v>
      </c>
      <c r="P1382" s="19" t="s">
        <v>145</v>
      </c>
      <c r="Q1382">
        <v>4</v>
      </c>
      <c r="R1382" s="19" t="s">
        <v>113</v>
      </c>
      <c r="S1382">
        <v>3573</v>
      </c>
      <c r="T1382" s="19" t="s">
        <v>54</v>
      </c>
      <c r="U1382">
        <v>22.33</v>
      </c>
      <c r="V1382">
        <v>7</v>
      </c>
      <c r="W1382" s="19" t="s">
        <v>47</v>
      </c>
      <c r="X1382">
        <v>18</v>
      </c>
      <c r="Y1382">
        <v>3</v>
      </c>
      <c r="Z1382">
        <v>4</v>
      </c>
      <c r="AA1382">
        <v>1</v>
      </c>
      <c r="AB1382">
        <v>35</v>
      </c>
      <c r="AC1382">
        <v>3</v>
      </c>
      <c r="AD1382">
        <v>3</v>
      </c>
      <c r="AE1382">
        <v>5</v>
      </c>
      <c r="AF1382">
        <v>2</v>
      </c>
      <c r="AG1382">
        <v>0</v>
      </c>
      <c r="AH1382">
        <v>4</v>
      </c>
      <c r="AI1382">
        <v>0</v>
      </c>
      <c r="AJ1382" s="19" t="s">
        <v>1567</v>
      </c>
      <c r="AK1382" s="19" t="s">
        <v>1562</v>
      </c>
      <c r="AL1382">
        <v>1</v>
      </c>
      <c r="AM1382" s="19" t="s">
        <v>1565</v>
      </c>
      <c r="AN1382">
        <v>-0.92716779702097984</v>
      </c>
      <c r="AO1382">
        <v>42876</v>
      </c>
    </row>
    <row r="1383" spans="1:41" x14ac:dyDescent="0.3">
      <c r="A1383" s="19" t="s">
        <v>1448</v>
      </c>
      <c r="B1383">
        <v>53</v>
      </c>
      <c r="C1383" s="19" t="s">
        <v>1272</v>
      </c>
      <c r="D1383" s="19" t="s">
        <v>55</v>
      </c>
      <c r="E1383" s="19" t="s">
        <v>48</v>
      </c>
      <c r="F1383">
        <v>868</v>
      </c>
      <c r="G1383" s="19" t="s">
        <v>932</v>
      </c>
      <c r="H1383">
        <v>8</v>
      </c>
      <c r="I1383">
        <v>3</v>
      </c>
      <c r="J1383" s="19" t="s">
        <v>63</v>
      </c>
      <c r="K1383">
        <v>897</v>
      </c>
      <c r="L1383">
        <v>1</v>
      </c>
      <c r="M1383" s="19" t="s">
        <v>51</v>
      </c>
      <c r="N1383">
        <v>3</v>
      </c>
      <c r="O1383">
        <v>4</v>
      </c>
      <c r="P1383" s="19" t="s">
        <v>145</v>
      </c>
      <c r="Q1383">
        <v>4</v>
      </c>
      <c r="R1383" s="19" t="s">
        <v>113</v>
      </c>
      <c r="S1383">
        <v>79344</v>
      </c>
      <c r="T1383" s="19" t="s">
        <v>64</v>
      </c>
      <c r="U1383">
        <v>495.9</v>
      </c>
      <c r="V1383">
        <v>5</v>
      </c>
      <c r="W1383" s="19" t="s">
        <v>55</v>
      </c>
      <c r="X1383">
        <v>14</v>
      </c>
      <c r="Y1383">
        <v>3</v>
      </c>
      <c r="Z1383">
        <v>3</v>
      </c>
      <c r="AA1383">
        <v>1</v>
      </c>
      <c r="AB1383">
        <v>28</v>
      </c>
      <c r="AC1383">
        <v>3</v>
      </c>
      <c r="AD1383">
        <v>3</v>
      </c>
      <c r="AE1383">
        <v>2</v>
      </c>
      <c r="AF1383">
        <v>0</v>
      </c>
      <c r="AG1383">
        <v>2</v>
      </c>
      <c r="AH1383">
        <v>2</v>
      </c>
      <c r="AI1383">
        <v>0</v>
      </c>
      <c r="AJ1383" s="19" t="s">
        <v>1566</v>
      </c>
      <c r="AK1383" s="19" t="s">
        <v>1562</v>
      </c>
      <c r="AL1383">
        <v>0</v>
      </c>
      <c r="AM1383" s="19" t="s">
        <v>1563</v>
      </c>
      <c r="AN1383">
        <v>0.61735189285400949</v>
      </c>
      <c r="AO1383">
        <v>952128</v>
      </c>
    </row>
    <row r="1384" spans="1:41" x14ac:dyDescent="0.3">
      <c r="A1384" s="19" t="s">
        <v>1449</v>
      </c>
      <c r="B1384">
        <v>53</v>
      </c>
      <c r="C1384" s="19" t="s">
        <v>1272</v>
      </c>
      <c r="D1384" s="19" t="s">
        <v>55</v>
      </c>
      <c r="E1384" s="19" t="s">
        <v>48</v>
      </c>
      <c r="F1384">
        <v>102</v>
      </c>
      <c r="G1384" s="19" t="s">
        <v>735</v>
      </c>
      <c r="H1384">
        <v>23</v>
      </c>
      <c r="I1384">
        <v>4</v>
      </c>
      <c r="J1384" s="19" t="s">
        <v>50</v>
      </c>
      <c r="K1384">
        <v>901</v>
      </c>
      <c r="L1384">
        <v>4</v>
      </c>
      <c r="M1384" s="19" t="s">
        <v>59</v>
      </c>
      <c r="N1384">
        <v>3</v>
      </c>
      <c r="O1384">
        <v>4</v>
      </c>
      <c r="P1384" s="19" t="s">
        <v>257</v>
      </c>
      <c r="Q1384">
        <v>4</v>
      </c>
      <c r="R1384" s="19" t="s">
        <v>53</v>
      </c>
      <c r="S1384">
        <v>36367</v>
      </c>
      <c r="T1384" s="19" t="s">
        <v>72</v>
      </c>
      <c r="U1384">
        <v>227.29</v>
      </c>
      <c r="V1384">
        <v>6</v>
      </c>
      <c r="W1384" s="19" t="s">
        <v>55</v>
      </c>
      <c r="X1384">
        <v>18</v>
      </c>
      <c r="Y1384">
        <v>3</v>
      </c>
      <c r="Z1384">
        <v>3</v>
      </c>
      <c r="AA1384">
        <v>0</v>
      </c>
      <c r="AB1384">
        <v>33</v>
      </c>
      <c r="AC1384">
        <v>0</v>
      </c>
      <c r="AD1384">
        <v>3</v>
      </c>
      <c r="AE1384">
        <v>12</v>
      </c>
      <c r="AF1384">
        <v>9</v>
      </c>
      <c r="AG1384">
        <v>3</v>
      </c>
      <c r="AH1384">
        <v>8</v>
      </c>
      <c r="AI1384">
        <v>0</v>
      </c>
      <c r="AJ1384" s="19" t="s">
        <v>1571</v>
      </c>
      <c r="AK1384" s="19" t="s">
        <v>1570</v>
      </c>
      <c r="AL1384">
        <v>1</v>
      </c>
      <c r="AM1384" s="19" t="s">
        <v>1565</v>
      </c>
      <c r="AN1384">
        <v>-0.28217937817631478</v>
      </c>
      <c r="AO1384">
        <v>436404</v>
      </c>
    </row>
    <row r="1385" spans="1:41" x14ac:dyDescent="0.3">
      <c r="A1385" s="19" t="s">
        <v>1450</v>
      </c>
      <c r="B1385">
        <v>53</v>
      </c>
      <c r="C1385" s="19" t="s">
        <v>1272</v>
      </c>
      <c r="D1385" s="19" t="s">
        <v>55</v>
      </c>
      <c r="E1385" s="19" t="s">
        <v>48</v>
      </c>
      <c r="F1385">
        <v>1376</v>
      </c>
      <c r="G1385" s="19" t="s">
        <v>932</v>
      </c>
      <c r="H1385">
        <v>2</v>
      </c>
      <c r="I1385">
        <v>2</v>
      </c>
      <c r="J1385" s="19" t="s">
        <v>58</v>
      </c>
      <c r="K1385">
        <v>981</v>
      </c>
      <c r="L1385">
        <v>3</v>
      </c>
      <c r="M1385" s="19" t="s">
        <v>51</v>
      </c>
      <c r="N1385">
        <v>3</v>
      </c>
      <c r="O1385">
        <v>4</v>
      </c>
      <c r="P1385" s="19" t="s">
        <v>444</v>
      </c>
      <c r="Q1385">
        <v>3</v>
      </c>
      <c r="R1385" s="19" t="s">
        <v>113</v>
      </c>
      <c r="S1385">
        <v>61774</v>
      </c>
      <c r="T1385" s="19" t="s">
        <v>64</v>
      </c>
      <c r="U1385">
        <v>386.09</v>
      </c>
      <c r="V1385">
        <v>6</v>
      </c>
      <c r="W1385" s="19" t="s">
        <v>55</v>
      </c>
      <c r="X1385">
        <v>13</v>
      </c>
      <c r="Y1385">
        <v>3</v>
      </c>
      <c r="Z1385">
        <v>3</v>
      </c>
      <c r="AA1385">
        <v>1</v>
      </c>
      <c r="AB1385">
        <v>22</v>
      </c>
      <c r="AC1385">
        <v>3</v>
      </c>
      <c r="AD1385">
        <v>4</v>
      </c>
      <c r="AE1385">
        <v>17</v>
      </c>
      <c r="AF1385">
        <v>13</v>
      </c>
      <c r="AG1385">
        <v>15</v>
      </c>
      <c r="AH1385">
        <v>2</v>
      </c>
      <c r="AI1385">
        <v>0</v>
      </c>
      <c r="AJ1385" s="19" t="s">
        <v>1571</v>
      </c>
      <c r="AK1385" s="19" t="s">
        <v>1570</v>
      </c>
      <c r="AL1385">
        <v>1</v>
      </c>
      <c r="AM1385" s="19" t="s">
        <v>1565</v>
      </c>
      <c r="AN1385">
        <v>0.18344819192566511</v>
      </c>
      <c r="AO1385">
        <v>741288</v>
      </c>
    </row>
    <row r="1386" spans="1:41" x14ac:dyDescent="0.3">
      <c r="A1386" s="19" t="s">
        <v>1451</v>
      </c>
      <c r="B1386">
        <v>53</v>
      </c>
      <c r="C1386" s="19" t="s">
        <v>1272</v>
      </c>
      <c r="D1386" s="19" t="s">
        <v>55</v>
      </c>
      <c r="E1386" s="19" t="s">
        <v>62</v>
      </c>
      <c r="F1386">
        <v>124</v>
      </c>
      <c r="G1386" s="19" t="s">
        <v>932</v>
      </c>
      <c r="H1386">
        <v>2</v>
      </c>
      <c r="I1386">
        <v>3</v>
      </c>
      <c r="J1386" s="19" t="s">
        <v>63</v>
      </c>
      <c r="K1386">
        <v>1050</v>
      </c>
      <c r="L1386">
        <v>3</v>
      </c>
      <c r="M1386" s="19" t="s">
        <v>59</v>
      </c>
      <c r="N1386">
        <v>2</v>
      </c>
      <c r="O1386">
        <v>3</v>
      </c>
      <c r="P1386" s="19" t="s">
        <v>145</v>
      </c>
      <c r="Q1386">
        <v>2</v>
      </c>
      <c r="R1386" s="19" t="s">
        <v>113</v>
      </c>
      <c r="S1386">
        <v>24752</v>
      </c>
      <c r="T1386" s="19" t="s">
        <v>54</v>
      </c>
      <c r="U1386">
        <v>154.69999999999999</v>
      </c>
      <c r="V1386">
        <v>2</v>
      </c>
      <c r="W1386" s="19" t="s">
        <v>55</v>
      </c>
      <c r="X1386">
        <v>12</v>
      </c>
      <c r="Y1386">
        <v>3</v>
      </c>
      <c r="Z1386">
        <v>1</v>
      </c>
      <c r="AA1386">
        <v>1</v>
      </c>
      <c r="AB1386">
        <v>30</v>
      </c>
      <c r="AC1386">
        <v>2</v>
      </c>
      <c r="AD1386">
        <v>3</v>
      </c>
      <c r="AE1386">
        <v>15</v>
      </c>
      <c r="AF1386">
        <v>7</v>
      </c>
      <c r="AG1386">
        <v>6</v>
      </c>
      <c r="AH1386">
        <v>12</v>
      </c>
      <c r="AI1386">
        <v>0</v>
      </c>
      <c r="AJ1386" s="19" t="s">
        <v>1571</v>
      </c>
      <c r="AK1386" s="19" t="s">
        <v>1570</v>
      </c>
      <c r="AL1386">
        <v>2</v>
      </c>
      <c r="AM1386" s="19" t="s">
        <v>1564</v>
      </c>
      <c r="AN1386">
        <v>-0.49545404754080408</v>
      </c>
      <c r="AO1386">
        <v>297024</v>
      </c>
    </row>
    <row r="1387" spans="1:41" x14ac:dyDescent="0.3">
      <c r="A1387" s="19" t="s">
        <v>1452</v>
      </c>
      <c r="B1387">
        <v>53</v>
      </c>
      <c r="C1387" s="19" t="s">
        <v>1272</v>
      </c>
      <c r="D1387" s="19" t="s">
        <v>55</v>
      </c>
      <c r="E1387" s="19" t="s">
        <v>48</v>
      </c>
      <c r="F1387">
        <v>1223</v>
      </c>
      <c r="G1387" s="19" t="s">
        <v>735</v>
      </c>
      <c r="H1387">
        <v>7</v>
      </c>
      <c r="I1387">
        <v>2</v>
      </c>
      <c r="J1387" s="19" t="s">
        <v>58</v>
      </c>
      <c r="K1387">
        <v>1201</v>
      </c>
      <c r="L1387">
        <v>4</v>
      </c>
      <c r="M1387" s="19" t="s">
        <v>59</v>
      </c>
      <c r="N1387">
        <v>3</v>
      </c>
      <c r="O1387">
        <v>5</v>
      </c>
      <c r="P1387" s="19" t="s">
        <v>444</v>
      </c>
      <c r="Q1387">
        <v>3</v>
      </c>
      <c r="R1387" s="19" t="s">
        <v>113</v>
      </c>
      <c r="S1387">
        <v>56029</v>
      </c>
      <c r="T1387" s="19" t="s">
        <v>64</v>
      </c>
      <c r="U1387">
        <v>350.18</v>
      </c>
      <c r="V1387">
        <v>3</v>
      </c>
      <c r="W1387" s="19" t="s">
        <v>55</v>
      </c>
      <c r="X1387">
        <v>18</v>
      </c>
      <c r="Y1387">
        <v>3</v>
      </c>
      <c r="Z1387">
        <v>2</v>
      </c>
      <c r="AA1387">
        <v>1</v>
      </c>
      <c r="AB1387">
        <v>26</v>
      </c>
      <c r="AC1387">
        <v>6</v>
      </c>
      <c r="AD1387">
        <v>3</v>
      </c>
      <c r="AE1387">
        <v>7</v>
      </c>
      <c r="AF1387">
        <v>7</v>
      </c>
      <c r="AG1387">
        <v>4</v>
      </c>
      <c r="AH1387">
        <v>7</v>
      </c>
      <c r="AI1387">
        <v>0</v>
      </c>
      <c r="AJ1387" s="19" t="s">
        <v>1569</v>
      </c>
      <c r="AK1387" s="19" t="s">
        <v>1570</v>
      </c>
      <c r="AL1387">
        <v>1</v>
      </c>
      <c r="AM1387" s="19" t="s">
        <v>1565</v>
      </c>
      <c r="AN1387">
        <v>7.3387165237852325E-2</v>
      </c>
      <c r="AO1387">
        <v>672348</v>
      </c>
    </row>
    <row r="1388" spans="1:41" x14ac:dyDescent="0.3">
      <c r="A1388" s="19" t="s">
        <v>1453</v>
      </c>
      <c r="B1388">
        <v>53</v>
      </c>
      <c r="C1388" s="19" t="s">
        <v>1272</v>
      </c>
      <c r="D1388" s="19" t="s">
        <v>55</v>
      </c>
      <c r="E1388" s="19" t="s">
        <v>48</v>
      </c>
      <c r="F1388">
        <v>447</v>
      </c>
      <c r="G1388" s="19" t="s">
        <v>735</v>
      </c>
      <c r="H1388">
        <v>2</v>
      </c>
      <c r="I1388">
        <v>3</v>
      </c>
      <c r="J1388" s="19" t="s">
        <v>58</v>
      </c>
      <c r="K1388">
        <v>1472</v>
      </c>
      <c r="L1388">
        <v>4</v>
      </c>
      <c r="M1388" s="19" t="s">
        <v>51</v>
      </c>
      <c r="N1388">
        <v>4</v>
      </c>
      <c r="O1388">
        <v>4</v>
      </c>
      <c r="P1388" s="19" t="s">
        <v>257</v>
      </c>
      <c r="Q1388">
        <v>2</v>
      </c>
      <c r="R1388" s="19" t="s">
        <v>53</v>
      </c>
      <c r="S1388">
        <v>18685</v>
      </c>
      <c r="T1388" s="19" t="s">
        <v>54</v>
      </c>
      <c r="U1388">
        <v>116.78</v>
      </c>
      <c r="V1388">
        <v>4</v>
      </c>
      <c r="W1388" s="19" t="s">
        <v>55</v>
      </c>
      <c r="X1388">
        <v>12</v>
      </c>
      <c r="Y1388">
        <v>3</v>
      </c>
      <c r="Z1388">
        <v>2</v>
      </c>
      <c r="AA1388">
        <v>0</v>
      </c>
      <c r="AB1388">
        <v>35</v>
      </c>
      <c r="AC1388">
        <v>2</v>
      </c>
      <c r="AD1388">
        <v>2</v>
      </c>
      <c r="AE1388">
        <v>9</v>
      </c>
      <c r="AF1388">
        <v>8</v>
      </c>
      <c r="AG1388">
        <v>8</v>
      </c>
      <c r="AH1388">
        <v>8</v>
      </c>
      <c r="AI1388">
        <v>0</v>
      </c>
      <c r="AJ1388" s="19" t="s">
        <v>1569</v>
      </c>
      <c r="AK1388" s="19" t="s">
        <v>1570</v>
      </c>
      <c r="AL1388">
        <v>3</v>
      </c>
      <c r="AM1388" s="19" t="s">
        <v>1568</v>
      </c>
      <c r="AN1388">
        <v>-0.63119096106977313</v>
      </c>
      <c r="AO1388">
        <v>224220</v>
      </c>
    </row>
    <row r="1389" spans="1:41" x14ac:dyDescent="0.3">
      <c r="A1389" s="19" t="s">
        <v>1454</v>
      </c>
      <c r="B1389">
        <v>53</v>
      </c>
      <c r="C1389" s="19" t="s">
        <v>1272</v>
      </c>
      <c r="D1389" s="19" t="s">
        <v>47</v>
      </c>
      <c r="E1389" s="19" t="s">
        <v>48</v>
      </c>
      <c r="F1389">
        <v>607</v>
      </c>
      <c r="G1389" s="19" t="s">
        <v>735</v>
      </c>
      <c r="H1389">
        <v>2</v>
      </c>
      <c r="I1389">
        <v>5</v>
      </c>
      <c r="J1389" s="19" t="s">
        <v>77</v>
      </c>
      <c r="K1389">
        <v>1572</v>
      </c>
      <c r="L1389">
        <v>3</v>
      </c>
      <c r="M1389" s="19" t="s">
        <v>59</v>
      </c>
      <c r="N1389">
        <v>2</v>
      </c>
      <c r="O1389">
        <v>3</v>
      </c>
      <c r="P1389" s="19" t="s">
        <v>120</v>
      </c>
      <c r="Q1389">
        <v>4</v>
      </c>
      <c r="R1389" s="19" t="s">
        <v>113</v>
      </c>
      <c r="S1389">
        <v>52693</v>
      </c>
      <c r="T1389" s="19" t="s">
        <v>64</v>
      </c>
      <c r="U1389">
        <v>329.33</v>
      </c>
      <c r="V1389">
        <v>0</v>
      </c>
      <c r="W1389" s="19" t="s">
        <v>55</v>
      </c>
      <c r="X1389">
        <v>16</v>
      </c>
      <c r="Y1389">
        <v>3</v>
      </c>
      <c r="Z1389">
        <v>2</v>
      </c>
      <c r="AA1389">
        <v>1</v>
      </c>
      <c r="AB1389">
        <v>34</v>
      </c>
      <c r="AC1389">
        <v>4</v>
      </c>
      <c r="AD1389">
        <v>3</v>
      </c>
      <c r="AE1389">
        <v>33</v>
      </c>
      <c r="AF1389">
        <v>7</v>
      </c>
      <c r="AG1389">
        <v>1</v>
      </c>
      <c r="AH1389">
        <v>9</v>
      </c>
      <c r="AI1389">
        <v>1</v>
      </c>
      <c r="AJ1389" s="19" t="s">
        <v>1571</v>
      </c>
      <c r="AK1389" s="19" t="s">
        <v>1562</v>
      </c>
      <c r="AL1389">
        <v>0</v>
      </c>
      <c r="AM1389" s="19" t="s">
        <v>1563</v>
      </c>
      <c r="AN1389">
        <v>0.18958349150525908</v>
      </c>
      <c r="AO1389">
        <v>632316</v>
      </c>
    </row>
    <row r="1390" spans="1:41" x14ac:dyDescent="0.3">
      <c r="A1390" s="19" t="s">
        <v>1455</v>
      </c>
      <c r="B1390">
        <v>53</v>
      </c>
      <c r="C1390" s="19" t="s">
        <v>1272</v>
      </c>
      <c r="D1390" s="19" t="s">
        <v>55</v>
      </c>
      <c r="E1390" s="19" t="s">
        <v>48</v>
      </c>
      <c r="F1390">
        <v>1395</v>
      </c>
      <c r="G1390" s="19" t="s">
        <v>735</v>
      </c>
      <c r="H1390">
        <v>24</v>
      </c>
      <c r="I1390">
        <v>4</v>
      </c>
      <c r="J1390" s="19" t="s">
        <v>58</v>
      </c>
      <c r="K1390">
        <v>1689</v>
      </c>
      <c r="L1390">
        <v>2</v>
      </c>
      <c r="M1390" s="19" t="s">
        <v>51</v>
      </c>
      <c r="N1390">
        <v>4</v>
      </c>
      <c r="O1390">
        <v>3</v>
      </c>
      <c r="P1390" s="19" t="s">
        <v>168</v>
      </c>
      <c r="Q1390">
        <v>4</v>
      </c>
      <c r="R1390" s="19" t="s">
        <v>113</v>
      </c>
      <c r="S1390">
        <v>56961</v>
      </c>
      <c r="T1390" s="19" t="s">
        <v>64</v>
      </c>
      <c r="U1390">
        <v>356.01</v>
      </c>
      <c r="V1390">
        <v>3</v>
      </c>
      <c r="W1390" s="19" t="s">
        <v>55</v>
      </c>
      <c r="X1390">
        <v>15</v>
      </c>
      <c r="Y1390">
        <v>3</v>
      </c>
      <c r="Z1390">
        <v>3</v>
      </c>
      <c r="AA1390">
        <v>0</v>
      </c>
      <c r="AB1390">
        <v>11</v>
      </c>
      <c r="AC1390">
        <v>2</v>
      </c>
      <c r="AD1390">
        <v>3</v>
      </c>
      <c r="AE1390">
        <v>4</v>
      </c>
      <c r="AF1390">
        <v>3</v>
      </c>
      <c r="AG1390">
        <v>1</v>
      </c>
      <c r="AH1390">
        <v>2</v>
      </c>
      <c r="AI1390">
        <v>0</v>
      </c>
      <c r="AJ1390" s="19" t="s">
        <v>1567</v>
      </c>
      <c r="AK1390" s="19" t="s">
        <v>1562</v>
      </c>
      <c r="AL1390">
        <v>0</v>
      </c>
      <c r="AM1390" s="19" t="s">
        <v>1563</v>
      </c>
      <c r="AN1390">
        <v>0.1820297399532794</v>
      </c>
      <c r="AO1390">
        <v>683532</v>
      </c>
    </row>
    <row r="1391" spans="1:41" x14ac:dyDescent="0.3">
      <c r="A1391" s="19" t="s">
        <v>1456</v>
      </c>
      <c r="B1391">
        <v>53</v>
      </c>
      <c r="C1391" s="19" t="s">
        <v>1272</v>
      </c>
      <c r="D1391" s="19" t="s">
        <v>55</v>
      </c>
      <c r="E1391" s="19" t="s">
        <v>66</v>
      </c>
      <c r="F1391">
        <v>661</v>
      </c>
      <c r="G1391" s="19" t="s">
        <v>735</v>
      </c>
      <c r="H1391">
        <v>1</v>
      </c>
      <c r="I1391">
        <v>4</v>
      </c>
      <c r="J1391" s="19" t="s">
        <v>58</v>
      </c>
      <c r="K1391">
        <v>1775</v>
      </c>
      <c r="L1391">
        <v>1</v>
      </c>
      <c r="M1391" s="19" t="s">
        <v>59</v>
      </c>
      <c r="N1391">
        <v>2</v>
      </c>
      <c r="O1391">
        <v>4</v>
      </c>
      <c r="P1391" s="19" t="s">
        <v>120</v>
      </c>
      <c r="Q1391">
        <v>3</v>
      </c>
      <c r="R1391" s="19" t="s">
        <v>113</v>
      </c>
      <c r="S1391">
        <v>77908</v>
      </c>
      <c r="T1391" s="19" t="s">
        <v>64</v>
      </c>
      <c r="U1391">
        <v>486.92</v>
      </c>
      <c r="V1391">
        <v>4</v>
      </c>
      <c r="W1391" s="19" t="s">
        <v>47</v>
      </c>
      <c r="X1391">
        <v>20</v>
      </c>
      <c r="Y1391">
        <v>4</v>
      </c>
      <c r="Z1391">
        <v>4</v>
      </c>
      <c r="AA1391">
        <v>3</v>
      </c>
      <c r="AB1391">
        <v>27</v>
      </c>
      <c r="AC1391">
        <v>2</v>
      </c>
      <c r="AD1391">
        <v>2</v>
      </c>
      <c r="AE1391">
        <v>3</v>
      </c>
      <c r="AF1391">
        <v>2</v>
      </c>
      <c r="AG1391">
        <v>0</v>
      </c>
      <c r="AH1391">
        <v>2</v>
      </c>
      <c r="AI1391">
        <v>0</v>
      </c>
      <c r="AJ1391" s="19" t="s">
        <v>1566</v>
      </c>
      <c r="AK1391" s="19" t="s">
        <v>1562</v>
      </c>
      <c r="AL1391">
        <v>2</v>
      </c>
      <c r="AM1391" s="19" t="s">
        <v>1564</v>
      </c>
      <c r="AN1391">
        <v>0.75883078693928463</v>
      </c>
      <c r="AO1391">
        <v>934896</v>
      </c>
    </row>
    <row r="1392" spans="1:41" x14ac:dyDescent="0.3">
      <c r="A1392" s="19" t="s">
        <v>1457</v>
      </c>
      <c r="B1392">
        <v>53</v>
      </c>
      <c r="C1392" s="19" t="s">
        <v>1272</v>
      </c>
      <c r="D1392" s="19" t="s">
        <v>47</v>
      </c>
      <c r="E1392" s="19" t="s">
        <v>48</v>
      </c>
      <c r="F1392">
        <v>1168</v>
      </c>
      <c r="G1392" s="19" t="s">
        <v>932</v>
      </c>
      <c r="H1392">
        <v>24</v>
      </c>
      <c r="I1392">
        <v>4</v>
      </c>
      <c r="J1392" s="19" t="s">
        <v>50</v>
      </c>
      <c r="K1392">
        <v>1968</v>
      </c>
      <c r="L1392">
        <v>1</v>
      </c>
      <c r="M1392" s="19" t="s">
        <v>51</v>
      </c>
      <c r="N1392">
        <v>3</v>
      </c>
      <c r="O1392">
        <v>3</v>
      </c>
      <c r="P1392" s="19" t="s">
        <v>145</v>
      </c>
      <c r="Q1392">
        <v>1</v>
      </c>
      <c r="R1392" s="19" t="s">
        <v>53</v>
      </c>
      <c r="S1392">
        <v>75532</v>
      </c>
      <c r="T1392" s="19" t="s">
        <v>64</v>
      </c>
      <c r="U1392">
        <v>472.08</v>
      </c>
      <c r="V1392">
        <v>6</v>
      </c>
      <c r="W1392" s="19" t="s">
        <v>47</v>
      </c>
      <c r="X1392">
        <v>13</v>
      </c>
      <c r="Y1392">
        <v>3</v>
      </c>
      <c r="Z1392">
        <v>2</v>
      </c>
      <c r="AA1392">
        <v>0</v>
      </c>
      <c r="AB1392">
        <v>15</v>
      </c>
      <c r="AC1392">
        <v>2</v>
      </c>
      <c r="AD1392">
        <v>2</v>
      </c>
      <c r="AE1392">
        <v>2</v>
      </c>
      <c r="AF1392">
        <v>2</v>
      </c>
      <c r="AG1392">
        <v>2</v>
      </c>
      <c r="AH1392">
        <v>2</v>
      </c>
      <c r="AI1392">
        <v>1</v>
      </c>
      <c r="AJ1392" s="19" t="s">
        <v>1566</v>
      </c>
      <c r="AK1392" s="19" t="s">
        <v>1562</v>
      </c>
      <c r="AL1392">
        <v>3</v>
      </c>
      <c r="AM1392" s="19" t="s">
        <v>1568</v>
      </c>
      <c r="AN1392">
        <v>0.53964790243810545</v>
      </c>
      <c r="AO1392">
        <v>906384</v>
      </c>
    </row>
    <row r="1393" spans="1:41" x14ac:dyDescent="0.3">
      <c r="A1393" s="19" t="s">
        <v>1458</v>
      </c>
      <c r="B1393">
        <v>54</v>
      </c>
      <c r="C1393" s="19" t="s">
        <v>1272</v>
      </c>
      <c r="D1393" s="19" t="s">
        <v>55</v>
      </c>
      <c r="E1393" s="19" t="s">
        <v>48</v>
      </c>
      <c r="F1393">
        <v>1217</v>
      </c>
      <c r="G1393" s="19" t="s">
        <v>735</v>
      </c>
      <c r="H1393">
        <v>2</v>
      </c>
      <c r="I1393">
        <v>4</v>
      </c>
      <c r="J1393" s="19" t="s">
        <v>77</v>
      </c>
      <c r="K1393">
        <v>126</v>
      </c>
      <c r="L1393">
        <v>1</v>
      </c>
      <c r="M1393" s="19" t="s">
        <v>59</v>
      </c>
      <c r="N1393">
        <v>3</v>
      </c>
      <c r="O1393">
        <v>3</v>
      </c>
      <c r="P1393" s="19" t="s">
        <v>257</v>
      </c>
      <c r="Q1393">
        <v>3</v>
      </c>
      <c r="R1393" s="19" t="s">
        <v>113</v>
      </c>
      <c r="S1393">
        <v>82994</v>
      </c>
      <c r="T1393" s="19" t="s">
        <v>64</v>
      </c>
      <c r="U1393">
        <v>518.71</v>
      </c>
      <c r="V1393">
        <v>9</v>
      </c>
      <c r="W1393" s="19" t="s">
        <v>55</v>
      </c>
      <c r="X1393">
        <v>12</v>
      </c>
      <c r="Y1393">
        <v>3</v>
      </c>
      <c r="Z1393">
        <v>1</v>
      </c>
      <c r="AA1393">
        <v>1</v>
      </c>
      <c r="AB1393">
        <v>16</v>
      </c>
      <c r="AC1393">
        <v>5</v>
      </c>
      <c r="AD1393">
        <v>1</v>
      </c>
      <c r="AE1393">
        <v>4</v>
      </c>
      <c r="AF1393">
        <v>3</v>
      </c>
      <c r="AG1393">
        <v>0</v>
      </c>
      <c r="AH1393">
        <v>3</v>
      </c>
      <c r="AI1393">
        <v>0</v>
      </c>
      <c r="AJ1393" s="19" t="s">
        <v>1567</v>
      </c>
      <c r="AK1393" s="19" t="s">
        <v>1562</v>
      </c>
      <c r="AL1393">
        <v>1</v>
      </c>
      <c r="AM1393" s="19" t="s">
        <v>1565</v>
      </c>
      <c r="AN1393">
        <v>0.63815559951700529</v>
      </c>
      <c r="AO1393">
        <v>995928</v>
      </c>
    </row>
    <row r="1394" spans="1:41" x14ac:dyDescent="0.3">
      <c r="A1394" s="19" t="s">
        <v>1459</v>
      </c>
      <c r="B1394">
        <v>54</v>
      </c>
      <c r="C1394" s="19" t="s">
        <v>1272</v>
      </c>
      <c r="D1394" s="19" t="s">
        <v>55</v>
      </c>
      <c r="E1394" s="19" t="s">
        <v>66</v>
      </c>
      <c r="F1394">
        <v>142</v>
      </c>
      <c r="G1394" s="19" t="s">
        <v>80</v>
      </c>
      <c r="H1394">
        <v>26</v>
      </c>
      <c r="I1394">
        <v>3</v>
      </c>
      <c r="J1394" s="19" t="s">
        <v>80</v>
      </c>
      <c r="K1394">
        <v>148</v>
      </c>
      <c r="L1394">
        <v>4</v>
      </c>
      <c r="M1394" s="19" t="s">
        <v>59</v>
      </c>
      <c r="N1394">
        <v>4</v>
      </c>
      <c r="O1394">
        <v>4</v>
      </c>
      <c r="P1394" s="19" t="s">
        <v>444</v>
      </c>
      <c r="Q1394">
        <v>4</v>
      </c>
      <c r="R1394" s="19" t="s">
        <v>53</v>
      </c>
      <c r="S1394">
        <v>57133</v>
      </c>
      <c r="T1394" s="19" t="s">
        <v>64</v>
      </c>
      <c r="U1394">
        <v>357.08</v>
      </c>
      <c r="V1394">
        <v>2</v>
      </c>
      <c r="W1394" s="19" t="s">
        <v>47</v>
      </c>
      <c r="X1394">
        <v>12</v>
      </c>
      <c r="Y1394">
        <v>3</v>
      </c>
      <c r="Z1394">
        <v>3</v>
      </c>
      <c r="AA1394">
        <v>0</v>
      </c>
      <c r="AB1394">
        <v>23</v>
      </c>
      <c r="AC1394">
        <v>3</v>
      </c>
      <c r="AD1394">
        <v>3</v>
      </c>
      <c r="AE1394">
        <v>5</v>
      </c>
      <c r="AF1394">
        <v>3</v>
      </c>
      <c r="AG1394">
        <v>4</v>
      </c>
      <c r="AH1394">
        <v>4</v>
      </c>
      <c r="AI1394">
        <v>0</v>
      </c>
      <c r="AJ1394" s="19" t="s">
        <v>1567</v>
      </c>
      <c r="AK1394" s="19" t="s">
        <v>1570</v>
      </c>
      <c r="AL1394">
        <v>2</v>
      </c>
      <c r="AM1394" s="19" t="s">
        <v>1564</v>
      </c>
      <c r="AN1394">
        <v>9.4537273760627843E-2</v>
      </c>
      <c r="AO1394">
        <v>685596</v>
      </c>
    </row>
    <row r="1395" spans="1:41" x14ac:dyDescent="0.3">
      <c r="A1395" s="19" t="s">
        <v>1460</v>
      </c>
      <c r="B1395">
        <v>54</v>
      </c>
      <c r="C1395" s="19" t="s">
        <v>1272</v>
      </c>
      <c r="D1395" s="19" t="s">
        <v>55</v>
      </c>
      <c r="E1395" s="19" t="s">
        <v>48</v>
      </c>
      <c r="F1395">
        <v>1147</v>
      </c>
      <c r="G1395" s="19" t="s">
        <v>932</v>
      </c>
      <c r="H1395">
        <v>3</v>
      </c>
      <c r="I1395">
        <v>3</v>
      </c>
      <c r="J1395" s="19" t="s">
        <v>63</v>
      </c>
      <c r="K1395">
        <v>303</v>
      </c>
      <c r="L1395">
        <v>4</v>
      </c>
      <c r="M1395" s="19" t="s">
        <v>59</v>
      </c>
      <c r="N1395">
        <v>3</v>
      </c>
      <c r="O1395">
        <v>2</v>
      </c>
      <c r="P1395" s="19" t="s">
        <v>145</v>
      </c>
      <c r="Q1395">
        <v>1</v>
      </c>
      <c r="R1395" s="19" t="s">
        <v>113</v>
      </c>
      <c r="S1395">
        <v>98425</v>
      </c>
      <c r="T1395" s="19" t="s">
        <v>70</v>
      </c>
      <c r="U1395">
        <v>615.16</v>
      </c>
      <c r="V1395">
        <v>2</v>
      </c>
      <c r="W1395" s="19" t="s">
        <v>55</v>
      </c>
      <c r="X1395">
        <v>14</v>
      </c>
      <c r="Y1395">
        <v>3</v>
      </c>
      <c r="Z1395">
        <v>4</v>
      </c>
      <c r="AA1395">
        <v>1</v>
      </c>
      <c r="AB1395">
        <v>16</v>
      </c>
      <c r="AC1395">
        <v>4</v>
      </c>
      <c r="AD1395">
        <v>3</v>
      </c>
      <c r="AE1395">
        <v>6</v>
      </c>
      <c r="AF1395">
        <v>2</v>
      </c>
      <c r="AG1395">
        <v>0</v>
      </c>
      <c r="AH1395">
        <v>5</v>
      </c>
      <c r="AI1395">
        <v>0</v>
      </c>
      <c r="AJ1395" s="19" t="s">
        <v>1569</v>
      </c>
      <c r="AK1395" s="19" t="s">
        <v>1562</v>
      </c>
      <c r="AL1395">
        <v>1</v>
      </c>
      <c r="AM1395" s="19" t="s">
        <v>1565</v>
      </c>
      <c r="AN1395">
        <v>1.0062999099384438</v>
      </c>
      <c r="AO1395">
        <v>1181100</v>
      </c>
    </row>
    <row r="1396" spans="1:41" x14ac:dyDescent="0.3">
      <c r="A1396" s="19" t="s">
        <v>1461</v>
      </c>
      <c r="B1396">
        <v>54</v>
      </c>
      <c r="C1396" s="19" t="s">
        <v>1272</v>
      </c>
      <c r="D1396" s="19" t="s">
        <v>55</v>
      </c>
      <c r="E1396" s="19" t="s">
        <v>62</v>
      </c>
      <c r="F1396">
        <v>928</v>
      </c>
      <c r="G1396" s="19" t="s">
        <v>735</v>
      </c>
      <c r="H1396">
        <v>20</v>
      </c>
      <c r="I1396">
        <v>4</v>
      </c>
      <c r="J1396" s="19" t="s">
        <v>50</v>
      </c>
      <c r="K1396">
        <v>450</v>
      </c>
      <c r="L1396">
        <v>4</v>
      </c>
      <c r="M1396" s="19" t="s">
        <v>59</v>
      </c>
      <c r="N1396">
        <v>3</v>
      </c>
      <c r="O1396">
        <v>2</v>
      </c>
      <c r="P1396" s="19" t="s">
        <v>67</v>
      </c>
      <c r="Q1396">
        <v>3</v>
      </c>
      <c r="R1396" s="19" t="s">
        <v>53</v>
      </c>
      <c r="S1396">
        <v>62268</v>
      </c>
      <c r="T1396" s="19" t="s">
        <v>64</v>
      </c>
      <c r="U1396">
        <v>389.18</v>
      </c>
      <c r="V1396">
        <v>3</v>
      </c>
      <c r="W1396" s="19" t="s">
        <v>55</v>
      </c>
      <c r="X1396">
        <v>12</v>
      </c>
      <c r="Y1396">
        <v>3</v>
      </c>
      <c r="Z1396">
        <v>4</v>
      </c>
      <c r="AA1396">
        <v>0</v>
      </c>
      <c r="AB1396">
        <v>20</v>
      </c>
      <c r="AC1396">
        <v>4</v>
      </c>
      <c r="AD1396">
        <v>2</v>
      </c>
      <c r="AE1396">
        <v>4</v>
      </c>
      <c r="AF1396">
        <v>3</v>
      </c>
      <c r="AG1396">
        <v>0</v>
      </c>
      <c r="AH1396">
        <v>3</v>
      </c>
      <c r="AI1396">
        <v>0</v>
      </c>
      <c r="AJ1396" s="19" t="s">
        <v>1567</v>
      </c>
      <c r="AK1396" s="19" t="s">
        <v>1562</v>
      </c>
      <c r="AL1396">
        <v>1</v>
      </c>
      <c r="AM1396" s="19" t="s">
        <v>1565</v>
      </c>
      <c r="AN1396">
        <v>0.24870396956546018</v>
      </c>
      <c r="AO1396">
        <v>747216</v>
      </c>
    </row>
    <row r="1397" spans="1:41" x14ac:dyDescent="0.3">
      <c r="A1397" s="19" t="s">
        <v>1462</v>
      </c>
      <c r="B1397">
        <v>54</v>
      </c>
      <c r="C1397" s="19" t="s">
        <v>1272</v>
      </c>
      <c r="D1397" s="19" t="s">
        <v>55</v>
      </c>
      <c r="E1397" s="19" t="s">
        <v>48</v>
      </c>
      <c r="F1397">
        <v>821</v>
      </c>
      <c r="G1397" s="19" t="s">
        <v>735</v>
      </c>
      <c r="H1397">
        <v>5</v>
      </c>
      <c r="I1397">
        <v>2</v>
      </c>
      <c r="J1397" s="19" t="s">
        <v>58</v>
      </c>
      <c r="K1397">
        <v>522</v>
      </c>
      <c r="L1397">
        <v>1</v>
      </c>
      <c r="M1397" s="19" t="s">
        <v>51</v>
      </c>
      <c r="N1397">
        <v>3</v>
      </c>
      <c r="O1397">
        <v>5</v>
      </c>
      <c r="P1397" s="19" t="s">
        <v>257</v>
      </c>
      <c r="Q1397">
        <v>1</v>
      </c>
      <c r="R1397" s="19" t="s">
        <v>113</v>
      </c>
      <c r="S1397">
        <v>93201</v>
      </c>
      <c r="T1397" s="19" t="s">
        <v>70</v>
      </c>
      <c r="U1397">
        <v>582.51</v>
      </c>
      <c r="V1397">
        <v>4</v>
      </c>
      <c r="W1397" s="19" t="s">
        <v>55</v>
      </c>
      <c r="X1397">
        <v>11</v>
      </c>
      <c r="Y1397">
        <v>3</v>
      </c>
      <c r="Z1397">
        <v>3</v>
      </c>
      <c r="AA1397">
        <v>1</v>
      </c>
      <c r="AB1397">
        <v>24</v>
      </c>
      <c r="AC1397">
        <v>4</v>
      </c>
      <c r="AD1397">
        <v>2</v>
      </c>
      <c r="AE1397">
        <v>4</v>
      </c>
      <c r="AF1397">
        <v>2</v>
      </c>
      <c r="AG1397">
        <v>1</v>
      </c>
      <c r="AH1397">
        <v>2</v>
      </c>
      <c r="AI1397">
        <v>0</v>
      </c>
      <c r="AJ1397" s="19" t="s">
        <v>1567</v>
      </c>
      <c r="AK1397" s="19" t="s">
        <v>1562</v>
      </c>
      <c r="AL1397">
        <v>2</v>
      </c>
      <c r="AM1397" s="19" t="s">
        <v>1564</v>
      </c>
      <c r="AN1397">
        <v>0.8396238285970602</v>
      </c>
      <c r="AO1397">
        <v>1118412</v>
      </c>
    </row>
    <row r="1398" spans="1:41" x14ac:dyDescent="0.3">
      <c r="A1398" s="19" t="s">
        <v>1463</v>
      </c>
      <c r="B1398">
        <v>54</v>
      </c>
      <c r="C1398" s="19" t="s">
        <v>1272</v>
      </c>
      <c r="D1398" s="19" t="s">
        <v>55</v>
      </c>
      <c r="E1398" s="19" t="s">
        <v>48</v>
      </c>
      <c r="F1398">
        <v>548</v>
      </c>
      <c r="G1398" s="19" t="s">
        <v>735</v>
      </c>
      <c r="H1398">
        <v>8</v>
      </c>
      <c r="I1398">
        <v>4</v>
      </c>
      <c r="J1398" s="19" t="s">
        <v>50</v>
      </c>
      <c r="K1398">
        <v>578</v>
      </c>
      <c r="L1398">
        <v>3</v>
      </c>
      <c r="M1398" s="19" t="s">
        <v>59</v>
      </c>
      <c r="N1398">
        <v>3</v>
      </c>
      <c r="O1398">
        <v>2</v>
      </c>
      <c r="P1398" s="19" t="s">
        <v>52</v>
      </c>
      <c r="Q1398">
        <v>3</v>
      </c>
      <c r="R1398" s="19" t="s">
        <v>53</v>
      </c>
      <c r="S1398">
        <v>39243</v>
      </c>
      <c r="T1398" s="19" t="s">
        <v>72</v>
      </c>
      <c r="U1398">
        <v>245.27</v>
      </c>
      <c r="V1398">
        <v>7</v>
      </c>
      <c r="W1398" s="19" t="s">
        <v>55</v>
      </c>
      <c r="X1398">
        <v>11</v>
      </c>
      <c r="Y1398">
        <v>3</v>
      </c>
      <c r="Z1398">
        <v>3</v>
      </c>
      <c r="AA1398">
        <v>0</v>
      </c>
      <c r="AB1398">
        <v>19</v>
      </c>
      <c r="AC1398">
        <v>3</v>
      </c>
      <c r="AD1398">
        <v>3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 s="19" t="s">
        <v>1561</v>
      </c>
      <c r="AK1398" s="19" t="s">
        <v>1562</v>
      </c>
      <c r="AL1398">
        <v>0</v>
      </c>
      <c r="AM1398" s="19" t="s">
        <v>1563</v>
      </c>
      <c r="AN1398">
        <v>-0.24125007885031205</v>
      </c>
      <c r="AO1398">
        <v>470916</v>
      </c>
    </row>
    <row r="1399" spans="1:41" x14ac:dyDescent="0.3">
      <c r="A1399" s="19" t="s">
        <v>1464</v>
      </c>
      <c r="B1399">
        <v>54</v>
      </c>
      <c r="C1399" s="19" t="s">
        <v>1272</v>
      </c>
      <c r="D1399" s="19" t="s">
        <v>55</v>
      </c>
      <c r="E1399" s="19" t="s">
        <v>48</v>
      </c>
      <c r="F1399">
        <v>397</v>
      </c>
      <c r="G1399" s="19" t="s">
        <v>80</v>
      </c>
      <c r="H1399">
        <v>19</v>
      </c>
      <c r="I1399">
        <v>4</v>
      </c>
      <c r="J1399" s="19" t="s">
        <v>58</v>
      </c>
      <c r="K1399">
        <v>698</v>
      </c>
      <c r="L1399">
        <v>3</v>
      </c>
      <c r="M1399" s="19" t="s">
        <v>51</v>
      </c>
      <c r="N1399">
        <v>3</v>
      </c>
      <c r="O1399">
        <v>3</v>
      </c>
      <c r="P1399" s="19" t="s">
        <v>80</v>
      </c>
      <c r="Q1399">
        <v>2</v>
      </c>
      <c r="R1399" s="19" t="s">
        <v>113</v>
      </c>
      <c r="S1399">
        <v>58384</v>
      </c>
      <c r="T1399" s="19" t="s">
        <v>64</v>
      </c>
      <c r="U1399">
        <v>364.9</v>
      </c>
      <c r="V1399">
        <v>2</v>
      </c>
      <c r="W1399" s="19" t="s">
        <v>55</v>
      </c>
      <c r="X1399">
        <v>15</v>
      </c>
      <c r="Y1399">
        <v>3</v>
      </c>
      <c r="Z1399">
        <v>3</v>
      </c>
      <c r="AA1399">
        <v>1</v>
      </c>
      <c r="AB1399">
        <v>16</v>
      </c>
      <c r="AC1399">
        <v>1</v>
      </c>
      <c r="AD1399">
        <v>4</v>
      </c>
      <c r="AE1399">
        <v>9</v>
      </c>
      <c r="AF1399">
        <v>7</v>
      </c>
      <c r="AG1399">
        <v>7</v>
      </c>
      <c r="AH1399">
        <v>1</v>
      </c>
      <c r="AI1399">
        <v>0</v>
      </c>
      <c r="AJ1399" s="19" t="s">
        <v>1569</v>
      </c>
      <c r="AK1399" s="19" t="s">
        <v>1570</v>
      </c>
      <c r="AL1399">
        <v>2</v>
      </c>
      <c r="AM1399" s="19" t="s">
        <v>1564</v>
      </c>
      <c r="AN1399">
        <v>0.15055880001061134</v>
      </c>
      <c r="AO1399">
        <v>700608</v>
      </c>
    </row>
    <row r="1400" spans="1:41" x14ac:dyDescent="0.3">
      <c r="A1400" s="19" t="s">
        <v>1465</v>
      </c>
      <c r="B1400">
        <v>54</v>
      </c>
      <c r="C1400" s="19" t="s">
        <v>1272</v>
      </c>
      <c r="D1400" s="19" t="s">
        <v>55</v>
      </c>
      <c r="E1400" s="19" t="s">
        <v>48</v>
      </c>
      <c r="F1400">
        <v>376</v>
      </c>
      <c r="G1400" s="19" t="s">
        <v>735</v>
      </c>
      <c r="H1400">
        <v>19</v>
      </c>
      <c r="I1400">
        <v>4</v>
      </c>
      <c r="J1400" s="19" t="s">
        <v>58</v>
      </c>
      <c r="K1400">
        <v>799</v>
      </c>
      <c r="L1400">
        <v>4</v>
      </c>
      <c r="M1400" s="19" t="s">
        <v>59</v>
      </c>
      <c r="N1400">
        <v>3</v>
      </c>
      <c r="O1400">
        <v>2</v>
      </c>
      <c r="P1400" s="19" t="s">
        <v>120</v>
      </c>
      <c r="Q1400">
        <v>1</v>
      </c>
      <c r="R1400" s="19" t="s">
        <v>113</v>
      </c>
      <c r="S1400">
        <v>32653</v>
      </c>
      <c r="T1400" s="19" t="s">
        <v>72</v>
      </c>
      <c r="U1400">
        <v>204.08</v>
      </c>
      <c r="V1400">
        <v>9</v>
      </c>
      <c r="W1400" s="19" t="s">
        <v>47</v>
      </c>
      <c r="X1400">
        <v>11</v>
      </c>
      <c r="Y1400">
        <v>3</v>
      </c>
      <c r="Z1400">
        <v>2</v>
      </c>
      <c r="AA1400">
        <v>2</v>
      </c>
      <c r="AB1400">
        <v>9</v>
      </c>
      <c r="AC1400">
        <v>4</v>
      </c>
      <c r="AD1400">
        <v>3</v>
      </c>
      <c r="AE1400">
        <v>5</v>
      </c>
      <c r="AF1400">
        <v>3</v>
      </c>
      <c r="AG1400">
        <v>1</v>
      </c>
      <c r="AH1400">
        <v>4</v>
      </c>
      <c r="AI1400">
        <v>0</v>
      </c>
      <c r="AJ1400" s="19" t="s">
        <v>1567</v>
      </c>
      <c r="AK1400" s="19" t="s">
        <v>1562</v>
      </c>
      <c r="AL1400">
        <v>2</v>
      </c>
      <c r="AM1400" s="19" t="s">
        <v>1564</v>
      </c>
      <c r="AN1400">
        <v>-0.26283434710262799</v>
      </c>
      <c r="AO1400">
        <v>391836</v>
      </c>
    </row>
    <row r="1401" spans="1:41" x14ac:dyDescent="0.3">
      <c r="A1401" s="19" t="s">
        <v>1466</v>
      </c>
      <c r="B1401">
        <v>54</v>
      </c>
      <c r="C1401" s="19" t="s">
        <v>1272</v>
      </c>
      <c r="D1401" s="19" t="s">
        <v>55</v>
      </c>
      <c r="E1401" s="19" t="s">
        <v>48</v>
      </c>
      <c r="F1401">
        <v>1441</v>
      </c>
      <c r="G1401" s="19" t="s">
        <v>735</v>
      </c>
      <c r="H1401">
        <v>17</v>
      </c>
      <c r="I1401">
        <v>3</v>
      </c>
      <c r="J1401" s="19" t="s">
        <v>77</v>
      </c>
      <c r="K1401">
        <v>1013</v>
      </c>
      <c r="L1401">
        <v>3</v>
      </c>
      <c r="M1401" s="19" t="s">
        <v>59</v>
      </c>
      <c r="N1401">
        <v>3</v>
      </c>
      <c r="O1401">
        <v>3</v>
      </c>
      <c r="P1401" s="19" t="s">
        <v>120</v>
      </c>
      <c r="Q1401">
        <v>3</v>
      </c>
      <c r="R1401" s="19" t="s">
        <v>113</v>
      </c>
      <c r="S1401">
        <v>27657</v>
      </c>
      <c r="T1401" s="19" t="s">
        <v>72</v>
      </c>
      <c r="U1401">
        <v>172.86</v>
      </c>
      <c r="V1401">
        <v>8</v>
      </c>
      <c r="W1401" s="19" t="s">
        <v>55</v>
      </c>
      <c r="X1401">
        <v>11</v>
      </c>
      <c r="Y1401">
        <v>3</v>
      </c>
      <c r="Z1401">
        <v>3</v>
      </c>
      <c r="AA1401">
        <v>1</v>
      </c>
      <c r="AB1401">
        <v>22</v>
      </c>
      <c r="AC1401">
        <v>2</v>
      </c>
      <c r="AD1401">
        <v>3</v>
      </c>
      <c r="AE1401">
        <v>10</v>
      </c>
      <c r="AF1401">
        <v>7</v>
      </c>
      <c r="AG1401">
        <v>0</v>
      </c>
      <c r="AH1401">
        <v>8</v>
      </c>
      <c r="AI1401">
        <v>0</v>
      </c>
      <c r="AJ1401" s="19" t="s">
        <v>1569</v>
      </c>
      <c r="AK1401" s="19" t="s">
        <v>1562</v>
      </c>
      <c r="AL1401">
        <v>0</v>
      </c>
      <c r="AM1401" s="19" t="s">
        <v>1563</v>
      </c>
      <c r="AN1401">
        <v>-0.37562274638830678</v>
      </c>
      <c r="AO1401">
        <v>331884</v>
      </c>
    </row>
    <row r="1402" spans="1:41" x14ac:dyDescent="0.3">
      <c r="A1402" s="19" t="s">
        <v>1467</v>
      </c>
      <c r="B1402">
        <v>54</v>
      </c>
      <c r="C1402" s="19" t="s">
        <v>1272</v>
      </c>
      <c r="D1402" s="19" t="s">
        <v>55</v>
      </c>
      <c r="E1402" s="19" t="s">
        <v>48</v>
      </c>
      <c r="F1402">
        <v>1082</v>
      </c>
      <c r="G1402" s="19" t="s">
        <v>932</v>
      </c>
      <c r="H1402">
        <v>2</v>
      </c>
      <c r="I1402">
        <v>4</v>
      </c>
      <c r="J1402" s="19" t="s">
        <v>50</v>
      </c>
      <c r="K1402">
        <v>1070</v>
      </c>
      <c r="L1402">
        <v>3</v>
      </c>
      <c r="M1402" s="19" t="s">
        <v>59</v>
      </c>
      <c r="N1402">
        <v>2</v>
      </c>
      <c r="O1402">
        <v>3</v>
      </c>
      <c r="P1402" s="19" t="s">
        <v>145</v>
      </c>
      <c r="Q1402">
        <v>3</v>
      </c>
      <c r="R1402" s="19" t="s">
        <v>113</v>
      </c>
      <c r="S1402">
        <v>40952</v>
      </c>
      <c r="T1402" s="19" t="s">
        <v>72</v>
      </c>
      <c r="U1402">
        <v>255.95</v>
      </c>
      <c r="V1402">
        <v>6</v>
      </c>
      <c r="W1402" s="19" t="s">
        <v>55</v>
      </c>
      <c r="X1402">
        <v>11</v>
      </c>
      <c r="Y1402">
        <v>3</v>
      </c>
      <c r="Z1402">
        <v>2</v>
      </c>
      <c r="AA1402">
        <v>1</v>
      </c>
      <c r="AB1402">
        <v>13</v>
      </c>
      <c r="AC1402">
        <v>4</v>
      </c>
      <c r="AD1402">
        <v>3</v>
      </c>
      <c r="AE1402">
        <v>9</v>
      </c>
      <c r="AF1402">
        <v>4</v>
      </c>
      <c r="AG1402">
        <v>7</v>
      </c>
      <c r="AH1402">
        <v>0</v>
      </c>
      <c r="AI1402">
        <v>0</v>
      </c>
      <c r="AJ1402" s="19" t="s">
        <v>1569</v>
      </c>
      <c r="AK1402" s="19" t="s">
        <v>1570</v>
      </c>
      <c r="AL1402">
        <v>1</v>
      </c>
      <c r="AM1402" s="19" t="s">
        <v>1565</v>
      </c>
      <c r="AN1402">
        <v>-0.16523247232106528</v>
      </c>
      <c r="AO1402">
        <v>491424</v>
      </c>
    </row>
    <row r="1403" spans="1:41" x14ac:dyDescent="0.3">
      <c r="A1403" s="19" t="s">
        <v>1468</v>
      </c>
      <c r="B1403">
        <v>54</v>
      </c>
      <c r="C1403" s="19" t="s">
        <v>1272</v>
      </c>
      <c r="D1403" s="19" t="s">
        <v>55</v>
      </c>
      <c r="E1403" s="19" t="s">
        <v>62</v>
      </c>
      <c r="F1403">
        <v>966</v>
      </c>
      <c r="G1403" s="19" t="s">
        <v>735</v>
      </c>
      <c r="H1403">
        <v>1</v>
      </c>
      <c r="I1403">
        <v>4</v>
      </c>
      <c r="J1403" s="19" t="s">
        <v>50</v>
      </c>
      <c r="K1403">
        <v>1245</v>
      </c>
      <c r="L1403">
        <v>4</v>
      </c>
      <c r="M1403" s="19" t="s">
        <v>59</v>
      </c>
      <c r="N1403">
        <v>3</v>
      </c>
      <c r="O1403">
        <v>3</v>
      </c>
      <c r="P1403" s="19" t="s">
        <v>120</v>
      </c>
      <c r="Q1403">
        <v>3</v>
      </c>
      <c r="R1403" s="19" t="s">
        <v>53</v>
      </c>
      <c r="S1403">
        <v>23180</v>
      </c>
      <c r="T1403" s="19" t="s">
        <v>54</v>
      </c>
      <c r="U1403">
        <v>144.88</v>
      </c>
      <c r="V1403">
        <v>7</v>
      </c>
      <c r="W1403" s="19" t="s">
        <v>55</v>
      </c>
      <c r="X1403">
        <v>17</v>
      </c>
      <c r="Y1403">
        <v>3</v>
      </c>
      <c r="Z1403">
        <v>1</v>
      </c>
      <c r="AA1403">
        <v>1</v>
      </c>
      <c r="AB1403">
        <v>33</v>
      </c>
      <c r="AC1403">
        <v>2</v>
      </c>
      <c r="AD1403">
        <v>1</v>
      </c>
      <c r="AE1403">
        <v>5</v>
      </c>
      <c r="AF1403">
        <v>4</v>
      </c>
      <c r="AG1403">
        <v>1</v>
      </c>
      <c r="AH1403">
        <v>4</v>
      </c>
      <c r="AI1403">
        <v>0</v>
      </c>
      <c r="AJ1403" s="19" t="s">
        <v>1567</v>
      </c>
      <c r="AK1403" s="19" t="s">
        <v>1562</v>
      </c>
      <c r="AL1403">
        <v>1</v>
      </c>
      <c r="AM1403" s="19" t="s">
        <v>1565</v>
      </c>
      <c r="AN1403">
        <v>-0.47669433638069753</v>
      </c>
      <c r="AO1403">
        <v>278160</v>
      </c>
    </row>
    <row r="1404" spans="1:41" x14ac:dyDescent="0.3">
      <c r="A1404" s="19" t="s">
        <v>1469</v>
      </c>
      <c r="B1404">
        <v>54</v>
      </c>
      <c r="C1404" s="19" t="s">
        <v>1272</v>
      </c>
      <c r="D1404" s="19" t="s">
        <v>55</v>
      </c>
      <c r="E1404" s="19" t="s">
        <v>48</v>
      </c>
      <c r="F1404">
        <v>685</v>
      </c>
      <c r="G1404" s="19" t="s">
        <v>735</v>
      </c>
      <c r="H1404">
        <v>3</v>
      </c>
      <c r="I1404">
        <v>3</v>
      </c>
      <c r="J1404" s="19" t="s">
        <v>50</v>
      </c>
      <c r="K1404">
        <v>1250</v>
      </c>
      <c r="L1404">
        <v>4</v>
      </c>
      <c r="M1404" s="19" t="s">
        <v>51</v>
      </c>
      <c r="N1404">
        <v>3</v>
      </c>
      <c r="O1404">
        <v>4</v>
      </c>
      <c r="P1404" s="19" t="s">
        <v>257</v>
      </c>
      <c r="Q1404">
        <v>4</v>
      </c>
      <c r="R1404" s="19" t="s">
        <v>113</v>
      </c>
      <c r="S1404">
        <v>98432</v>
      </c>
      <c r="T1404" s="19" t="s">
        <v>70</v>
      </c>
      <c r="U1404">
        <v>615.20000000000005</v>
      </c>
      <c r="V1404">
        <v>3</v>
      </c>
      <c r="W1404" s="19" t="s">
        <v>55</v>
      </c>
      <c r="X1404">
        <v>14</v>
      </c>
      <c r="Y1404">
        <v>3</v>
      </c>
      <c r="Z1404">
        <v>1</v>
      </c>
      <c r="AA1404">
        <v>0</v>
      </c>
      <c r="AB1404">
        <v>36</v>
      </c>
      <c r="AC1404">
        <v>2</v>
      </c>
      <c r="AD1404">
        <v>3</v>
      </c>
      <c r="AE1404">
        <v>10</v>
      </c>
      <c r="AF1404">
        <v>9</v>
      </c>
      <c r="AG1404">
        <v>0</v>
      </c>
      <c r="AH1404">
        <v>9</v>
      </c>
      <c r="AI1404">
        <v>0</v>
      </c>
      <c r="AJ1404" s="19" t="s">
        <v>1569</v>
      </c>
      <c r="AK1404" s="19" t="s">
        <v>1562</v>
      </c>
      <c r="AL1404">
        <v>0</v>
      </c>
      <c r="AM1404" s="19" t="s">
        <v>1563</v>
      </c>
      <c r="AN1404">
        <v>0.94287456890447341</v>
      </c>
      <c r="AO1404">
        <v>1181184</v>
      </c>
    </row>
    <row r="1405" spans="1:41" x14ac:dyDescent="0.3">
      <c r="A1405" s="19" t="s">
        <v>1470</v>
      </c>
      <c r="B1405">
        <v>54</v>
      </c>
      <c r="C1405" s="19" t="s">
        <v>1272</v>
      </c>
      <c r="D1405" s="19" t="s">
        <v>55</v>
      </c>
      <c r="E1405" s="19" t="s">
        <v>48</v>
      </c>
      <c r="F1405">
        <v>971</v>
      </c>
      <c r="G1405" s="19" t="s">
        <v>735</v>
      </c>
      <c r="H1405">
        <v>1</v>
      </c>
      <c r="I1405">
        <v>3</v>
      </c>
      <c r="J1405" s="19" t="s">
        <v>58</v>
      </c>
      <c r="K1405">
        <v>1422</v>
      </c>
      <c r="L1405">
        <v>4</v>
      </c>
      <c r="M1405" s="19" t="s">
        <v>59</v>
      </c>
      <c r="N1405">
        <v>3</v>
      </c>
      <c r="O1405">
        <v>4</v>
      </c>
      <c r="P1405" s="19" t="s">
        <v>257</v>
      </c>
      <c r="Q1405">
        <v>4</v>
      </c>
      <c r="R1405" s="19" t="s">
        <v>53</v>
      </c>
      <c r="S1405">
        <v>79411</v>
      </c>
      <c r="T1405" s="19" t="s">
        <v>64</v>
      </c>
      <c r="U1405">
        <v>496.32</v>
      </c>
      <c r="V1405">
        <v>6</v>
      </c>
      <c r="W1405" s="19" t="s">
        <v>55</v>
      </c>
      <c r="X1405">
        <v>19</v>
      </c>
      <c r="Y1405">
        <v>3</v>
      </c>
      <c r="Z1405">
        <v>4</v>
      </c>
      <c r="AA1405">
        <v>0</v>
      </c>
      <c r="AB1405">
        <v>29</v>
      </c>
      <c r="AC1405">
        <v>3</v>
      </c>
      <c r="AD1405">
        <v>2</v>
      </c>
      <c r="AE1405">
        <v>20</v>
      </c>
      <c r="AF1405">
        <v>7</v>
      </c>
      <c r="AG1405">
        <v>12</v>
      </c>
      <c r="AH1405">
        <v>7</v>
      </c>
      <c r="AI1405">
        <v>0</v>
      </c>
      <c r="AJ1405" s="19" t="s">
        <v>1571</v>
      </c>
      <c r="AK1405" s="19" t="s">
        <v>1570</v>
      </c>
      <c r="AL1405">
        <v>2</v>
      </c>
      <c r="AM1405" s="19" t="s">
        <v>1564</v>
      </c>
      <c r="AN1405">
        <v>0.56743348089313572</v>
      </c>
      <c r="AO1405">
        <v>952932</v>
      </c>
    </row>
    <row r="1406" spans="1:41" x14ac:dyDescent="0.3">
      <c r="A1406" s="19" t="s">
        <v>1471</v>
      </c>
      <c r="B1406">
        <v>54</v>
      </c>
      <c r="C1406" s="19" t="s">
        <v>1272</v>
      </c>
      <c r="D1406" s="19" t="s">
        <v>55</v>
      </c>
      <c r="E1406" s="19" t="s">
        <v>62</v>
      </c>
      <c r="F1406">
        <v>1050</v>
      </c>
      <c r="G1406" s="19" t="s">
        <v>735</v>
      </c>
      <c r="H1406">
        <v>11</v>
      </c>
      <c r="I1406">
        <v>4</v>
      </c>
      <c r="J1406" s="19" t="s">
        <v>58</v>
      </c>
      <c r="K1406">
        <v>1520</v>
      </c>
      <c r="L1406">
        <v>2</v>
      </c>
      <c r="M1406" s="19" t="s">
        <v>59</v>
      </c>
      <c r="N1406">
        <v>3</v>
      </c>
      <c r="O1406">
        <v>4</v>
      </c>
      <c r="P1406" s="19" t="s">
        <v>444</v>
      </c>
      <c r="Q1406">
        <v>4</v>
      </c>
      <c r="R1406" s="19" t="s">
        <v>53</v>
      </c>
      <c r="S1406">
        <v>2622</v>
      </c>
      <c r="T1406" s="19" t="s">
        <v>54</v>
      </c>
      <c r="U1406">
        <v>16.39</v>
      </c>
      <c r="V1406">
        <v>3</v>
      </c>
      <c r="W1406" s="19" t="s">
        <v>55</v>
      </c>
      <c r="X1406">
        <v>20</v>
      </c>
      <c r="Y1406">
        <v>4</v>
      </c>
      <c r="Z1406">
        <v>1</v>
      </c>
      <c r="AA1406">
        <v>1</v>
      </c>
      <c r="AB1406">
        <v>26</v>
      </c>
      <c r="AC1406">
        <v>2</v>
      </c>
      <c r="AD1406">
        <v>3</v>
      </c>
      <c r="AE1406">
        <v>14</v>
      </c>
      <c r="AF1406">
        <v>9</v>
      </c>
      <c r="AG1406">
        <v>1</v>
      </c>
      <c r="AH1406">
        <v>12</v>
      </c>
      <c r="AI1406">
        <v>0</v>
      </c>
      <c r="AJ1406" s="19" t="s">
        <v>1571</v>
      </c>
      <c r="AK1406" s="19" t="s">
        <v>1562</v>
      </c>
      <c r="AL1406">
        <v>0</v>
      </c>
      <c r="AM1406" s="19" t="s">
        <v>1563</v>
      </c>
      <c r="AN1406">
        <v>-0.9497684922584082</v>
      </c>
      <c r="AO1406">
        <v>31464</v>
      </c>
    </row>
    <row r="1407" spans="1:41" x14ac:dyDescent="0.3">
      <c r="A1407" s="19" t="s">
        <v>1472</v>
      </c>
      <c r="B1407">
        <v>54</v>
      </c>
      <c r="C1407" s="19" t="s">
        <v>1272</v>
      </c>
      <c r="D1407" s="19" t="s">
        <v>55</v>
      </c>
      <c r="E1407" s="19" t="s">
        <v>48</v>
      </c>
      <c r="F1407">
        <v>584</v>
      </c>
      <c r="G1407" s="19" t="s">
        <v>735</v>
      </c>
      <c r="H1407">
        <v>22</v>
      </c>
      <c r="I1407">
        <v>5</v>
      </c>
      <c r="J1407" s="19" t="s">
        <v>58</v>
      </c>
      <c r="K1407">
        <v>1665</v>
      </c>
      <c r="L1407">
        <v>2</v>
      </c>
      <c r="M1407" s="19" t="s">
        <v>59</v>
      </c>
      <c r="N1407">
        <v>3</v>
      </c>
      <c r="O1407">
        <v>4</v>
      </c>
      <c r="P1407" s="19" t="s">
        <v>444</v>
      </c>
      <c r="Q1407">
        <v>3</v>
      </c>
      <c r="R1407" s="19" t="s">
        <v>113</v>
      </c>
      <c r="S1407">
        <v>49756</v>
      </c>
      <c r="T1407" s="19" t="s">
        <v>72</v>
      </c>
      <c r="U1407">
        <v>310.98</v>
      </c>
      <c r="V1407">
        <v>3</v>
      </c>
      <c r="W1407" s="19" t="s">
        <v>55</v>
      </c>
      <c r="X1407">
        <v>25</v>
      </c>
      <c r="Y1407">
        <v>4</v>
      </c>
      <c r="Z1407">
        <v>3</v>
      </c>
      <c r="AA1407">
        <v>1</v>
      </c>
      <c r="AB1407">
        <v>36</v>
      </c>
      <c r="AC1407">
        <v>6</v>
      </c>
      <c r="AD1407">
        <v>3</v>
      </c>
      <c r="AE1407">
        <v>10</v>
      </c>
      <c r="AF1407">
        <v>8</v>
      </c>
      <c r="AG1407">
        <v>4</v>
      </c>
      <c r="AH1407">
        <v>7</v>
      </c>
      <c r="AI1407">
        <v>0</v>
      </c>
      <c r="AJ1407" s="19" t="s">
        <v>1569</v>
      </c>
      <c r="AK1407" s="19" t="s">
        <v>1570</v>
      </c>
      <c r="AL1407">
        <v>1</v>
      </c>
      <c r="AM1407" s="19" t="s">
        <v>1565</v>
      </c>
      <c r="AN1407">
        <v>-4.678913074346177E-2</v>
      </c>
      <c r="AO1407">
        <v>597072</v>
      </c>
    </row>
    <row r="1408" spans="1:41" x14ac:dyDescent="0.3">
      <c r="A1408" s="19" t="s">
        <v>1473</v>
      </c>
      <c r="B1408">
        <v>54</v>
      </c>
      <c r="C1408" s="19" t="s">
        <v>1272</v>
      </c>
      <c r="D1408" s="19" t="s">
        <v>55</v>
      </c>
      <c r="E1408" s="19" t="s">
        <v>48</v>
      </c>
      <c r="F1408">
        <v>431</v>
      </c>
      <c r="G1408" s="19" t="s">
        <v>735</v>
      </c>
      <c r="H1408">
        <v>7</v>
      </c>
      <c r="I1408">
        <v>4</v>
      </c>
      <c r="J1408" s="19" t="s">
        <v>58</v>
      </c>
      <c r="K1408">
        <v>1830</v>
      </c>
      <c r="L1408">
        <v>4</v>
      </c>
      <c r="M1408" s="19" t="s">
        <v>59</v>
      </c>
      <c r="N1408">
        <v>3</v>
      </c>
      <c r="O1408">
        <v>2</v>
      </c>
      <c r="P1408" s="19" t="s">
        <v>67</v>
      </c>
      <c r="Q1408">
        <v>4</v>
      </c>
      <c r="R1408" s="19" t="s">
        <v>113</v>
      </c>
      <c r="S1408">
        <v>41809</v>
      </c>
      <c r="T1408" s="19" t="s">
        <v>72</v>
      </c>
      <c r="U1408">
        <v>261.31</v>
      </c>
      <c r="V1408">
        <v>4</v>
      </c>
      <c r="W1408" s="19" t="s">
        <v>55</v>
      </c>
      <c r="X1408">
        <v>15</v>
      </c>
      <c r="Y1408">
        <v>3</v>
      </c>
      <c r="Z1408">
        <v>2</v>
      </c>
      <c r="AA1408">
        <v>1</v>
      </c>
      <c r="AB1408">
        <v>14</v>
      </c>
      <c r="AC1408">
        <v>2</v>
      </c>
      <c r="AD1408">
        <v>2</v>
      </c>
      <c r="AE1408">
        <v>7</v>
      </c>
      <c r="AF1408">
        <v>1</v>
      </c>
      <c r="AG1408">
        <v>1</v>
      </c>
      <c r="AH1408">
        <v>7</v>
      </c>
      <c r="AI1408">
        <v>0</v>
      </c>
      <c r="AJ1408" s="19" t="s">
        <v>1569</v>
      </c>
      <c r="AK1408" s="19" t="s">
        <v>1562</v>
      </c>
      <c r="AL1408">
        <v>1</v>
      </c>
      <c r="AM1408" s="19" t="s">
        <v>1565</v>
      </c>
      <c r="AN1408">
        <v>-0.16157473720751711</v>
      </c>
      <c r="AO1408">
        <v>501708</v>
      </c>
    </row>
    <row r="1409" spans="1:41" x14ac:dyDescent="0.3">
      <c r="A1409" s="19" t="s">
        <v>1474</v>
      </c>
      <c r="B1409">
        <v>54</v>
      </c>
      <c r="C1409" s="19" t="s">
        <v>1272</v>
      </c>
      <c r="D1409" s="19" t="s">
        <v>55</v>
      </c>
      <c r="E1409" s="19" t="s">
        <v>48</v>
      </c>
      <c r="F1409">
        <v>155</v>
      </c>
      <c r="G1409" s="19" t="s">
        <v>735</v>
      </c>
      <c r="H1409">
        <v>9</v>
      </c>
      <c r="I1409">
        <v>2</v>
      </c>
      <c r="J1409" s="19" t="s">
        <v>50</v>
      </c>
      <c r="K1409">
        <v>1969</v>
      </c>
      <c r="L1409">
        <v>1</v>
      </c>
      <c r="M1409" s="19" t="s">
        <v>59</v>
      </c>
      <c r="N1409">
        <v>3</v>
      </c>
      <c r="O1409">
        <v>2</v>
      </c>
      <c r="P1409" s="19" t="s">
        <v>67</v>
      </c>
      <c r="Q1409">
        <v>3</v>
      </c>
      <c r="R1409" s="19" t="s">
        <v>113</v>
      </c>
      <c r="S1409">
        <v>17725</v>
      </c>
      <c r="T1409" s="19" t="s">
        <v>54</v>
      </c>
      <c r="U1409">
        <v>110.78</v>
      </c>
      <c r="V1409">
        <v>3</v>
      </c>
      <c r="W1409" s="19" t="s">
        <v>55</v>
      </c>
      <c r="X1409">
        <v>11</v>
      </c>
      <c r="Y1409">
        <v>3</v>
      </c>
      <c r="Z1409">
        <v>3</v>
      </c>
      <c r="AA1409">
        <v>2</v>
      </c>
      <c r="AB1409">
        <v>9</v>
      </c>
      <c r="AC1409">
        <v>6</v>
      </c>
      <c r="AD1409">
        <v>2</v>
      </c>
      <c r="AE1409">
        <v>4</v>
      </c>
      <c r="AF1409">
        <v>3</v>
      </c>
      <c r="AG1409">
        <v>2</v>
      </c>
      <c r="AH1409">
        <v>3</v>
      </c>
      <c r="AI1409">
        <v>0</v>
      </c>
      <c r="AJ1409" s="19" t="s">
        <v>1567</v>
      </c>
      <c r="AK1409" s="19" t="s">
        <v>1562</v>
      </c>
      <c r="AL1409">
        <v>1</v>
      </c>
      <c r="AM1409" s="19" t="s">
        <v>1565</v>
      </c>
      <c r="AN1409">
        <v>-0.64454811684094915</v>
      </c>
      <c r="AO1409">
        <v>212700</v>
      </c>
    </row>
    <row r="1410" spans="1:41" x14ac:dyDescent="0.3">
      <c r="A1410" s="19" t="s">
        <v>1475</v>
      </c>
      <c r="B1410">
        <v>54</v>
      </c>
      <c r="C1410" s="19" t="s">
        <v>1272</v>
      </c>
      <c r="D1410" s="19" t="s">
        <v>55</v>
      </c>
      <c r="E1410" s="19" t="s">
        <v>48</v>
      </c>
      <c r="F1410">
        <v>157</v>
      </c>
      <c r="G1410" s="19" t="s">
        <v>735</v>
      </c>
      <c r="H1410">
        <v>10</v>
      </c>
      <c r="I1410">
        <v>3</v>
      </c>
      <c r="J1410" s="19" t="s">
        <v>58</v>
      </c>
      <c r="K1410">
        <v>1980</v>
      </c>
      <c r="L1410">
        <v>3</v>
      </c>
      <c r="M1410" s="19" t="s">
        <v>59</v>
      </c>
      <c r="N1410">
        <v>3</v>
      </c>
      <c r="O1410">
        <v>2</v>
      </c>
      <c r="P1410" s="19" t="s">
        <v>120</v>
      </c>
      <c r="Q1410">
        <v>1</v>
      </c>
      <c r="R1410" s="19" t="s">
        <v>53</v>
      </c>
      <c r="S1410">
        <v>62396</v>
      </c>
      <c r="T1410" s="19" t="s">
        <v>64</v>
      </c>
      <c r="U1410">
        <v>389.98</v>
      </c>
      <c r="V1410">
        <v>6</v>
      </c>
      <c r="W1410" s="19" t="s">
        <v>47</v>
      </c>
      <c r="X1410">
        <v>19</v>
      </c>
      <c r="Y1410">
        <v>3</v>
      </c>
      <c r="Z1410">
        <v>4</v>
      </c>
      <c r="AA1410">
        <v>0</v>
      </c>
      <c r="AB1410">
        <v>9</v>
      </c>
      <c r="AC1410">
        <v>3</v>
      </c>
      <c r="AD1410">
        <v>3</v>
      </c>
      <c r="AE1410">
        <v>5</v>
      </c>
      <c r="AF1410">
        <v>2</v>
      </c>
      <c r="AG1410">
        <v>1</v>
      </c>
      <c r="AH1410">
        <v>4</v>
      </c>
      <c r="AI1410">
        <v>0</v>
      </c>
      <c r="AJ1410" s="19" t="s">
        <v>1567</v>
      </c>
      <c r="AK1410" s="19" t="s">
        <v>1562</v>
      </c>
      <c r="AL1410">
        <v>2</v>
      </c>
      <c r="AM1410" s="19" t="s">
        <v>1564</v>
      </c>
      <c r="AN1410">
        <v>0.40863590108671255</v>
      </c>
      <c r="AO1410">
        <v>748752</v>
      </c>
    </row>
    <row r="1411" spans="1:41" x14ac:dyDescent="0.3">
      <c r="A1411" s="19" t="s">
        <v>1476</v>
      </c>
      <c r="B1411">
        <v>55</v>
      </c>
      <c r="C1411" s="19" t="s">
        <v>1272</v>
      </c>
      <c r="D1411" s="19" t="s">
        <v>55</v>
      </c>
      <c r="E1411" s="19" t="s">
        <v>48</v>
      </c>
      <c r="F1411">
        <v>836</v>
      </c>
      <c r="G1411" s="19" t="s">
        <v>735</v>
      </c>
      <c r="H1411">
        <v>8</v>
      </c>
      <c r="I1411">
        <v>3</v>
      </c>
      <c r="J1411" s="19" t="s">
        <v>58</v>
      </c>
      <c r="K1411">
        <v>84</v>
      </c>
      <c r="L1411">
        <v>4</v>
      </c>
      <c r="M1411" s="19" t="s">
        <v>59</v>
      </c>
      <c r="N1411">
        <v>3</v>
      </c>
      <c r="O1411">
        <v>4</v>
      </c>
      <c r="P1411" s="19" t="s">
        <v>444</v>
      </c>
      <c r="Q1411">
        <v>3</v>
      </c>
      <c r="R1411" s="19" t="s">
        <v>113</v>
      </c>
      <c r="S1411">
        <v>52226</v>
      </c>
      <c r="T1411" s="19" t="s">
        <v>64</v>
      </c>
      <c r="U1411">
        <v>326.41000000000003</v>
      </c>
      <c r="V1411">
        <v>2</v>
      </c>
      <c r="W1411" s="19" t="s">
        <v>47</v>
      </c>
      <c r="X1411">
        <v>14</v>
      </c>
      <c r="Y1411">
        <v>3</v>
      </c>
      <c r="Z1411">
        <v>3</v>
      </c>
      <c r="AA1411">
        <v>3</v>
      </c>
      <c r="AB1411">
        <v>21</v>
      </c>
      <c r="AC1411">
        <v>2</v>
      </c>
      <c r="AD1411">
        <v>3</v>
      </c>
      <c r="AE1411">
        <v>5</v>
      </c>
      <c r="AF1411">
        <v>0</v>
      </c>
      <c r="AG1411">
        <v>0</v>
      </c>
      <c r="AH1411">
        <v>2</v>
      </c>
      <c r="AI1411">
        <v>0</v>
      </c>
      <c r="AJ1411" s="19" t="s">
        <v>1567</v>
      </c>
      <c r="AK1411" s="19" t="s">
        <v>1562</v>
      </c>
      <c r="AL1411">
        <v>1</v>
      </c>
      <c r="AM1411" s="19" t="s">
        <v>1565</v>
      </c>
      <c r="AN1411">
        <v>5.304055348493771E-4</v>
      </c>
      <c r="AO1411">
        <v>626712</v>
      </c>
    </row>
    <row r="1412" spans="1:41" x14ac:dyDescent="0.3">
      <c r="A1412" s="19" t="s">
        <v>1477</v>
      </c>
      <c r="B1412">
        <v>55</v>
      </c>
      <c r="C1412" s="19" t="s">
        <v>1272</v>
      </c>
      <c r="D1412" s="19" t="s">
        <v>55</v>
      </c>
      <c r="E1412" s="19" t="s">
        <v>48</v>
      </c>
      <c r="F1412">
        <v>111</v>
      </c>
      <c r="G1412" s="19" t="s">
        <v>932</v>
      </c>
      <c r="H1412">
        <v>1</v>
      </c>
      <c r="I1412">
        <v>2</v>
      </c>
      <c r="J1412" s="19" t="s">
        <v>50</v>
      </c>
      <c r="K1412">
        <v>106</v>
      </c>
      <c r="L1412">
        <v>1</v>
      </c>
      <c r="M1412" s="19" t="s">
        <v>51</v>
      </c>
      <c r="N1412">
        <v>3</v>
      </c>
      <c r="O1412">
        <v>3</v>
      </c>
      <c r="P1412" s="19" t="s">
        <v>145</v>
      </c>
      <c r="Q1412">
        <v>4</v>
      </c>
      <c r="R1412" s="19" t="s">
        <v>113</v>
      </c>
      <c r="S1412">
        <v>82182</v>
      </c>
      <c r="T1412" s="19" t="s">
        <v>64</v>
      </c>
      <c r="U1412">
        <v>513.64</v>
      </c>
      <c r="V1412">
        <v>3</v>
      </c>
      <c r="W1412" s="19" t="s">
        <v>55</v>
      </c>
      <c r="X1412">
        <v>14</v>
      </c>
      <c r="Y1412">
        <v>3</v>
      </c>
      <c r="Z1412">
        <v>4</v>
      </c>
      <c r="AA1412">
        <v>1</v>
      </c>
      <c r="AB1412">
        <v>24</v>
      </c>
      <c r="AC1412">
        <v>4</v>
      </c>
      <c r="AD1412">
        <v>3</v>
      </c>
      <c r="AE1412">
        <v>1</v>
      </c>
      <c r="AF1412">
        <v>0</v>
      </c>
      <c r="AG1412">
        <v>1</v>
      </c>
      <c r="AH1412">
        <v>0</v>
      </c>
      <c r="AI1412">
        <v>0</v>
      </c>
      <c r="AJ1412" s="19" t="s">
        <v>1561</v>
      </c>
      <c r="AK1412" s="19" t="s">
        <v>1562</v>
      </c>
      <c r="AL1412">
        <v>0</v>
      </c>
      <c r="AM1412" s="19" t="s">
        <v>1563</v>
      </c>
      <c r="AN1412">
        <v>0.67520182066102297</v>
      </c>
      <c r="AO1412">
        <v>986184</v>
      </c>
    </row>
    <row r="1413" spans="1:41" x14ac:dyDescent="0.3">
      <c r="A1413" s="19" t="s">
        <v>1478</v>
      </c>
      <c r="B1413">
        <v>55</v>
      </c>
      <c r="C1413" s="19" t="s">
        <v>1272</v>
      </c>
      <c r="D1413" s="19" t="s">
        <v>55</v>
      </c>
      <c r="E1413" s="19" t="s">
        <v>48</v>
      </c>
      <c r="F1413">
        <v>692</v>
      </c>
      <c r="G1413" s="19" t="s">
        <v>735</v>
      </c>
      <c r="H1413">
        <v>14</v>
      </c>
      <c r="I1413">
        <v>4</v>
      </c>
      <c r="J1413" s="19" t="s">
        <v>58</v>
      </c>
      <c r="K1413">
        <v>254</v>
      </c>
      <c r="L1413">
        <v>3</v>
      </c>
      <c r="M1413" s="19" t="s">
        <v>51</v>
      </c>
      <c r="N1413">
        <v>4</v>
      </c>
      <c r="O1413">
        <v>5</v>
      </c>
      <c r="P1413" s="19" t="s">
        <v>257</v>
      </c>
      <c r="Q1413">
        <v>2</v>
      </c>
      <c r="R1413" s="19" t="s">
        <v>53</v>
      </c>
      <c r="S1413">
        <v>83565</v>
      </c>
      <c r="T1413" s="19" t="s">
        <v>70</v>
      </c>
      <c r="U1413">
        <v>522.28</v>
      </c>
      <c r="V1413">
        <v>8</v>
      </c>
      <c r="W1413" s="19" t="s">
        <v>55</v>
      </c>
      <c r="X1413">
        <v>11</v>
      </c>
      <c r="Y1413">
        <v>3</v>
      </c>
      <c r="Z1413">
        <v>4</v>
      </c>
      <c r="AA1413">
        <v>0</v>
      </c>
      <c r="AB1413">
        <v>36</v>
      </c>
      <c r="AC1413">
        <v>3</v>
      </c>
      <c r="AD1413">
        <v>3</v>
      </c>
      <c r="AE1413">
        <v>24</v>
      </c>
      <c r="AF1413">
        <v>15</v>
      </c>
      <c r="AG1413">
        <v>2</v>
      </c>
      <c r="AH1413">
        <v>15</v>
      </c>
      <c r="AI1413">
        <v>0</v>
      </c>
      <c r="AJ1413" s="19" t="s">
        <v>1571</v>
      </c>
      <c r="AK1413" s="19" t="s">
        <v>1562</v>
      </c>
      <c r="AL1413">
        <v>1</v>
      </c>
      <c r="AM1413" s="19" t="s">
        <v>1565</v>
      </c>
      <c r="AN1413">
        <v>0.64942613530663118</v>
      </c>
      <c r="AO1413">
        <v>1002780</v>
      </c>
    </row>
    <row r="1414" spans="1:41" x14ac:dyDescent="0.3">
      <c r="A1414" s="19" t="s">
        <v>1479</v>
      </c>
      <c r="B1414">
        <v>55</v>
      </c>
      <c r="C1414" s="19" t="s">
        <v>1272</v>
      </c>
      <c r="D1414" s="19" t="s">
        <v>55</v>
      </c>
      <c r="E1414" s="19" t="s">
        <v>48</v>
      </c>
      <c r="F1414">
        <v>452</v>
      </c>
      <c r="G1414" s="19" t="s">
        <v>735</v>
      </c>
      <c r="H1414">
        <v>1</v>
      </c>
      <c r="I1414">
        <v>3</v>
      </c>
      <c r="J1414" s="19" t="s">
        <v>58</v>
      </c>
      <c r="K1414">
        <v>374</v>
      </c>
      <c r="L1414">
        <v>4</v>
      </c>
      <c r="M1414" s="19" t="s">
        <v>51</v>
      </c>
      <c r="N1414">
        <v>3</v>
      </c>
      <c r="O1414">
        <v>5</v>
      </c>
      <c r="P1414" s="19" t="s">
        <v>444</v>
      </c>
      <c r="Q1414">
        <v>1</v>
      </c>
      <c r="R1414" s="19" t="s">
        <v>53</v>
      </c>
      <c r="S1414">
        <v>30402</v>
      </c>
      <c r="T1414" s="19" t="s">
        <v>72</v>
      </c>
      <c r="U1414">
        <v>190.01</v>
      </c>
      <c r="V1414">
        <v>0</v>
      </c>
      <c r="W1414" s="19" t="s">
        <v>47</v>
      </c>
      <c r="X1414">
        <v>14</v>
      </c>
      <c r="Y1414">
        <v>3</v>
      </c>
      <c r="Z1414">
        <v>3</v>
      </c>
      <c r="AA1414">
        <v>0</v>
      </c>
      <c r="AB1414">
        <v>37</v>
      </c>
      <c r="AC1414">
        <v>2</v>
      </c>
      <c r="AD1414">
        <v>3</v>
      </c>
      <c r="AE1414">
        <v>36</v>
      </c>
      <c r="AF1414">
        <v>10</v>
      </c>
      <c r="AG1414">
        <v>4</v>
      </c>
      <c r="AH1414">
        <v>13</v>
      </c>
      <c r="AI1414">
        <v>0</v>
      </c>
      <c r="AJ1414" s="19" t="s">
        <v>1571</v>
      </c>
      <c r="AK1414" s="19" t="s">
        <v>1570</v>
      </c>
      <c r="AL1414">
        <v>3</v>
      </c>
      <c r="AM1414" s="19" t="s">
        <v>1568</v>
      </c>
      <c r="AN1414">
        <v>-0.41756739192987224</v>
      </c>
      <c r="AO1414">
        <v>364824</v>
      </c>
    </row>
    <row r="1415" spans="1:41" x14ac:dyDescent="0.3">
      <c r="A1415" s="19" t="s">
        <v>1480</v>
      </c>
      <c r="B1415">
        <v>55</v>
      </c>
      <c r="C1415" s="19" t="s">
        <v>1272</v>
      </c>
      <c r="D1415" s="19" t="s">
        <v>55</v>
      </c>
      <c r="E1415" s="19" t="s">
        <v>48</v>
      </c>
      <c r="F1415">
        <v>147</v>
      </c>
      <c r="G1415" s="19" t="s">
        <v>735</v>
      </c>
      <c r="H1415">
        <v>20</v>
      </c>
      <c r="I1415">
        <v>2</v>
      </c>
      <c r="J1415" s="19" t="s">
        <v>77</v>
      </c>
      <c r="K1415">
        <v>389</v>
      </c>
      <c r="L1415">
        <v>2</v>
      </c>
      <c r="M1415" s="19" t="s">
        <v>51</v>
      </c>
      <c r="N1415">
        <v>3</v>
      </c>
      <c r="O1415">
        <v>2</v>
      </c>
      <c r="P1415" s="19" t="s">
        <v>52</v>
      </c>
      <c r="Q1415">
        <v>4</v>
      </c>
      <c r="R1415" s="19" t="s">
        <v>113</v>
      </c>
      <c r="S1415">
        <v>5263</v>
      </c>
      <c r="T1415" s="19" t="s">
        <v>54</v>
      </c>
      <c r="U1415">
        <v>32.89</v>
      </c>
      <c r="V1415">
        <v>3</v>
      </c>
      <c r="W1415" s="19" t="s">
        <v>47</v>
      </c>
      <c r="X1415">
        <v>19</v>
      </c>
      <c r="Y1415">
        <v>3</v>
      </c>
      <c r="Z1415">
        <v>4</v>
      </c>
      <c r="AA1415">
        <v>1</v>
      </c>
      <c r="AB1415">
        <v>12</v>
      </c>
      <c r="AC1415">
        <v>4</v>
      </c>
      <c r="AD1415">
        <v>3</v>
      </c>
      <c r="AE1415">
        <v>10</v>
      </c>
      <c r="AF1415">
        <v>7</v>
      </c>
      <c r="AG1415">
        <v>0</v>
      </c>
      <c r="AH1415">
        <v>8</v>
      </c>
      <c r="AI1415">
        <v>0</v>
      </c>
      <c r="AJ1415" s="19" t="s">
        <v>1569</v>
      </c>
      <c r="AK1415" s="19" t="s">
        <v>1562</v>
      </c>
      <c r="AL1415">
        <v>1</v>
      </c>
      <c r="AM1415" s="19" t="s">
        <v>1565</v>
      </c>
      <c r="AN1415">
        <v>-0.89824170336083353</v>
      </c>
      <c r="AO1415">
        <v>63156</v>
      </c>
    </row>
    <row r="1416" spans="1:41" x14ac:dyDescent="0.3">
      <c r="A1416" s="19" t="s">
        <v>1481</v>
      </c>
      <c r="B1416">
        <v>55</v>
      </c>
      <c r="C1416" s="19" t="s">
        <v>1272</v>
      </c>
      <c r="D1416" s="19" t="s">
        <v>55</v>
      </c>
      <c r="E1416" s="19" t="s">
        <v>48</v>
      </c>
      <c r="F1416">
        <v>1311</v>
      </c>
      <c r="G1416" s="19" t="s">
        <v>735</v>
      </c>
      <c r="H1416">
        <v>2</v>
      </c>
      <c r="I1416">
        <v>3</v>
      </c>
      <c r="J1416" s="19" t="s">
        <v>50</v>
      </c>
      <c r="K1416">
        <v>505</v>
      </c>
      <c r="L1416">
        <v>3</v>
      </c>
      <c r="M1416" s="19" t="s">
        <v>59</v>
      </c>
      <c r="N1416">
        <v>3</v>
      </c>
      <c r="O1416">
        <v>4</v>
      </c>
      <c r="P1416" s="19" t="s">
        <v>444</v>
      </c>
      <c r="Q1416">
        <v>4</v>
      </c>
      <c r="R1416" s="19" t="s">
        <v>53</v>
      </c>
      <c r="S1416">
        <v>97523</v>
      </c>
      <c r="T1416" s="19" t="s">
        <v>70</v>
      </c>
      <c r="U1416">
        <v>609.52</v>
      </c>
      <c r="V1416">
        <v>2</v>
      </c>
      <c r="W1416" s="19" t="s">
        <v>47</v>
      </c>
      <c r="X1416">
        <v>13</v>
      </c>
      <c r="Y1416">
        <v>3</v>
      </c>
      <c r="Z1416">
        <v>3</v>
      </c>
      <c r="AA1416">
        <v>0</v>
      </c>
      <c r="AB1416">
        <v>30</v>
      </c>
      <c r="AC1416">
        <v>2</v>
      </c>
      <c r="AD1416">
        <v>3</v>
      </c>
      <c r="AE1416">
        <v>5</v>
      </c>
      <c r="AF1416">
        <v>4</v>
      </c>
      <c r="AG1416">
        <v>1</v>
      </c>
      <c r="AH1416">
        <v>2</v>
      </c>
      <c r="AI1416">
        <v>0</v>
      </c>
      <c r="AJ1416" s="19" t="s">
        <v>1567</v>
      </c>
      <c r="AK1416" s="19" t="s">
        <v>1562</v>
      </c>
      <c r="AL1416">
        <v>1</v>
      </c>
      <c r="AM1416" s="19" t="s">
        <v>1565</v>
      </c>
      <c r="AN1416">
        <v>0.8683170592994891</v>
      </c>
      <c r="AO1416">
        <v>1170276</v>
      </c>
    </row>
    <row r="1417" spans="1:41" x14ac:dyDescent="0.3">
      <c r="A1417" s="19" t="s">
        <v>1482</v>
      </c>
      <c r="B1417">
        <v>55</v>
      </c>
      <c r="C1417" s="19" t="s">
        <v>1272</v>
      </c>
      <c r="D1417" s="19" t="s">
        <v>55</v>
      </c>
      <c r="E1417" s="19" t="s">
        <v>48</v>
      </c>
      <c r="F1417">
        <v>1117</v>
      </c>
      <c r="G1417" s="19" t="s">
        <v>932</v>
      </c>
      <c r="H1417">
        <v>18</v>
      </c>
      <c r="I1417">
        <v>5</v>
      </c>
      <c r="J1417" s="19" t="s">
        <v>50</v>
      </c>
      <c r="K1417">
        <v>597</v>
      </c>
      <c r="L1417">
        <v>1</v>
      </c>
      <c r="M1417" s="19" t="s">
        <v>59</v>
      </c>
      <c r="N1417">
        <v>3</v>
      </c>
      <c r="O1417">
        <v>4</v>
      </c>
      <c r="P1417" s="19" t="s">
        <v>444</v>
      </c>
      <c r="Q1417">
        <v>2</v>
      </c>
      <c r="R1417" s="19" t="s">
        <v>53</v>
      </c>
      <c r="S1417">
        <v>47828</v>
      </c>
      <c r="T1417" s="19" t="s">
        <v>72</v>
      </c>
      <c r="U1417">
        <v>298.92</v>
      </c>
      <c r="V1417">
        <v>3</v>
      </c>
      <c r="W1417" s="19" t="s">
        <v>55</v>
      </c>
      <c r="X1417">
        <v>23</v>
      </c>
      <c r="Y1417">
        <v>4</v>
      </c>
      <c r="Z1417">
        <v>4</v>
      </c>
      <c r="AA1417">
        <v>0</v>
      </c>
      <c r="AB1417">
        <v>37</v>
      </c>
      <c r="AC1417">
        <v>2</v>
      </c>
      <c r="AD1417">
        <v>3</v>
      </c>
      <c r="AE1417">
        <v>10</v>
      </c>
      <c r="AF1417">
        <v>9</v>
      </c>
      <c r="AG1417">
        <v>7</v>
      </c>
      <c r="AH1417">
        <v>7</v>
      </c>
      <c r="AI1417">
        <v>0</v>
      </c>
      <c r="AJ1417" s="19" t="s">
        <v>1569</v>
      </c>
      <c r="AK1417" s="19" t="s">
        <v>1570</v>
      </c>
      <c r="AL1417">
        <v>2</v>
      </c>
      <c r="AM1417" s="19" t="s">
        <v>1564</v>
      </c>
      <c r="AN1417">
        <v>-8.3725189830337846E-2</v>
      </c>
      <c r="AO1417">
        <v>573936</v>
      </c>
    </row>
    <row r="1418" spans="1:41" x14ac:dyDescent="0.3">
      <c r="A1418" s="19" t="s">
        <v>1483</v>
      </c>
      <c r="B1418">
        <v>55</v>
      </c>
      <c r="C1418" s="19" t="s">
        <v>1272</v>
      </c>
      <c r="D1418" s="19" t="s">
        <v>47</v>
      </c>
      <c r="E1418" s="19" t="s">
        <v>48</v>
      </c>
      <c r="F1418">
        <v>725</v>
      </c>
      <c r="G1418" s="19" t="s">
        <v>735</v>
      </c>
      <c r="H1418">
        <v>2</v>
      </c>
      <c r="I1418">
        <v>3</v>
      </c>
      <c r="J1418" s="19" t="s">
        <v>58</v>
      </c>
      <c r="K1418">
        <v>787</v>
      </c>
      <c r="L1418">
        <v>4</v>
      </c>
      <c r="M1418" s="19" t="s">
        <v>51</v>
      </c>
      <c r="N1418">
        <v>3</v>
      </c>
      <c r="O1418">
        <v>5</v>
      </c>
      <c r="P1418" s="19" t="s">
        <v>444</v>
      </c>
      <c r="Q1418">
        <v>1</v>
      </c>
      <c r="R1418" s="19" t="s">
        <v>113</v>
      </c>
      <c r="S1418">
        <v>48924</v>
      </c>
      <c r="T1418" s="19" t="s">
        <v>72</v>
      </c>
      <c r="U1418">
        <v>305.77</v>
      </c>
      <c r="V1418">
        <v>5</v>
      </c>
      <c r="W1418" s="19" t="s">
        <v>47</v>
      </c>
      <c r="X1418">
        <v>13</v>
      </c>
      <c r="Y1418">
        <v>3</v>
      </c>
      <c r="Z1418">
        <v>4</v>
      </c>
      <c r="AA1418">
        <v>1</v>
      </c>
      <c r="AB1418">
        <v>24</v>
      </c>
      <c r="AC1418">
        <v>2</v>
      </c>
      <c r="AD1418">
        <v>3</v>
      </c>
      <c r="AE1418">
        <v>5</v>
      </c>
      <c r="AF1418">
        <v>2</v>
      </c>
      <c r="AG1418">
        <v>1</v>
      </c>
      <c r="AH1418">
        <v>4</v>
      </c>
      <c r="AI1418">
        <v>1</v>
      </c>
      <c r="AJ1418" s="19" t="s">
        <v>1567</v>
      </c>
      <c r="AK1418" s="19" t="s">
        <v>1562</v>
      </c>
      <c r="AL1418">
        <v>2</v>
      </c>
      <c r="AM1418" s="19" t="s">
        <v>1564</v>
      </c>
      <c r="AN1418">
        <v>-6.2728342963524475E-2</v>
      </c>
      <c r="AO1418">
        <v>587088</v>
      </c>
    </row>
    <row r="1419" spans="1:41" x14ac:dyDescent="0.3">
      <c r="A1419" s="19" t="s">
        <v>1484</v>
      </c>
      <c r="B1419">
        <v>55</v>
      </c>
      <c r="C1419" s="19" t="s">
        <v>1272</v>
      </c>
      <c r="D1419" s="19" t="s">
        <v>47</v>
      </c>
      <c r="E1419" s="19" t="s">
        <v>48</v>
      </c>
      <c r="F1419">
        <v>436</v>
      </c>
      <c r="G1419" s="19" t="s">
        <v>932</v>
      </c>
      <c r="H1419">
        <v>2</v>
      </c>
      <c r="I1419">
        <v>1</v>
      </c>
      <c r="J1419" s="19" t="s">
        <v>58</v>
      </c>
      <c r="K1419">
        <v>842</v>
      </c>
      <c r="L1419">
        <v>3</v>
      </c>
      <c r="M1419" s="19" t="s">
        <v>51</v>
      </c>
      <c r="N1419">
        <v>3</v>
      </c>
      <c r="O1419">
        <v>2</v>
      </c>
      <c r="P1419" s="19" t="s">
        <v>145</v>
      </c>
      <c r="Q1419">
        <v>4</v>
      </c>
      <c r="R1419" s="19" t="s">
        <v>53</v>
      </c>
      <c r="S1419">
        <v>75182</v>
      </c>
      <c r="T1419" s="19" t="s">
        <v>64</v>
      </c>
      <c r="U1419">
        <v>469.89</v>
      </c>
      <c r="V1419">
        <v>4</v>
      </c>
      <c r="W1419" s="19" t="s">
        <v>55</v>
      </c>
      <c r="X1419">
        <v>16</v>
      </c>
      <c r="Y1419">
        <v>3</v>
      </c>
      <c r="Z1419">
        <v>3</v>
      </c>
      <c r="AA1419">
        <v>0</v>
      </c>
      <c r="AB1419">
        <v>12</v>
      </c>
      <c r="AC1419">
        <v>3</v>
      </c>
      <c r="AD1419">
        <v>2</v>
      </c>
      <c r="AE1419">
        <v>9</v>
      </c>
      <c r="AF1419">
        <v>7</v>
      </c>
      <c r="AG1419">
        <v>7</v>
      </c>
      <c r="AH1419">
        <v>3</v>
      </c>
      <c r="AI1419">
        <v>1</v>
      </c>
      <c r="AJ1419" s="19" t="s">
        <v>1569</v>
      </c>
      <c r="AK1419" s="19" t="s">
        <v>1570</v>
      </c>
      <c r="AL1419">
        <v>2</v>
      </c>
      <c r="AM1419" s="19" t="s">
        <v>1564</v>
      </c>
      <c r="AN1419">
        <v>0.53251348568953094</v>
      </c>
      <c r="AO1419">
        <v>902184</v>
      </c>
    </row>
    <row r="1420" spans="1:41" x14ac:dyDescent="0.3">
      <c r="A1420" s="19" t="s">
        <v>1485</v>
      </c>
      <c r="B1420">
        <v>55</v>
      </c>
      <c r="C1420" s="19" t="s">
        <v>1272</v>
      </c>
      <c r="D1420" s="19" t="s">
        <v>55</v>
      </c>
      <c r="E1420" s="19" t="s">
        <v>62</v>
      </c>
      <c r="F1420">
        <v>135</v>
      </c>
      <c r="G1420" s="19" t="s">
        <v>735</v>
      </c>
      <c r="H1420">
        <v>18</v>
      </c>
      <c r="I1420">
        <v>4</v>
      </c>
      <c r="J1420" s="19" t="s">
        <v>58</v>
      </c>
      <c r="K1420">
        <v>1034</v>
      </c>
      <c r="L1420">
        <v>3</v>
      </c>
      <c r="M1420" s="19" t="s">
        <v>51</v>
      </c>
      <c r="N1420">
        <v>3</v>
      </c>
      <c r="O1420">
        <v>2</v>
      </c>
      <c r="P1420" s="19" t="s">
        <v>168</v>
      </c>
      <c r="Q1420">
        <v>2</v>
      </c>
      <c r="R1420" s="19" t="s">
        <v>113</v>
      </c>
      <c r="S1420">
        <v>94065</v>
      </c>
      <c r="T1420" s="19" t="s">
        <v>70</v>
      </c>
      <c r="U1420">
        <v>587.91</v>
      </c>
      <c r="V1420">
        <v>3</v>
      </c>
      <c r="W1420" s="19" t="s">
        <v>47</v>
      </c>
      <c r="X1420">
        <v>14</v>
      </c>
      <c r="Y1420">
        <v>3</v>
      </c>
      <c r="Z1420">
        <v>4</v>
      </c>
      <c r="AA1420">
        <v>2</v>
      </c>
      <c r="AB1420">
        <v>17</v>
      </c>
      <c r="AC1420">
        <v>3</v>
      </c>
      <c r="AD1420">
        <v>3</v>
      </c>
      <c r="AE1420">
        <v>8</v>
      </c>
      <c r="AF1420">
        <v>7</v>
      </c>
      <c r="AG1420">
        <v>6</v>
      </c>
      <c r="AH1420">
        <v>7</v>
      </c>
      <c r="AI1420">
        <v>0</v>
      </c>
      <c r="AJ1420" s="19" t="s">
        <v>1569</v>
      </c>
      <c r="AK1420" s="19" t="s">
        <v>1570</v>
      </c>
      <c r="AL1420">
        <v>3</v>
      </c>
      <c r="AM1420" s="19" t="s">
        <v>1568</v>
      </c>
      <c r="AN1420">
        <v>0.95199570739111372</v>
      </c>
      <c r="AO1420">
        <v>1128780</v>
      </c>
    </row>
    <row r="1421" spans="1:41" x14ac:dyDescent="0.3">
      <c r="A1421" s="19" t="s">
        <v>1486</v>
      </c>
      <c r="B1421">
        <v>55</v>
      </c>
      <c r="C1421" s="19" t="s">
        <v>1272</v>
      </c>
      <c r="D1421" s="19" t="s">
        <v>55</v>
      </c>
      <c r="E1421" s="19" t="s">
        <v>66</v>
      </c>
      <c r="F1421">
        <v>444</v>
      </c>
      <c r="G1421" s="19" t="s">
        <v>735</v>
      </c>
      <c r="H1421">
        <v>2</v>
      </c>
      <c r="I1421">
        <v>1</v>
      </c>
      <c r="J1421" s="19" t="s">
        <v>58</v>
      </c>
      <c r="K1421">
        <v>1074</v>
      </c>
      <c r="L1421">
        <v>3</v>
      </c>
      <c r="M1421" s="19" t="s">
        <v>51</v>
      </c>
      <c r="N1421">
        <v>2</v>
      </c>
      <c r="O1421">
        <v>4</v>
      </c>
      <c r="P1421" s="19" t="s">
        <v>444</v>
      </c>
      <c r="Q1421">
        <v>1</v>
      </c>
      <c r="R1421" s="19" t="s">
        <v>53</v>
      </c>
      <c r="S1421">
        <v>60052</v>
      </c>
      <c r="T1421" s="19" t="s">
        <v>64</v>
      </c>
      <c r="U1421">
        <v>375.32</v>
      </c>
      <c r="V1421">
        <v>7</v>
      </c>
      <c r="W1421" s="19" t="s">
        <v>55</v>
      </c>
      <c r="X1421">
        <v>15</v>
      </c>
      <c r="Y1421">
        <v>3</v>
      </c>
      <c r="Z1421">
        <v>2</v>
      </c>
      <c r="AA1421">
        <v>0</v>
      </c>
      <c r="AB1421">
        <v>31</v>
      </c>
      <c r="AC1421">
        <v>3</v>
      </c>
      <c r="AD1421">
        <v>4</v>
      </c>
      <c r="AE1421">
        <v>9</v>
      </c>
      <c r="AF1421">
        <v>7</v>
      </c>
      <c r="AG1421">
        <v>6</v>
      </c>
      <c r="AH1421">
        <v>2</v>
      </c>
      <c r="AI1421">
        <v>0</v>
      </c>
      <c r="AJ1421" s="19" t="s">
        <v>1569</v>
      </c>
      <c r="AK1421" s="19" t="s">
        <v>1570</v>
      </c>
      <c r="AL1421">
        <v>2</v>
      </c>
      <c r="AM1421" s="19" t="s">
        <v>1564</v>
      </c>
      <c r="AN1421">
        <v>0.15045862047981418</v>
      </c>
      <c r="AO1421">
        <v>720624</v>
      </c>
    </row>
    <row r="1422" spans="1:41" x14ac:dyDescent="0.3">
      <c r="A1422" s="19" t="s">
        <v>1487</v>
      </c>
      <c r="B1422">
        <v>55</v>
      </c>
      <c r="C1422" s="19" t="s">
        <v>1272</v>
      </c>
      <c r="D1422" s="19" t="s">
        <v>55</v>
      </c>
      <c r="E1422" s="19" t="s">
        <v>62</v>
      </c>
      <c r="F1422">
        <v>1091</v>
      </c>
      <c r="G1422" s="19" t="s">
        <v>735</v>
      </c>
      <c r="H1422">
        <v>2</v>
      </c>
      <c r="I1422">
        <v>1</v>
      </c>
      <c r="J1422" s="19" t="s">
        <v>50</v>
      </c>
      <c r="K1422">
        <v>1096</v>
      </c>
      <c r="L1422">
        <v>4</v>
      </c>
      <c r="M1422" s="19" t="s">
        <v>51</v>
      </c>
      <c r="N1422">
        <v>3</v>
      </c>
      <c r="O1422">
        <v>3</v>
      </c>
      <c r="P1422" s="19" t="s">
        <v>120</v>
      </c>
      <c r="Q1422">
        <v>2</v>
      </c>
      <c r="R1422" s="19" t="s">
        <v>113</v>
      </c>
      <c r="S1422">
        <v>12664</v>
      </c>
      <c r="T1422" s="19" t="s">
        <v>54</v>
      </c>
      <c r="U1422">
        <v>79.150000000000006</v>
      </c>
      <c r="V1422">
        <v>3</v>
      </c>
      <c r="W1422" s="19" t="s">
        <v>55</v>
      </c>
      <c r="X1422">
        <v>18</v>
      </c>
      <c r="Y1422">
        <v>3</v>
      </c>
      <c r="Z1422">
        <v>2</v>
      </c>
      <c r="AA1422">
        <v>1</v>
      </c>
      <c r="AB1422">
        <v>23</v>
      </c>
      <c r="AC1422">
        <v>4</v>
      </c>
      <c r="AD1422">
        <v>3</v>
      </c>
      <c r="AE1422">
        <v>3</v>
      </c>
      <c r="AF1422">
        <v>2</v>
      </c>
      <c r="AG1422">
        <v>1</v>
      </c>
      <c r="AH1422">
        <v>2</v>
      </c>
      <c r="AI1422">
        <v>0</v>
      </c>
      <c r="AJ1422" s="19" t="s">
        <v>1566</v>
      </c>
      <c r="AK1422" s="19" t="s">
        <v>1562</v>
      </c>
      <c r="AL1422">
        <v>1</v>
      </c>
      <c r="AM1422" s="19" t="s">
        <v>1565</v>
      </c>
      <c r="AN1422">
        <v>-0.7141008229475907</v>
      </c>
      <c r="AO1422">
        <v>151968</v>
      </c>
    </row>
    <row r="1423" spans="1:41" x14ac:dyDescent="0.3">
      <c r="A1423" s="19" t="s">
        <v>1488</v>
      </c>
      <c r="B1423">
        <v>55</v>
      </c>
      <c r="C1423" s="19" t="s">
        <v>1272</v>
      </c>
      <c r="D1423" s="19" t="s">
        <v>55</v>
      </c>
      <c r="E1423" s="19" t="s">
        <v>66</v>
      </c>
      <c r="F1423">
        <v>177</v>
      </c>
      <c r="G1423" s="19" t="s">
        <v>735</v>
      </c>
      <c r="H1423">
        <v>8</v>
      </c>
      <c r="I1423">
        <v>1</v>
      </c>
      <c r="J1423" s="19" t="s">
        <v>58</v>
      </c>
      <c r="K1423">
        <v>1278</v>
      </c>
      <c r="L1423">
        <v>4</v>
      </c>
      <c r="M1423" s="19" t="s">
        <v>51</v>
      </c>
      <c r="N1423">
        <v>2</v>
      </c>
      <c r="O1423">
        <v>4</v>
      </c>
      <c r="P1423" s="19" t="s">
        <v>168</v>
      </c>
      <c r="Q1423">
        <v>2</v>
      </c>
      <c r="R1423" s="19" t="s">
        <v>53</v>
      </c>
      <c r="S1423">
        <v>36737</v>
      </c>
      <c r="T1423" s="19" t="s">
        <v>72</v>
      </c>
      <c r="U1423">
        <v>229.61</v>
      </c>
      <c r="V1423">
        <v>1</v>
      </c>
      <c r="W1423" s="19" t="s">
        <v>47</v>
      </c>
      <c r="X1423">
        <v>15</v>
      </c>
      <c r="Y1423">
        <v>3</v>
      </c>
      <c r="Z1423">
        <v>4</v>
      </c>
      <c r="AA1423">
        <v>1</v>
      </c>
      <c r="AB1423">
        <v>34</v>
      </c>
      <c r="AC1423">
        <v>3</v>
      </c>
      <c r="AD1423">
        <v>3</v>
      </c>
      <c r="AE1423">
        <v>33</v>
      </c>
      <c r="AF1423">
        <v>9</v>
      </c>
      <c r="AG1423">
        <v>15</v>
      </c>
      <c r="AH1423">
        <v>0</v>
      </c>
      <c r="AI1423">
        <v>0</v>
      </c>
      <c r="AJ1423" s="19" t="s">
        <v>1571</v>
      </c>
      <c r="AK1423" s="19" t="s">
        <v>1570</v>
      </c>
      <c r="AL1423">
        <v>3</v>
      </c>
      <c r="AM1423" s="19" t="s">
        <v>1568</v>
      </c>
      <c r="AN1423">
        <v>-0.23764985592486745</v>
      </c>
      <c r="AO1423">
        <v>440844</v>
      </c>
    </row>
    <row r="1424" spans="1:41" x14ac:dyDescent="0.3">
      <c r="A1424" s="19" t="s">
        <v>1489</v>
      </c>
      <c r="B1424">
        <v>55</v>
      </c>
      <c r="C1424" s="19" t="s">
        <v>1272</v>
      </c>
      <c r="D1424" s="19" t="s">
        <v>55</v>
      </c>
      <c r="E1424" s="19" t="s">
        <v>48</v>
      </c>
      <c r="F1424">
        <v>282</v>
      </c>
      <c r="G1424" s="19" t="s">
        <v>735</v>
      </c>
      <c r="H1424">
        <v>2</v>
      </c>
      <c r="I1424">
        <v>2</v>
      </c>
      <c r="J1424" s="19" t="s">
        <v>58</v>
      </c>
      <c r="K1424">
        <v>1336</v>
      </c>
      <c r="L1424">
        <v>4</v>
      </c>
      <c r="M1424" s="19" t="s">
        <v>59</v>
      </c>
      <c r="N1424">
        <v>1</v>
      </c>
      <c r="O1424">
        <v>5</v>
      </c>
      <c r="P1424" s="19" t="s">
        <v>444</v>
      </c>
      <c r="Q1424">
        <v>3</v>
      </c>
      <c r="R1424" s="19" t="s">
        <v>113</v>
      </c>
      <c r="S1424">
        <v>90563</v>
      </c>
      <c r="T1424" s="19" t="s">
        <v>70</v>
      </c>
      <c r="U1424">
        <v>566.02</v>
      </c>
      <c r="V1424">
        <v>4</v>
      </c>
      <c r="W1424" s="19" t="s">
        <v>55</v>
      </c>
      <c r="X1424">
        <v>14</v>
      </c>
      <c r="Y1424">
        <v>3</v>
      </c>
      <c r="Z1424">
        <v>4</v>
      </c>
      <c r="AA1424">
        <v>1</v>
      </c>
      <c r="AB1424">
        <v>23</v>
      </c>
      <c r="AC1424">
        <v>5</v>
      </c>
      <c r="AD1424">
        <v>3</v>
      </c>
      <c r="AE1424">
        <v>19</v>
      </c>
      <c r="AF1424">
        <v>9</v>
      </c>
      <c r="AG1424">
        <v>9</v>
      </c>
      <c r="AH1424">
        <v>11</v>
      </c>
      <c r="AI1424">
        <v>0</v>
      </c>
      <c r="AJ1424" s="19" t="s">
        <v>1571</v>
      </c>
      <c r="AK1424" s="19" t="s">
        <v>1570</v>
      </c>
      <c r="AL1424">
        <v>1</v>
      </c>
      <c r="AM1424" s="19" t="s">
        <v>1565</v>
      </c>
      <c r="AN1424">
        <v>0.73497941861242611</v>
      </c>
      <c r="AO1424">
        <v>1086756</v>
      </c>
    </row>
    <row r="1425" spans="1:41" x14ac:dyDescent="0.3">
      <c r="A1425" s="19" t="s">
        <v>1490</v>
      </c>
      <c r="B1425">
        <v>55</v>
      </c>
      <c r="C1425" s="19" t="s">
        <v>1272</v>
      </c>
      <c r="D1425" s="19" t="s">
        <v>47</v>
      </c>
      <c r="E1425" s="19" t="s">
        <v>48</v>
      </c>
      <c r="F1425">
        <v>267</v>
      </c>
      <c r="G1425" s="19" t="s">
        <v>932</v>
      </c>
      <c r="H1425">
        <v>13</v>
      </c>
      <c r="I1425">
        <v>4</v>
      </c>
      <c r="J1425" s="19" t="s">
        <v>63</v>
      </c>
      <c r="K1425">
        <v>1372</v>
      </c>
      <c r="L1425">
        <v>1</v>
      </c>
      <c r="M1425" s="19" t="s">
        <v>51</v>
      </c>
      <c r="N1425">
        <v>4</v>
      </c>
      <c r="O1425">
        <v>4</v>
      </c>
      <c r="P1425" s="19" t="s">
        <v>145</v>
      </c>
      <c r="Q1425">
        <v>3</v>
      </c>
      <c r="R1425" s="19" t="s">
        <v>53</v>
      </c>
      <c r="S1425">
        <v>30373</v>
      </c>
      <c r="T1425" s="19" t="s">
        <v>72</v>
      </c>
      <c r="U1425">
        <v>189.83</v>
      </c>
      <c r="V1425">
        <v>6</v>
      </c>
      <c r="W1425" s="19" t="s">
        <v>47</v>
      </c>
      <c r="X1425">
        <v>17</v>
      </c>
      <c r="Y1425">
        <v>3</v>
      </c>
      <c r="Z1425">
        <v>3</v>
      </c>
      <c r="AA1425">
        <v>0</v>
      </c>
      <c r="AB1425">
        <v>24</v>
      </c>
      <c r="AC1425">
        <v>2</v>
      </c>
      <c r="AD1425">
        <v>2</v>
      </c>
      <c r="AE1425">
        <v>19</v>
      </c>
      <c r="AF1425">
        <v>7</v>
      </c>
      <c r="AG1425">
        <v>3</v>
      </c>
      <c r="AH1425">
        <v>8</v>
      </c>
      <c r="AI1425">
        <v>1</v>
      </c>
      <c r="AJ1425" s="19" t="s">
        <v>1571</v>
      </c>
      <c r="AK1425" s="19" t="s">
        <v>1570</v>
      </c>
      <c r="AL1425">
        <v>3</v>
      </c>
      <c r="AM1425" s="19" t="s">
        <v>1568</v>
      </c>
      <c r="AN1425">
        <v>-0.38087531455869594</v>
      </c>
      <c r="AO1425">
        <v>364476</v>
      </c>
    </row>
    <row r="1426" spans="1:41" x14ac:dyDescent="0.3">
      <c r="A1426" s="19" t="s">
        <v>1491</v>
      </c>
      <c r="B1426">
        <v>55</v>
      </c>
      <c r="C1426" s="19" t="s">
        <v>1272</v>
      </c>
      <c r="D1426" s="19" t="s">
        <v>55</v>
      </c>
      <c r="E1426" s="19" t="s">
        <v>48</v>
      </c>
      <c r="F1426">
        <v>1136</v>
      </c>
      <c r="G1426" s="19" t="s">
        <v>735</v>
      </c>
      <c r="H1426">
        <v>1</v>
      </c>
      <c r="I1426">
        <v>4</v>
      </c>
      <c r="J1426" s="19" t="s">
        <v>58</v>
      </c>
      <c r="K1426">
        <v>1424</v>
      </c>
      <c r="L1426">
        <v>2</v>
      </c>
      <c r="M1426" s="19" t="s">
        <v>51</v>
      </c>
      <c r="N1426">
        <v>4</v>
      </c>
      <c r="O1426">
        <v>4</v>
      </c>
      <c r="P1426" s="19" t="s">
        <v>257</v>
      </c>
      <c r="Q1426">
        <v>4</v>
      </c>
      <c r="R1426" s="19" t="s">
        <v>113</v>
      </c>
      <c r="S1426">
        <v>37397</v>
      </c>
      <c r="T1426" s="19" t="s">
        <v>72</v>
      </c>
      <c r="U1426">
        <v>233.73</v>
      </c>
      <c r="V1426">
        <v>2</v>
      </c>
      <c r="W1426" s="19" t="s">
        <v>55</v>
      </c>
      <c r="X1426">
        <v>13</v>
      </c>
      <c r="Y1426">
        <v>3</v>
      </c>
      <c r="Z1426">
        <v>4</v>
      </c>
      <c r="AA1426">
        <v>2</v>
      </c>
      <c r="AB1426">
        <v>31</v>
      </c>
      <c r="AC1426">
        <v>4</v>
      </c>
      <c r="AD1426">
        <v>4</v>
      </c>
      <c r="AE1426">
        <v>7</v>
      </c>
      <c r="AF1426">
        <v>7</v>
      </c>
      <c r="AG1426">
        <v>0</v>
      </c>
      <c r="AH1426">
        <v>0</v>
      </c>
      <c r="AI1426">
        <v>0</v>
      </c>
      <c r="AJ1426" s="19" t="s">
        <v>1569</v>
      </c>
      <c r="AK1426" s="19" t="s">
        <v>1562</v>
      </c>
      <c r="AL1426">
        <v>0</v>
      </c>
      <c r="AM1426" s="19" t="s">
        <v>1563</v>
      </c>
      <c r="AN1426">
        <v>-0.26184898962409997</v>
      </c>
      <c r="AO1426">
        <v>448764</v>
      </c>
    </row>
    <row r="1427" spans="1:41" x14ac:dyDescent="0.3">
      <c r="A1427" s="19" t="s">
        <v>1492</v>
      </c>
      <c r="B1427">
        <v>55</v>
      </c>
      <c r="C1427" s="19" t="s">
        <v>1272</v>
      </c>
      <c r="D1427" s="19" t="s">
        <v>55</v>
      </c>
      <c r="E1427" s="19" t="s">
        <v>48</v>
      </c>
      <c r="F1427">
        <v>1229</v>
      </c>
      <c r="G1427" s="19" t="s">
        <v>735</v>
      </c>
      <c r="H1427">
        <v>4</v>
      </c>
      <c r="I1427">
        <v>4</v>
      </c>
      <c r="J1427" s="19" t="s">
        <v>50</v>
      </c>
      <c r="K1427">
        <v>1501</v>
      </c>
      <c r="L1427">
        <v>4</v>
      </c>
      <c r="M1427" s="19" t="s">
        <v>51</v>
      </c>
      <c r="N1427">
        <v>3</v>
      </c>
      <c r="O1427">
        <v>2</v>
      </c>
      <c r="P1427" s="19" t="s">
        <v>168</v>
      </c>
      <c r="Q1427">
        <v>3</v>
      </c>
      <c r="R1427" s="19" t="s">
        <v>113</v>
      </c>
      <c r="S1427">
        <v>87145</v>
      </c>
      <c r="T1427" s="19" t="s">
        <v>70</v>
      </c>
      <c r="U1427">
        <v>544.66</v>
      </c>
      <c r="V1427">
        <v>0</v>
      </c>
      <c r="W1427" s="19" t="s">
        <v>47</v>
      </c>
      <c r="X1427">
        <v>16</v>
      </c>
      <c r="Y1427">
        <v>3</v>
      </c>
      <c r="Z1427">
        <v>2</v>
      </c>
      <c r="AA1427">
        <v>0</v>
      </c>
      <c r="AB1427">
        <v>4</v>
      </c>
      <c r="AC1427">
        <v>2</v>
      </c>
      <c r="AD1427">
        <v>3</v>
      </c>
      <c r="AE1427">
        <v>3</v>
      </c>
      <c r="AF1427">
        <v>2</v>
      </c>
      <c r="AG1427">
        <v>1</v>
      </c>
      <c r="AH1427">
        <v>2</v>
      </c>
      <c r="AI1427">
        <v>0</v>
      </c>
      <c r="AJ1427" s="19" t="s">
        <v>1566</v>
      </c>
      <c r="AK1427" s="19" t="s">
        <v>1562</v>
      </c>
      <c r="AL1427">
        <v>1</v>
      </c>
      <c r="AM1427" s="19" t="s">
        <v>1565</v>
      </c>
      <c r="AN1427">
        <v>0.80839489630147876</v>
      </c>
      <c r="AO1427">
        <v>1045740</v>
      </c>
    </row>
    <row r="1428" spans="1:41" x14ac:dyDescent="0.3">
      <c r="A1428" s="19" t="s">
        <v>1493</v>
      </c>
      <c r="B1428">
        <v>55</v>
      </c>
      <c r="C1428" s="19" t="s">
        <v>1272</v>
      </c>
      <c r="D1428" s="19" t="s">
        <v>55</v>
      </c>
      <c r="E1428" s="19" t="s">
        <v>48</v>
      </c>
      <c r="F1428">
        <v>685</v>
      </c>
      <c r="G1428" s="19" t="s">
        <v>932</v>
      </c>
      <c r="H1428">
        <v>26</v>
      </c>
      <c r="I1428">
        <v>5</v>
      </c>
      <c r="J1428" s="19" t="s">
        <v>63</v>
      </c>
      <c r="K1428">
        <v>1578</v>
      </c>
      <c r="L1428">
        <v>3</v>
      </c>
      <c r="M1428" s="19" t="s">
        <v>51</v>
      </c>
      <c r="N1428">
        <v>2</v>
      </c>
      <c r="O1428">
        <v>5</v>
      </c>
      <c r="P1428" s="19" t="s">
        <v>444</v>
      </c>
      <c r="Q1428">
        <v>4</v>
      </c>
      <c r="R1428" s="19" t="s">
        <v>113</v>
      </c>
      <c r="S1428">
        <v>39709</v>
      </c>
      <c r="T1428" s="19" t="s">
        <v>72</v>
      </c>
      <c r="U1428">
        <v>248.18</v>
      </c>
      <c r="V1428">
        <v>1</v>
      </c>
      <c r="W1428" s="19" t="s">
        <v>55</v>
      </c>
      <c r="X1428">
        <v>21</v>
      </c>
      <c r="Y1428">
        <v>4</v>
      </c>
      <c r="Z1428">
        <v>3</v>
      </c>
      <c r="AA1428">
        <v>1</v>
      </c>
      <c r="AB1428">
        <v>36</v>
      </c>
      <c r="AC1428">
        <v>3</v>
      </c>
      <c r="AD1428">
        <v>3</v>
      </c>
      <c r="AE1428">
        <v>36</v>
      </c>
      <c r="AF1428">
        <v>6</v>
      </c>
      <c r="AG1428">
        <v>2</v>
      </c>
      <c r="AH1428">
        <v>13</v>
      </c>
      <c r="AI1428">
        <v>0</v>
      </c>
      <c r="AJ1428" s="19" t="s">
        <v>1571</v>
      </c>
      <c r="AK1428" s="19" t="s">
        <v>1562</v>
      </c>
      <c r="AL1428">
        <v>0</v>
      </c>
      <c r="AM1428" s="19" t="s">
        <v>1563</v>
      </c>
      <c r="AN1428">
        <v>-0.23926661292491605</v>
      </c>
      <c r="AO1428">
        <v>476508</v>
      </c>
    </row>
    <row r="1429" spans="1:41" x14ac:dyDescent="0.3">
      <c r="A1429" s="19" t="s">
        <v>1494</v>
      </c>
      <c r="B1429">
        <v>55</v>
      </c>
      <c r="C1429" s="19" t="s">
        <v>1272</v>
      </c>
      <c r="D1429" s="19" t="s">
        <v>55</v>
      </c>
      <c r="E1429" s="19" t="s">
        <v>48</v>
      </c>
      <c r="F1429">
        <v>1441</v>
      </c>
      <c r="G1429" s="19" t="s">
        <v>735</v>
      </c>
      <c r="H1429">
        <v>22</v>
      </c>
      <c r="I1429">
        <v>3</v>
      </c>
      <c r="J1429" s="19" t="s">
        <v>77</v>
      </c>
      <c r="K1429">
        <v>1694</v>
      </c>
      <c r="L1429">
        <v>1</v>
      </c>
      <c r="M1429" s="19" t="s">
        <v>51</v>
      </c>
      <c r="N1429">
        <v>2</v>
      </c>
      <c r="O1429">
        <v>1</v>
      </c>
      <c r="P1429" s="19" t="s">
        <v>67</v>
      </c>
      <c r="Q1429">
        <v>2</v>
      </c>
      <c r="R1429" s="19" t="s">
        <v>113</v>
      </c>
      <c r="S1429">
        <v>62120</v>
      </c>
      <c r="T1429" s="19" t="s">
        <v>64</v>
      </c>
      <c r="U1429">
        <v>388.25</v>
      </c>
      <c r="V1429">
        <v>5</v>
      </c>
      <c r="W1429" s="19" t="s">
        <v>55</v>
      </c>
      <c r="X1429">
        <v>12</v>
      </c>
      <c r="Y1429">
        <v>3</v>
      </c>
      <c r="Z1429">
        <v>4</v>
      </c>
      <c r="AA1429">
        <v>1</v>
      </c>
      <c r="AB1429">
        <v>8</v>
      </c>
      <c r="AC1429">
        <v>1</v>
      </c>
      <c r="AD1429">
        <v>3</v>
      </c>
      <c r="AE1429">
        <v>4</v>
      </c>
      <c r="AF1429">
        <v>2</v>
      </c>
      <c r="AG1429">
        <v>1</v>
      </c>
      <c r="AH1429">
        <v>2</v>
      </c>
      <c r="AI1429">
        <v>0</v>
      </c>
      <c r="AJ1429" s="19" t="s">
        <v>1567</v>
      </c>
      <c r="AK1429" s="19" t="s">
        <v>1562</v>
      </c>
      <c r="AL1429">
        <v>1</v>
      </c>
      <c r="AM1429" s="19" t="s">
        <v>1565</v>
      </c>
      <c r="AN1429">
        <v>0.24573602154246782</v>
      </c>
      <c r="AO1429">
        <v>745440</v>
      </c>
    </row>
    <row r="1430" spans="1:41" x14ac:dyDescent="0.3">
      <c r="A1430" s="19" t="s">
        <v>1495</v>
      </c>
      <c r="B1430">
        <v>55</v>
      </c>
      <c r="C1430" s="19" t="s">
        <v>1272</v>
      </c>
      <c r="D1430" s="19" t="s">
        <v>55</v>
      </c>
      <c r="E1430" s="19" t="s">
        <v>48</v>
      </c>
      <c r="F1430">
        <v>478</v>
      </c>
      <c r="G1430" s="19" t="s">
        <v>735</v>
      </c>
      <c r="H1430">
        <v>2</v>
      </c>
      <c r="I1430">
        <v>3</v>
      </c>
      <c r="J1430" s="19" t="s">
        <v>58</v>
      </c>
      <c r="K1430">
        <v>1770</v>
      </c>
      <c r="L1430">
        <v>3</v>
      </c>
      <c r="M1430" s="19" t="s">
        <v>51</v>
      </c>
      <c r="N1430">
        <v>2</v>
      </c>
      <c r="O1430">
        <v>5</v>
      </c>
      <c r="P1430" s="19" t="s">
        <v>257</v>
      </c>
      <c r="Q1430">
        <v>1</v>
      </c>
      <c r="R1430" s="19" t="s">
        <v>113</v>
      </c>
      <c r="S1430">
        <v>20250</v>
      </c>
      <c r="T1430" s="19" t="s">
        <v>54</v>
      </c>
      <c r="U1430">
        <v>126.56</v>
      </c>
      <c r="V1430">
        <v>8</v>
      </c>
      <c r="W1430" s="19" t="s">
        <v>55</v>
      </c>
      <c r="X1430">
        <v>12</v>
      </c>
      <c r="Y1430">
        <v>3</v>
      </c>
      <c r="Z1430">
        <v>2</v>
      </c>
      <c r="AA1430">
        <v>3</v>
      </c>
      <c r="AB1430">
        <v>34</v>
      </c>
      <c r="AC1430">
        <v>2</v>
      </c>
      <c r="AD1430">
        <v>3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 s="19" t="s">
        <v>1561</v>
      </c>
      <c r="AK1430" s="19" t="s">
        <v>1562</v>
      </c>
      <c r="AL1430">
        <v>1</v>
      </c>
      <c r="AM1430" s="19" t="s">
        <v>1565</v>
      </c>
      <c r="AN1430">
        <v>-0.60030061341519436</v>
      </c>
      <c r="AO1430">
        <v>243000</v>
      </c>
    </row>
    <row r="1431" spans="1:41" x14ac:dyDescent="0.3">
      <c r="A1431" s="19" t="s">
        <v>1496</v>
      </c>
      <c r="B1431">
        <v>55</v>
      </c>
      <c r="C1431" s="19" t="s">
        <v>1272</v>
      </c>
      <c r="D1431" s="19" t="s">
        <v>55</v>
      </c>
      <c r="E1431" s="19" t="s">
        <v>48</v>
      </c>
      <c r="F1431">
        <v>836</v>
      </c>
      <c r="G1431" s="19" t="s">
        <v>735</v>
      </c>
      <c r="H1431">
        <v>2</v>
      </c>
      <c r="I1431">
        <v>4</v>
      </c>
      <c r="J1431" s="19" t="s">
        <v>77</v>
      </c>
      <c r="K1431">
        <v>1873</v>
      </c>
      <c r="L1431">
        <v>2</v>
      </c>
      <c r="M1431" s="19" t="s">
        <v>51</v>
      </c>
      <c r="N1431">
        <v>2</v>
      </c>
      <c r="O1431">
        <v>1</v>
      </c>
      <c r="P1431" s="19" t="s">
        <v>67</v>
      </c>
      <c r="Q1431">
        <v>4</v>
      </c>
      <c r="R1431" s="19" t="s">
        <v>113</v>
      </c>
      <c r="S1431">
        <v>22172</v>
      </c>
      <c r="T1431" s="19" t="s">
        <v>54</v>
      </c>
      <c r="U1431">
        <v>138.57</v>
      </c>
      <c r="V1431">
        <v>8</v>
      </c>
      <c r="W1431" s="19" t="s">
        <v>55</v>
      </c>
      <c r="X1431">
        <v>20</v>
      </c>
      <c r="Y1431">
        <v>4</v>
      </c>
      <c r="Z1431">
        <v>2</v>
      </c>
      <c r="AA1431">
        <v>1</v>
      </c>
      <c r="AB1431">
        <v>19</v>
      </c>
      <c r="AC1431">
        <v>2</v>
      </c>
      <c r="AD1431">
        <v>4</v>
      </c>
      <c r="AE1431">
        <v>5</v>
      </c>
      <c r="AF1431">
        <v>2</v>
      </c>
      <c r="AG1431">
        <v>0</v>
      </c>
      <c r="AH1431">
        <v>4</v>
      </c>
      <c r="AI1431">
        <v>0</v>
      </c>
      <c r="AJ1431" s="19" t="s">
        <v>1567</v>
      </c>
      <c r="AK1431" s="19" t="s">
        <v>1562</v>
      </c>
      <c r="AL1431">
        <v>0</v>
      </c>
      <c r="AM1431" s="19" t="s">
        <v>1563</v>
      </c>
      <c r="AN1431">
        <v>-0.55536930023117204</v>
      </c>
      <c r="AO1431">
        <v>266064</v>
      </c>
    </row>
    <row r="1432" spans="1:41" x14ac:dyDescent="0.3">
      <c r="A1432" s="19" t="s">
        <v>1497</v>
      </c>
      <c r="B1432">
        <v>55</v>
      </c>
      <c r="C1432" s="19" t="s">
        <v>1272</v>
      </c>
      <c r="D1432" s="19" t="s">
        <v>55</v>
      </c>
      <c r="E1432" s="19" t="s">
        <v>48</v>
      </c>
      <c r="F1432">
        <v>189</v>
      </c>
      <c r="G1432" s="19" t="s">
        <v>80</v>
      </c>
      <c r="H1432">
        <v>26</v>
      </c>
      <c r="I1432">
        <v>4</v>
      </c>
      <c r="J1432" s="19" t="s">
        <v>80</v>
      </c>
      <c r="K1432">
        <v>1973</v>
      </c>
      <c r="L1432">
        <v>3</v>
      </c>
      <c r="M1432" s="19" t="s">
        <v>51</v>
      </c>
      <c r="N1432">
        <v>4</v>
      </c>
      <c r="O1432">
        <v>5</v>
      </c>
      <c r="P1432" s="19" t="s">
        <v>444</v>
      </c>
      <c r="Q1432">
        <v>2</v>
      </c>
      <c r="R1432" s="19" t="s">
        <v>113</v>
      </c>
      <c r="S1432">
        <v>12555</v>
      </c>
      <c r="T1432" s="19" t="s">
        <v>54</v>
      </c>
      <c r="U1432">
        <v>78.47</v>
      </c>
      <c r="V1432">
        <v>4</v>
      </c>
      <c r="W1432" s="19" t="s">
        <v>47</v>
      </c>
      <c r="X1432">
        <v>18</v>
      </c>
      <c r="Y1432">
        <v>3</v>
      </c>
      <c r="Z1432">
        <v>1</v>
      </c>
      <c r="AA1432">
        <v>1</v>
      </c>
      <c r="AB1432">
        <v>35</v>
      </c>
      <c r="AC1432">
        <v>0</v>
      </c>
      <c r="AD1432">
        <v>3</v>
      </c>
      <c r="AE1432">
        <v>10</v>
      </c>
      <c r="AF1432">
        <v>9</v>
      </c>
      <c r="AG1432">
        <v>1</v>
      </c>
      <c r="AH1432">
        <v>4</v>
      </c>
      <c r="AI1432">
        <v>0</v>
      </c>
      <c r="AJ1432" s="19" t="s">
        <v>1569</v>
      </c>
      <c r="AK1432" s="19" t="s">
        <v>1562</v>
      </c>
      <c r="AL1432">
        <v>2</v>
      </c>
      <c r="AM1432" s="19" t="s">
        <v>1564</v>
      </c>
      <c r="AN1432">
        <v>-0.75947498867441443</v>
      </c>
      <c r="AO1432">
        <v>150660</v>
      </c>
    </row>
    <row r="1433" spans="1:41" x14ac:dyDescent="0.3">
      <c r="A1433" s="19" t="s">
        <v>1498</v>
      </c>
      <c r="B1433">
        <v>56</v>
      </c>
      <c r="C1433" s="19" t="s">
        <v>1499</v>
      </c>
      <c r="D1433" s="19" t="s">
        <v>55</v>
      </c>
      <c r="E1433" s="19" t="s">
        <v>48</v>
      </c>
      <c r="F1433">
        <v>1400</v>
      </c>
      <c r="G1433" s="19" t="s">
        <v>735</v>
      </c>
      <c r="H1433">
        <v>7</v>
      </c>
      <c r="I1433">
        <v>3</v>
      </c>
      <c r="J1433" s="19" t="s">
        <v>50</v>
      </c>
      <c r="K1433">
        <v>112</v>
      </c>
      <c r="L1433">
        <v>4</v>
      </c>
      <c r="M1433" s="19" t="s">
        <v>51</v>
      </c>
      <c r="N1433">
        <v>1</v>
      </c>
      <c r="O1433">
        <v>3</v>
      </c>
      <c r="P1433" s="19" t="s">
        <v>120</v>
      </c>
      <c r="Q1433">
        <v>4</v>
      </c>
      <c r="R1433" s="19" t="s">
        <v>53</v>
      </c>
      <c r="S1433">
        <v>88410</v>
      </c>
      <c r="T1433" s="19" t="s">
        <v>70</v>
      </c>
      <c r="U1433">
        <v>552.55999999999995</v>
      </c>
      <c r="V1433">
        <v>4</v>
      </c>
      <c r="W1433" s="19" t="s">
        <v>55</v>
      </c>
      <c r="X1433">
        <v>11</v>
      </c>
      <c r="Y1433">
        <v>3</v>
      </c>
      <c r="Z1433">
        <v>1</v>
      </c>
      <c r="AA1433">
        <v>0</v>
      </c>
      <c r="AB1433">
        <v>37</v>
      </c>
      <c r="AC1433">
        <v>3</v>
      </c>
      <c r="AD1433">
        <v>2</v>
      </c>
      <c r="AE1433">
        <v>6</v>
      </c>
      <c r="AF1433">
        <v>4</v>
      </c>
      <c r="AG1433">
        <v>0</v>
      </c>
      <c r="AH1433">
        <v>2</v>
      </c>
      <c r="AI1433">
        <v>0</v>
      </c>
      <c r="AJ1433" s="19" t="s">
        <v>1569</v>
      </c>
      <c r="AK1433" s="19" t="s">
        <v>1562</v>
      </c>
      <c r="AL1433">
        <v>1</v>
      </c>
      <c r="AM1433" s="19" t="s">
        <v>1565</v>
      </c>
      <c r="AN1433">
        <v>0.99592121313988491</v>
      </c>
      <c r="AO1433">
        <v>1060920</v>
      </c>
    </row>
    <row r="1434" spans="1:41" x14ac:dyDescent="0.3">
      <c r="A1434" s="19" t="s">
        <v>1500</v>
      </c>
      <c r="B1434">
        <v>56</v>
      </c>
      <c r="C1434" s="19" t="s">
        <v>1499</v>
      </c>
      <c r="D1434" s="19" t="s">
        <v>47</v>
      </c>
      <c r="E1434" s="19" t="s">
        <v>48</v>
      </c>
      <c r="F1434">
        <v>441</v>
      </c>
      <c r="G1434" s="19" t="s">
        <v>735</v>
      </c>
      <c r="H1434">
        <v>14</v>
      </c>
      <c r="I1434">
        <v>4</v>
      </c>
      <c r="J1434" s="19" t="s">
        <v>50</v>
      </c>
      <c r="K1434">
        <v>161</v>
      </c>
      <c r="L1434">
        <v>2</v>
      </c>
      <c r="M1434" s="19" t="s">
        <v>59</v>
      </c>
      <c r="N1434">
        <v>3</v>
      </c>
      <c r="O1434">
        <v>1</v>
      </c>
      <c r="P1434" s="19" t="s">
        <v>67</v>
      </c>
      <c r="Q1434">
        <v>2</v>
      </c>
      <c r="R1434" s="19" t="s">
        <v>113</v>
      </c>
      <c r="S1434">
        <v>79617</v>
      </c>
      <c r="T1434" s="19" t="s">
        <v>64</v>
      </c>
      <c r="U1434">
        <v>497.61</v>
      </c>
      <c r="V1434">
        <v>9</v>
      </c>
      <c r="W1434" s="19" t="s">
        <v>47</v>
      </c>
      <c r="X1434">
        <v>18</v>
      </c>
      <c r="Y1434">
        <v>3</v>
      </c>
      <c r="Z1434">
        <v>1</v>
      </c>
      <c r="AA1434">
        <v>3</v>
      </c>
      <c r="AB1434">
        <v>7</v>
      </c>
      <c r="AC1434">
        <v>2</v>
      </c>
      <c r="AD1434">
        <v>3</v>
      </c>
      <c r="AE1434">
        <v>5</v>
      </c>
      <c r="AF1434">
        <v>4</v>
      </c>
      <c r="AG1434">
        <v>4</v>
      </c>
      <c r="AH1434">
        <v>3</v>
      </c>
      <c r="AI1434">
        <v>1</v>
      </c>
      <c r="AJ1434" s="19" t="s">
        <v>1567</v>
      </c>
      <c r="AK1434" s="19" t="s">
        <v>1570</v>
      </c>
      <c r="AL1434">
        <v>3</v>
      </c>
      <c r="AM1434" s="19" t="s">
        <v>1568</v>
      </c>
      <c r="AN1434">
        <v>0.59661566044988179</v>
      </c>
      <c r="AO1434">
        <v>955404</v>
      </c>
    </row>
    <row r="1435" spans="1:41" x14ac:dyDescent="0.3">
      <c r="A1435" s="19" t="s">
        <v>1501</v>
      </c>
      <c r="B1435">
        <v>56</v>
      </c>
      <c r="C1435" s="19" t="s">
        <v>1499</v>
      </c>
      <c r="D1435" s="19" t="s">
        <v>55</v>
      </c>
      <c r="E1435" s="19" t="s">
        <v>48</v>
      </c>
      <c r="F1435">
        <v>713</v>
      </c>
      <c r="G1435" s="19" t="s">
        <v>735</v>
      </c>
      <c r="H1435">
        <v>8</v>
      </c>
      <c r="I1435">
        <v>3</v>
      </c>
      <c r="J1435" s="19" t="s">
        <v>50</v>
      </c>
      <c r="K1435">
        <v>241</v>
      </c>
      <c r="L1435">
        <v>3</v>
      </c>
      <c r="M1435" s="19" t="s">
        <v>59</v>
      </c>
      <c r="N1435">
        <v>3</v>
      </c>
      <c r="O1435">
        <v>1</v>
      </c>
      <c r="P1435" s="19" t="s">
        <v>67</v>
      </c>
      <c r="Q1435">
        <v>1</v>
      </c>
      <c r="R1435" s="19" t="s">
        <v>113</v>
      </c>
      <c r="S1435">
        <v>54276</v>
      </c>
      <c r="T1435" s="19" t="s">
        <v>64</v>
      </c>
      <c r="U1435">
        <v>339.22</v>
      </c>
      <c r="V1435">
        <v>4</v>
      </c>
      <c r="W1435" s="19" t="s">
        <v>47</v>
      </c>
      <c r="X1435">
        <v>18</v>
      </c>
      <c r="Y1435">
        <v>3</v>
      </c>
      <c r="Z1435">
        <v>3</v>
      </c>
      <c r="AA1435">
        <v>1</v>
      </c>
      <c r="AB1435">
        <v>19</v>
      </c>
      <c r="AC1435">
        <v>3</v>
      </c>
      <c r="AD1435">
        <v>3</v>
      </c>
      <c r="AE1435">
        <v>2</v>
      </c>
      <c r="AF1435">
        <v>2</v>
      </c>
      <c r="AG1435">
        <v>2</v>
      </c>
      <c r="AH1435">
        <v>2</v>
      </c>
      <c r="AI1435">
        <v>0</v>
      </c>
      <c r="AJ1435" s="19" t="s">
        <v>1566</v>
      </c>
      <c r="AK1435" s="19" t="s">
        <v>1562</v>
      </c>
      <c r="AL1435">
        <v>2</v>
      </c>
      <c r="AM1435" s="19" t="s">
        <v>1564</v>
      </c>
      <c r="AN1435">
        <v>8.843477632387288E-2</v>
      </c>
      <c r="AO1435">
        <v>651312</v>
      </c>
    </row>
    <row r="1436" spans="1:41" x14ac:dyDescent="0.3">
      <c r="A1436" s="19" t="s">
        <v>1502</v>
      </c>
      <c r="B1436">
        <v>56</v>
      </c>
      <c r="C1436" s="19" t="s">
        <v>1499</v>
      </c>
      <c r="D1436" s="19" t="s">
        <v>55</v>
      </c>
      <c r="E1436" s="19" t="s">
        <v>62</v>
      </c>
      <c r="F1436">
        <v>906</v>
      </c>
      <c r="G1436" s="19" t="s">
        <v>932</v>
      </c>
      <c r="H1436">
        <v>6</v>
      </c>
      <c r="I1436">
        <v>3</v>
      </c>
      <c r="J1436" s="19" t="s">
        <v>50</v>
      </c>
      <c r="K1436">
        <v>532</v>
      </c>
      <c r="L1436">
        <v>3</v>
      </c>
      <c r="M1436" s="19" t="s">
        <v>59</v>
      </c>
      <c r="N1436">
        <v>4</v>
      </c>
      <c r="O1436">
        <v>4</v>
      </c>
      <c r="P1436" s="19" t="s">
        <v>145</v>
      </c>
      <c r="Q1436">
        <v>1</v>
      </c>
      <c r="R1436" s="19" t="s">
        <v>113</v>
      </c>
      <c r="S1436">
        <v>58492</v>
      </c>
      <c r="T1436" s="19" t="s">
        <v>64</v>
      </c>
      <c r="U1436">
        <v>365.58</v>
      </c>
      <c r="V1436">
        <v>9</v>
      </c>
      <c r="W1436" s="19" t="s">
        <v>55</v>
      </c>
      <c r="X1436">
        <v>11</v>
      </c>
      <c r="Y1436">
        <v>3</v>
      </c>
      <c r="Z1436">
        <v>4</v>
      </c>
      <c r="AA1436">
        <v>3</v>
      </c>
      <c r="AB1436">
        <v>36</v>
      </c>
      <c r="AC1436">
        <v>0</v>
      </c>
      <c r="AD1436">
        <v>2</v>
      </c>
      <c r="AE1436">
        <v>7</v>
      </c>
      <c r="AF1436">
        <v>7</v>
      </c>
      <c r="AG1436">
        <v>7</v>
      </c>
      <c r="AH1436">
        <v>7</v>
      </c>
      <c r="AI1436">
        <v>0</v>
      </c>
      <c r="AJ1436" s="19" t="s">
        <v>1569</v>
      </c>
      <c r="AK1436" s="19" t="s">
        <v>1570</v>
      </c>
      <c r="AL1436">
        <v>3</v>
      </c>
      <c r="AM1436" s="19" t="s">
        <v>1568</v>
      </c>
      <c r="AN1436">
        <v>0.19230372702178769</v>
      </c>
      <c r="AO1436">
        <v>701904</v>
      </c>
    </row>
    <row r="1437" spans="1:41" x14ac:dyDescent="0.3">
      <c r="A1437" s="19" t="s">
        <v>1503</v>
      </c>
      <c r="B1437">
        <v>56</v>
      </c>
      <c r="C1437" s="19" t="s">
        <v>1499</v>
      </c>
      <c r="D1437" s="19" t="s">
        <v>55</v>
      </c>
      <c r="E1437" s="19" t="s">
        <v>48</v>
      </c>
      <c r="F1437">
        <v>832</v>
      </c>
      <c r="G1437" s="19" t="s">
        <v>735</v>
      </c>
      <c r="H1437">
        <v>9</v>
      </c>
      <c r="I1437">
        <v>3</v>
      </c>
      <c r="J1437" s="19" t="s">
        <v>58</v>
      </c>
      <c r="K1437">
        <v>762</v>
      </c>
      <c r="L1437">
        <v>3</v>
      </c>
      <c r="M1437" s="19" t="s">
        <v>51</v>
      </c>
      <c r="N1437">
        <v>3</v>
      </c>
      <c r="O1437">
        <v>4</v>
      </c>
      <c r="P1437" s="19" t="s">
        <v>168</v>
      </c>
      <c r="Q1437">
        <v>4</v>
      </c>
      <c r="R1437" s="19" t="s">
        <v>113</v>
      </c>
      <c r="S1437">
        <v>54002</v>
      </c>
      <c r="T1437" s="19" t="s">
        <v>64</v>
      </c>
      <c r="U1437">
        <v>337.51</v>
      </c>
      <c r="V1437">
        <v>7</v>
      </c>
      <c r="W1437" s="19" t="s">
        <v>55</v>
      </c>
      <c r="X1437">
        <v>11</v>
      </c>
      <c r="Y1437">
        <v>3</v>
      </c>
      <c r="Z1437">
        <v>3</v>
      </c>
      <c r="AA1437">
        <v>0</v>
      </c>
      <c r="AB1437">
        <v>30</v>
      </c>
      <c r="AC1437">
        <v>1</v>
      </c>
      <c r="AD1437">
        <v>2</v>
      </c>
      <c r="AE1437">
        <v>10</v>
      </c>
      <c r="AF1437">
        <v>7</v>
      </c>
      <c r="AG1437">
        <v>1</v>
      </c>
      <c r="AH1437">
        <v>1</v>
      </c>
      <c r="AI1437">
        <v>0</v>
      </c>
      <c r="AJ1437" s="19" t="s">
        <v>1569</v>
      </c>
      <c r="AK1437" s="19" t="s">
        <v>1562</v>
      </c>
      <c r="AL1437">
        <v>1</v>
      </c>
      <c r="AM1437" s="19" t="s">
        <v>1565</v>
      </c>
      <c r="AN1437">
        <v>0.12062586711885313</v>
      </c>
      <c r="AO1437">
        <v>648024</v>
      </c>
    </row>
    <row r="1438" spans="1:41" x14ac:dyDescent="0.3">
      <c r="A1438" s="19" t="s">
        <v>1504</v>
      </c>
      <c r="B1438">
        <v>56</v>
      </c>
      <c r="C1438" s="19" t="s">
        <v>1499</v>
      </c>
      <c r="D1438" s="19" t="s">
        <v>55</v>
      </c>
      <c r="E1438" s="19" t="s">
        <v>62</v>
      </c>
      <c r="F1438">
        <v>1240</v>
      </c>
      <c r="G1438" s="19" t="s">
        <v>735</v>
      </c>
      <c r="H1438">
        <v>9</v>
      </c>
      <c r="I1438">
        <v>3</v>
      </c>
      <c r="J1438" s="19" t="s">
        <v>58</v>
      </c>
      <c r="K1438">
        <v>1071</v>
      </c>
      <c r="L1438">
        <v>1</v>
      </c>
      <c r="M1438" s="19" t="s">
        <v>59</v>
      </c>
      <c r="N1438">
        <v>3</v>
      </c>
      <c r="O1438">
        <v>1</v>
      </c>
      <c r="P1438" s="19" t="s">
        <v>67</v>
      </c>
      <c r="Q1438">
        <v>3</v>
      </c>
      <c r="R1438" s="19" t="s">
        <v>113</v>
      </c>
      <c r="S1438">
        <v>90599</v>
      </c>
      <c r="T1438" s="19" t="s">
        <v>70</v>
      </c>
      <c r="U1438">
        <v>566.24</v>
      </c>
      <c r="V1438">
        <v>2</v>
      </c>
      <c r="W1438" s="19" t="s">
        <v>55</v>
      </c>
      <c r="X1438">
        <v>19</v>
      </c>
      <c r="Y1438">
        <v>3</v>
      </c>
      <c r="Z1438">
        <v>2</v>
      </c>
      <c r="AA1438">
        <v>1</v>
      </c>
      <c r="AB1438">
        <v>18</v>
      </c>
      <c r="AC1438">
        <v>4</v>
      </c>
      <c r="AD1438">
        <v>3</v>
      </c>
      <c r="AE1438">
        <v>5</v>
      </c>
      <c r="AF1438">
        <v>4</v>
      </c>
      <c r="AG1438">
        <v>0</v>
      </c>
      <c r="AH1438">
        <v>3</v>
      </c>
      <c r="AI1438">
        <v>0</v>
      </c>
      <c r="AJ1438" s="19" t="s">
        <v>1567</v>
      </c>
      <c r="AK1438" s="19" t="s">
        <v>1562</v>
      </c>
      <c r="AL1438">
        <v>0</v>
      </c>
      <c r="AM1438" s="19" t="s">
        <v>1563</v>
      </c>
      <c r="AN1438">
        <v>0.81684542523705794</v>
      </c>
      <c r="AO1438">
        <v>1087188</v>
      </c>
    </row>
    <row r="1439" spans="1:41" x14ac:dyDescent="0.3">
      <c r="A1439" s="19" t="s">
        <v>1505</v>
      </c>
      <c r="B1439">
        <v>56</v>
      </c>
      <c r="C1439" s="19" t="s">
        <v>1499</v>
      </c>
      <c r="D1439" s="19" t="s">
        <v>55</v>
      </c>
      <c r="E1439" s="19" t="s">
        <v>48</v>
      </c>
      <c r="F1439">
        <v>718</v>
      </c>
      <c r="G1439" s="19" t="s">
        <v>735</v>
      </c>
      <c r="H1439">
        <v>4</v>
      </c>
      <c r="I1439">
        <v>4</v>
      </c>
      <c r="J1439" s="19" t="s">
        <v>77</v>
      </c>
      <c r="K1439">
        <v>1191</v>
      </c>
      <c r="L1439">
        <v>4</v>
      </c>
      <c r="M1439" s="19" t="s">
        <v>59</v>
      </c>
      <c r="N1439">
        <v>3</v>
      </c>
      <c r="O1439">
        <v>5</v>
      </c>
      <c r="P1439" s="19" t="s">
        <v>444</v>
      </c>
      <c r="Q1439">
        <v>1</v>
      </c>
      <c r="R1439" s="19" t="s">
        <v>113</v>
      </c>
      <c r="S1439">
        <v>73355</v>
      </c>
      <c r="T1439" s="19" t="s">
        <v>64</v>
      </c>
      <c r="U1439">
        <v>458.47</v>
      </c>
      <c r="V1439">
        <v>4</v>
      </c>
      <c r="W1439" s="19" t="s">
        <v>55</v>
      </c>
      <c r="X1439">
        <v>13</v>
      </c>
      <c r="Y1439">
        <v>3</v>
      </c>
      <c r="Z1439">
        <v>4</v>
      </c>
      <c r="AA1439">
        <v>1</v>
      </c>
      <c r="AB1439">
        <v>28</v>
      </c>
      <c r="AC1439">
        <v>2</v>
      </c>
      <c r="AD1439">
        <v>3</v>
      </c>
      <c r="AE1439">
        <v>5</v>
      </c>
      <c r="AF1439">
        <v>2</v>
      </c>
      <c r="AG1439">
        <v>4</v>
      </c>
      <c r="AH1439">
        <v>2</v>
      </c>
      <c r="AI1439">
        <v>0</v>
      </c>
      <c r="AJ1439" s="19" t="s">
        <v>1567</v>
      </c>
      <c r="AK1439" s="19" t="s">
        <v>1570</v>
      </c>
      <c r="AL1439">
        <v>2</v>
      </c>
      <c r="AM1439" s="19" t="s">
        <v>1564</v>
      </c>
      <c r="AN1439">
        <v>0.40531359663785999</v>
      </c>
      <c r="AO1439">
        <v>880260</v>
      </c>
    </row>
    <row r="1440" spans="1:41" x14ac:dyDescent="0.3">
      <c r="A1440" s="19" t="s">
        <v>1506</v>
      </c>
      <c r="B1440">
        <v>56</v>
      </c>
      <c r="C1440" s="19" t="s">
        <v>1499</v>
      </c>
      <c r="D1440" s="19" t="s">
        <v>55</v>
      </c>
      <c r="E1440" s="19" t="s">
        <v>48</v>
      </c>
      <c r="F1440">
        <v>206</v>
      </c>
      <c r="G1440" s="19" t="s">
        <v>80</v>
      </c>
      <c r="H1440">
        <v>8</v>
      </c>
      <c r="I1440">
        <v>4</v>
      </c>
      <c r="J1440" s="19" t="s">
        <v>50</v>
      </c>
      <c r="K1440">
        <v>1338</v>
      </c>
      <c r="L1440">
        <v>4</v>
      </c>
      <c r="M1440" s="19" t="s">
        <v>51</v>
      </c>
      <c r="N1440">
        <v>3</v>
      </c>
      <c r="O1440">
        <v>5</v>
      </c>
      <c r="P1440" s="19" t="s">
        <v>444</v>
      </c>
      <c r="Q1440">
        <v>2</v>
      </c>
      <c r="R1440" s="19" t="s">
        <v>53</v>
      </c>
      <c r="S1440">
        <v>92248</v>
      </c>
      <c r="T1440" s="19" t="s">
        <v>70</v>
      </c>
      <c r="U1440">
        <v>576.54999999999995</v>
      </c>
      <c r="V1440">
        <v>6</v>
      </c>
      <c r="W1440" s="19" t="s">
        <v>55</v>
      </c>
      <c r="X1440">
        <v>14</v>
      </c>
      <c r="Y1440">
        <v>3</v>
      </c>
      <c r="Z1440">
        <v>1</v>
      </c>
      <c r="AA1440">
        <v>0</v>
      </c>
      <c r="AB1440">
        <v>36</v>
      </c>
      <c r="AC1440">
        <v>4</v>
      </c>
      <c r="AD1440">
        <v>3</v>
      </c>
      <c r="AE1440">
        <v>7</v>
      </c>
      <c r="AF1440">
        <v>3</v>
      </c>
      <c r="AG1440">
        <v>7</v>
      </c>
      <c r="AH1440">
        <v>7</v>
      </c>
      <c r="AI1440">
        <v>0</v>
      </c>
      <c r="AJ1440" s="19" t="s">
        <v>1569</v>
      </c>
      <c r="AK1440" s="19" t="s">
        <v>1570</v>
      </c>
      <c r="AL1440">
        <v>2</v>
      </c>
      <c r="AM1440" s="19" t="s">
        <v>1564</v>
      </c>
      <c r="AN1440">
        <v>0.7672601548994521</v>
      </c>
      <c r="AO1440">
        <v>1106976</v>
      </c>
    </row>
    <row r="1441" spans="1:41" x14ac:dyDescent="0.3">
      <c r="A1441" s="19" t="s">
        <v>1507</v>
      </c>
      <c r="B1441">
        <v>56</v>
      </c>
      <c r="C1441" s="19" t="s">
        <v>1499</v>
      </c>
      <c r="D1441" s="19" t="s">
        <v>55</v>
      </c>
      <c r="E1441" s="19" t="s">
        <v>48</v>
      </c>
      <c r="F1441">
        <v>1369</v>
      </c>
      <c r="G1441" s="19" t="s">
        <v>735</v>
      </c>
      <c r="H1441">
        <v>23</v>
      </c>
      <c r="I1441">
        <v>3</v>
      </c>
      <c r="J1441" s="19" t="s">
        <v>50</v>
      </c>
      <c r="K1441">
        <v>1373</v>
      </c>
      <c r="L1441">
        <v>4</v>
      </c>
      <c r="M1441" s="19" t="s">
        <v>51</v>
      </c>
      <c r="N1441">
        <v>3</v>
      </c>
      <c r="O1441">
        <v>4</v>
      </c>
      <c r="P1441" s="19" t="s">
        <v>120</v>
      </c>
      <c r="Q1441">
        <v>2</v>
      </c>
      <c r="R1441" s="19" t="s">
        <v>113</v>
      </c>
      <c r="S1441">
        <v>25762</v>
      </c>
      <c r="T1441" s="19" t="s">
        <v>72</v>
      </c>
      <c r="U1441">
        <v>161.01</v>
      </c>
      <c r="V1441">
        <v>4</v>
      </c>
      <c r="W1441" s="19" t="s">
        <v>47</v>
      </c>
      <c r="X1441">
        <v>12</v>
      </c>
      <c r="Y1441">
        <v>3</v>
      </c>
      <c r="Z1441">
        <v>1</v>
      </c>
      <c r="AA1441">
        <v>1</v>
      </c>
      <c r="AB1441">
        <v>33</v>
      </c>
      <c r="AC1441">
        <v>0</v>
      </c>
      <c r="AD1441">
        <v>3</v>
      </c>
      <c r="AE1441">
        <v>19</v>
      </c>
      <c r="AF1441">
        <v>16</v>
      </c>
      <c r="AG1441">
        <v>15</v>
      </c>
      <c r="AH1441">
        <v>9</v>
      </c>
      <c r="AI1441">
        <v>0</v>
      </c>
      <c r="AJ1441" s="19" t="s">
        <v>1571</v>
      </c>
      <c r="AK1441" s="19" t="s">
        <v>1570</v>
      </c>
      <c r="AL1441">
        <v>3</v>
      </c>
      <c r="AM1441" s="19" t="s">
        <v>1568</v>
      </c>
      <c r="AN1441">
        <v>-0.41840377454010053</v>
      </c>
      <c r="AO1441">
        <v>309144</v>
      </c>
    </row>
    <row r="1442" spans="1:41" x14ac:dyDescent="0.3">
      <c r="A1442" s="19" t="s">
        <v>1508</v>
      </c>
      <c r="B1442">
        <v>56</v>
      </c>
      <c r="C1442" s="19" t="s">
        <v>1499</v>
      </c>
      <c r="D1442" s="19" t="s">
        <v>55</v>
      </c>
      <c r="E1442" s="19" t="s">
        <v>48</v>
      </c>
      <c r="F1442">
        <v>1255</v>
      </c>
      <c r="G1442" s="19" t="s">
        <v>735</v>
      </c>
      <c r="H1442">
        <v>1</v>
      </c>
      <c r="I1442">
        <v>2</v>
      </c>
      <c r="J1442" s="19" t="s">
        <v>50</v>
      </c>
      <c r="K1442">
        <v>1441</v>
      </c>
      <c r="L1442">
        <v>1</v>
      </c>
      <c r="M1442" s="19" t="s">
        <v>59</v>
      </c>
      <c r="N1442">
        <v>3</v>
      </c>
      <c r="O1442">
        <v>1</v>
      </c>
      <c r="P1442" s="19" t="s">
        <v>67</v>
      </c>
      <c r="Q1442">
        <v>1</v>
      </c>
      <c r="R1442" s="19" t="s">
        <v>113</v>
      </c>
      <c r="S1442">
        <v>12046</v>
      </c>
      <c r="T1442" s="19" t="s">
        <v>54</v>
      </c>
      <c r="U1442">
        <v>75.290000000000006</v>
      </c>
      <c r="V1442">
        <v>2</v>
      </c>
      <c r="W1442" s="19" t="s">
        <v>55</v>
      </c>
      <c r="X1442">
        <v>22</v>
      </c>
      <c r="Y1442">
        <v>4</v>
      </c>
      <c r="Z1442">
        <v>4</v>
      </c>
      <c r="AA1442">
        <v>1</v>
      </c>
      <c r="AB1442">
        <v>5</v>
      </c>
      <c r="AC1442">
        <v>3</v>
      </c>
      <c r="AD1442">
        <v>4</v>
      </c>
      <c r="AE1442">
        <v>3</v>
      </c>
      <c r="AF1442">
        <v>2</v>
      </c>
      <c r="AG1442">
        <v>1</v>
      </c>
      <c r="AH1442">
        <v>0</v>
      </c>
      <c r="AI1442">
        <v>0</v>
      </c>
      <c r="AJ1442" s="19" t="s">
        <v>1566</v>
      </c>
      <c r="AK1442" s="19" t="s">
        <v>1562</v>
      </c>
      <c r="AL1442">
        <v>1</v>
      </c>
      <c r="AM1442" s="19" t="s">
        <v>1565</v>
      </c>
      <c r="AN1442">
        <v>-0.75843309537185177</v>
      </c>
      <c r="AO1442">
        <v>144552</v>
      </c>
    </row>
    <row r="1443" spans="1:41" x14ac:dyDescent="0.3">
      <c r="A1443" s="19" t="s">
        <v>1509</v>
      </c>
      <c r="B1443">
        <v>56</v>
      </c>
      <c r="C1443" s="19" t="s">
        <v>1499</v>
      </c>
      <c r="D1443" s="19" t="s">
        <v>47</v>
      </c>
      <c r="E1443" s="19" t="s">
        <v>48</v>
      </c>
      <c r="F1443">
        <v>1162</v>
      </c>
      <c r="G1443" s="19" t="s">
        <v>735</v>
      </c>
      <c r="H1443">
        <v>24</v>
      </c>
      <c r="I1443">
        <v>2</v>
      </c>
      <c r="J1443" s="19" t="s">
        <v>50</v>
      </c>
      <c r="K1443">
        <v>1907</v>
      </c>
      <c r="L1443">
        <v>1</v>
      </c>
      <c r="M1443" s="19" t="s">
        <v>51</v>
      </c>
      <c r="N1443">
        <v>3</v>
      </c>
      <c r="O1443">
        <v>1</v>
      </c>
      <c r="P1443" s="19" t="s">
        <v>52</v>
      </c>
      <c r="Q1443">
        <v>4</v>
      </c>
      <c r="R1443" s="19" t="s">
        <v>53</v>
      </c>
      <c r="S1443">
        <v>97999</v>
      </c>
      <c r="T1443" s="19" t="s">
        <v>70</v>
      </c>
      <c r="U1443">
        <v>612.49</v>
      </c>
      <c r="V1443">
        <v>1</v>
      </c>
      <c r="W1443" s="19" t="s">
        <v>55</v>
      </c>
      <c r="X1443">
        <v>16</v>
      </c>
      <c r="Y1443">
        <v>3</v>
      </c>
      <c r="Z1443">
        <v>4</v>
      </c>
      <c r="AA1443">
        <v>0</v>
      </c>
      <c r="AB1443">
        <v>5</v>
      </c>
      <c r="AC1443">
        <v>3</v>
      </c>
      <c r="AD1443">
        <v>3</v>
      </c>
      <c r="AE1443">
        <v>4</v>
      </c>
      <c r="AF1443">
        <v>2</v>
      </c>
      <c r="AG1443">
        <v>1</v>
      </c>
      <c r="AH1443">
        <v>0</v>
      </c>
      <c r="AI1443">
        <v>1</v>
      </c>
      <c r="AJ1443" s="19" t="s">
        <v>1567</v>
      </c>
      <c r="AK1443" s="19" t="s">
        <v>1562</v>
      </c>
      <c r="AL1443">
        <v>0</v>
      </c>
      <c r="AM1443" s="19" t="s">
        <v>1563</v>
      </c>
      <c r="AN1443">
        <v>0.8947769926546969</v>
      </c>
      <c r="AO1443">
        <v>1175988</v>
      </c>
    </row>
    <row r="1444" spans="1:41" x14ac:dyDescent="0.3">
      <c r="A1444" s="19" t="s">
        <v>1510</v>
      </c>
      <c r="B1444">
        <v>56</v>
      </c>
      <c r="C1444" s="19" t="s">
        <v>1499</v>
      </c>
      <c r="D1444" s="19" t="s">
        <v>55</v>
      </c>
      <c r="E1444" s="19" t="s">
        <v>48</v>
      </c>
      <c r="F1444">
        <v>1443</v>
      </c>
      <c r="G1444" s="19" t="s">
        <v>932</v>
      </c>
      <c r="H1444">
        <v>11</v>
      </c>
      <c r="I1444">
        <v>5</v>
      </c>
      <c r="J1444" s="19" t="s">
        <v>63</v>
      </c>
      <c r="K1444">
        <v>1935</v>
      </c>
      <c r="L1444">
        <v>4</v>
      </c>
      <c r="M1444" s="19" t="s">
        <v>59</v>
      </c>
      <c r="N1444">
        <v>2</v>
      </c>
      <c r="O1444">
        <v>2</v>
      </c>
      <c r="P1444" s="19" t="s">
        <v>145</v>
      </c>
      <c r="Q1444">
        <v>1</v>
      </c>
      <c r="R1444" s="19" t="s">
        <v>113</v>
      </c>
      <c r="S1444">
        <v>29769</v>
      </c>
      <c r="T1444" s="19" t="s">
        <v>72</v>
      </c>
      <c r="U1444">
        <v>186.06</v>
      </c>
      <c r="V1444">
        <v>4</v>
      </c>
      <c r="W1444" s="19" t="s">
        <v>55</v>
      </c>
      <c r="X1444">
        <v>16</v>
      </c>
      <c r="Y1444">
        <v>3</v>
      </c>
      <c r="Z1444">
        <v>3</v>
      </c>
      <c r="AA1444">
        <v>1</v>
      </c>
      <c r="AB1444">
        <v>6</v>
      </c>
      <c r="AC1444">
        <v>3</v>
      </c>
      <c r="AD1444">
        <v>3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 s="19" t="s">
        <v>1561</v>
      </c>
      <c r="AK1444" s="19" t="s">
        <v>1562</v>
      </c>
      <c r="AL1444">
        <v>1</v>
      </c>
      <c r="AM1444" s="19" t="s">
        <v>1565</v>
      </c>
      <c r="AN1444">
        <v>-0.39318727946195037</v>
      </c>
      <c r="AO1444">
        <v>357228</v>
      </c>
    </row>
    <row r="1445" spans="1:41" x14ac:dyDescent="0.3">
      <c r="A1445" s="19" t="s">
        <v>1511</v>
      </c>
      <c r="B1445">
        <v>56</v>
      </c>
      <c r="C1445" s="19" t="s">
        <v>1499</v>
      </c>
      <c r="D1445" s="19" t="s">
        <v>55</v>
      </c>
      <c r="E1445" s="19" t="s">
        <v>66</v>
      </c>
      <c r="F1445">
        <v>667</v>
      </c>
      <c r="G1445" s="19" t="s">
        <v>735</v>
      </c>
      <c r="H1445">
        <v>1</v>
      </c>
      <c r="I1445">
        <v>4</v>
      </c>
      <c r="J1445" s="19" t="s">
        <v>50</v>
      </c>
      <c r="K1445">
        <v>2026</v>
      </c>
      <c r="L1445">
        <v>3</v>
      </c>
      <c r="M1445" s="19" t="s">
        <v>51</v>
      </c>
      <c r="N1445">
        <v>3</v>
      </c>
      <c r="O1445">
        <v>2</v>
      </c>
      <c r="P1445" s="19" t="s">
        <v>168</v>
      </c>
      <c r="Q1445">
        <v>3</v>
      </c>
      <c r="R1445" s="19" t="s">
        <v>53</v>
      </c>
      <c r="S1445">
        <v>54302</v>
      </c>
      <c r="T1445" s="19" t="s">
        <v>64</v>
      </c>
      <c r="U1445">
        <v>339.39</v>
      </c>
      <c r="V1445">
        <v>1</v>
      </c>
      <c r="W1445" s="19" t="s">
        <v>55</v>
      </c>
      <c r="X1445">
        <v>21</v>
      </c>
      <c r="Y1445">
        <v>4</v>
      </c>
      <c r="Z1445">
        <v>1</v>
      </c>
      <c r="AA1445">
        <v>1</v>
      </c>
      <c r="AB1445">
        <v>13</v>
      </c>
      <c r="AC1445">
        <v>2</v>
      </c>
      <c r="AD1445">
        <v>2</v>
      </c>
      <c r="AE1445">
        <v>13</v>
      </c>
      <c r="AF1445">
        <v>12</v>
      </c>
      <c r="AG1445">
        <v>1</v>
      </c>
      <c r="AH1445">
        <v>9</v>
      </c>
      <c r="AI1445">
        <v>0</v>
      </c>
      <c r="AJ1445" s="19" t="s">
        <v>1571</v>
      </c>
      <c r="AK1445" s="19" t="s">
        <v>1562</v>
      </c>
      <c r="AL1445">
        <v>1</v>
      </c>
      <c r="AM1445" s="19" t="s">
        <v>1565</v>
      </c>
      <c r="AN1445">
        <v>0.12685133580771013</v>
      </c>
      <c r="AO1445">
        <v>651624</v>
      </c>
    </row>
    <row r="1446" spans="1:41" x14ac:dyDescent="0.3">
      <c r="A1446" s="19" t="s">
        <v>1512</v>
      </c>
      <c r="B1446">
        <v>56</v>
      </c>
      <c r="C1446" s="19" t="s">
        <v>1499</v>
      </c>
      <c r="D1446" s="19" t="s">
        <v>47</v>
      </c>
      <c r="E1446" s="19" t="s">
        <v>48</v>
      </c>
      <c r="F1446">
        <v>310</v>
      </c>
      <c r="G1446" s="19" t="s">
        <v>735</v>
      </c>
      <c r="H1446">
        <v>7</v>
      </c>
      <c r="I1446">
        <v>2</v>
      </c>
      <c r="J1446" s="19" t="s">
        <v>77</v>
      </c>
      <c r="K1446">
        <v>2032</v>
      </c>
      <c r="L1446">
        <v>4</v>
      </c>
      <c r="M1446" s="19" t="s">
        <v>51</v>
      </c>
      <c r="N1446">
        <v>3</v>
      </c>
      <c r="O1446">
        <v>1</v>
      </c>
      <c r="P1446" s="19" t="s">
        <v>52</v>
      </c>
      <c r="Q1446">
        <v>3</v>
      </c>
      <c r="R1446" s="19" t="s">
        <v>113</v>
      </c>
      <c r="S1446">
        <v>24150</v>
      </c>
      <c r="T1446" s="19" t="s">
        <v>54</v>
      </c>
      <c r="U1446">
        <v>150.94</v>
      </c>
      <c r="V1446">
        <v>8</v>
      </c>
      <c r="W1446" s="19" t="s">
        <v>55</v>
      </c>
      <c r="X1446">
        <v>11</v>
      </c>
      <c r="Y1446">
        <v>3</v>
      </c>
      <c r="Z1446">
        <v>4</v>
      </c>
      <c r="AA1446">
        <v>1</v>
      </c>
      <c r="AB1446">
        <v>14</v>
      </c>
      <c r="AC1446">
        <v>4</v>
      </c>
      <c r="AD1446">
        <v>1</v>
      </c>
      <c r="AE1446">
        <v>10</v>
      </c>
      <c r="AF1446">
        <v>9</v>
      </c>
      <c r="AG1446">
        <v>9</v>
      </c>
      <c r="AH1446">
        <v>8</v>
      </c>
      <c r="AI1446">
        <v>1</v>
      </c>
      <c r="AJ1446" s="19" t="s">
        <v>1569</v>
      </c>
      <c r="AK1446" s="19" t="s">
        <v>1570</v>
      </c>
      <c r="AL1446">
        <v>2</v>
      </c>
      <c r="AM1446" s="19" t="s">
        <v>1564</v>
      </c>
      <c r="AN1446">
        <v>-0.5330680479126223</v>
      </c>
      <c r="AO1446">
        <v>289800</v>
      </c>
    </row>
    <row r="1447" spans="1:41" x14ac:dyDescent="0.3">
      <c r="A1447" s="19" t="s">
        <v>1513</v>
      </c>
      <c r="B1447">
        <v>57</v>
      </c>
      <c r="C1447" s="19" t="s">
        <v>1499</v>
      </c>
      <c r="D1447" s="19" t="s">
        <v>55</v>
      </c>
      <c r="E1447" s="19" t="s">
        <v>48</v>
      </c>
      <c r="F1447">
        <v>334</v>
      </c>
      <c r="G1447" s="19" t="s">
        <v>735</v>
      </c>
      <c r="H1447">
        <v>24</v>
      </c>
      <c r="I1447">
        <v>2</v>
      </c>
      <c r="J1447" s="19" t="s">
        <v>50</v>
      </c>
      <c r="K1447">
        <v>223</v>
      </c>
      <c r="L1447">
        <v>3</v>
      </c>
      <c r="M1447" s="19" t="s">
        <v>51</v>
      </c>
      <c r="N1447">
        <v>4</v>
      </c>
      <c r="O1447">
        <v>3</v>
      </c>
      <c r="P1447" s="19" t="s">
        <v>168</v>
      </c>
      <c r="Q1447">
        <v>4</v>
      </c>
      <c r="R1447" s="19" t="s">
        <v>113</v>
      </c>
      <c r="S1447">
        <v>69247</v>
      </c>
      <c r="T1447" s="19" t="s">
        <v>64</v>
      </c>
      <c r="U1447">
        <v>432.79</v>
      </c>
      <c r="V1447">
        <v>3</v>
      </c>
      <c r="W1447" s="19" t="s">
        <v>47</v>
      </c>
      <c r="X1447">
        <v>16</v>
      </c>
      <c r="Y1447">
        <v>3</v>
      </c>
      <c r="Z1447">
        <v>2</v>
      </c>
      <c r="AA1447">
        <v>1</v>
      </c>
      <c r="AB1447">
        <v>12</v>
      </c>
      <c r="AC1447">
        <v>2</v>
      </c>
      <c r="AD1447">
        <v>1</v>
      </c>
      <c r="AE1447">
        <v>5</v>
      </c>
      <c r="AF1447">
        <v>3</v>
      </c>
      <c r="AG1447">
        <v>1</v>
      </c>
      <c r="AH1447">
        <v>4</v>
      </c>
      <c r="AI1447">
        <v>0</v>
      </c>
      <c r="AJ1447" s="19" t="s">
        <v>1567</v>
      </c>
      <c r="AK1447" s="19" t="s">
        <v>1562</v>
      </c>
      <c r="AL1447">
        <v>2</v>
      </c>
      <c r="AM1447" s="19" t="s">
        <v>1564</v>
      </c>
      <c r="AN1447">
        <v>0.43698343432426989</v>
      </c>
      <c r="AO1447">
        <v>830964</v>
      </c>
    </row>
    <row r="1448" spans="1:41" x14ac:dyDescent="0.3">
      <c r="A1448" s="19" t="s">
        <v>1514</v>
      </c>
      <c r="B1448">
        <v>57</v>
      </c>
      <c r="C1448" s="19" t="s">
        <v>1499</v>
      </c>
      <c r="D1448" s="19" t="s">
        <v>55</v>
      </c>
      <c r="E1448" s="19" t="s">
        <v>48</v>
      </c>
      <c r="F1448">
        <v>593</v>
      </c>
      <c r="G1448" s="19" t="s">
        <v>735</v>
      </c>
      <c r="H1448">
        <v>1</v>
      </c>
      <c r="I1448">
        <v>4</v>
      </c>
      <c r="J1448" s="19" t="s">
        <v>58</v>
      </c>
      <c r="K1448">
        <v>482</v>
      </c>
      <c r="L1448">
        <v>4</v>
      </c>
      <c r="M1448" s="19" t="s">
        <v>51</v>
      </c>
      <c r="N1448">
        <v>3</v>
      </c>
      <c r="O1448">
        <v>2</v>
      </c>
      <c r="P1448" s="19" t="s">
        <v>168</v>
      </c>
      <c r="Q1448">
        <v>3</v>
      </c>
      <c r="R1448" s="19" t="s">
        <v>113</v>
      </c>
      <c r="S1448">
        <v>5853</v>
      </c>
      <c r="T1448" s="19" t="s">
        <v>54</v>
      </c>
      <c r="U1448">
        <v>36.58</v>
      </c>
      <c r="V1448">
        <v>2</v>
      </c>
      <c r="W1448" s="19" t="s">
        <v>55</v>
      </c>
      <c r="X1448">
        <v>11</v>
      </c>
      <c r="Y1448">
        <v>3</v>
      </c>
      <c r="Z1448">
        <v>3</v>
      </c>
      <c r="AA1448">
        <v>0</v>
      </c>
      <c r="AB1448">
        <v>15</v>
      </c>
      <c r="AC1448">
        <v>2</v>
      </c>
      <c r="AD1448">
        <v>3</v>
      </c>
      <c r="AE1448">
        <v>3</v>
      </c>
      <c r="AF1448">
        <v>2</v>
      </c>
      <c r="AG1448">
        <v>1</v>
      </c>
      <c r="AH1448">
        <v>2</v>
      </c>
      <c r="AI1448">
        <v>0</v>
      </c>
      <c r="AJ1448" s="19" t="s">
        <v>1566</v>
      </c>
      <c r="AK1448" s="19" t="s">
        <v>1562</v>
      </c>
      <c r="AL1448">
        <v>0</v>
      </c>
      <c r="AM1448" s="19" t="s">
        <v>1563</v>
      </c>
      <c r="AN1448">
        <v>-0.8785411058803998</v>
      </c>
      <c r="AO1448">
        <v>70236</v>
      </c>
    </row>
    <row r="1449" spans="1:41" x14ac:dyDescent="0.3">
      <c r="A1449" s="19" t="s">
        <v>1515</v>
      </c>
      <c r="B1449">
        <v>57</v>
      </c>
      <c r="C1449" s="19" t="s">
        <v>1499</v>
      </c>
      <c r="D1449" s="19" t="s">
        <v>55</v>
      </c>
      <c r="E1449" s="19" t="s">
        <v>48</v>
      </c>
      <c r="F1449">
        <v>210</v>
      </c>
      <c r="G1449" s="19" t="s">
        <v>932</v>
      </c>
      <c r="H1449">
        <v>29</v>
      </c>
      <c r="I1449">
        <v>3</v>
      </c>
      <c r="J1449" s="19" t="s">
        <v>63</v>
      </c>
      <c r="K1449">
        <v>568</v>
      </c>
      <c r="L1449">
        <v>1</v>
      </c>
      <c r="M1449" s="19" t="s">
        <v>51</v>
      </c>
      <c r="N1449">
        <v>2</v>
      </c>
      <c r="O1449">
        <v>4</v>
      </c>
      <c r="P1449" s="19" t="s">
        <v>444</v>
      </c>
      <c r="Q1449">
        <v>4</v>
      </c>
      <c r="R1449" s="19" t="s">
        <v>113</v>
      </c>
      <c r="S1449">
        <v>95613</v>
      </c>
      <c r="T1449" s="19" t="s">
        <v>70</v>
      </c>
      <c r="U1449">
        <v>597.58000000000004</v>
      </c>
      <c r="V1449">
        <v>3</v>
      </c>
      <c r="W1449" s="19" t="s">
        <v>55</v>
      </c>
      <c r="X1449">
        <v>12</v>
      </c>
      <c r="Y1449">
        <v>3</v>
      </c>
      <c r="Z1449">
        <v>3</v>
      </c>
      <c r="AA1449">
        <v>1</v>
      </c>
      <c r="AB1449">
        <v>32</v>
      </c>
      <c r="AC1449">
        <v>3</v>
      </c>
      <c r="AD1449">
        <v>2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 s="19" t="s">
        <v>1561</v>
      </c>
      <c r="AK1449" s="19" t="s">
        <v>1562</v>
      </c>
      <c r="AL1449">
        <v>1</v>
      </c>
      <c r="AM1449" s="19" t="s">
        <v>1565</v>
      </c>
      <c r="AN1449">
        <v>0.83172583893852781</v>
      </c>
      <c r="AO1449">
        <v>1147356</v>
      </c>
    </row>
    <row r="1450" spans="1:41" x14ac:dyDescent="0.3">
      <c r="A1450" s="19" t="s">
        <v>1516</v>
      </c>
      <c r="B1450">
        <v>57</v>
      </c>
      <c r="C1450" s="19" t="s">
        <v>1499</v>
      </c>
      <c r="D1450" s="19" t="s">
        <v>55</v>
      </c>
      <c r="E1450" s="19" t="s">
        <v>48</v>
      </c>
      <c r="F1450">
        <v>405</v>
      </c>
      <c r="G1450" s="19" t="s">
        <v>735</v>
      </c>
      <c r="H1450">
        <v>1</v>
      </c>
      <c r="I1450">
        <v>2</v>
      </c>
      <c r="J1450" s="19" t="s">
        <v>50</v>
      </c>
      <c r="K1450">
        <v>1483</v>
      </c>
      <c r="L1450">
        <v>2</v>
      </c>
      <c r="M1450" s="19" t="s">
        <v>51</v>
      </c>
      <c r="N1450">
        <v>4</v>
      </c>
      <c r="O1450">
        <v>2</v>
      </c>
      <c r="P1450" s="19" t="s">
        <v>67</v>
      </c>
      <c r="Q1450">
        <v>3</v>
      </c>
      <c r="R1450" s="19" t="s">
        <v>113</v>
      </c>
      <c r="S1450">
        <v>90399</v>
      </c>
      <c r="T1450" s="19" t="s">
        <v>70</v>
      </c>
      <c r="U1450">
        <v>564.99</v>
      </c>
      <c r="V1450">
        <v>0</v>
      </c>
      <c r="W1450" s="19" t="s">
        <v>55</v>
      </c>
      <c r="X1450">
        <v>24</v>
      </c>
      <c r="Y1450">
        <v>4</v>
      </c>
      <c r="Z1450">
        <v>1</v>
      </c>
      <c r="AA1450">
        <v>1</v>
      </c>
      <c r="AB1450">
        <v>13</v>
      </c>
      <c r="AC1450">
        <v>2</v>
      </c>
      <c r="AD1450">
        <v>2</v>
      </c>
      <c r="AE1450">
        <v>12</v>
      </c>
      <c r="AF1450">
        <v>9</v>
      </c>
      <c r="AG1450">
        <v>2</v>
      </c>
      <c r="AH1450">
        <v>8</v>
      </c>
      <c r="AI1450">
        <v>0</v>
      </c>
      <c r="AJ1450" s="19" t="s">
        <v>1571</v>
      </c>
      <c r="AK1450" s="19" t="s">
        <v>1562</v>
      </c>
      <c r="AL1450">
        <v>1</v>
      </c>
      <c r="AM1450" s="19" t="s">
        <v>1565</v>
      </c>
      <c r="AN1450">
        <v>0.81283468466544673</v>
      </c>
      <c r="AO1450">
        <v>1084788</v>
      </c>
    </row>
    <row r="1451" spans="1:41" x14ac:dyDescent="0.3">
      <c r="A1451" s="19" t="s">
        <v>1517</v>
      </c>
      <c r="B1451">
        <v>58</v>
      </c>
      <c r="C1451" s="19" t="s">
        <v>1499</v>
      </c>
      <c r="D1451" s="19" t="s">
        <v>55</v>
      </c>
      <c r="E1451" s="19" t="s">
        <v>48</v>
      </c>
      <c r="F1451">
        <v>682</v>
      </c>
      <c r="G1451" s="19" t="s">
        <v>57</v>
      </c>
      <c r="H1451">
        <v>10</v>
      </c>
      <c r="I1451">
        <v>4</v>
      </c>
      <c r="J1451" s="19" t="s">
        <v>58</v>
      </c>
      <c r="K1451">
        <v>131</v>
      </c>
      <c r="L1451">
        <v>4</v>
      </c>
      <c r="M1451" s="19" t="s">
        <v>51</v>
      </c>
      <c r="N1451">
        <v>3</v>
      </c>
      <c r="O1451">
        <v>4</v>
      </c>
      <c r="P1451" s="19" t="s">
        <v>145</v>
      </c>
      <c r="Q1451">
        <v>3</v>
      </c>
      <c r="R1451" s="19" t="s">
        <v>53</v>
      </c>
      <c r="S1451">
        <v>22792</v>
      </c>
      <c r="T1451" s="19" t="s">
        <v>54</v>
      </c>
      <c r="U1451">
        <v>142.44999999999999</v>
      </c>
      <c r="V1451">
        <v>0</v>
      </c>
      <c r="W1451" s="19" t="s">
        <v>55</v>
      </c>
      <c r="X1451">
        <v>13</v>
      </c>
      <c r="Y1451">
        <v>3</v>
      </c>
      <c r="Z1451">
        <v>3</v>
      </c>
      <c r="AA1451">
        <v>0</v>
      </c>
      <c r="AB1451">
        <v>38</v>
      </c>
      <c r="AC1451">
        <v>1</v>
      </c>
      <c r="AD1451">
        <v>2</v>
      </c>
      <c r="AE1451">
        <v>37</v>
      </c>
      <c r="AF1451">
        <v>10</v>
      </c>
      <c r="AG1451">
        <v>1</v>
      </c>
      <c r="AH1451">
        <v>8</v>
      </c>
      <c r="AI1451">
        <v>0</v>
      </c>
      <c r="AJ1451" s="19" t="s">
        <v>1571</v>
      </c>
      <c r="AK1451" s="19" t="s">
        <v>1562</v>
      </c>
      <c r="AL1451">
        <v>1</v>
      </c>
      <c r="AM1451" s="19" t="s">
        <v>1565</v>
      </c>
      <c r="AN1451">
        <v>-0.53540678133282182</v>
      </c>
      <c r="AO1451">
        <v>273504</v>
      </c>
    </row>
    <row r="1452" spans="1:41" x14ac:dyDescent="0.3">
      <c r="A1452" s="19" t="s">
        <v>1518</v>
      </c>
      <c r="B1452">
        <v>58</v>
      </c>
      <c r="C1452" s="19" t="s">
        <v>1499</v>
      </c>
      <c r="D1452" s="19" t="s">
        <v>47</v>
      </c>
      <c r="E1452" s="19" t="s">
        <v>48</v>
      </c>
      <c r="F1452">
        <v>147</v>
      </c>
      <c r="G1452" s="19" t="s">
        <v>735</v>
      </c>
      <c r="H1452">
        <v>23</v>
      </c>
      <c r="I1452">
        <v>4</v>
      </c>
      <c r="J1452" s="19" t="s">
        <v>58</v>
      </c>
      <c r="K1452">
        <v>165</v>
      </c>
      <c r="L1452">
        <v>4</v>
      </c>
      <c r="M1452" s="19" t="s">
        <v>59</v>
      </c>
      <c r="N1452">
        <v>3</v>
      </c>
      <c r="O1452">
        <v>3</v>
      </c>
      <c r="P1452" s="19" t="s">
        <v>168</v>
      </c>
      <c r="Q1452">
        <v>4</v>
      </c>
      <c r="R1452" s="19" t="s">
        <v>113</v>
      </c>
      <c r="S1452">
        <v>60129</v>
      </c>
      <c r="T1452" s="19" t="s">
        <v>64</v>
      </c>
      <c r="U1452">
        <v>375.81</v>
      </c>
      <c r="V1452">
        <v>1</v>
      </c>
      <c r="W1452" s="19" t="s">
        <v>55</v>
      </c>
      <c r="X1452">
        <v>12</v>
      </c>
      <c r="Y1452">
        <v>3</v>
      </c>
      <c r="Z1452">
        <v>4</v>
      </c>
      <c r="AA1452">
        <v>1</v>
      </c>
      <c r="AB1452">
        <v>40</v>
      </c>
      <c r="AC1452">
        <v>3</v>
      </c>
      <c r="AD1452">
        <v>2</v>
      </c>
      <c r="AE1452">
        <v>40</v>
      </c>
      <c r="AF1452">
        <v>10</v>
      </c>
      <c r="AG1452">
        <v>15</v>
      </c>
      <c r="AH1452">
        <v>6</v>
      </c>
      <c r="AI1452">
        <v>1</v>
      </c>
      <c r="AJ1452" s="19" t="s">
        <v>1571</v>
      </c>
      <c r="AK1452" s="19" t="s">
        <v>1570</v>
      </c>
      <c r="AL1452">
        <v>2</v>
      </c>
      <c r="AM1452" s="19" t="s">
        <v>1564</v>
      </c>
      <c r="AN1452">
        <v>0.24777068930760934</v>
      </c>
      <c r="AO1452">
        <v>721548</v>
      </c>
    </row>
    <row r="1453" spans="1:41" x14ac:dyDescent="0.3">
      <c r="A1453" s="19" t="s">
        <v>1519</v>
      </c>
      <c r="B1453">
        <v>58</v>
      </c>
      <c r="C1453" s="19" t="s">
        <v>1499</v>
      </c>
      <c r="D1453" s="19" t="s">
        <v>55</v>
      </c>
      <c r="E1453" s="19" t="s">
        <v>48</v>
      </c>
      <c r="F1453">
        <v>1145</v>
      </c>
      <c r="G1453" s="19" t="s">
        <v>735</v>
      </c>
      <c r="H1453">
        <v>9</v>
      </c>
      <c r="I1453">
        <v>3</v>
      </c>
      <c r="J1453" s="19" t="s">
        <v>58</v>
      </c>
      <c r="K1453">
        <v>214</v>
      </c>
      <c r="L1453">
        <v>2</v>
      </c>
      <c r="M1453" s="19" t="s">
        <v>59</v>
      </c>
      <c r="N1453">
        <v>2</v>
      </c>
      <c r="O1453">
        <v>1</v>
      </c>
      <c r="P1453" s="19" t="s">
        <v>67</v>
      </c>
      <c r="Q1453">
        <v>2</v>
      </c>
      <c r="R1453" s="19" t="s">
        <v>113</v>
      </c>
      <c r="S1453">
        <v>75478</v>
      </c>
      <c r="T1453" s="19" t="s">
        <v>64</v>
      </c>
      <c r="U1453">
        <v>471.74</v>
      </c>
      <c r="V1453">
        <v>4</v>
      </c>
      <c r="W1453" s="19" t="s">
        <v>47</v>
      </c>
      <c r="X1453">
        <v>20</v>
      </c>
      <c r="Y1453">
        <v>4</v>
      </c>
      <c r="Z1453">
        <v>2</v>
      </c>
      <c r="AA1453">
        <v>1</v>
      </c>
      <c r="AB1453">
        <v>9</v>
      </c>
      <c r="AC1453">
        <v>3</v>
      </c>
      <c r="AD1453">
        <v>2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 s="19" t="s">
        <v>1561</v>
      </c>
      <c r="AK1453" s="19" t="s">
        <v>1562</v>
      </c>
      <c r="AL1453">
        <v>3</v>
      </c>
      <c r="AM1453" s="19" t="s">
        <v>1568</v>
      </c>
      <c r="AN1453">
        <v>0.51361338432038617</v>
      </c>
      <c r="AO1453">
        <v>905736</v>
      </c>
    </row>
    <row r="1454" spans="1:41" x14ac:dyDescent="0.3">
      <c r="A1454" s="19" t="s">
        <v>1520</v>
      </c>
      <c r="B1454">
        <v>58</v>
      </c>
      <c r="C1454" s="19" t="s">
        <v>1499</v>
      </c>
      <c r="D1454" s="19" t="s">
        <v>55</v>
      </c>
      <c r="E1454" s="19" t="s">
        <v>66</v>
      </c>
      <c r="F1454">
        <v>390</v>
      </c>
      <c r="G1454" s="19" t="s">
        <v>735</v>
      </c>
      <c r="H1454">
        <v>1</v>
      </c>
      <c r="I1454">
        <v>4</v>
      </c>
      <c r="J1454" s="19" t="s">
        <v>50</v>
      </c>
      <c r="K1454">
        <v>422</v>
      </c>
      <c r="L1454">
        <v>4</v>
      </c>
      <c r="M1454" s="19" t="s">
        <v>51</v>
      </c>
      <c r="N1454">
        <v>1</v>
      </c>
      <c r="O1454">
        <v>2</v>
      </c>
      <c r="P1454" s="19" t="s">
        <v>168</v>
      </c>
      <c r="Q1454">
        <v>3</v>
      </c>
      <c r="R1454" s="19" t="s">
        <v>53</v>
      </c>
      <c r="S1454">
        <v>68298</v>
      </c>
      <c r="T1454" s="19" t="s">
        <v>64</v>
      </c>
      <c r="U1454">
        <v>426.86</v>
      </c>
      <c r="V1454">
        <v>2</v>
      </c>
      <c r="W1454" s="19" t="s">
        <v>47</v>
      </c>
      <c r="X1454">
        <v>13</v>
      </c>
      <c r="Y1454">
        <v>3</v>
      </c>
      <c r="Z1454">
        <v>4</v>
      </c>
      <c r="AA1454">
        <v>1</v>
      </c>
      <c r="AB1454">
        <v>12</v>
      </c>
      <c r="AC1454">
        <v>2</v>
      </c>
      <c r="AD1454">
        <v>3</v>
      </c>
      <c r="AE1454">
        <v>5</v>
      </c>
      <c r="AF1454">
        <v>3</v>
      </c>
      <c r="AG1454">
        <v>1</v>
      </c>
      <c r="AH1454">
        <v>2</v>
      </c>
      <c r="AI1454">
        <v>0</v>
      </c>
      <c r="AJ1454" s="19" t="s">
        <v>1567</v>
      </c>
      <c r="AK1454" s="19" t="s">
        <v>1562</v>
      </c>
      <c r="AL1454">
        <v>1</v>
      </c>
      <c r="AM1454" s="19" t="s">
        <v>1565</v>
      </c>
      <c r="AN1454">
        <v>0.4172902017051856</v>
      </c>
      <c r="AO1454">
        <v>819576</v>
      </c>
    </row>
    <row r="1455" spans="1:41" x14ac:dyDescent="0.3">
      <c r="A1455" s="19" t="s">
        <v>1521</v>
      </c>
      <c r="B1455">
        <v>58</v>
      </c>
      <c r="C1455" s="19" t="s">
        <v>1499</v>
      </c>
      <c r="D1455" s="19" t="s">
        <v>47</v>
      </c>
      <c r="E1455" s="19" t="s">
        <v>48</v>
      </c>
      <c r="F1455">
        <v>286</v>
      </c>
      <c r="G1455" s="19" t="s">
        <v>735</v>
      </c>
      <c r="H1455">
        <v>2</v>
      </c>
      <c r="I1455">
        <v>4</v>
      </c>
      <c r="J1455" s="19" t="s">
        <v>50</v>
      </c>
      <c r="K1455">
        <v>825</v>
      </c>
      <c r="L1455">
        <v>4</v>
      </c>
      <c r="M1455" s="19" t="s">
        <v>51</v>
      </c>
      <c r="N1455">
        <v>3</v>
      </c>
      <c r="O1455">
        <v>5</v>
      </c>
      <c r="P1455" s="19" t="s">
        <v>257</v>
      </c>
      <c r="Q1455">
        <v>2</v>
      </c>
      <c r="R1455" s="19" t="s">
        <v>53</v>
      </c>
      <c r="S1455">
        <v>32987</v>
      </c>
      <c r="T1455" s="19" t="s">
        <v>72</v>
      </c>
      <c r="U1455">
        <v>206.17</v>
      </c>
      <c r="V1455">
        <v>7</v>
      </c>
      <c r="W1455" s="19" t="s">
        <v>47</v>
      </c>
      <c r="X1455">
        <v>12</v>
      </c>
      <c r="Y1455">
        <v>3</v>
      </c>
      <c r="Z1455">
        <v>4</v>
      </c>
      <c r="AA1455">
        <v>0</v>
      </c>
      <c r="AB1455">
        <v>40</v>
      </c>
      <c r="AC1455">
        <v>2</v>
      </c>
      <c r="AD1455">
        <v>3</v>
      </c>
      <c r="AE1455">
        <v>31</v>
      </c>
      <c r="AF1455">
        <v>15</v>
      </c>
      <c r="AG1455">
        <v>13</v>
      </c>
      <c r="AH1455">
        <v>8</v>
      </c>
      <c r="AI1455">
        <v>1</v>
      </c>
      <c r="AJ1455" s="19" t="s">
        <v>1571</v>
      </c>
      <c r="AK1455" s="19" t="s">
        <v>1570</v>
      </c>
      <c r="AL1455">
        <v>3</v>
      </c>
      <c r="AM1455" s="19" t="s">
        <v>1568</v>
      </c>
      <c r="AN1455">
        <v>-0.34889463381367986</v>
      </c>
      <c r="AO1455">
        <v>395844</v>
      </c>
    </row>
    <row r="1456" spans="1:41" x14ac:dyDescent="0.3">
      <c r="A1456" s="19" t="s">
        <v>1522</v>
      </c>
      <c r="B1456">
        <v>58</v>
      </c>
      <c r="C1456" s="19" t="s">
        <v>1499</v>
      </c>
      <c r="D1456" s="19" t="s">
        <v>47</v>
      </c>
      <c r="E1456" s="19" t="s">
        <v>62</v>
      </c>
      <c r="F1456">
        <v>781</v>
      </c>
      <c r="G1456" s="19" t="s">
        <v>735</v>
      </c>
      <c r="H1456">
        <v>2</v>
      </c>
      <c r="I1456">
        <v>1</v>
      </c>
      <c r="J1456" s="19" t="s">
        <v>50</v>
      </c>
      <c r="K1456">
        <v>918</v>
      </c>
      <c r="L1456">
        <v>4</v>
      </c>
      <c r="M1456" s="19" t="s">
        <v>51</v>
      </c>
      <c r="N1456">
        <v>2</v>
      </c>
      <c r="O1456">
        <v>1</v>
      </c>
      <c r="P1456" s="19" t="s">
        <v>52</v>
      </c>
      <c r="Q1456">
        <v>4</v>
      </c>
      <c r="R1456" s="19" t="s">
        <v>53</v>
      </c>
      <c r="S1456">
        <v>16850</v>
      </c>
      <c r="T1456" s="19" t="s">
        <v>54</v>
      </c>
      <c r="U1456">
        <v>105.31</v>
      </c>
      <c r="V1456">
        <v>9</v>
      </c>
      <c r="W1456" s="19" t="s">
        <v>47</v>
      </c>
      <c r="X1456">
        <v>14</v>
      </c>
      <c r="Y1456">
        <v>3</v>
      </c>
      <c r="Z1456">
        <v>4</v>
      </c>
      <c r="AA1456">
        <v>1</v>
      </c>
      <c r="AB1456">
        <v>3</v>
      </c>
      <c r="AC1456">
        <v>3</v>
      </c>
      <c r="AD1456">
        <v>2</v>
      </c>
      <c r="AE1456">
        <v>1</v>
      </c>
      <c r="AF1456">
        <v>0</v>
      </c>
      <c r="AG1456">
        <v>0</v>
      </c>
      <c r="AH1456">
        <v>0</v>
      </c>
      <c r="AI1456">
        <v>1</v>
      </c>
      <c r="AJ1456" s="19" t="s">
        <v>1561</v>
      </c>
      <c r="AK1456" s="19" t="s">
        <v>1562</v>
      </c>
      <c r="AL1456">
        <v>2</v>
      </c>
      <c r="AM1456" s="19" t="s">
        <v>1564</v>
      </c>
      <c r="AN1456">
        <v>-0.6742110396408979</v>
      </c>
      <c r="AO1456">
        <v>202200</v>
      </c>
    </row>
    <row r="1457" spans="1:41" x14ac:dyDescent="0.3">
      <c r="A1457" s="19" t="s">
        <v>1523</v>
      </c>
      <c r="B1457">
        <v>58</v>
      </c>
      <c r="C1457" s="19" t="s">
        <v>1499</v>
      </c>
      <c r="D1457" s="19" t="s">
        <v>55</v>
      </c>
      <c r="E1457" s="19" t="s">
        <v>48</v>
      </c>
      <c r="F1457">
        <v>1272</v>
      </c>
      <c r="G1457" s="19" t="s">
        <v>735</v>
      </c>
      <c r="H1457">
        <v>5</v>
      </c>
      <c r="I1457">
        <v>3</v>
      </c>
      <c r="J1457" s="19" t="s">
        <v>77</v>
      </c>
      <c r="K1457">
        <v>940</v>
      </c>
      <c r="L1457">
        <v>3</v>
      </c>
      <c r="M1457" s="19" t="s">
        <v>59</v>
      </c>
      <c r="N1457">
        <v>2</v>
      </c>
      <c r="O1457">
        <v>3</v>
      </c>
      <c r="P1457" s="19" t="s">
        <v>168</v>
      </c>
      <c r="Q1457">
        <v>2</v>
      </c>
      <c r="R1457" s="19" t="s">
        <v>53</v>
      </c>
      <c r="S1457">
        <v>13112</v>
      </c>
      <c r="T1457" s="19" t="s">
        <v>54</v>
      </c>
      <c r="U1457">
        <v>81.95</v>
      </c>
      <c r="V1457">
        <v>2</v>
      </c>
      <c r="W1457" s="19" t="s">
        <v>47</v>
      </c>
      <c r="X1457">
        <v>13</v>
      </c>
      <c r="Y1457">
        <v>3</v>
      </c>
      <c r="Z1457">
        <v>4</v>
      </c>
      <c r="AA1457">
        <v>1</v>
      </c>
      <c r="AB1457">
        <v>24</v>
      </c>
      <c r="AC1457">
        <v>3</v>
      </c>
      <c r="AD1457">
        <v>3</v>
      </c>
      <c r="AE1457">
        <v>6</v>
      </c>
      <c r="AF1457">
        <v>0</v>
      </c>
      <c r="AG1457">
        <v>0</v>
      </c>
      <c r="AH1457">
        <v>4</v>
      </c>
      <c r="AI1457">
        <v>0</v>
      </c>
      <c r="AJ1457" s="19" t="s">
        <v>1569</v>
      </c>
      <c r="AK1457" s="19" t="s">
        <v>1562</v>
      </c>
      <c r="AL1457">
        <v>2</v>
      </c>
      <c r="AM1457" s="19" t="s">
        <v>1564</v>
      </c>
      <c r="AN1457">
        <v>-0.72790551517235658</v>
      </c>
      <c r="AO1457">
        <v>157344</v>
      </c>
    </row>
    <row r="1458" spans="1:41" x14ac:dyDescent="0.3">
      <c r="A1458" s="19" t="s">
        <v>1524</v>
      </c>
      <c r="B1458">
        <v>58</v>
      </c>
      <c r="C1458" s="19" t="s">
        <v>1499</v>
      </c>
      <c r="D1458" s="19" t="s">
        <v>47</v>
      </c>
      <c r="E1458" s="19" t="s">
        <v>48</v>
      </c>
      <c r="F1458">
        <v>289</v>
      </c>
      <c r="G1458" s="19" t="s">
        <v>735</v>
      </c>
      <c r="H1458">
        <v>2</v>
      </c>
      <c r="I1458">
        <v>3</v>
      </c>
      <c r="J1458" s="19" t="s">
        <v>77</v>
      </c>
      <c r="K1458">
        <v>977</v>
      </c>
      <c r="L1458">
        <v>4</v>
      </c>
      <c r="M1458" s="19" t="s">
        <v>51</v>
      </c>
      <c r="N1458">
        <v>3</v>
      </c>
      <c r="O1458">
        <v>1</v>
      </c>
      <c r="P1458" s="19" t="s">
        <v>67</v>
      </c>
      <c r="Q1458">
        <v>3</v>
      </c>
      <c r="R1458" s="19" t="s">
        <v>53</v>
      </c>
      <c r="S1458">
        <v>25058</v>
      </c>
      <c r="T1458" s="19" t="s">
        <v>72</v>
      </c>
      <c r="U1458">
        <v>156.61000000000001</v>
      </c>
      <c r="V1458">
        <v>4</v>
      </c>
      <c r="W1458" s="19" t="s">
        <v>55</v>
      </c>
      <c r="X1458">
        <v>24</v>
      </c>
      <c r="Y1458">
        <v>4</v>
      </c>
      <c r="Z1458">
        <v>1</v>
      </c>
      <c r="AA1458">
        <v>0</v>
      </c>
      <c r="AB1458">
        <v>7</v>
      </c>
      <c r="AC1458">
        <v>4</v>
      </c>
      <c r="AD1458">
        <v>3</v>
      </c>
      <c r="AE1458">
        <v>1</v>
      </c>
      <c r="AF1458">
        <v>0</v>
      </c>
      <c r="AG1458">
        <v>0</v>
      </c>
      <c r="AH1458">
        <v>0</v>
      </c>
      <c r="AI1458">
        <v>1</v>
      </c>
      <c r="AJ1458" s="19" t="s">
        <v>1561</v>
      </c>
      <c r="AK1458" s="19" t="s">
        <v>1562</v>
      </c>
      <c r="AL1458">
        <v>0</v>
      </c>
      <c r="AM1458" s="19" t="s">
        <v>1563</v>
      </c>
      <c r="AN1458">
        <v>-0.497494313782821</v>
      </c>
      <c r="AO1458">
        <v>300696</v>
      </c>
    </row>
    <row r="1459" spans="1:41" x14ac:dyDescent="0.3">
      <c r="A1459" s="19" t="s">
        <v>1525</v>
      </c>
      <c r="B1459">
        <v>58</v>
      </c>
      <c r="C1459" s="19" t="s">
        <v>1499</v>
      </c>
      <c r="D1459" s="19" t="s">
        <v>55</v>
      </c>
      <c r="E1459" s="19" t="s">
        <v>48</v>
      </c>
      <c r="F1459">
        <v>848</v>
      </c>
      <c r="G1459" s="19" t="s">
        <v>735</v>
      </c>
      <c r="H1459">
        <v>23</v>
      </c>
      <c r="I1459">
        <v>4</v>
      </c>
      <c r="J1459" s="19" t="s">
        <v>50</v>
      </c>
      <c r="K1459">
        <v>1308</v>
      </c>
      <c r="L1459">
        <v>1</v>
      </c>
      <c r="M1459" s="19" t="s">
        <v>51</v>
      </c>
      <c r="N1459">
        <v>3</v>
      </c>
      <c r="O1459">
        <v>1</v>
      </c>
      <c r="P1459" s="19" t="s">
        <v>67</v>
      </c>
      <c r="Q1459">
        <v>3</v>
      </c>
      <c r="R1459" s="19" t="s">
        <v>53</v>
      </c>
      <c r="S1459">
        <v>46420</v>
      </c>
      <c r="T1459" s="19" t="s">
        <v>72</v>
      </c>
      <c r="U1459">
        <v>290.12</v>
      </c>
      <c r="V1459">
        <v>1</v>
      </c>
      <c r="W1459" s="19" t="s">
        <v>55</v>
      </c>
      <c r="X1459">
        <v>12</v>
      </c>
      <c r="Y1459">
        <v>3</v>
      </c>
      <c r="Z1459">
        <v>4</v>
      </c>
      <c r="AA1459">
        <v>2</v>
      </c>
      <c r="AB1459">
        <v>2</v>
      </c>
      <c r="AC1459">
        <v>3</v>
      </c>
      <c r="AD1459">
        <v>3</v>
      </c>
      <c r="AE1459">
        <v>2</v>
      </c>
      <c r="AF1459">
        <v>2</v>
      </c>
      <c r="AG1459">
        <v>2</v>
      </c>
      <c r="AH1459">
        <v>2</v>
      </c>
      <c r="AI1459">
        <v>0</v>
      </c>
      <c r="AJ1459" s="19" t="s">
        <v>1566</v>
      </c>
      <c r="AK1459" s="19" t="s">
        <v>1562</v>
      </c>
      <c r="AL1459">
        <v>0</v>
      </c>
      <c r="AM1459" s="19" t="s">
        <v>1563</v>
      </c>
      <c r="AN1459">
        <v>-6.9107113329018741E-2</v>
      </c>
      <c r="AO1459">
        <v>557040</v>
      </c>
    </row>
    <row r="1460" spans="1:41" x14ac:dyDescent="0.3">
      <c r="A1460" s="19" t="s">
        <v>1526</v>
      </c>
      <c r="B1460">
        <v>58</v>
      </c>
      <c r="C1460" s="19" t="s">
        <v>1499</v>
      </c>
      <c r="D1460" s="19" t="s">
        <v>47</v>
      </c>
      <c r="E1460" s="19" t="s">
        <v>48</v>
      </c>
      <c r="F1460">
        <v>601</v>
      </c>
      <c r="G1460" s="19" t="s">
        <v>735</v>
      </c>
      <c r="H1460">
        <v>7</v>
      </c>
      <c r="I1460">
        <v>4</v>
      </c>
      <c r="J1460" s="19" t="s">
        <v>58</v>
      </c>
      <c r="K1460">
        <v>1360</v>
      </c>
      <c r="L1460">
        <v>3</v>
      </c>
      <c r="M1460" s="19" t="s">
        <v>59</v>
      </c>
      <c r="N1460">
        <v>2</v>
      </c>
      <c r="O1460">
        <v>3</v>
      </c>
      <c r="P1460" s="19" t="s">
        <v>120</v>
      </c>
      <c r="Q1460">
        <v>1</v>
      </c>
      <c r="R1460" s="19" t="s">
        <v>113</v>
      </c>
      <c r="S1460">
        <v>39890</v>
      </c>
      <c r="T1460" s="19" t="s">
        <v>72</v>
      </c>
      <c r="U1460">
        <v>249.31</v>
      </c>
      <c r="V1460">
        <v>7</v>
      </c>
      <c r="W1460" s="19" t="s">
        <v>47</v>
      </c>
      <c r="X1460">
        <v>14</v>
      </c>
      <c r="Y1460">
        <v>3</v>
      </c>
      <c r="Z1460">
        <v>4</v>
      </c>
      <c r="AA1460">
        <v>0</v>
      </c>
      <c r="AB1460">
        <v>31</v>
      </c>
      <c r="AC1460">
        <v>0</v>
      </c>
      <c r="AD1460">
        <v>2</v>
      </c>
      <c r="AE1460">
        <v>10</v>
      </c>
      <c r="AF1460">
        <v>9</v>
      </c>
      <c r="AG1460">
        <v>5</v>
      </c>
      <c r="AH1460">
        <v>9</v>
      </c>
      <c r="AI1460">
        <v>1</v>
      </c>
      <c r="AJ1460" s="19" t="s">
        <v>1569</v>
      </c>
      <c r="AK1460" s="19" t="s">
        <v>1570</v>
      </c>
      <c r="AL1460">
        <v>4</v>
      </c>
      <c r="AM1460" s="19" t="s">
        <v>1568</v>
      </c>
      <c r="AN1460">
        <v>-9.9453713469630028E-2</v>
      </c>
      <c r="AO1460">
        <v>478680</v>
      </c>
    </row>
    <row r="1461" spans="1:41" x14ac:dyDescent="0.3">
      <c r="A1461" s="19" t="s">
        <v>1527</v>
      </c>
      <c r="B1461">
        <v>58</v>
      </c>
      <c r="C1461" s="19" t="s">
        <v>1499</v>
      </c>
      <c r="D1461" s="19" t="s">
        <v>55</v>
      </c>
      <c r="E1461" s="19" t="s">
        <v>48</v>
      </c>
      <c r="F1461">
        <v>1055</v>
      </c>
      <c r="G1461" s="19" t="s">
        <v>735</v>
      </c>
      <c r="H1461">
        <v>1</v>
      </c>
      <c r="I1461">
        <v>3</v>
      </c>
      <c r="J1461" s="19" t="s">
        <v>58</v>
      </c>
      <c r="K1461">
        <v>1423</v>
      </c>
      <c r="L1461">
        <v>4</v>
      </c>
      <c r="M1461" s="19" t="s">
        <v>59</v>
      </c>
      <c r="N1461">
        <v>3</v>
      </c>
      <c r="O1461">
        <v>5</v>
      </c>
      <c r="P1461" s="19" t="s">
        <v>257</v>
      </c>
      <c r="Q1461">
        <v>1</v>
      </c>
      <c r="R1461" s="19" t="s">
        <v>113</v>
      </c>
      <c r="S1461">
        <v>67017</v>
      </c>
      <c r="T1461" s="19" t="s">
        <v>64</v>
      </c>
      <c r="U1461">
        <v>418.86</v>
      </c>
      <c r="V1461">
        <v>3</v>
      </c>
      <c r="W1461" s="19" t="s">
        <v>47</v>
      </c>
      <c r="X1461">
        <v>21</v>
      </c>
      <c r="Y1461">
        <v>4</v>
      </c>
      <c r="Z1461">
        <v>3</v>
      </c>
      <c r="AA1461">
        <v>1</v>
      </c>
      <c r="AB1461">
        <v>32</v>
      </c>
      <c r="AC1461">
        <v>3</v>
      </c>
      <c r="AD1461">
        <v>3</v>
      </c>
      <c r="AE1461">
        <v>9</v>
      </c>
      <c r="AF1461">
        <v>8</v>
      </c>
      <c r="AG1461">
        <v>1</v>
      </c>
      <c r="AH1461">
        <v>5</v>
      </c>
      <c r="AI1461">
        <v>0</v>
      </c>
      <c r="AJ1461" s="19" t="s">
        <v>1569</v>
      </c>
      <c r="AK1461" s="19" t="s">
        <v>1562</v>
      </c>
      <c r="AL1461">
        <v>2</v>
      </c>
      <c r="AM1461" s="19" t="s">
        <v>1564</v>
      </c>
      <c r="AN1461">
        <v>0.32279771806192192</v>
      </c>
      <c r="AO1461">
        <v>804204</v>
      </c>
    </row>
    <row r="1462" spans="1:41" x14ac:dyDescent="0.3">
      <c r="A1462" s="19" t="s">
        <v>1528</v>
      </c>
      <c r="B1462">
        <v>58</v>
      </c>
      <c r="C1462" s="19" t="s">
        <v>1499</v>
      </c>
      <c r="D1462" s="19" t="s">
        <v>55</v>
      </c>
      <c r="E1462" s="19" t="s">
        <v>66</v>
      </c>
      <c r="F1462">
        <v>350</v>
      </c>
      <c r="G1462" s="19" t="s">
        <v>57</v>
      </c>
      <c r="H1462">
        <v>2</v>
      </c>
      <c r="I1462">
        <v>3</v>
      </c>
      <c r="J1462" s="19" t="s">
        <v>58</v>
      </c>
      <c r="K1462">
        <v>1824</v>
      </c>
      <c r="L1462">
        <v>2</v>
      </c>
      <c r="M1462" s="19" t="s">
        <v>51</v>
      </c>
      <c r="N1462">
        <v>3</v>
      </c>
      <c r="O1462">
        <v>4</v>
      </c>
      <c r="P1462" s="19" t="s">
        <v>444</v>
      </c>
      <c r="Q1462">
        <v>2</v>
      </c>
      <c r="R1462" s="19" t="s">
        <v>53</v>
      </c>
      <c r="S1462">
        <v>48304</v>
      </c>
      <c r="T1462" s="19" t="s">
        <v>72</v>
      </c>
      <c r="U1462">
        <v>301.89999999999998</v>
      </c>
      <c r="V1462">
        <v>4</v>
      </c>
      <c r="W1462" s="19" t="s">
        <v>55</v>
      </c>
      <c r="X1462">
        <v>22</v>
      </c>
      <c r="Y1462">
        <v>4</v>
      </c>
      <c r="Z1462">
        <v>4</v>
      </c>
      <c r="AA1462">
        <v>1</v>
      </c>
      <c r="AB1462">
        <v>37</v>
      </c>
      <c r="AC1462">
        <v>0</v>
      </c>
      <c r="AD1462">
        <v>2</v>
      </c>
      <c r="AE1462">
        <v>16</v>
      </c>
      <c r="AF1462">
        <v>9</v>
      </c>
      <c r="AG1462">
        <v>14</v>
      </c>
      <c r="AH1462">
        <v>14</v>
      </c>
      <c r="AI1462">
        <v>0</v>
      </c>
      <c r="AJ1462" s="19" t="s">
        <v>1571</v>
      </c>
      <c r="AK1462" s="19" t="s">
        <v>1570</v>
      </c>
      <c r="AL1462">
        <v>3</v>
      </c>
      <c r="AM1462" s="19" t="s">
        <v>1568</v>
      </c>
      <c r="AN1462">
        <v>-7.4606121300590425E-2</v>
      </c>
      <c r="AO1462">
        <v>579648</v>
      </c>
    </row>
    <row r="1463" spans="1:41" x14ac:dyDescent="0.3">
      <c r="A1463" s="19" t="s">
        <v>1529</v>
      </c>
      <c r="B1463">
        <v>58</v>
      </c>
      <c r="C1463" s="19" t="s">
        <v>1499</v>
      </c>
      <c r="D1463" s="19" t="s">
        <v>55</v>
      </c>
      <c r="E1463" s="19" t="s">
        <v>62</v>
      </c>
      <c r="F1463">
        <v>1216</v>
      </c>
      <c r="G1463" s="19" t="s">
        <v>735</v>
      </c>
      <c r="H1463">
        <v>15</v>
      </c>
      <c r="I1463">
        <v>4</v>
      </c>
      <c r="J1463" s="19" t="s">
        <v>50</v>
      </c>
      <c r="K1463">
        <v>1837</v>
      </c>
      <c r="L1463">
        <v>1</v>
      </c>
      <c r="M1463" s="19" t="s">
        <v>51</v>
      </c>
      <c r="N1463">
        <v>3</v>
      </c>
      <c r="O1463">
        <v>4</v>
      </c>
      <c r="P1463" s="19" t="s">
        <v>257</v>
      </c>
      <c r="Q1463">
        <v>3</v>
      </c>
      <c r="R1463" s="19" t="s">
        <v>113</v>
      </c>
      <c r="S1463">
        <v>33921</v>
      </c>
      <c r="T1463" s="19" t="s">
        <v>72</v>
      </c>
      <c r="U1463">
        <v>212.01</v>
      </c>
      <c r="V1463">
        <v>2</v>
      </c>
      <c r="W1463" s="19" t="s">
        <v>47</v>
      </c>
      <c r="X1463">
        <v>14</v>
      </c>
      <c r="Y1463">
        <v>3</v>
      </c>
      <c r="Z1463">
        <v>2</v>
      </c>
      <c r="AA1463">
        <v>0</v>
      </c>
      <c r="AB1463">
        <v>23</v>
      </c>
      <c r="AC1463">
        <v>3</v>
      </c>
      <c r="AD1463">
        <v>3</v>
      </c>
      <c r="AE1463">
        <v>2</v>
      </c>
      <c r="AF1463">
        <v>2</v>
      </c>
      <c r="AG1463">
        <v>2</v>
      </c>
      <c r="AH1463">
        <v>2</v>
      </c>
      <c r="AI1463">
        <v>0</v>
      </c>
      <c r="AJ1463" s="19" t="s">
        <v>1566</v>
      </c>
      <c r="AK1463" s="19" t="s">
        <v>1562</v>
      </c>
      <c r="AL1463">
        <v>1</v>
      </c>
      <c r="AM1463" s="19" t="s">
        <v>1565</v>
      </c>
      <c r="AN1463">
        <v>-0.3304591164274967</v>
      </c>
      <c r="AO1463">
        <v>407052</v>
      </c>
    </row>
    <row r="1464" spans="1:41" x14ac:dyDescent="0.3">
      <c r="A1464" s="19" t="s">
        <v>1530</v>
      </c>
      <c r="B1464">
        <v>58</v>
      </c>
      <c r="C1464" s="19" t="s">
        <v>1499</v>
      </c>
      <c r="D1464" s="19" t="s">
        <v>55</v>
      </c>
      <c r="E1464" s="19" t="s">
        <v>48</v>
      </c>
      <c r="F1464">
        <v>605</v>
      </c>
      <c r="G1464" s="19" t="s">
        <v>57</v>
      </c>
      <c r="H1464">
        <v>21</v>
      </c>
      <c r="I1464">
        <v>3</v>
      </c>
      <c r="J1464" s="19" t="s">
        <v>50</v>
      </c>
      <c r="K1464">
        <v>1938</v>
      </c>
      <c r="L1464">
        <v>4</v>
      </c>
      <c r="M1464" s="19" t="s">
        <v>59</v>
      </c>
      <c r="N1464">
        <v>3</v>
      </c>
      <c r="O1464">
        <v>4</v>
      </c>
      <c r="P1464" s="19" t="s">
        <v>444</v>
      </c>
      <c r="Q1464">
        <v>4</v>
      </c>
      <c r="R1464" s="19" t="s">
        <v>113</v>
      </c>
      <c r="S1464">
        <v>2524</v>
      </c>
      <c r="T1464" s="19" t="s">
        <v>54</v>
      </c>
      <c r="U1464">
        <v>15.78</v>
      </c>
      <c r="V1464">
        <v>4</v>
      </c>
      <c r="W1464" s="19" t="s">
        <v>47</v>
      </c>
      <c r="X1464">
        <v>13</v>
      </c>
      <c r="Y1464">
        <v>3</v>
      </c>
      <c r="Z1464">
        <v>3</v>
      </c>
      <c r="AA1464">
        <v>1</v>
      </c>
      <c r="AB1464">
        <v>29</v>
      </c>
      <c r="AC1464">
        <v>2</v>
      </c>
      <c r="AD1464">
        <v>2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 s="19" t="s">
        <v>1561</v>
      </c>
      <c r="AK1464" s="19" t="s">
        <v>1562</v>
      </c>
      <c r="AL1464">
        <v>2</v>
      </c>
      <c r="AM1464" s="19" t="s">
        <v>1564</v>
      </c>
      <c r="AN1464">
        <v>-0.95164594754394438</v>
      </c>
      <c r="AO1464">
        <v>30288</v>
      </c>
    </row>
    <row r="1465" spans="1:41" x14ac:dyDescent="0.3">
      <c r="A1465" s="19" t="s">
        <v>1531</v>
      </c>
      <c r="B1465">
        <v>59</v>
      </c>
      <c r="C1465" s="19" t="s">
        <v>1499</v>
      </c>
      <c r="D1465" s="19" t="s">
        <v>55</v>
      </c>
      <c r="E1465" s="19" t="s">
        <v>48</v>
      </c>
      <c r="F1465">
        <v>1324</v>
      </c>
      <c r="G1465" s="19" t="s">
        <v>735</v>
      </c>
      <c r="H1465">
        <v>3</v>
      </c>
      <c r="I1465">
        <v>3</v>
      </c>
      <c r="J1465" s="19" t="s">
        <v>58</v>
      </c>
      <c r="K1465">
        <v>10</v>
      </c>
      <c r="L1465">
        <v>3</v>
      </c>
      <c r="M1465" s="19" t="s">
        <v>59</v>
      </c>
      <c r="N1465">
        <v>4</v>
      </c>
      <c r="O1465">
        <v>1</v>
      </c>
      <c r="P1465" s="19" t="s">
        <v>52</v>
      </c>
      <c r="Q1465">
        <v>1</v>
      </c>
      <c r="R1465" s="19" t="s">
        <v>113</v>
      </c>
      <c r="S1465">
        <v>16048</v>
      </c>
      <c r="T1465" s="19" t="s">
        <v>54</v>
      </c>
      <c r="U1465">
        <v>100.3</v>
      </c>
      <c r="V1465">
        <v>4</v>
      </c>
      <c r="W1465" s="19" t="s">
        <v>47</v>
      </c>
      <c r="X1465">
        <v>20</v>
      </c>
      <c r="Y1465">
        <v>4</v>
      </c>
      <c r="Z1465">
        <v>1</v>
      </c>
      <c r="AA1465">
        <v>3</v>
      </c>
      <c r="AB1465">
        <v>12</v>
      </c>
      <c r="AC1465">
        <v>3</v>
      </c>
      <c r="AD1465">
        <v>2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 s="19" t="s">
        <v>1561</v>
      </c>
      <c r="AK1465" s="19" t="s">
        <v>1562</v>
      </c>
      <c r="AL1465">
        <v>3</v>
      </c>
      <c r="AM1465" s="19" t="s">
        <v>1568</v>
      </c>
      <c r="AN1465">
        <v>-0.68971743407460717</v>
      </c>
      <c r="AO1465">
        <v>192576</v>
      </c>
    </row>
    <row r="1466" spans="1:41" x14ac:dyDescent="0.3">
      <c r="A1466" s="19" t="s">
        <v>1532</v>
      </c>
      <c r="B1466">
        <v>59</v>
      </c>
      <c r="C1466" s="19" t="s">
        <v>1499</v>
      </c>
      <c r="D1466" s="19" t="s">
        <v>55</v>
      </c>
      <c r="E1466" s="19" t="s">
        <v>48</v>
      </c>
      <c r="F1466">
        <v>1435</v>
      </c>
      <c r="G1466" s="19" t="s">
        <v>57</v>
      </c>
      <c r="H1466">
        <v>25</v>
      </c>
      <c r="I1466">
        <v>3</v>
      </c>
      <c r="J1466" s="19" t="s">
        <v>50</v>
      </c>
      <c r="K1466">
        <v>81</v>
      </c>
      <c r="L1466">
        <v>1</v>
      </c>
      <c r="M1466" s="19" t="s">
        <v>59</v>
      </c>
      <c r="N1466">
        <v>3</v>
      </c>
      <c r="O1466">
        <v>3</v>
      </c>
      <c r="P1466" s="19" t="s">
        <v>145</v>
      </c>
      <c r="Q1466">
        <v>1</v>
      </c>
      <c r="R1466" s="19" t="s">
        <v>53</v>
      </c>
      <c r="S1466">
        <v>36111</v>
      </c>
      <c r="T1466" s="19" t="s">
        <v>72</v>
      </c>
      <c r="U1466">
        <v>225.69</v>
      </c>
      <c r="V1466">
        <v>7</v>
      </c>
      <c r="W1466" s="19" t="s">
        <v>55</v>
      </c>
      <c r="X1466">
        <v>11</v>
      </c>
      <c r="Y1466">
        <v>3</v>
      </c>
      <c r="Z1466">
        <v>4</v>
      </c>
      <c r="AA1466">
        <v>0</v>
      </c>
      <c r="AB1466">
        <v>28</v>
      </c>
      <c r="AC1466">
        <v>3</v>
      </c>
      <c r="AD1466">
        <v>2</v>
      </c>
      <c r="AE1466">
        <v>21</v>
      </c>
      <c r="AF1466">
        <v>16</v>
      </c>
      <c r="AG1466">
        <v>7</v>
      </c>
      <c r="AH1466">
        <v>9</v>
      </c>
      <c r="AI1466">
        <v>0</v>
      </c>
      <c r="AJ1466" s="19" t="s">
        <v>1571</v>
      </c>
      <c r="AK1466" s="19" t="s">
        <v>1570</v>
      </c>
      <c r="AL1466">
        <v>3</v>
      </c>
      <c r="AM1466" s="19" t="s">
        <v>1568</v>
      </c>
      <c r="AN1466">
        <v>-0.26391164797777861</v>
      </c>
      <c r="AO1466">
        <v>433332</v>
      </c>
    </row>
    <row r="1467" spans="1:41" x14ac:dyDescent="0.3">
      <c r="A1467" s="19" t="s">
        <v>1533</v>
      </c>
      <c r="B1467">
        <v>59</v>
      </c>
      <c r="C1467" s="19" t="s">
        <v>1499</v>
      </c>
      <c r="D1467" s="19" t="s">
        <v>55</v>
      </c>
      <c r="E1467" s="19" t="s">
        <v>62</v>
      </c>
      <c r="F1467">
        <v>1225</v>
      </c>
      <c r="G1467" s="19" t="s">
        <v>57</v>
      </c>
      <c r="H1467">
        <v>1</v>
      </c>
      <c r="I1467">
        <v>1</v>
      </c>
      <c r="J1467" s="19" t="s">
        <v>50</v>
      </c>
      <c r="K1467">
        <v>91</v>
      </c>
      <c r="L1467">
        <v>1</v>
      </c>
      <c r="M1467" s="19" t="s">
        <v>59</v>
      </c>
      <c r="N1467">
        <v>2</v>
      </c>
      <c r="O1467">
        <v>2</v>
      </c>
      <c r="P1467" s="19" t="s">
        <v>145</v>
      </c>
      <c r="Q1467">
        <v>3</v>
      </c>
      <c r="R1467" s="19" t="s">
        <v>53</v>
      </c>
      <c r="S1467">
        <v>38904</v>
      </c>
      <c r="T1467" s="19" t="s">
        <v>72</v>
      </c>
      <c r="U1467">
        <v>243.15</v>
      </c>
      <c r="V1467">
        <v>7</v>
      </c>
      <c r="W1467" s="19" t="s">
        <v>55</v>
      </c>
      <c r="X1467">
        <v>11</v>
      </c>
      <c r="Y1467">
        <v>3</v>
      </c>
      <c r="Z1467">
        <v>4</v>
      </c>
      <c r="AA1467">
        <v>0</v>
      </c>
      <c r="AB1467">
        <v>20</v>
      </c>
      <c r="AC1467">
        <v>2</v>
      </c>
      <c r="AD1467">
        <v>2</v>
      </c>
      <c r="AE1467">
        <v>4</v>
      </c>
      <c r="AF1467">
        <v>3</v>
      </c>
      <c r="AG1467">
        <v>1</v>
      </c>
      <c r="AH1467">
        <v>3</v>
      </c>
      <c r="AI1467">
        <v>0</v>
      </c>
      <c r="AJ1467" s="19" t="s">
        <v>1567</v>
      </c>
      <c r="AK1467" s="19" t="s">
        <v>1562</v>
      </c>
      <c r="AL1467">
        <v>1</v>
      </c>
      <c r="AM1467" s="19" t="s">
        <v>1565</v>
      </c>
      <c r="AN1467">
        <v>-0.20697900232415326</v>
      </c>
      <c r="AO1467">
        <v>466848</v>
      </c>
    </row>
    <row r="1468" spans="1:41" x14ac:dyDescent="0.3">
      <c r="A1468" s="19" t="s">
        <v>1534</v>
      </c>
      <c r="B1468">
        <v>59</v>
      </c>
      <c r="C1468" s="19" t="s">
        <v>1499</v>
      </c>
      <c r="D1468" s="19" t="s">
        <v>55</v>
      </c>
      <c r="E1468" s="19" t="s">
        <v>66</v>
      </c>
      <c r="F1468">
        <v>1420</v>
      </c>
      <c r="G1468" s="19" t="s">
        <v>80</v>
      </c>
      <c r="H1468">
        <v>2</v>
      </c>
      <c r="I1468">
        <v>4</v>
      </c>
      <c r="J1468" s="19" t="s">
        <v>80</v>
      </c>
      <c r="K1468">
        <v>140</v>
      </c>
      <c r="L1468">
        <v>3</v>
      </c>
      <c r="M1468" s="19" t="s">
        <v>59</v>
      </c>
      <c r="N1468">
        <v>2</v>
      </c>
      <c r="O1468">
        <v>5</v>
      </c>
      <c r="P1468" s="19" t="s">
        <v>444</v>
      </c>
      <c r="Q1468">
        <v>4</v>
      </c>
      <c r="R1468" s="19" t="s">
        <v>113</v>
      </c>
      <c r="S1468">
        <v>55912</v>
      </c>
      <c r="T1468" s="19" t="s">
        <v>64</v>
      </c>
      <c r="U1468">
        <v>349.45</v>
      </c>
      <c r="V1468">
        <v>9</v>
      </c>
      <c r="W1468" s="19" t="s">
        <v>55</v>
      </c>
      <c r="X1468">
        <v>21</v>
      </c>
      <c r="Y1468">
        <v>4</v>
      </c>
      <c r="Z1468">
        <v>4</v>
      </c>
      <c r="AA1468">
        <v>1</v>
      </c>
      <c r="AB1468">
        <v>30</v>
      </c>
      <c r="AC1468">
        <v>3</v>
      </c>
      <c r="AD1468">
        <v>3</v>
      </c>
      <c r="AE1468">
        <v>3</v>
      </c>
      <c r="AF1468">
        <v>2</v>
      </c>
      <c r="AG1468">
        <v>2</v>
      </c>
      <c r="AH1468">
        <v>2</v>
      </c>
      <c r="AI1468">
        <v>0</v>
      </c>
      <c r="AJ1468" s="19" t="s">
        <v>1566</v>
      </c>
      <c r="AK1468" s="19" t="s">
        <v>1562</v>
      </c>
      <c r="AL1468">
        <v>0</v>
      </c>
      <c r="AM1468" s="19" t="s">
        <v>1563</v>
      </c>
      <c r="AN1468">
        <v>7.1145713519406018E-2</v>
      </c>
      <c r="AO1468">
        <v>670944</v>
      </c>
    </row>
    <row r="1469" spans="1:41" x14ac:dyDescent="0.3">
      <c r="A1469" s="19" t="s">
        <v>1535</v>
      </c>
      <c r="B1469">
        <v>59</v>
      </c>
      <c r="C1469" s="19" t="s">
        <v>1499</v>
      </c>
      <c r="D1469" s="19" t="s">
        <v>55</v>
      </c>
      <c r="E1469" s="19" t="s">
        <v>48</v>
      </c>
      <c r="F1469">
        <v>142</v>
      </c>
      <c r="G1469" s="19" t="s">
        <v>735</v>
      </c>
      <c r="H1469">
        <v>3</v>
      </c>
      <c r="I1469">
        <v>3</v>
      </c>
      <c r="J1469" s="19" t="s">
        <v>50</v>
      </c>
      <c r="K1469">
        <v>309</v>
      </c>
      <c r="L1469">
        <v>3</v>
      </c>
      <c r="M1469" s="19" t="s">
        <v>51</v>
      </c>
      <c r="N1469">
        <v>2</v>
      </c>
      <c r="O1469">
        <v>1</v>
      </c>
      <c r="P1469" s="19" t="s">
        <v>67</v>
      </c>
      <c r="Q1469">
        <v>4</v>
      </c>
      <c r="R1469" s="19" t="s">
        <v>113</v>
      </c>
      <c r="S1469">
        <v>35008</v>
      </c>
      <c r="T1469" s="19" t="s">
        <v>72</v>
      </c>
      <c r="U1469">
        <v>218.8</v>
      </c>
      <c r="V1469">
        <v>3</v>
      </c>
      <c r="W1469" s="19" t="s">
        <v>55</v>
      </c>
      <c r="X1469">
        <v>17</v>
      </c>
      <c r="Y1469">
        <v>3</v>
      </c>
      <c r="Z1469">
        <v>1</v>
      </c>
      <c r="AA1469">
        <v>1</v>
      </c>
      <c r="AB1469">
        <v>7</v>
      </c>
      <c r="AC1469">
        <v>6</v>
      </c>
      <c r="AD1469">
        <v>3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 s="19" t="s">
        <v>1561</v>
      </c>
      <c r="AK1469" s="19" t="s">
        <v>1562</v>
      </c>
      <c r="AL1469">
        <v>0</v>
      </c>
      <c r="AM1469" s="19" t="s">
        <v>1563</v>
      </c>
      <c r="AN1469">
        <v>-0.29795997034515914</v>
      </c>
      <c r="AO1469">
        <v>420096</v>
      </c>
    </row>
    <row r="1470" spans="1:41" x14ac:dyDescent="0.3">
      <c r="A1470" s="19" t="s">
        <v>1536</v>
      </c>
      <c r="B1470">
        <v>59</v>
      </c>
      <c r="C1470" s="19" t="s">
        <v>1499</v>
      </c>
      <c r="D1470" s="19" t="s">
        <v>55</v>
      </c>
      <c r="E1470" s="19" t="s">
        <v>48</v>
      </c>
      <c r="F1470">
        <v>818</v>
      </c>
      <c r="G1470" s="19" t="s">
        <v>80</v>
      </c>
      <c r="H1470">
        <v>6</v>
      </c>
      <c r="I1470">
        <v>2</v>
      </c>
      <c r="J1470" s="19" t="s">
        <v>58</v>
      </c>
      <c r="K1470">
        <v>321</v>
      </c>
      <c r="L1470">
        <v>2</v>
      </c>
      <c r="M1470" s="19" t="s">
        <v>51</v>
      </c>
      <c r="N1470">
        <v>3</v>
      </c>
      <c r="O1470">
        <v>1</v>
      </c>
      <c r="P1470" s="19" t="s">
        <v>80</v>
      </c>
      <c r="Q1470">
        <v>3</v>
      </c>
      <c r="R1470" s="19" t="s">
        <v>113</v>
      </c>
      <c r="S1470">
        <v>1060</v>
      </c>
      <c r="T1470" s="19" t="s">
        <v>54</v>
      </c>
      <c r="U1470">
        <v>6.62</v>
      </c>
      <c r="V1470">
        <v>8</v>
      </c>
      <c r="W1470" s="19" t="s">
        <v>55</v>
      </c>
      <c r="X1470">
        <v>17</v>
      </c>
      <c r="Y1470">
        <v>3</v>
      </c>
      <c r="Z1470">
        <v>4</v>
      </c>
      <c r="AA1470">
        <v>0</v>
      </c>
      <c r="AB1470">
        <v>7</v>
      </c>
      <c r="AC1470">
        <v>2</v>
      </c>
      <c r="AD1470">
        <v>2</v>
      </c>
      <c r="AE1470">
        <v>2</v>
      </c>
      <c r="AF1470">
        <v>2</v>
      </c>
      <c r="AG1470">
        <v>2</v>
      </c>
      <c r="AH1470">
        <v>2</v>
      </c>
      <c r="AI1470">
        <v>0</v>
      </c>
      <c r="AJ1470" s="19" t="s">
        <v>1566</v>
      </c>
      <c r="AK1470" s="19" t="s">
        <v>1562</v>
      </c>
      <c r="AL1470">
        <v>1</v>
      </c>
      <c r="AM1470" s="19" t="s">
        <v>1565</v>
      </c>
      <c r="AN1470">
        <v>-0.97911084667012793</v>
      </c>
      <c r="AO1470">
        <v>12720</v>
      </c>
    </row>
    <row r="1471" spans="1:41" x14ac:dyDescent="0.3">
      <c r="A1471" s="19" t="s">
        <v>1537</v>
      </c>
      <c r="B1471">
        <v>59</v>
      </c>
      <c r="C1471" s="19" t="s">
        <v>1499</v>
      </c>
      <c r="D1471" s="19" t="s">
        <v>55</v>
      </c>
      <c r="E1471" s="19" t="s">
        <v>48</v>
      </c>
      <c r="F1471">
        <v>715</v>
      </c>
      <c r="G1471" s="19" t="s">
        <v>735</v>
      </c>
      <c r="H1471">
        <v>2</v>
      </c>
      <c r="I1471">
        <v>3</v>
      </c>
      <c r="J1471" s="19" t="s">
        <v>50</v>
      </c>
      <c r="K1471">
        <v>1032</v>
      </c>
      <c r="L1471">
        <v>3</v>
      </c>
      <c r="M1471" s="19" t="s">
        <v>59</v>
      </c>
      <c r="N1471">
        <v>2</v>
      </c>
      <c r="O1471">
        <v>4</v>
      </c>
      <c r="P1471" s="19" t="s">
        <v>120</v>
      </c>
      <c r="Q1471">
        <v>4</v>
      </c>
      <c r="R1471" s="19" t="s">
        <v>53</v>
      </c>
      <c r="S1471">
        <v>75666</v>
      </c>
      <c r="T1471" s="19" t="s">
        <v>64</v>
      </c>
      <c r="U1471">
        <v>472.91</v>
      </c>
      <c r="V1471">
        <v>3</v>
      </c>
      <c r="W1471" s="19" t="s">
        <v>47</v>
      </c>
      <c r="X1471">
        <v>13</v>
      </c>
      <c r="Y1471">
        <v>3</v>
      </c>
      <c r="Z1471">
        <v>1</v>
      </c>
      <c r="AA1471">
        <v>0</v>
      </c>
      <c r="AB1471">
        <v>30</v>
      </c>
      <c r="AC1471">
        <v>4</v>
      </c>
      <c r="AD1471">
        <v>3</v>
      </c>
      <c r="AE1471">
        <v>5</v>
      </c>
      <c r="AF1471">
        <v>3</v>
      </c>
      <c r="AG1471">
        <v>4</v>
      </c>
      <c r="AH1471">
        <v>3</v>
      </c>
      <c r="AI1471">
        <v>0</v>
      </c>
      <c r="AJ1471" s="19" t="s">
        <v>1567</v>
      </c>
      <c r="AK1471" s="19" t="s">
        <v>1570</v>
      </c>
      <c r="AL1471">
        <v>2</v>
      </c>
      <c r="AM1471" s="19" t="s">
        <v>1564</v>
      </c>
      <c r="AN1471">
        <v>0.70821597685151605</v>
      </c>
      <c r="AO1471">
        <v>907992</v>
      </c>
    </row>
    <row r="1472" spans="1:41" x14ac:dyDescent="0.3">
      <c r="A1472" s="19" t="s">
        <v>1538</v>
      </c>
      <c r="B1472">
        <v>59</v>
      </c>
      <c r="C1472" s="19" t="s">
        <v>1499</v>
      </c>
      <c r="D1472" s="19" t="s">
        <v>55</v>
      </c>
      <c r="E1472" s="19" t="s">
        <v>48</v>
      </c>
      <c r="F1472">
        <v>1089</v>
      </c>
      <c r="G1472" s="19" t="s">
        <v>57</v>
      </c>
      <c r="H1472">
        <v>1</v>
      </c>
      <c r="I1472">
        <v>2</v>
      </c>
      <c r="J1472" s="19" t="s">
        <v>77</v>
      </c>
      <c r="K1472">
        <v>1048</v>
      </c>
      <c r="L1472">
        <v>2</v>
      </c>
      <c r="M1472" s="19" t="s">
        <v>51</v>
      </c>
      <c r="N1472">
        <v>3</v>
      </c>
      <c r="O1472">
        <v>3</v>
      </c>
      <c r="P1472" s="19" t="s">
        <v>444</v>
      </c>
      <c r="Q1472">
        <v>4</v>
      </c>
      <c r="R1472" s="19" t="s">
        <v>113</v>
      </c>
      <c r="S1472">
        <v>84559</v>
      </c>
      <c r="T1472" s="19" t="s">
        <v>70</v>
      </c>
      <c r="U1472">
        <v>528.49</v>
      </c>
      <c r="V1472">
        <v>3</v>
      </c>
      <c r="W1472" s="19" t="s">
        <v>47</v>
      </c>
      <c r="X1472">
        <v>14</v>
      </c>
      <c r="Y1472">
        <v>3</v>
      </c>
      <c r="Z1472">
        <v>3</v>
      </c>
      <c r="AA1472">
        <v>1</v>
      </c>
      <c r="AB1472">
        <v>14</v>
      </c>
      <c r="AC1472">
        <v>1</v>
      </c>
      <c r="AD1472">
        <v>1</v>
      </c>
      <c r="AE1472">
        <v>6</v>
      </c>
      <c r="AF1472">
        <v>4</v>
      </c>
      <c r="AG1472">
        <v>0</v>
      </c>
      <c r="AH1472">
        <v>4</v>
      </c>
      <c r="AI1472">
        <v>0</v>
      </c>
      <c r="AJ1472" s="19" t="s">
        <v>1569</v>
      </c>
      <c r="AK1472" s="19" t="s">
        <v>1562</v>
      </c>
      <c r="AL1472">
        <v>2</v>
      </c>
      <c r="AM1472" s="19" t="s">
        <v>1564</v>
      </c>
      <c r="AN1472">
        <v>0.61995654581283899</v>
      </c>
      <c r="AO1472">
        <v>1014708</v>
      </c>
    </row>
    <row r="1473" spans="1:41" x14ac:dyDescent="0.3">
      <c r="A1473" s="19" t="s">
        <v>1539</v>
      </c>
      <c r="B1473">
        <v>59</v>
      </c>
      <c r="C1473" s="19" t="s">
        <v>1499</v>
      </c>
      <c r="D1473" s="19" t="s">
        <v>55</v>
      </c>
      <c r="E1473" s="19" t="s">
        <v>48</v>
      </c>
      <c r="F1473">
        <v>326</v>
      </c>
      <c r="G1473" s="19" t="s">
        <v>57</v>
      </c>
      <c r="H1473">
        <v>3</v>
      </c>
      <c r="I1473">
        <v>3</v>
      </c>
      <c r="J1473" s="19" t="s">
        <v>50</v>
      </c>
      <c r="K1473">
        <v>1254</v>
      </c>
      <c r="L1473">
        <v>3</v>
      </c>
      <c r="M1473" s="19" t="s">
        <v>59</v>
      </c>
      <c r="N1473">
        <v>2</v>
      </c>
      <c r="O1473">
        <v>2</v>
      </c>
      <c r="P1473" s="19" t="s">
        <v>145</v>
      </c>
      <c r="Q1473">
        <v>4</v>
      </c>
      <c r="R1473" s="19" t="s">
        <v>53</v>
      </c>
      <c r="S1473">
        <v>56337</v>
      </c>
      <c r="T1473" s="19" t="s">
        <v>64</v>
      </c>
      <c r="U1473">
        <v>352.11</v>
      </c>
      <c r="V1473">
        <v>5</v>
      </c>
      <c r="W1473" s="19" t="s">
        <v>55</v>
      </c>
      <c r="X1473">
        <v>17</v>
      </c>
      <c r="Y1473">
        <v>3</v>
      </c>
      <c r="Z1473">
        <v>4</v>
      </c>
      <c r="AA1473">
        <v>0</v>
      </c>
      <c r="AB1473">
        <v>13</v>
      </c>
      <c r="AC1473">
        <v>2</v>
      </c>
      <c r="AD1473">
        <v>3</v>
      </c>
      <c r="AE1473">
        <v>6</v>
      </c>
      <c r="AF1473">
        <v>1</v>
      </c>
      <c r="AG1473">
        <v>0</v>
      </c>
      <c r="AH1473">
        <v>5</v>
      </c>
      <c r="AI1473">
        <v>0</v>
      </c>
      <c r="AJ1473" s="19" t="s">
        <v>1569</v>
      </c>
      <c r="AK1473" s="19" t="s">
        <v>1562</v>
      </c>
      <c r="AL1473">
        <v>0</v>
      </c>
      <c r="AM1473" s="19" t="s">
        <v>1563</v>
      </c>
      <c r="AN1473">
        <v>0.14837610389842121</v>
      </c>
      <c r="AO1473">
        <v>676044</v>
      </c>
    </row>
    <row r="1474" spans="1:41" x14ac:dyDescent="0.3">
      <c r="A1474" s="19" t="s">
        <v>1540</v>
      </c>
      <c r="B1474">
        <v>59</v>
      </c>
      <c r="C1474" s="19" t="s">
        <v>1499</v>
      </c>
      <c r="D1474" s="19" t="s">
        <v>55</v>
      </c>
      <c r="E1474" s="19" t="s">
        <v>48</v>
      </c>
      <c r="F1474">
        <v>1429</v>
      </c>
      <c r="G1474" s="19" t="s">
        <v>735</v>
      </c>
      <c r="H1474">
        <v>18</v>
      </c>
      <c r="I1474">
        <v>4</v>
      </c>
      <c r="J1474" s="19" t="s">
        <v>58</v>
      </c>
      <c r="K1474">
        <v>1283</v>
      </c>
      <c r="L1474">
        <v>4</v>
      </c>
      <c r="M1474" s="19" t="s">
        <v>51</v>
      </c>
      <c r="N1474">
        <v>3</v>
      </c>
      <c r="O1474">
        <v>3</v>
      </c>
      <c r="P1474" s="19" t="s">
        <v>120</v>
      </c>
      <c r="Q1474">
        <v>4</v>
      </c>
      <c r="R1474" s="19" t="s">
        <v>53</v>
      </c>
      <c r="S1474">
        <v>14350</v>
      </c>
      <c r="T1474" s="19" t="s">
        <v>54</v>
      </c>
      <c r="U1474">
        <v>89.69</v>
      </c>
      <c r="V1474">
        <v>6</v>
      </c>
      <c r="W1474" s="19" t="s">
        <v>55</v>
      </c>
      <c r="X1474">
        <v>12</v>
      </c>
      <c r="Y1474">
        <v>3</v>
      </c>
      <c r="Z1474">
        <v>4</v>
      </c>
      <c r="AA1474">
        <v>0</v>
      </c>
      <c r="AB1474">
        <v>25</v>
      </c>
      <c r="AC1474">
        <v>6</v>
      </c>
      <c r="AD1474">
        <v>2</v>
      </c>
      <c r="AE1474">
        <v>9</v>
      </c>
      <c r="AF1474">
        <v>7</v>
      </c>
      <c r="AG1474">
        <v>5</v>
      </c>
      <c r="AH1474">
        <v>4</v>
      </c>
      <c r="AI1474">
        <v>0</v>
      </c>
      <c r="AJ1474" s="19" t="s">
        <v>1569</v>
      </c>
      <c r="AK1474" s="19" t="s">
        <v>1570</v>
      </c>
      <c r="AL1474">
        <v>2</v>
      </c>
      <c r="AM1474" s="19" t="s">
        <v>1564</v>
      </c>
      <c r="AN1474">
        <v>-0.67603812454974155</v>
      </c>
      <c r="AO1474">
        <v>172200</v>
      </c>
    </row>
    <row r="1475" spans="1:41" x14ac:dyDescent="0.3">
      <c r="A1475" s="19" t="s">
        <v>1541</v>
      </c>
      <c r="B1475">
        <v>60</v>
      </c>
      <c r="C1475" s="19" t="s">
        <v>1499</v>
      </c>
      <c r="D1475" s="19" t="s">
        <v>55</v>
      </c>
      <c r="E1475" s="19" t="s">
        <v>48</v>
      </c>
      <c r="F1475">
        <v>422</v>
      </c>
      <c r="G1475" s="19" t="s">
        <v>735</v>
      </c>
      <c r="H1475">
        <v>7</v>
      </c>
      <c r="I1475">
        <v>3</v>
      </c>
      <c r="J1475" s="19" t="s">
        <v>50</v>
      </c>
      <c r="K1475">
        <v>549</v>
      </c>
      <c r="L1475">
        <v>1</v>
      </c>
      <c r="M1475" s="19" t="s">
        <v>59</v>
      </c>
      <c r="N1475">
        <v>3</v>
      </c>
      <c r="O1475">
        <v>5</v>
      </c>
      <c r="P1475" s="19" t="s">
        <v>444</v>
      </c>
      <c r="Q1475">
        <v>1</v>
      </c>
      <c r="R1475" s="19" t="s">
        <v>113</v>
      </c>
      <c r="S1475">
        <v>25354</v>
      </c>
      <c r="T1475" s="19" t="s">
        <v>72</v>
      </c>
      <c r="U1475">
        <v>158.46</v>
      </c>
      <c r="V1475">
        <v>5</v>
      </c>
      <c r="W1475" s="19" t="s">
        <v>55</v>
      </c>
      <c r="X1475">
        <v>11</v>
      </c>
      <c r="Y1475">
        <v>3</v>
      </c>
      <c r="Z1475">
        <v>4</v>
      </c>
      <c r="AA1475">
        <v>0</v>
      </c>
      <c r="AB1475">
        <v>33</v>
      </c>
      <c r="AC1475">
        <v>5</v>
      </c>
      <c r="AD1475">
        <v>1</v>
      </c>
      <c r="AE1475">
        <v>29</v>
      </c>
      <c r="AF1475">
        <v>8</v>
      </c>
      <c r="AG1475">
        <v>11</v>
      </c>
      <c r="AH1475">
        <v>10</v>
      </c>
      <c r="AI1475">
        <v>0</v>
      </c>
      <c r="AJ1475" s="19" t="s">
        <v>1571</v>
      </c>
      <c r="AK1475" s="19" t="s">
        <v>1570</v>
      </c>
      <c r="AL1475">
        <v>3</v>
      </c>
      <c r="AM1475" s="19" t="s">
        <v>1568</v>
      </c>
      <c r="AN1475">
        <v>-0.51427549684198348</v>
      </c>
      <c r="AO1475">
        <v>304248</v>
      </c>
    </row>
    <row r="1476" spans="1:41" x14ac:dyDescent="0.3">
      <c r="A1476" s="19" t="s">
        <v>1542</v>
      </c>
      <c r="B1476">
        <v>60</v>
      </c>
      <c r="C1476" s="19" t="s">
        <v>1499</v>
      </c>
      <c r="D1476" s="19" t="s">
        <v>55</v>
      </c>
      <c r="E1476" s="19" t="s">
        <v>62</v>
      </c>
      <c r="F1476">
        <v>1499</v>
      </c>
      <c r="G1476" s="19" t="s">
        <v>57</v>
      </c>
      <c r="H1476">
        <v>28</v>
      </c>
      <c r="I1476">
        <v>3</v>
      </c>
      <c r="J1476" s="19" t="s">
        <v>63</v>
      </c>
      <c r="K1476">
        <v>573</v>
      </c>
      <c r="L1476">
        <v>3</v>
      </c>
      <c r="M1476" s="19" t="s">
        <v>59</v>
      </c>
      <c r="N1476">
        <v>2</v>
      </c>
      <c r="O1476">
        <v>3</v>
      </c>
      <c r="P1476" s="19" t="s">
        <v>145</v>
      </c>
      <c r="Q1476">
        <v>1</v>
      </c>
      <c r="R1476" s="19" t="s">
        <v>113</v>
      </c>
      <c r="S1476">
        <v>46186</v>
      </c>
      <c r="T1476" s="19" t="s">
        <v>72</v>
      </c>
      <c r="U1476">
        <v>288.66000000000003</v>
      </c>
      <c r="V1476">
        <v>4</v>
      </c>
      <c r="W1476" s="19" t="s">
        <v>55</v>
      </c>
      <c r="X1476">
        <v>19</v>
      </c>
      <c r="Y1476">
        <v>3</v>
      </c>
      <c r="Z1476">
        <v>4</v>
      </c>
      <c r="AA1476">
        <v>0</v>
      </c>
      <c r="AB1476">
        <v>22</v>
      </c>
      <c r="AC1476">
        <v>5</v>
      </c>
      <c r="AD1476">
        <v>4</v>
      </c>
      <c r="AE1476">
        <v>18</v>
      </c>
      <c r="AF1476">
        <v>13</v>
      </c>
      <c r="AG1476">
        <v>13</v>
      </c>
      <c r="AH1476">
        <v>11</v>
      </c>
      <c r="AI1476">
        <v>0</v>
      </c>
      <c r="AJ1476" s="19" t="s">
        <v>1571</v>
      </c>
      <c r="AK1476" s="19" t="s">
        <v>1570</v>
      </c>
      <c r="AL1476">
        <v>2</v>
      </c>
      <c r="AM1476" s="19" t="s">
        <v>1564</v>
      </c>
      <c r="AN1476">
        <v>-5.8542365858095365E-2</v>
      </c>
      <c r="AO1476">
        <v>554232</v>
      </c>
    </row>
    <row r="1477" spans="1:41" x14ac:dyDescent="0.3">
      <c r="A1477" s="19" t="s">
        <v>1543</v>
      </c>
      <c r="B1477">
        <v>60</v>
      </c>
      <c r="C1477" s="19" t="s">
        <v>1499</v>
      </c>
      <c r="D1477" s="19" t="s">
        <v>55</v>
      </c>
      <c r="E1477" s="19" t="s">
        <v>48</v>
      </c>
      <c r="F1477">
        <v>1179</v>
      </c>
      <c r="G1477" s="19" t="s">
        <v>57</v>
      </c>
      <c r="H1477">
        <v>16</v>
      </c>
      <c r="I1477">
        <v>4</v>
      </c>
      <c r="J1477" s="19" t="s">
        <v>63</v>
      </c>
      <c r="K1477">
        <v>732</v>
      </c>
      <c r="L1477">
        <v>1</v>
      </c>
      <c r="M1477" s="19" t="s">
        <v>51</v>
      </c>
      <c r="N1477">
        <v>3</v>
      </c>
      <c r="O1477">
        <v>2</v>
      </c>
      <c r="P1477" s="19" t="s">
        <v>145</v>
      </c>
      <c r="Q1477">
        <v>1</v>
      </c>
      <c r="R1477" s="19" t="s">
        <v>53</v>
      </c>
      <c r="S1477">
        <v>29145</v>
      </c>
      <c r="T1477" s="19" t="s">
        <v>72</v>
      </c>
      <c r="U1477">
        <v>182.16</v>
      </c>
      <c r="V1477">
        <v>8</v>
      </c>
      <c r="W1477" s="19" t="s">
        <v>55</v>
      </c>
      <c r="X1477">
        <v>14</v>
      </c>
      <c r="Y1477">
        <v>3</v>
      </c>
      <c r="Z1477">
        <v>4</v>
      </c>
      <c r="AA1477">
        <v>0</v>
      </c>
      <c r="AB1477">
        <v>10</v>
      </c>
      <c r="AC1477">
        <v>1</v>
      </c>
      <c r="AD1477">
        <v>3</v>
      </c>
      <c r="AE1477">
        <v>2</v>
      </c>
      <c r="AF1477">
        <v>2</v>
      </c>
      <c r="AG1477">
        <v>2</v>
      </c>
      <c r="AH1477">
        <v>2</v>
      </c>
      <c r="AI1477">
        <v>0</v>
      </c>
      <c r="AJ1477" s="19" t="s">
        <v>1566</v>
      </c>
      <c r="AK1477" s="19" t="s">
        <v>1562</v>
      </c>
      <c r="AL1477">
        <v>1</v>
      </c>
      <c r="AM1477" s="19" t="s">
        <v>1565</v>
      </c>
      <c r="AN1477">
        <v>-0.40590692532226624</v>
      </c>
      <c r="AO1477">
        <v>349740</v>
      </c>
    </row>
    <row r="1478" spans="1:41" x14ac:dyDescent="0.3">
      <c r="A1478" s="19" t="s">
        <v>1544</v>
      </c>
      <c r="B1478">
        <v>60</v>
      </c>
      <c r="C1478" s="19" t="s">
        <v>1499</v>
      </c>
      <c r="D1478" s="19" t="s">
        <v>55</v>
      </c>
      <c r="E1478" s="19" t="s">
        <v>48</v>
      </c>
      <c r="F1478">
        <v>696</v>
      </c>
      <c r="G1478" s="19" t="s">
        <v>57</v>
      </c>
      <c r="H1478">
        <v>7</v>
      </c>
      <c r="I1478">
        <v>4</v>
      </c>
      <c r="J1478" s="19" t="s">
        <v>63</v>
      </c>
      <c r="K1478">
        <v>1233</v>
      </c>
      <c r="L1478">
        <v>2</v>
      </c>
      <c r="M1478" s="19" t="s">
        <v>51</v>
      </c>
      <c r="N1478">
        <v>4</v>
      </c>
      <c r="O1478">
        <v>2</v>
      </c>
      <c r="P1478" s="19" t="s">
        <v>145</v>
      </c>
      <c r="Q1478">
        <v>4</v>
      </c>
      <c r="R1478" s="19" t="s">
        <v>53</v>
      </c>
      <c r="S1478">
        <v>35020</v>
      </c>
      <c r="T1478" s="19" t="s">
        <v>72</v>
      </c>
      <c r="U1478">
        <v>218.88</v>
      </c>
      <c r="V1478">
        <v>0</v>
      </c>
      <c r="W1478" s="19" t="s">
        <v>47</v>
      </c>
      <c r="X1478">
        <v>18</v>
      </c>
      <c r="Y1478">
        <v>3</v>
      </c>
      <c r="Z1478">
        <v>2</v>
      </c>
      <c r="AA1478">
        <v>1</v>
      </c>
      <c r="AB1478">
        <v>12</v>
      </c>
      <c r="AC1478">
        <v>3</v>
      </c>
      <c r="AD1478">
        <v>3</v>
      </c>
      <c r="AE1478">
        <v>11</v>
      </c>
      <c r="AF1478">
        <v>7</v>
      </c>
      <c r="AG1478">
        <v>1</v>
      </c>
      <c r="AH1478">
        <v>9</v>
      </c>
      <c r="AI1478">
        <v>0</v>
      </c>
      <c r="AJ1478" s="19" t="s">
        <v>1571</v>
      </c>
      <c r="AK1478" s="19" t="s">
        <v>1562</v>
      </c>
      <c r="AL1478">
        <v>1</v>
      </c>
      <c r="AM1478" s="19" t="s">
        <v>1565</v>
      </c>
      <c r="AN1478">
        <v>-0.28615064418547825</v>
      </c>
      <c r="AO1478">
        <v>420240</v>
      </c>
    </row>
    <row r="1479" spans="1:41" x14ac:dyDescent="0.3">
      <c r="A1479" s="19" t="s">
        <v>1545</v>
      </c>
      <c r="B1479">
        <v>60</v>
      </c>
      <c r="C1479" s="19" t="s">
        <v>1499</v>
      </c>
      <c r="D1479" s="19" t="s">
        <v>55</v>
      </c>
      <c r="E1479" s="19" t="s">
        <v>48</v>
      </c>
      <c r="F1479">
        <v>370</v>
      </c>
      <c r="G1479" s="19" t="s">
        <v>735</v>
      </c>
      <c r="H1479">
        <v>1</v>
      </c>
      <c r="I1479">
        <v>4</v>
      </c>
      <c r="J1479" s="19" t="s">
        <v>58</v>
      </c>
      <c r="K1479">
        <v>1697</v>
      </c>
      <c r="L1479">
        <v>3</v>
      </c>
      <c r="M1479" s="19" t="s">
        <v>51</v>
      </c>
      <c r="N1479">
        <v>1</v>
      </c>
      <c r="O1479">
        <v>3</v>
      </c>
      <c r="P1479" s="19" t="s">
        <v>168</v>
      </c>
      <c r="Q1479">
        <v>4</v>
      </c>
      <c r="R1479" s="19" t="s">
        <v>53</v>
      </c>
      <c r="S1479">
        <v>87123</v>
      </c>
      <c r="T1479" s="19" t="s">
        <v>70</v>
      </c>
      <c r="U1479">
        <v>544.52</v>
      </c>
      <c r="V1479">
        <v>3</v>
      </c>
      <c r="W1479" s="19" t="s">
        <v>55</v>
      </c>
      <c r="X1479">
        <v>20</v>
      </c>
      <c r="Y1479">
        <v>4</v>
      </c>
      <c r="Z1479">
        <v>3</v>
      </c>
      <c r="AA1479">
        <v>1</v>
      </c>
      <c r="AB1479">
        <v>19</v>
      </c>
      <c r="AC1479">
        <v>2</v>
      </c>
      <c r="AD1479">
        <v>4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 s="19" t="s">
        <v>1561</v>
      </c>
      <c r="AK1479" s="19" t="s">
        <v>1562</v>
      </c>
      <c r="AL1479">
        <v>0</v>
      </c>
      <c r="AM1479" s="19" t="s">
        <v>1563</v>
      </c>
      <c r="AN1479">
        <v>0.80793836193096258</v>
      </c>
      <c r="AO1479">
        <v>1045476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479"/>
  <sheetViews>
    <sheetView zoomScaleNormal="100" workbookViewId="0">
      <pane ySplit="1" topLeftCell="A372" activePane="bottomLeft" state="frozen"/>
      <selection pane="bottomLeft"/>
    </sheetView>
  </sheetViews>
  <sheetFormatPr defaultColWidth="8.6640625" defaultRowHeight="14.4" x14ac:dyDescent="0.3"/>
  <cols>
    <col min="1" max="4" width="12" customWidth="1"/>
    <col min="5" max="5" width="17" customWidth="1"/>
    <col min="6" max="6" width="12" customWidth="1"/>
    <col min="7" max="7" width="13" customWidth="1"/>
    <col min="8" max="8" width="18" customWidth="1"/>
    <col min="9" max="9" width="12" customWidth="1"/>
    <col min="10" max="11" width="17" customWidth="1"/>
    <col min="12" max="12" width="18" customWidth="1"/>
    <col min="13" max="13" width="12" customWidth="1"/>
    <col min="14" max="14" width="17" customWidth="1"/>
    <col min="15" max="16" width="12" customWidth="1"/>
    <col min="17" max="17" width="18" customWidth="1"/>
    <col min="18" max="18" width="16" customWidth="1"/>
    <col min="19" max="19" width="27.5546875" customWidth="1"/>
    <col min="20" max="21" width="13" customWidth="1"/>
    <col min="22" max="22" width="18" customWidth="1"/>
    <col min="23" max="23" width="16.44140625" customWidth="1"/>
    <col min="24" max="24" width="15" customWidth="1"/>
    <col min="25" max="30" width="18" customWidth="1"/>
    <col min="31" max="31" width="27.88671875" customWidth="1"/>
    <col min="32" max="32" width="18" customWidth="1"/>
    <col min="33" max="33" width="39.5546875" customWidth="1"/>
    <col min="34" max="34" width="18" customWidth="1"/>
    <col min="35" max="35" width="16" customWidth="1"/>
    <col min="36" max="36" width="13" customWidth="1"/>
    <col min="37" max="38" width="18" customWidth="1"/>
    <col min="39" max="39" width="25.33203125" customWidth="1"/>
    <col min="40" max="40" width="28.33203125" hidden="1" customWidth="1"/>
    <col min="41" max="41" width="15" customWidth="1"/>
  </cols>
  <sheetData>
    <row r="1" spans="1:41" x14ac:dyDescent="0.3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31</v>
      </c>
      <c r="AC1" s="4" t="s">
        <v>32</v>
      </c>
      <c r="AD1" s="4" t="s">
        <v>33</v>
      </c>
      <c r="AE1" s="4" t="s">
        <v>34</v>
      </c>
      <c r="AF1" s="4" t="s">
        <v>35</v>
      </c>
      <c r="AG1" s="4" t="s">
        <v>36</v>
      </c>
      <c r="AH1" s="4" t="s">
        <v>37</v>
      </c>
      <c r="AI1" s="5" t="s">
        <v>38</v>
      </c>
      <c r="AJ1" s="5" t="s">
        <v>39</v>
      </c>
      <c r="AK1" s="5" t="s">
        <v>40</v>
      </c>
      <c r="AL1" s="5" t="s">
        <v>41</v>
      </c>
      <c r="AM1" s="5" t="s">
        <v>42</v>
      </c>
      <c r="AN1" s="5" t="s">
        <v>43</v>
      </c>
      <c r="AO1" s="5" t="s">
        <v>44</v>
      </c>
    </row>
    <row r="2" spans="1:41" x14ac:dyDescent="0.3">
      <c r="A2" t="s">
        <v>45</v>
      </c>
      <c r="B2">
        <v>19</v>
      </c>
      <c r="C2" t="s">
        <v>46</v>
      </c>
      <c r="D2" t="s">
        <v>47</v>
      </c>
      <c r="E2" t="s">
        <v>48</v>
      </c>
      <c r="F2">
        <v>230</v>
      </c>
      <c r="G2" t="s">
        <v>49</v>
      </c>
      <c r="H2">
        <v>3</v>
      </c>
      <c r="I2">
        <v>3</v>
      </c>
      <c r="J2" t="s">
        <v>50</v>
      </c>
      <c r="K2">
        <v>405</v>
      </c>
      <c r="L2">
        <v>3</v>
      </c>
      <c r="M2" t="s">
        <v>51</v>
      </c>
      <c r="N2">
        <v>3</v>
      </c>
      <c r="O2">
        <v>1</v>
      </c>
      <c r="P2" t="s">
        <v>52</v>
      </c>
      <c r="Q2">
        <v>3</v>
      </c>
      <c r="R2" t="s">
        <v>53</v>
      </c>
      <c r="S2">
        <v>16795</v>
      </c>
      <c r="T2" t="s">
        <v>54</v>
      </c>
      <c r="U2">
        <v>104.97</v>
      </c>
      <c r="V2">
        <v>1</v>
      </c>
      <c r="W2" t="s">
        <v>55</v>
      </c>
      <c r="X2">
        <v>13</v>
      </c>
      <c r="Y2">
        <v>3</v>
      </c>
      <c r="Z2">
        <v>3</v>
      </c>
      <c r="AA2">
        <v>0</v>
      </c>
      <c r="AB2">
        <v>0</v>
      </c>
      <c r="AC2">
        <v>2</v>
      </c>
      <c r="AD2">
        <v>3</v>
      </c>
      <c r="AE2">
        <v>0</v>
      </c>
      <c r="AF2">
        <v>0</v>
      </c>
      <c r="AG2">
        <v>0</v>
      </c>
      <c r="AH2">
        <v>0</v>
      </c>
      <c r="AI2">
        <f t="shared" ref="AI2:AI65" si="0">IF(D2="Yes",1,0)</f>
        <v>1</v>
      </c>
      <c r="AJ2" t="str">
        <f t="shared" ref="AJ2:AJ65" si="1">IF(AE2&lt;=1,"0-1 yr",IF(AE2&lt;=3,"2-3 yrs",IF(AE2&lt;=5,"4-5 yrs",IF(AE2&lt;=10,"6-10 yrs","10+ yrs"))))</f>
        <v>0-1 yr</v>
      </c>
      <c r="AK2" t="str">
        <f t="shared" ref="AK2:AK65" si="2">IF(AG2&gt;=3,"Overdue","Recent")</f>
        <v>Recent</v>
      </c>
      <c r="AL2">
        <f t="shared" ref="AL2:AL65" si="3">IF(W2="Yes",1,0)+IF(AD2&lt;=2,1,0)+IF(Q2&lt;=2,1,0)+IF(AG2&gt;=3,1,0)</f>
        <v>0</v>
      </c>
      <c r="AM2" t="str">
        <f t="shared" ref="AM2:AM65" si="4">IF(AL2&gt;=3,"High Risk",IF(AL2=2,"Medium Risk",IF(AL2=1,"Low Risk","Minimal Risk")))</f>
        <v>Minimal Risk</v>
      </c>
      <c r="AN2" s="6">
        <f t="shared" ref="AN2:AN65" si="5">IFERROR((S2-AVERAGEIF(P$2:P$1479,P2,S$2:S$1479))/AVERAGEIF(P$2:P$1479,P2,S$2:S$1479),0)</f>
        <v>-0.67527444574296025</v>
      </c>
      <c r="AO2" s="7">
        <f t="shared" ref="AO2:AO65" si="6">S2*12</f>
        <v>201540</v>
      </c>
    </row>
    <row r="3" spans="1:41" x14ac:dyDescent="0.3">
      <c r="A3" t="s">
        <v>56</v>
      </c>
      <c r="B3">
        <v>19</v>
      </c>
      <c r="C3" t="s">
        <v>46</v>
      </c>
      <c r="D3" t="s">
        <v>55</v>
      </c>
      <c r="E3" t="s">
        <v>48</v>
      </c>
      <c r="F3">
        <v>812</v>
      </c>
      <c r="G3" t="s">
        <v>57</v>
      </c>
      <c r="H3">
        <v>10</v>
      </c>
      <c r="I3">
        <v>3</v>
      </c>
      <c r="J3" t="s">
        <v>58</v>
      </c>
      <c r="K3">
        <v>411</v>
      </c>
      <c r="L3">
        <v>4</v>
      </c>
      <c r="M3" t="s">
        <v>59</v>
      </c>
      <c r="N3">
        <v>2</v>
      </c>
      <c r="O3">
        <v>1</v>
      </c>
      <c r="P3" t="s">
        <v>60</v>
      </c>
      <c r="Q3">
        <v>3</v>
      </c>
      <c r="R3" t="s">
        <v>53</v>
      </c>
      <c r="S3">
        <v>1860</v>
      </c>
      <c r="T3" t="s">
        <v>54</v>
      </c>
      <c r="U3">
        <v>11.62</v>
      </c>
      <c r="V3">
        <v>1</v>
      </c>
      <c r="W3" t="s">
        <v>55</v>
      </c>
      <c r="X3">
        <v>12</v>
      </c>
      <c r="Y3">
        <v>3</v>
      </c>
      <c r="Z3">
        <v>1</v>
      </c>
      <c r="AA3">
        <v>0</v>
      </c>
      <c r="AB3">
        <v>0</v>
      </c>
      <c r="AC3">
        <v>2</v>
      </c>
      <c r="AD3">
        <v>3</v>
      </c>
      <c r="AE3">
        <v>0</v>
      </c>
      <c r="AF3">
        <v>0</v>
      </c>
      <c r="AG3">
        <v>0</v>
      </c>
      <c r="AH3">
        <v>0</v>
      </c>
      <c r="AI3">
        <f t="shared" si="0"/>
        <v>0</v>
      </c>
      <c r="AJ3" t="str">
        <f t="shared" si="1"/>
        <v>0-1 yr</v>
      </c>
      <c r="AK3" t="str">
        <f t="shared" si="2"/>
        <v>Recent</v>
      </c>
      <c r="AL3">
        <f t="shared" si="3"/>
        <v>0</v>
      </c>
      <c r="AM3" t="str">
        <f t="shared" si="4"/>
        <v>Minimal Risk</v>
      </c>
      <c r="AN3" s="6">
        <f t="shared" si="5"/>
        <v>-0.96229230175522773</v>
      </c>
      <c r="AO3" s="7">
        <f t="shared" si="6"/>
        <v>22320</v>
      </c>
    </row>
    <row r="4" spans="1:41" x14ac:dyDescent="0.3">
      <c r="A4" t="s">
        <v>61</v>
      </c>
      <c r="B4">
        <v>19</v>
      </c>
      <c r="C4" t="s">
        <v>46</v>
      </c>
      <c r="D4" t="s">
        <v>47</v>
      </c>
      <c r="E4" t="s">
        <v>62</v>
      </c>
      <c r="F4">
        <v>1306</v>
      </c>
      <c r="G4" t="s">
        <v>57</v>
      </c>
      <c r="H4">
        <v>5</v>
      </c>
      <c r="I4">
        <v>3</v>
      </c>
      <c r="J4" t="s">
        <v>63</v>
      </c>
      <c r="K4">
        <v>614</v>
      </c>
      <c r="L4">
        <v>2</v>
      </c>
      <c r="M4" t="s">
        <v>51</v>
      </c>
      <c r="N4">
        <v>3</v>
      </c>
      <c r="O4">
        <v>1</v>
      </c>
      <c r="P4" t="s">
        <v>60</v>
      </c>
      <c r="Q4">
        <v>2</v>
      </c>
      <c r="R4" t="s">
        <v>53</v>
      </c>
      <c r="S4">
        <v>77820</v>
      </c>
      <c r="T4" t="s">
        <v>64</v>
      </c>
      <c r="U4">
        <v>486.38</v>
      </c>
      <c r="V4">
        <v>1</v>
      </c>
      <c r="W4" t="s">
        <v>47</v>
      </c>
      <c r="X4">
        <v>14</v>
      </c>
      <c r="Y4">
        <v>3</v>
      </c>
      <c r="Z4">
        <v>4</v>
      </c>
      <c r="AA4">
        <v>0</v>
      </c>
      <c r="AB4">
        <v>0</v>
      </c>
      <c r="AC4">
        <v>3</v>
      </c>
      <c r="AD4">
        <v>3</v>
      </c>
      <c r="AE4">
        <v>0</v>
      </c>
      <c r="AF4">
        <v>0</v>
      </c>
      <c r="AG4">
        <v>0</v>
      </c>
      <c r="AH4">
        <v>0</v>
      </c>
      <c r="AI4">
        <f t="shared" si="0"/>
        <v>1</v>
      </c>
      <c r="AJ4" t="str">
        <f t="shared" si="1"/>
        <v>0-1 yr</v>
      </c>
      <c r="AK4" t="str">
        <f t="shared" si="2"/>
        <v>Recent</v>
      </c>
      <c r="AL4">
        <f t="shared" si="3"/>
        <v>2</v>
      </c>
      <c r="AM4" t="str">
        <f t="shared" si="4"/>
        <v>Medium Risk</v>
      </c>
      <c r="AN4" s="6">
        <f t="shared" si="5"/>
        <v>0.57764143946676338</v>
      </c>
      <c r="AO4" s="7">
        <f t="shared" si="6"/>
        <v>933840</v>
      </c>
    </row>
    <row r="5" spans="1:41" x14ac:dyDescent="0.3">
      <c r="A5" t="s">
        <v>65</v>
      </c>
      <c r="B5">
        <v>19</v>
      </c>
      <c r="C5" t="s">
        <v>46</v>
      </c>
      <c r="D5" t="s">
        <v>55</v>
      </c>
      <c r="E5" t="s">
        <v>66</v>
      </c>
      <c r="F5">
        <v>287</v>
      </c>
      <c r="G5" t="s">
        <v>49</v>
      </c>
      <c r="H5">
        <v>5</v>
      </c>
      <c r="I5">
        <v>2</v>
      </c>
      <c r="J5" t="s">
        <v>50</v>
      </c>
      <c r="K5">
        <v>1012</v>
      </c>
      <c r="L5">
        <v>2</v>
      </c>
      <c r="M5" t="s">
        <v>51</v>
      </c>
      <c r="N5">
        <v>3</v>
      </c>
      <c r="O5">
        <v>1</v>
      </c>
      <c r="P5" t="s">
        <v>67</v>
      </c>
      <c r="Q5">
        <v>4</v>
      </c>
      <c r="R5" t="s">
        <v>53</v>
      </c>
      <c r="S5">
        <v>55886</v>
      </c>
      <c r="T5" t="s">
        <v>64</v>
      </c>
      <c r="U5">
        <v>349.29</v>
      </c>
      <c r="V5">
        <v>1</v>
      </c>
      <c r="W5" t="s">
        <v>55</v>
      </c>
      <c r="X5">
        <v>15</v>
      </c>
      <c r="Y5">
        <v>3</v>
      </c>
      <c r="Z5">
        <v>4</v>
      </c>
      <c r="AA5">
        <v>0</v>
      </c>
      <c r="AB5">
        <v>0</v>
      </c>
      <c r="AC5">
        <v>2</v>
      </c>
      <c r="AD5">
        <v>3</v>
      </c>
      <c r="AE5">
        <v>0</v>
      </c>
      <c r="AF5">
        <v>0</v>
      </c>
      <c r="AG5">
        <v>0</v>
      </c>
      <c r="AH5">
        <v>0</v>
      </c>
      <c r="AI5">
        <f t="shared" si="0"/>
        <v>0</v>
      </c>
      <c r="AJ5" t="str">
        <f t="shared" si="1"/>
        <v>0-1 yr</v>
      </c>
      <c r="AK5" t="str">
        <f t="shared" si="2"/>
        <v>Recent</v>
      </c>
      <c r="AL5">
        <f t="shared" si="3"/>
        <v>0</v>
      </c>
      <c r="AM5" t="str">
        <f t="shared" si="4"/>
        <v>Minimal Risk</v>
      </c>
      <c r="AN5" s="6">
        <f t="shared" si="5"/>
        <v>0.1207212379253438</v>
      </c>
      <c r="AO5" s="7">
        <f t="shared" si="6"/>
        <v>670632</v>
      </c>
    </row>
    <row r="6" spans="1:41" x14ac:dyDescent="0.3">
      <c r="A6" t="s">
        <v>68</v>
      </c>
      <c r="B6">
        <v>19</v>
      </c>
      <c r="C6" t="s">
        <v>46</v>
      </c>
      <c r="D6" t="s">
        <v>47</v>
      </c>
      <c r="E6" t="s">
        <v>66</v>
      </c>
      <c r="F6">
        <v>247</v>
      </c>
      <c r="G6" t="s">
        <v>49</v>
      </c>
      <c r="H6">
        <v>8</v>
      </c>
      <c r="I6">
        <v>1</v>
      </c>
      <c r="J6" t="s">
        <v>58</v>
      </c>
      <c r="K6">
        <v>1156</v>
      </c>
      <c r="L6">
        <v>3</v>
      </c>
      <c r="M6" t="s">
        <v>51</v>
      </c>
      <c r="N6">
        <v>3</v>
      </c>
      <c r="O6">
        <v>1</v>
      </c>
      <c r="P6" t="s">
        <v>52</v>
      </c>
      <c r="Q6">
        <v>3</v>
      </c>
      <c r="R6" t="s">
        <v>53</v>
      </c>
      <c r="S6">
        <v>7265</v>
      </c>
      <c r="T6" t="s">
        <v>54</v>
      </c>
      <c r="U6">
        <v>45.41</v>
      </c>
      <c r="V6">
        <v>1</v>
      </c>
      <c r="W6" t="s">
        <v>55</v>
      </c>
      <c r="X6">
        <v>12</v>
      </c>
      <c r="Y6">
        <v>3</v>
      </c>
      <c r="Z6">
        <v>4</v>
      </c>
      <c r="AA6">
        <v>0</v>
      </c>
      <c r="AB6">
        <v>0</v>
      </c>
      <c r="AC6">
        <v>0</v>
      </c>
      <c r="AD6">
        <v>3</v>
      </c>
      <c r="AE6">
        <v>0</v>
      </c>
      <c r="AF6">
        <v>0</v>
      </c>
      <c r="AG6">
        <v>0</v>
      </c>
      <c r="AH6">
        <v>0</v>
      </c>
      <c r="AI6">
        <f t="shared" si="0"/>
        <v>1</v>
      </c>
      <c r="AJ6" t="str">
        <f t="shared" si="1"/>
        <v>0-1 yr</v>
      </c>
      <c r="AK6" t="str">
        <f t="shared" si="2"/>
        <v>Recent</v>
      </c>
      <c r="AL6">
        <f t="shared" si="3"/>
        <v>0</v>
      </c>
      <c r="AM6" t="str">
        <f t="shared" si="4"/>
        <v>Minimal Risk</v>
      </c>
      <c r="AN6" s="6">
        <f t="shared" si="5"/>
        <v>-0.85953372124576399</v>
      </c>
      <c r="AO6" s="7">
        <f t="shared" si="6"/>
        <v>87180</v>
      </c>
    </row>
    <row r="7" spans="1:41" x14ac:dyDescent="0.3">
      <c r="A7" t="s">
        <v>69</v>
      </c>
      <c r="B7">
        <v>19</v>
      </c>
      <c r="C7" t="s">
        <v>46</v>
      </c>
      <c r="D7" t="s">
        <v>55</v>
      </c>
      <c r="E7" t="s">
        <v>66</v>
      </c>
      <c r="F7">
        <v>1124</v>
      </c>
      <c r="G7" t="s">
        <v>49</v>
      </c>
      <c r="H7">
        <v>1</v>
      </c>
      <c r="I7">
        <v>3</v>
      </c>
      <c r="J7" t="s">
        <v>50</v>
      </c>
      <c r="K7">
        <v>1368</v>
      </c>
      <c r="L7">
        <v>4</v>
      </c>
      <c r="M7" t="s">
        <v>59</v>
      </c>
      <c r="N7">
        <v>3</v>
      </c>
      <c r="O7">
        <v>1</v>
      </c>
      <c r="P7" t="s">
        <v>52</v>
      </c>
      <c r="Q7">
        <v>4</v>
      </c>
      <c r="R7" t="s">
        <v>53</v>
      </c>
      <c r="S7">
        <v>83386</v>
      </c>
      <c r="T7" t="s">
        <v>70</v>
      </c>
      <c r="U7">
        <v>521.16</v>
      </c>
      <c r="V7">
        <v>1</v>
      </c>
      <c r="W7" t="s">
        <v>55</v>
      </c>
      <c r="X7">
        <v>15</v>
      </c>
      <c r="Y7">
        <v>3</v>
      </c>
      <c r="Z7">
        <v>3</v>
      </c>
      <c r="AA7">
        <v>0</v>
      </c>
      <c r="AB7">
        <v>0</v>
      </c>
      <c r="AC7">
        <v>5</v>
      </c>
      <c r="AD7">
        <v>4</v>
      </c>
      <c r="AE7">
        <v>0</v>
      </c>
      <c r="AF7">
        <v>0</v>
      </c>
      <c r="AG7">
        <v>0</v>
      </c>
      <c r="AH7">
        <v>0</v>
      </c>
      <c r="AI7">
        <f t="shared" si="0"/>
        <v>0</v>
      </c>
      <c r="AJ7" t="str">
        <f t="shared" si="1"/>
        <v>0-1 yr</v>
      </c>
      <c r="AK7" t="str">
        <f t="shared" si="2"/>
        <v>Recent</v>
      </c>
      <c r="AL7">
        <f t="shared" si="3"/>
        <v>0</v>
      </c>
      <c r="AM7" t="str">
        <f t="shared" si="4"/>
        <v>Minimal Risk</v>
      </c>
      <c r="AN7" s="6">
        <f t="shared" si="5"/>
        <v>0.6122396586649308</v>
      </c>
      <c r="AO7" s="7">
        <f t="shared" si="6"/>
        <v>1000632</v>
      </c>
    </row>
    <row r="8" spans="1:41" x14ac:dyDescent="0.3">
      <c r="A8" t="s">
        <v>71</v>
      </c>
      <c r="B8">
        <v>19</v>
      </c>
      <c r="C8" t="s">
        <v>46</v>
      </c>
      <c r="D8" t="s">
        <v>47</v>
      </c>
      <c r="E8" t="s">
        <v>62</v>
      </c>
      <c r="F8">
        <v>544</v>
      </c>
      <c r="G8" t="s">
        <v>57</v>
      </c>
      <c r="H8">
        <v>3</v>
      </c>
      <c r="I8">
        <v>2</v>
      </c>
      <c r="J8" t="s">
        <v>58</v>
      </c>
      <c r="K8">
        <v>1624</v>
      </c>
      <c r="L8">
        <v>2</v>
      </c>
      <c r="M8" t="s">
        <v>59</v>
      </c>
      <c r="N8">
        <v>3</v>
      </c>
      <c r="O8">
        <v>1</v>
      </c>
      <c r="P8" t="s">
        <v>60</v>
      </c>
      <c r="Q8">
        <v>4</v>
      </c>
      <c r="R8" t="s">
        <v>53</v>
      </c>
      <c r="S8">
        <v>38194</v>
      </c>
      <c r="T8" t="s">
        <v>72</v>
      </c>
      <c r="U8">
        <v>238.71</v>
      </c>
      <c r="V8">
        <v>1</v>
      </c>
      <c r="W8" t="s">
        <v>47</v>
      </c>
      <c r="X8">
        <v>12</v>
      </c>
      <c r="Y8">
        <v>3</v>
      </c>
      <c r="Z8">
        <v>3</v>
      </c>
      <c r="AA8">
        <v>0</v>
      </c>
      <c r="AB8">
        <v>0</v>
      </c>
      <c r="AC8">
        <v>2</v>
      </c>
      <c r="AD8">
        <v>4</v>
      </c>
      <c r="AE8">
        <v>0</v>
      </c>
      <c r="AF8">
        <v>0</v>
      </c>
      <c r="AG8">
        <v>0</v>
      </c>
      <c r="AH8">
        <v>0</v>
      </c>
      <c r="AI8">
        <f t="shared" si="0"/>
        <v>1</v>
      </c>
      <c r="AJ8" t="str">
        <f t="shared" si="1"/>
        <v>0-1 yr</v>
      </c>
      <c r="AK8" t="str">
        <f t="shared" si="2"/>
        <v>Recent</v>
      </c>
      <c r="AL8">
        <f t="shared" si="3"/>
        <v>1</v>
      </c>
      <c r="AM8" t="str">
        <f t="shared" si="4"/>
        <v>Low Risk</v>
      </c>
      <c r="AN8" s="6">
        <f t="shared" si="5"/>
        <v>-0.2256947167952511</v>
      </c>
      <c r="AO8" s="7">
        <f t="shared" si="6"/>
        <v>458328</v>
      </c>
    </row>
    <row r="9" spans="1:41" x14ac:dyDescent="0.3">
      <c r="A9" t="s">
        <v>73</v>
      </c>
      <c r="B9">
        <v>19</v>
      </c>
      <c r="C9" t="s">
        <v>46</v>
      </c>
      <c r="D9" t="s">
        <v>55</v>
      </c>
      <c r="E9" t="s">
        <v>66</v>
      </c>
      <c r="F9">
        <v>1431</v>
      </c>
      <c r="G9" t="s">
        <v>49</v>
      </c>
      <c r="H9">
        <v>14</v>
      </c>
      <c r="I9">
        <v>3</v>
      </c>
      <c r="J9" t="s">
        <v>58</v>
      </c>
      <c r="K9">
        <v>1839</v>
      </c>
      <c r="L9">
        <v>2</v>
      </c>
      <c r="M9" t="s">
        <v>59</v>
      </c>
      <c r="N9">
        <v>3</v>
      </c>
      <c r="O9">
        <v>1</v>
      </c>
      <c r="P9" t="s">
        <v>67</v>
      </c>
      <c r="Q9">
        <v>3</v>
      </c>
      <c r="R9" t="s">
        <v>53</v>
      </c>
      <c r="S9">
        <v>88498</v>
      </c>
      <c r="T9" t="s">
        <v>70</v>
      </c>
      <c r="U9">
        <v>553.11</v>
      </c>
      <c r="V9">
        <v>1</v>
      </c>
      <c r="W9" t="s">
        <v>55</v>
      </c>
      <c r="X9">
        <v>16</v>
      </c>
      <c r="Y9">
        <v>3</v>
      </c>
      <c r="Z9">
        <v>3</v>
      </c>
      <c r="AA9">
        <v>0</v>
      </c>
      <c r="AB9">
        <v>0</v>
      </c>
      <c r="AC9">
        <v>4</v>
      </c>
      <c r="AD9">
        <v>1</v>
      </c>
      <c r="AE9">
        <v>0</v>
      </c>
      <c r="AF9">
        <v>0</v>
      </c>
      <c r="AG9">
        <v>0</v>
      </c>
      <c r="AH9">
        <v>0</v>
      </c>
      <c r="AI9">
        <f t="shared" si="0"/>
        <v>0</v>
      </c>
      <c r="AJ9" t="str">
        <f t="shared" si="1"/>
        <v>0-1 yr</v>
      </c>
      <c r="AK9" t="str">
        <f t="shared" si="2"/>
        <v>Recent</v>
      </c>
      <c r="AL9">
        <f t="shared" si="3"/>
        <v>1</v>
      </c>
      <c r="AM9" t="str">
        <f t="shared" si="4"/>
        <v>Low Risk</v>
      </c>
      <c r="AN9" s="6">
        <f t="shared" si="5"/>
        <v>0.77471259553228133</v>
      </c>
      <c r="AO9" s="7">
        <f t="shared" si="6"/>
        <v>1061976</v>
      </c>
    </row>
    <row r="10" spans="1:41" x14ac:dyDescent="0.3">
      <c r="A10" t="s">
        <v>74</v>
      </c>
      <c r="B10">
        <v>19</v>
      </c>
      <c r="C10" t="s">
        <v>46</v>
      </c>
      <c r="D10" t="s">
        <v>47</v>
      </c>
      <c r="E10" t="s">
        <v>48</v>
      </c>
      <c r="F10">
        <v>528</v>
      </c>
      <c r="G10" t="s">
        <v>57</v>
      </c>
      <c r="H10">
        <v>22</v>
      </c>
      <c r="I10">
        <v>1</v>
      </c>
      <c r="J10" t="s">
        <v>63</v>
      </c>
      <c r="K10">
        <v>167</v>
      </c>
      <c r="L10">
        <v>4</v>
      </c>
      <c r="M10" t="s">
        <v>51</v>
      </c>
      <c r="N10">
        <v>3</v>
      </c>
      <c r="O10">
        <v>1</v>
      </c>
      <c r="P10" t="s">
        <v>60</v>
      </c>
      <c r="Q10">
        <v>3</v>
      </c>
      <c r="R10" t="s">
        <v>53</v>
      </c>
      <c r="S10">
        <v>45131</v>
      </c>
      <c r="T10" t="s">
        <v>72</v>
      </c>
      <c r="U10">
        <v>282.07</v>
      </c>
      <c r="V10">
        <v>1</v>
      </c>
      <c r="W10" t="s">
        <v>47</v>
      </c>
      <c r="X10">
        <v>19</v>
      </c>
      <c r="Y10">
        <v>3</v>
      </c>
      <c r="Z10">
        <v>4</v>
      </c>
      <c r="AA10">
        <v>0</v>
      </c>
      <c r="AB10">
        <v>0</v>
      </c>
      <c r="AC10">
        <v>2</v>
      </c>
      <c r="AD10">
        <v>2</v>
      </c>
      <c r="AE10">
        <v>0</v>
      </c>
      <c r="AF10">
        <v>0</v>
      </c>
      <c r="AG10">
        <v>0</v>
      </c>
      <c r="AH10">
        <v>0</v>
      </c>
      <c r="AI10">
        <f t="shared" si="0"/>
        <v>1</v>
      </c>
      <c r="AJ10" t="str">
        <f t="shared" si="1"/>
        <v>0-1 yr</v>
      </c>
      <c r="AK10" t="str">
        <f t="shared" si="2"/>
        <v>Recent</v>
      </c>
      <c r="AL10">
        <f t="shared" si="3"/>
        <v>2</v>
      </c>
      <c r="AM10" t="str">
        <f t="shared" si="4"/>
        <v>Medium Risk</v>
      </c>
      <c r="AN10" s="6">
        <f t="shared" si="5"/>
        <v>-8.506122070708691E-2</v>
      </c>
      <c r="AO10" s="7">
        <f t="shared" si="6"/>
        <v>541572</v>
      </c>
    </row>
    <row r="11" spans="1:41" x14ac:dyDescent="0.3">
      <c r="A11" t="s">
        <v>75</v>
      </c>
      <c r="B11">
        <v>19</v>
      </c>
      <c r="C11" t="s">
        <v>46</v>
      </c>
      <c r="D11" t="s">
        <v>55</v>
      </c>
      <c r="E11" t="s">
        <v>48</v>
      </c>
      <c r="F11">
        <v>1181</v>
      </c>
      <c r="G11" t="s">
        <v>49</v>
      </c>
      <c r="H11">
        <v>3</v>
      </c>
      <c r="I11">
        <v>1</v>
      </c>
      <c r="J11" t="s">
        <v>58</v>
      </c>
      <c r="K11">
        <v>201</v>
      </c>
      <c r="L11">
        <v>2</v>
      </c>
      <c r="M11" t="s">
        <v>59</v>
      </c>
      <c r="N11">
        <v>3</v>
      </c>
      <c r="O11">
        <v>1</v>
      </c>
      <c r="P11" t="s">
        <v>52</v>
      </c>
      <c r="Q11">
        <v>2</v>
      </c>
      <c r="R11" t="s">
        <v>53</v>
      </c>
      <c r="S11">
        <v>61263</v>
      </c>
      <c r="T11" t="s">
        <v>64</v>
      </c>
      <c r="U11">
        <v>382.89</v>
      </c>
      <c r="V11">
        <v>1</v>
      </c>
      <c r="W11" t="s">
        <v>55</v>
      </c>
      <c r="X11">
        <v>14</v>
      </c>
      <c r="Y11">
        <v>3</v>
      </c>
      <c r="Z11">
        <v>4</v>
      </c>
      <c r="AA11">
        <v>0</v>
      </c>
      <c r="AB11">
        <v>1</v>
      </c>
      <c r="AC11">
        <v>3</v>
      </c>
      <c r="AD11">
        <v>3</v>
      </c>
      <c r="AE11">
        <v>1</v>
      </c>
      <c r="AF11">
        <v>0</v>
      </c>
      <c r="AG11">
        <v>0</v>
      </c>
      <c r="AH11">
        <v>0</v>
      </c>
      <c r="AI11">
        <f t="shared" si="0"/>
        <v>0</v>
      </c>
      <c r="AJ11" t="str">
        <f t="shared" si="1"/>
        <v>0-1 yr</v>
      </c>
      <c r="AK11" t="str">
        <f t="shared" si="2"/>
        <v>Recent</v>
      </c>
      <c r="AL11">
        <f t="shared" si="3"/>
        <v>1</v>
      </c>
      <c r="AM11" t="str">
        <f t="shared" si="4"/>
        <v>Low Risk</v>
      </c>
      <c r="AN11" s="6">
        <f t="shared" si="5"/>
        <v>0.18449905510265102</v>
      </c>
      <c r="AO11" s="7">
        <f t="shared" si="6"/>
        <v>735156</v>
      </c>
    </row>
    <row r="12" spans="1:41" x14ac:dyDescent="0.3">
      <c r="A12" t="s">
        <v>76</v>
      </c>
      <c r="B12">
        <v>19</v>
      </c>
      <c r="C12" t="s">
        <v>46</v>
      </c>
      <c r="D12" t="s">
        <v>47</v>
      </c>
      <c r="E12" t="s">
        <v>62</v>
      </c>
      <c r="F12">
        <v>602</v>
      </c>
      <c r="G12" t="s">
        <v>57</v>
      </c>
      <c r="H12">
        <v>1</v>
      </c>
      <c r="I12">
        <v>1</v>
      </c>
      <c r="J12" t="s">
        <v>77</v>
      </c>
      <c r="K12">
        <v>235</v>
      </c>
      <c r="L12">
        <v>3</v>
      </c>
      <c r="M12" t="s">
        <v>59</v>
      </c>
      <c r="N12">
        <v>1</v>
      </c>
      <c r="O12">
        <v>1</v>
      </c>
      <c r="P12" t="s">
        <v>60</v>
      </c>
      <c r="Q12">
        <v>1</v>
      </c>
      <c r="R12" t="s">
        <v>53</v>
      </c>
      <c r="S12">
        <v>17023</v>
      </c>
      <c r="T12" t="s">
        <v>54</v>
      </c>
      <c r="U12">
        <v>106.39</v>
      </c>
      <c r="V12">
        <v>0</v>
      </c>
      <c r="W12" t="s">
        <v>55</v>
      </c>
      <c r="X12">
        <v>21</v>
      </c>
      <c r="Y12">
        <v>4</v>
      </c>
      <c r="Z12">
        <v>1</v>
      </c>
      <c r="AA12">
        <v>0</v>
      </c>
      <c r="AB12">
        <v>1</v>
      </c>
      <c r="AC12">
        <v>5</v>
      </c>
      <c r="AD12">
        <v>4</v>
      </c>
      <c r="AE12">
        <v>0</v>
      </c>
      <c r="AF12">
        <v>0</v>
      </c>
      <c r="AG12">
        <v>0</v>
      </c>
      <c r="AH12">
        <v>0</v>
      </c>
      <c r="AI12">
        <f t="shared" si="0"/>
        <v>1</v>
      </c>
      <c r="AJ12" t="str">
        <f t="shared" si="1"/>
        <v>0-1 yr</v>
      </c>
      <c r="AK12" t="str">
        <f t="shared" si="2"/>
        <v>Recent</v>
      </c>
      <c r="AL12">
        <f t="shared" si="3"/>
        <v>1</v>
      </c>
      <c r="AM12" t="str">
        <f t="shared" si="4"/>
        <v>Low Risk</v>
      </c>
      <c r="AN12" s="6">
        <f t="shared" si="5"/>
        <v>-0.65489346923615122</v>
      </c>
      <c r="AO12" s="7">
        <f t="shared" si="6"/>
        <v>204276</v>
      </c>
    </row>
    <row r="13" spans="1:41" x14ac:dyDescent="0.3">
      <c r="A13" t="s">
        <v>78</v>
      </c>
      <c r="B13">
        <v>19</v>
      </c>
      <c r="C13" t="s">
        <v>46</v>
      </c>
      <c r="D13" t="s">
        <v>47</v>
      </c>
      <c r="E13" t="s">
        <v>48</v>
      </c>
      <c r="F13">
        <v>303</v>
      </c>
      <c r="G13" t="s">
        <v>49</v>
      </c>
      <c r="H13">
        <v>2</v>
      </c>
      <c r="I13">
        <v>3</v>
      </c>
      <c r="J13" t="s">
        <v>50</v>
      </c>
      <c r="K13">
        <v>243</v>
      </c>
      <c r="L13">
        <v>2</v>
      </c>
      <c r="M13" t="s">
        <v>51</v>
      </c>
      <c r="N13">
        <v>2</v>
      </c>
      <c r="O13">
        <v>1</v>
      </c>
      <c r="P13" t="s">
        <v>52</v>
      </c>
      <c r="Q13">
        <v>4</v>
      </c>
      <c r="R13" t="s">
        <v>53</v>
      </c>
      <c r="S13">
        <v>42090</v>
      </c>
      <c r="T13" t="s">
        <v>72</v>
      </c>
      <c r="U13">
        <v>263.06</v>
      </c>
      <c r="V13">
        <v>1</v>
      </c>
      <c r="W13" t="s">
        <v>55</v>
      </c>
      <c r="X13">
        <v>22</v>
      </c>
      <c r="Y13">
        <v>4</v>
      </c>
      <c r="Z13">
        <v>3</v>
      </c>
      <c r="AA13">
        <v>0</v>
      </c>
      <c r="AB13">
        <v>1</v>
      </c>
      <c r="AC13">
        <v>3</v>
      </c>
      <c r="AD13">
        <v>2</v>
      </c>
      <c r="AE13">
        <v>1</v>
      </c>
      <c r="AF13">
        <v>0</v>
      </c>
      <c r="AG13">
        <v>1</v>
      </c>
      <c r="AH13">
        <v>0</v>
      </c>
      <c r="AI13">
        <f t="shared" si="0"/>
        <v>1</v>
      </c>
      <c r="AJ13" t="str">
        <f t="shared" si="1"/>
        <v>0-1 yr</v>
      </c>
      <c r="AK13" t="str">
        <f t="shared" si="2"/>
        <v>Recent</v>
      </c>
      <c r="AL13">
        <f t="shared" si="3"/>
        <v>1</v>
      </c>
      <c r="AM13" t="str">
        <f t="shared" si="4"/>
        <v>Low Risk</v>
      </c>
      <c r="AN13" s="6">
        <f t="shared" si="5"/>
        <v>-0.18620431207628452</v>
      </c>
      <c r="AO13" s="7">
        <f t="shared" si="6"/>
        <v>505080</v>
      </c>
    </row>
    <row r="14" spans="1:41" x14ac:dyDescent="0.3">
      <c r="A14" t="s">
        <v>79</v>
      </c>
      <c r="B14">
        <v>19</v>
      </c>
      <c r="C14" t="s">
        <v>46</v>
      </c>
      <c r="D14" t="s">
        <v>47</v>
      </c>
      <c r="E14" t="s">
        <v>48</v>
      </c>
      <c r="F14">
        <v>489</v>
      </c>
      <c r="G14" t="s">
        <v>80</v>
      </c>
      <c r="H14">
        <v>2</v>
      </c>
      <c r="I14">
        <v>2</v>
      </c>
      <c r="J14" t="s">
        <v>77</v>
      </c>
      <c r="K14">
        <v>566</v>
      </c>
      <c r="L14">
        <v>1</v>
      </c>
      <c r="M14" t="s">
        <v>51</v>
      </c>
      <c r="N14">
        <v>2</v>
      </c>
      <c r="O14">
        <v>1</v>
      </c>
      <c r="P14" t="s">
        <v>80</v>
      </c>
      <c r="Q14">
        <v>4</v>
      </c>
      <c r="R14" t="s">
        <v>53</v>
      </c>
      <c r="S14">
        <v>68221</v>
      </c>
      <c r="T14" t="s">
        <v>64</v>
      </c>
      <c r="U14">
        <v>426.38</v>
      </c>
      <c r="V14">
        <v>1</v>
      </c>
      <c r="W14" t="s">
        <v>55</v>
      </c>
      <c r="X14">
        <v>12</v>
      </c>
      <c r="Y14">
        <v>3</v>
      </c>
      <c r="Z14">
        <v>3</v>
      </c>
      <c r="AA14">
        <v>0</v>
      </c>
      <c r="AB14">
        <v>1</v>
      </c>
      <c r="AC14">
        <v>3</v>
      </c>
      <c r="AD14">
        <v>4</v>
      </c>
      <c r="AE14">
        <v>1</v>
      </c>
      <c r="AF14">
        <v>0</v>
      </c>
      <c r="AG14">
        <v>0</v>
      </c>
      <c r="AH14">
        <v>0</v>
      </c>
      <c r="AI14">
        <f t="shared" si="0"/>
        <v>1</v>
      </c>
      <c r="AJ14" t="str">
        <f t="shared" si="1"/>
        <v>0-1 yr</v>
      </c>
      <c r="AK14" t="str">
        <f t="shared" si="2"/>
        <v>Recent</v>
      </c>
      <c r="AL14">
        <f t="shared" si="3"/>
        <v>0</v>
      </c>
      <c r="AM14" t="str">
        <f t="shared" si="4"/>
        <v>Minimal Risk</v>
      </c>
      <c r="AN14" s="6">
        <f t="shared" si="5"/>
        <v>0.34441408426150855</v>
      </c>
      <c r="AO14" s="7">
        <f t="shared" si="6"/>
        <v>818652</v>
      </c>
    </row>
    <row r="15" spans="1:41" x14ac:dyDescent="0.3">
      <c r="A15" t="s">
        <v>81</v>
      </c>
      <c r="B15">
        <v>19</v>
      </c>
      <c r="C15" t="s">
        <v>46</v>
      </c>
      <c r="D15" t="s">
        <v>47</v>
      </c>
      <c r="E15" t="s">
        <v>48</v>
      </c>
      <c r="F15">
        <v>419</v>
      </c>
      <c r="G15" t="s">
        <v>57</v>
      </c>
      <c r="H15">
        <v>21</v>
      </c>
      <c r="I15">
        <v>3</v>
      </c>
      <c r="J15" t="s">
        <v>82</v>
      </c>
      <c r="K15">
        <v>959</v>
      </c>
      <c r="L15">
        <v>4</v>
      </c>
      <c r="M15" t="s">
        <v>51</v>
      </c>
      <c r="N15">
        <v>2</v>
      </c>
      <c r="O15">
        <v>1</v>
      </c>
      <c r="P15" t="s">
        <v>60</v>
      </c>
      <c r="Q15">
        <v>2</v>
      </c>
      <c r="R15" t="s">
        <v>53</v>
      </c>
      <c r="S15">
        <v>65820</v>
      </c>
      <c r="T15" t="s">
        <v>64</v>
      </c>
      <c r="U15">
        <v>411.38</v>
      </c>
      <c r="V15">
        <v>1</v>
      </c>
      <c r="W15" t="s">
        <v>47</v>
      </c>
      <c r="X15">
        <v>13</v>
      </c>
      <c r="Y15">
        <v>3</v>
      </c>
      <c r="Z15">
        <v>2</v>
      </c>
      <c r="AA15">
        <v>0</v>
      </c>
      <c r="AB15">
        <v>1</v>
      </c>
      <c r="AC15">
        <v>3</v>
      </c>
      <c r="AD15">
        <v>4</v>
      </c>
      <c r="AE15">
        <v>1</v>
      </c>
      <c r="AF15">
        <v>0</v>
      </c>
      <c r="AG15">
        <v>0</v>
      </c>
      <c r="AH15">
        <v>0</v>
      </c>
      <c r="AI15">
        <f t="shared" si="0"/>
        <v>1</v>
      </c>
      <c r="AJ15" t="str">
        <f t="shared" si="1"/>
        <v>0-1 yr</v>
      </c>
      <c r="AK15" t="str">
        <f t="shared" si="2"/>
        <v>Recent</v>
      </c>
      <c r="AL15">
        <f t="shared" si="3"/>
        <v>2</v>
      </c>
      <c r="AM15" t="str">
        <f t="shared" si="4"/>
        <v>Medium Risk</v>
      </c>
      <c r="AN15" s="6">
        <f t="shared" si="5"/>
        <v>0.33436596691984533</v>
      </c>
      <c r="AO15" s="7">
        <f t="shared" si="6"/>
        <v>789840</v>
      </c>
    </row>
    <row r="16" spans="1:41" x14ac:dyDescent="0.3">
      <c r="A16" t="s">
        <v>83</v>
      </c>
      <c r="B16">
        <v>19</v>
      </c>
      <c r="C16" t="s">
        <v>46</v>
      </c>
      <c r="D16" t="s">
        <v>55</v>
      </c>
      <c r="E16" t="s">
        <v>48</v>
      </c>
      <c r="F16">
        <v>645</v>
      </c>
      <c r="G16" t="s">
        <v>49</v>
      </c>
      <c r="H16">
        <v>9</v>
      </c>
      <c r="I16">
        <v>2</v>
      </c>
      <c r="J16" t="s">
        <v>50</v>
      </c>
      <c r="K16">
        <v>1193</v>
      </c>
      <c r="L16">
        <v>3</v>
      </c>
      <c r="M16" t="s">
        <v>51</v>
      </c>
      <c r="N16">
        <v>3</v>
      </c>
      <c r="O16">
        <v>1</v>
      </c>
      <c r="P16" t="s">
        <v>67</v>
      </c>
      <c r="Q16">
        <v>1</v>
      </c>
      <c r="R16" t="s">
        <v>53</v>
      </c>
      <c r="S16">
        <v>1769</v>
      </c>
      <c r="T16" t="s">
        <v>54</v>
      </c>
      <c r="U16">
        <v>11.06</v>
      </c>
      <c r="V16">
        <v>1</v>
      </c>
      <c r="W16" t="s">
        <v>55</v>
      </c>
      <c r="X16">
        <v>25</v>
      </c>
      <c r="Y16">
        <v>4</v>
      </c>
      <c r="Z16">
        <v>3</v>
      </c>
      <c r="AA16">
        <v>0</v>
      </c>
      <c r="AB16">
        <v>1</v>
      </c>
      <c r="AC16">
        <v>4</v>
      </c>
      <c r="AD16">
        <v>3</v>
      </c>
      <c r="AE16">
        <v>1</v>
      </c>
      <c r="AF16">
        <v>1</v>
      </c>
      <c r="AG16">
        <v>0</v>
      </c>
      <c r="AH16">
        <v>0</v>
      </c>
      <c r="AI16">
        <f t="shared" si="0"/>
        <v>0</v>
      </c>
      <c r="AJ16" t="str">
        <f t="shared" si="1"/>
        <v>0-1 yr</v>
      </c>
      <c r="AK16" t="str">
        <f t="shared" si="2"/>
        <v>Recent</v>
      </c>
      <c r="AL16">
        <f t="shared" si="3"/>
        <v>1</v>
      </c>
      <c r="AM16" t="str">
        <f t="shared" si="4"/>
        <v>Low Risk</v>
      </c>
      <c r="AN16" s="6">
        <f t="shared" si="5"/>
        <v>-0.9645249996440981</v>
      </c>
      <c r="AO16" s="7">
        <f t="shared" si="6"/>
        <v>21228</v>
      </c>
    </row>
    <row r="17" spans="1:41" x14ac:dyDescent="0.3">
      <c r="A17" t="s">
        <v>84</v>
      </c>
      <c r="B17">
        <v>19</v>
      </c>
      <c r="C17" t="s">
        <v>46</v>
      </c>
      <c r="D17" t="s">
        <v>47</v>
      </c>
      <c r="E17" t="s">
        <v>66</v>
      </c>
      <c r="F17">
        <v>504</v>
      </c>
      <c r="G17" t="s">
        <v>49</v>
      </c>
      <c r="H17">
        <v>10</v>
      </c>
      <c r="I17">
        <v>3</v>
      </c>
      <c r="J17" t="s">
        <v>58</v>
      </c>
      <c r="K17">
        <v>1248</v>
      </c>
      <c r="L17">
        <v>1</v>
      </c>
      <c r="M17" t="s">
        <v>59</v>
      </c>
      <c r="N17">
        <v>2</v>
      </c>
      <c r="O17">
        <v>1</v>
      </c>
      <c r="P17" t="s">
        <v>67</v>
      </c>
      <c r="Q17">
        <v>2</v>
      </c>
      <c r="R17" t="s">
        <v>53</v>
      </c>
      <c r="S17">
        <v>60735</v>
      </c>
      <c r="T17" t="s">
        <v>64</v>
      </c>
      <c r="U17">
        <v>379.59</v>
      </c>
      <c r="V17">
        <v>1</v>
      </c>
      <c r="W17" t="s">
        <v>47</v>
      </c>
      <c r="X17">
        <v>25</v>
      </c>
      <c r="Y17">
        <v>4</v>
      </c>
      <c r="Z17">
        <v>2</v>
      </c>
      <c r="AA17">
        <v>0</v>
      </c>
      <c r="AB17">
        <v>1</v>
      </c>
      <c r="AC17">
        <v>2</v>
      </c>
      <c r="AD17">
        <v>4</v>
      </c>
      <c r="AE17">
        <v>1</v>
      </c>
      <c r="AF17">
        <v>1</v>
      </c>
      <c r="AG17">
        <v>0</v>
      </c>
      <c r="AH17">
        <v>0</v>
      </c>
      <c r="AI17">
        <f t="shared" si="0"/>
        <v>1</v>
      </c>
      <c r="AJ17" t="str">
        <f t="shared" si="1"/>
        <v>0-1 yr</v>
      </c>
      <c r="AK17" t="str">
        <f t="shared" si="2"/>
        <v>Recent</v>
      </c>
      <c r="AL17">
        <f t="shared" si="3"/>
        <v>2</v>
      </c>
      <c r="AM17" t="str">
        <f t="shared" si="4"/>
        <v>Medium Risk</v>
      </c>
      <c r="AN17" s="6">
        <f t="shared" si="5"/>
        <v>0.2179616430840596</v>
      </c>
      <c r="AO17" s="7">
        <f t="shared" si="6"/>
        <v>728820</v>
      </c>
    </row>
    <row r="18" spans="1:41" x14ac:dyDescent="0.3">
      <c r="A18" t="s">
        <v>85</v>
      </c>
      <c r="B18">
        <v>19</v>
      </c>
      <c r="C18" t="s">
        <v>46</v>
      </c>
      <c r="D18" t="s">
        <v>55</v>
      </c>
      <c r="E18" t="s">
        <v>48</v>
      </c>
      <c r="F18">
        <v>265</v>
      </c>
      <c r="G18" t="s">
        <v>49</v>
      </c>
      <c r="H18">
        <v>25</v>
      </c>
      <c r="I18">
        <v>3</v>
      </c>
      <c r="J18" t="s">
        <v>50</v>
      </c>
      <c r="K18">
        <v>1269</v>
      </c>
      <c r="L18">
        <v>2</v>
      </c>
      <c r="M18" t="s">
        <v>59</v>
      </c>
      <c r="N18">
        <v>4</v>
      </c>
      <c r="O18">
        <v>1</v>
      </c>
      <c r="P18" t="s">
        <v>67</v>
      </c>
      <c r="Q18">
        <v>4</v>
      </c>
      <c r="R18" t="s">
        <v>53</v>
      </c>
      <c r="S18">
        <v>63955</v>
      </c>
      <c r="T18" t="s">
        <v>64</v>
      </c>
      <c r="U18">
        <v>399.72</v>
      </c>
      <c r="V18">
        <v>1</v>
      </c>
      <c r="W18" t="s">
        <v>47</v>
      </c>
      <c r="X18">
        <v>12</v>
      </c>
      <c r="Y18">
        <v>3</v>
      </c>
      <c r="Z18">
        <v>4</v>
      </c>
      <c r="AA18">
        <v>0</v>
      </c>
      <c r="AB18">
        <v>1</v>
      </c>
      <c r="AC18">
        <v>2</v>
      </c>
      <c r="AD18">
        <v>3</v>
      </c>
      <c r="AE18">
        <v>1</v>
      </c>
      <c r="AF18">
        <v>0</v>
      </c>
      <c r="AG18">
        <v>0</v>
      </c>
      <c r="AH18">
        <v>1</v>
      </c>
      <c r="AI18">
        <f t="shared" si="0"/>
        <v>0</v>
      </c>
      <c r="AJ18" t="str">
        <f t="shared" si="1"/>
        <v>0-1 yr</v>
      </c>
      <c r="AK18" t="str">
        <f t="shared" si="2"/>
        <v>Recent</v>
      </c>
      <c r="AL18">
        <f t="shared" si="3"/>
        <v>1</v>
      </c>
      <c r="AM18" t="str">
        <f t="shared" si="4"/>
        <v>Low Risk</v>
      </c>
      <c r="AN18" s="6">
        <f t="shared" si="5"/>
        <v>0.28253456628700141</v>
      </c>
      <c r="AO18" s="7">
        <f t="shared" si="6"/>
        <v>767460</v>
      </c>
    </row>
    <row r="19" spans="1:41" x14ac:dyDescent="0.3">
      <c r="A19" t="s">
        <v>86</v>
      </c>
      <c r="B19">
        <v>21</v>
      </c>
      <c r="C19" t="s">
        <v>46</v>
      </c>
      <c r="D19" t="s">
        <v>47</v>
      </c>
      <c r="E19" t="s">
        <v>62</v>
      </c>
      <c r="F19">
        <v>871</v>
      </c>
      <c r="G19" t="s">
        <v>49</v>
      </c>
      <c r="H19">
        <v>6</v>
      </c>
      <c r="I19">
        <v>3</v>
      </c>
      <c r="J19" t="s">
        <v>50</v>
      </c>
      <c r="K19">
        <v>137</v>
      </c>
      <c r="L19">
        <v>4</v>
      </c>
      <c r="M19" t="s">
        <v>59</v>
      </c>
      <c r="N19">
        <v>2</v>
      </c>
      <c r="O19">
        <v>1</v>
      </c>
      <c r="P19" t="s">
        <v>52</v>
      </c>
      <c r="Q19">
        <v>4</v>
      </c>
      <c r="R19" t="s">
        <v>53</v>
      </c>
      <c r="S19">
        <v>65925</v>
      </c>
      <c r="T19" t="s">
        <v>64</v>
      </c>
      <c r="U19">
        <v>412.03</v>
      </c>
      <c r="V19">
        <v>1</v>
      </c>
      <c r="W19" t="s">
        <v>47</v>
      </c>
      <c r="X19">
        <v>18</v>
      </c>
      <c r="Y19">
        <v>3</v>
      </c>
      <c r="Z19">
        <v>2</v>
      </c>
      <c r="AA19">
        <v>0</v>
      </c>
      <c r="AB19">
        <v>1</v>
      </c>
      <c r="AC19">
        <v>5</v>
      </c>
      <c r="AD19">
        <v>3</v>
      </c>
      <c r="AE19">
        <v>1</v>
      </c>
      <c r="AF19">
        <v>0</v>
      </c>
      <c r="AG19">
        <v>1</v>
      </c>
      <c r="AH19">
        <v>0</v>
      </c>
      <c r="AI19">
        <f t="shared" si="0"/>
        <v>1</v>
      </c>
      <c r="AJ19" t="str">
        <f t="shared" si="1"/>
        <v>0-1 yr</v>
      </c>
      <c r="AK19" t="str">
        <f t="shared" si="2"/>
        <v>Recent</v>
      </c>
      <c r="AL19">
        <f t="shared" si="3"/>
        <v>1</v>
      </c>
      <c r="AM19" t="str">
        <f t="shared" si="4"/>
        <v>Low Risk</v>
      </c>
      <c r="AN19" s="6">
        <f t="shared" si="5"/>
        <v>0.27463722324473611</v>
      </c>
      <c r="AO19" s="7">
        <f t="shared" si="6"/>
        <v>791100</v>
      </c>
    </row>
    <row r="20" spans="1:41" x14ac:dyDescent="0.3">
      <c r="A20" t="s">
        <v>87</v>
      </c>
      <c r="B20">
        <v>21</v>
      </c>
      <c r="C20" t="s">
        <v>46</v>
      </c>
      <c r="D20" t="s">
        <v>55</v>
      </c>
      <c r="E20" t="s">
        <v>48</v>
      </c>
      <c r="F20">
        <v>959</v>
      </c>
      <c r="G20" t="s">
        <v>49</v>
      </c>
      <c r="H20">
        <v>1</v>
      </c>
      <c r="I20">
        <v>3</v>
      </c>
      <c r="J20" t="s">
        <v>50</v>
      </c>
      <c r="K20">
        <v>657</v>
      </c>
      <c r="L20">
        <v>4</v>
      </c>
      <c r="M20" t="s">
        <v>59</v>
      </c>
      <c r="N20">
        <v>2</v>
      </c>
      <c r="O20">
        <v>1</v>
      </c>
      <c r="P20" t="s">
        <v>67</v>
      </c>
      <c r="Q20">
        <v>2</v>
      </c>
      <c r="R20" t="s">
        <v>53</v>
      </c>
      <c r="S20">
        <v>68969</v>
      </c>
      <c r="T20" t="s">
        <v>64</v>
      </c>
      <c r="U20">
        <v>431.06</v>
      </c>
      <c r="V20">
        <v>1</v>
      </c>
      <c r="W20" t="s">
        <v>55</v>
      </c>
      <c r="X20">
        <v>13</v>
      </c>
      <c r="Y20">
        <v>3</v>
      </c>
      <c r="Z20">
        <v>4</v>
      </c>
      <c r="AA20">
        <v>0</v>
      </c>
      <c r="AB20">
        <v>1</v>
      </c>
      <c r="AC20">
        <v>0</v>
      </c>
      <c r="AD20">
        <v>4</v>
      </c>
      <c r="AE20">
        <v>1</v>
      </c>
      <c r="AF20">
        <v>0</v>
      </c>
      <c r="AG20">
        <v>0</v>
      </c>
      <c r="AH20">
        <v>0</v>
      </c>
      <c r="AI20">
        <f t="shared" si="0"/>
        <v>0</v>
      </c>
      <c r="AJ20" t="str">
        <f t="shared" si="1"/>
        <v>0-1 yr</v>
      </c>
      <c r="AK20" t="str">
        <f t="shared" si="2"/>
        <v>Recent</v>
      </c>
      <c r="AL20">
        <f t="shared" si="3"/>
        <v>1</v>
      </c>
      <c r="AM20" t="str">
        <f t="shared" si="4"/>
        <v>Low Risk</v>
      </c>
      <c r="AN20" s="6">
        <f t="shared" si="5"/>
        <v>0.38308383241729654</v>
      </c>
      <c r="AO20" s="7">
        <f t="shared" si="6"/>
        <v>827628</v>
      </c>
    </row>
    <row r="21" spans="1:41" x14ac:dyDescent="0.3">
      <c r="A21" t="s">
        <v>88</v>
      </c>
      <c r="B21">
        <v>21</v>
      </c>
      <c r="C21" t="s">
        <v>46</v>
      </c>
      <c r="D21" t="s">
        <v>47</v>
      </c>
      <c r="E21" t="s">
        <v>48</v>
      </c>
      <c r="F21">
        <v>1362</v>
      </c>
      <c r="G21" t="s">
        <v>49</v>
      </c>
      <c r="H21">
        <v>10</v>
      </c>
      <c r="I21">
        <v>1</v>
      </c>
      <c r="J21" t="s">
        <v>58</v>
      </c>
      <c r="K21">
        <v>701</v>
      </c>
      <c r="L21">
        <v>4</v>
      </c>
      <c r="M21" t="s">
        <v>51</v>
      </c>
      <c r="N21">
        <v>3</v>
      </c>
      <c r="O21">
        <v>1</v>
      </c>
      <c r="P21" t="s">
        <v>67</v>
      </c>
      <c r="Q21">
        <v>3</v>
      </c>
      <c r="R21" t="s">
        <v>53</v>
      </c>
      <c r="S21">
        <v>6311</v>
      </c>
      <c r="T21" t="s">
        <v>54</v>
      </c>
      <c r="U21">
        <v>39.44</v>
      </c>
      <c r="V21">
        <v>1</v>
      </c>
      <c r="W21" t="s">
        <v>47</v>
      </c>
      <c r="X21">
        <v>11</v>
      </c>
      <c r="Y21">
        <v>3</v>
      </c>
      <c r="Z21">
        <v>4</v>
      </c>
      <c r="AA21">
        <v>0</v>
      </c>
      <c r="AB21">
        <v>1</v>
      </c>
      <c r="AC21">
        <v>5</v>
      </c>
      <c r="AD21">
        <v>3</v>
      </c>
      <c r="AE21">
        <v>1</v>
      </c>
      <c r="AF21">
        <v>0</v>
      </c>
      <c r="AG21">
        <v>1</v>
      </c>
      <c r="AH21">
        <v>1</v>
      </c>
      <c r="AI21">
        <f t="shared" si="0"/>
        <v>1</v>
      </c>
      <c r="AJ21" t="str">
        <f t="shared" si="1"/>
        <v>0-1 yr</v>
      </c>
      <c r="AK21" t="str">
        <f t="shared" si="2"/>
        <v>Recent</v>
      </c>
      <c r="AL21">
        <f t="shared" si="3"/>
        <v>1</v>
      </c>
      <c r="AM21" t="str">
        <f t="shared" si="4"/>
        <v>Low Risk</v>
      </c>
      <c r="AN21" s="6">
        <f t="shared" si="5"/>
        <v>-0.87344108126280562</v>
      </c>
      <c r="AO21" s="7">
        <f t="shared" si="6"/>
        <v>75732</v>
      </c>
    </row>
    <row r="22" spans="1:41" x14ac:dyDescent="0.3">
      <c r="A22" t="s">
        <v>89</v>
      </c>
      <c r="B22">
        <v>21</v>
      </c>
      <c r="C22" t="s">
        <v>46</v>
      </c>
      <c r="D22" t="s">
        <v>47</v>
      </c>
      <c r="E22" t="s">
        <v>48</v>
      </c>
      <c r="F22">
        <v>500</v>
      </c>
      <c r="G22" t="s">
        <v>57</v>
      </c>
      <c r="H22">
        <v>2</v>
      </c>
      <c r="I22">
        <v>3</v>
      </c>
      <c r="J22" t="s">
        <v>58</v>
      </c>
      <c r="K22">
        <v>922</v>
      </c>
      <c r="L22">
        <v>3</v>
      </c>
      <c r="M22" t="s">
        <v>59</v>
      </c>
      <c r="N22">
        <v>2</v>
      </c>
      <c r="O22">
        <v>1</v>
      </c>
      <c r="P22" t="s">
        <v>60</v>
      </c>
      <c r="Q22">
        <v>3</v>
      </c>
      <c r="R22" t="s">
        <v>53</v>
      </c>
      <c r="S22">
        <v>84104</v>
      </c>
      <c r="T22" t="s">
        <v>70</v>
      </c>
      <c r="U22">
        <v>525.65</v>
      </c>
      <c r="V22">
        <v>1</v>
      </c>
      <c r="W22" t="s">
        <v>55</v>
      </c>
      <c r="X22">
        <v>13</v>
      </c>
      <c r="Y22">
        <v>3</v>
      </c>
      <c r="Z22">
        <v>4</v>
      </c>
      <c r="AA22">
        <v>0</v>
      </c>
      <c r="AB22">
        <v>2</v>
      </c>
      <c r="AC22">
        <v>3</v>
      </c>
      <c r="AD22">
        <v>2</v>
      </c>
      <c r="AE22">
        <v>2</v>
      </c>
      <c r="AF22">
        <v>2</v>
      </c>
      <c r="AG22">
        <v>0</v>
      </c>
      <c r="AH22">
        <v>2</v>
      </c>
      <c r="AI22">
        <f t="shared" si="0"/>
        <v>1</v>
      </c>
      <c r="AJ22" t="str">
        <f t="shared" si="1"/>
        <v>2-3 yrs</v>
      </c>
      <c r="AK22" t="str">
        <f t="shared" si="2"/>
        <v>Recent</v>
      </c>
      <c r="AL22">
        <f t="shared" si="3"/>
        <v>1</v>
      </c>
      <c r="AM22" t="str">
        <f t="shared" si="4"/>
        <v>Low Risk</v>
      </c>
      <c r="AN22" s="6">
        <f t="shared" si="5"/>
        <v>0.70503669525716606</v>
      </c>
      <c r="AO22" s="7">
        <f t="shared" si="6"/>
        <v>1009248</v>
      </c>
    </row>
    <row r="23" spans="1:41" x14ac:dyDescent="0.3">
      <c r="A23" t="s">
        <v>90</v>
      </c>
      <c r="B23">
        <v>21</v>
      </c>
      <c r="C23" t="s">
        <v>46</v>
      </c>
      <c r="D23" t="s">
        <v>47</v>
      </c>
      <c r="E23" t="s">
        <v>48</v>
      </c>
      <c r="F23">
        <v>129</v>
      </c>
      <c r="G23" t="s">
        <v>49</v>
      </c>
      <c r="H23">
        <v>4</v>
      </c>
      <c r="I23">
        <v>3</v>
      </c>
      <c r="J23" t="s">
        <v>77</v>
      </c>
      <c r="K23">
        <v>960</v>
      </c>
      <c r="L23">
        <v>1</v>
      </c>
      <c r="M23" t="s">
        <v>51</v>
      </c>
      <c r="N23">
        <v>3</v>
      </c>
      <c r="O23">
        <v>1</v>
      </c>
      <c r="P23" t="s">
        <v>52</v>
      </c>
      <c r="Q23">
        <v>1</v>
      </c>
      <c r="R23" t="s">
        <v>53</v>
      </c>
      <c r="S23">
        <v>54707</v>
      </c>
      <c r="T23" t="s">
        <v>64</v>
      </c>
      <c r="U23">
        <v>341.92</v>
      </c>
      <c r="V23">
        <v>1</v>
      </c>
      <c r="W23" t="s">
        <v>55</v>
      </c>
      <c r="X23">
        <v>19</v>
      </c>
      <c r="Y23">
        <v>3</v>
      </c>
      <c r="Z23">
        <v>2</v>
      </c>
      <c r="AA23">
        <v>0</v>
      </c>
      <c r="AB23">
        <v>1</v>
      </c>
      <c r="AC23">
        <v>2</v>
      </c>
      <c r="AD23">
        <v>3</v>
      </c>
      <c r="AE23">
        <v>1</v>
      </c>
      <c r="AF23">
        <v>0</v>
      </c>
      <c r="AG23">
        <v>0</v>
      </c>
      <c r="AH23">
        <v>0</v>
      </c>
      <c r="AI23">
        <f t="shared" si="0"/>
        <v>1</v>
      </c>
      <c r="AJ23" t="str">
        <f t="shared" si="1"/>
        <v>0-1 yr</v>
      </c>
      <c r="AK23" t="str">
        <f t="shared" si="2"/>
        <v>Recent</v>
      </c>
      <c r="AL23">
        <f t="shared" si="3"/>
        <v>1</v>
      </c>
      <c r="AM23" t="str">
        <f t="shared" si="4"/>
        <v>Low Risk</v>
      </c>
      <c r="AN23" s="6">
        <f t="shared" si="5"/>
        <v>5.7741047736818776E-2</v>
      </c>
      <c r="AO23" s="7">
        <f t="shared" si="6"/>
        <v>656484</v>
      </c>
    </row>
    <row r="24" spans="1:41" x14ac:dyDescent="0.3">
      <c r="A24" t="s">
        <v>91</v>
      </c>
      <c r="B24">
        <v>21</v>
      </c>
      <c r="C24" t="s">
        <v>46</v>
      </c>
      <c r="D24" t="s">
        <v>47</v>
      </c>
      <c r="E24" t="s">
        <v>48</v>
      </c>
      <c r="F24">
        <v>1097</v>
      </c>
      <c r="G24" t="s">
        <v>49</v>
      </c>
      <c r="H24">
        <v>11</v>
      </c>
      <c r="I24">
        <v>3</v>
      </c>
      <c r="J24" t="s">
        <v>58</v>
      </c>
      <c r="K24">
        <v>1016</v>
      </c>
      <c r="L24">
        <v>4</v>
      </c>
      <c r="M24" t="s">
        <v>59</v>
      </c>
      <c r="N24">
        <v>2</v>
      </c>
      <c r="O24">
        <v>1</v>
      </c>
      <c r="P24" t="s">
        <v>67</v>
      </c>
      <c r="Q24">
        <v>1</v>
      </c>
      <c r="R24" t="s">
        <v>53</v>
      </c>
      <c r="S24">
        <v>86305</v>
      </c>
      <c r="T24" t="s">
        <v>70</v>
      </c>
      <c r="U24">
        <v>539.41</v>
      </c>
      <c r="V24">
        <v>1</v>
      </c>
      <c r="W24" t="s">
        <v>47</v>
      </c>
      <c r="X24">
        <v>15</v>
      </c>
      <c r="Y24">
        <v>3</v>
      </c>
      <c r="Z24">
        <v>1</v>
      </c>
      <c r="AA24">
        <v>0</v>
      </c>
      <c r="AB24">
        <v>1</v>
      </c>
      <c r="AC24">
        <v>2</v>
      </c>
      <c r="AD24">
        <v>3</v>
      </c>
      <c r="AE24">
        <v>1</v>
      </c>
      <c r="AF24">
        <v>0</v>
      </c>
      <c r="AG24">
        <v>0</v>
      </c>
      <c r="AH24">
        <v>0</v>
      </c>
      <c r="AI24">
        <f t="shared" si="0"/>
        <v>1</v>
      </c>
      <c r="AJ24" t="str">
        <f t="shared" si="1"/>
        <v>0-1 yr</v>
      </c>
      <c r="AK24" t="str">
        <f t="shared" si="2"/>
        <v>Recent</v>
      </c>
      <c r="AL24">
        <f t="shared" si="3"/>
        <v>2</v>
      </c>
      <c r="AM24" t="str">
        <f t="shared" si="4"/>
        <v>Medium Risk</v>
      </c>
      <c r="AN24" s="6">
        <f t="shared" si="5"/>
        <v>0.73073482516456345</v>
      </c>
      <c r="AO24" s="7">
        <f t="shared" si="6"/>
        <v>1035660</v>
      </c>
    </row>
    <row r="25" spans="1:41" x14ac:dyDescent="0.3">
      <c r="A25" t="s">
        <v>92</v>
      </c>
      <c r="B25">
        <v>21</v>
      </c>
      <c r="C25" t="s">
        <v>46</v>
      </c>
      <c r="D25" t="s">
        <v>47</v>
      </c>
      <c r="E25" t="s">
        <v>62</v>
      </c>
      <c r="F25">
        <v>769</v>
      </c>
      <c r="G25" t="s">
        <v>57</v>
      </c>
      <c r="H25">
        <v>9</v>
      </c>
      <c r="I25">
        <v>3</v>
      </c>
      <c r="J25" t="s">
        <v>63</v>
      </c>
      <c r="K25">
        <v>1077</v>
      </c>
      <c r="L25">
        <v>4</v>
      </c>
      <c r="M25" t="s">
        <v>59</v>
      </c>
      <c r="N25">
        <v>3</v>
      </c>
      <c r="O25">
        <v>1</v>
      </c>
      <c r="P25" t="s">
        <v>60</v>
      </c>
      <c r="Q25">
        <v>4</v>
      </c>
      <c r="R25" t="s">
        <v>53</v>
      </c>
      <c r="S25">
        <v>29693</v>
      </c>
      <c r="T25" t="s">
        <v>72</v>
      </c>
      <c r="U25">
        <v>185.58</v>
      </c>
      <c r="V25">
        <v>1</v>
      </c>
      <c r="W25" t="s">
        <v>47</v>
      </c>
      <c r="X25">
        <v>14</v>
      </c>
      <c r="Y25">
        <v>3</v>
      </c>
      <c r="Z25">
        <v>2</v>
      </c>
      <c r="AA25">
        <v>0</v>
      </c>
      <c r="AB25">
        <v>2</v>
      </c>
      <c r="AC25">
        <v>3</v>
      </c>
      <c r="AD25">
        <v>3</v>
      </c>
      <c r="AE25">
        <v>2</v>
      </c>
      <c r="AF25">
        <v>2</v>
      </c>
      <c r="AG25">
        <v>0</v>
      </c>
      <c r="AH25">
        <v>2</v>
      </c>
      <c r="AI25">
        <f t="shared" si="0"/>
        <v>1</v>
      </c>
      <c r="AJ25" t="str">
        <f t="shared" si="1"/>
        <v>2-3 yrs</v>
      </c>
      <c r="AK25" t="str">
        <f t="shared" si="2"/>
        <v>Recent</v>
      </c>
      <c r="AL25">
        <f t="shared" si="3"/>
        <v>1</v>
      </c>
      <c r="AM25" t="str">
        <f t="shared" si="4"/>
        <v>Low Risk</v>
      </c>
      <c r="AN25" s="6">
        <f t="shared" si="5"/>
        <v>-0.39803511613869696</v>
      </c>
      <c r="AO25" s="7">
        <f t="shared" si="6"/>
        <v>356316</v>
      </c>
    </row>
    <row r="26" spans="1:41" x14ac:dyDescent="0.3">
      <c r="A26" t="s">
        <v>93</v>
      </c>
      <c r="B26">
        <v>21</v>
      </c>
      <c r="C26" t="s">
        <v>46</v>
      </c>
      <c r="D26" t="s">
        <v>55</v>
      </c>
      <c r="E26" t="s">
        <v>48</v>
      </c>
      <c r="F26">
        <v>805</v>
      </c>
      <c r="G26" t="s">
        <v>49</v>
      </c>
      <c r="H26">
        <v>3</v>
      </c>
      <c r="I26">
        <v>3</v>
      </c>
      <c r="J26" t="s">
        <v>50</v>
      </c>
      <c r="K26">
        <v>1198</v>
      </c>
      <c r="L26">
        <v>1</v>
      </c>
      <c r="M26" t="s">
        <v>51</v>
      </c>
      <c r="N26">
        <v>2</v>
      </c>
      <c r="O26">
        <v>1</v>
      </c>
      <c r="P26" t="s">
        <v>52</v>
      </c>
      <c r="Q26">
        <v>3</v>
      </c>
      <c r="R26" t="s">
        <v>53</v>
      </c>
      <c r="S26">
        <v>72932</v>
      </c>
      <c r="T26" t="s">
        <v>64</v>
      </c>
      <c r="U26">
        <v>455.82</v>
      </c>
      <c r="V26">
        <v>1</v>
      </c>
      <c r="W26" t="s">
        <v>55</v>
      </c>
      <c r="X26">
        <v>12</v>
      </c>
      <c r="Y26">
        <v>3</v>
      </c>
      <c r="Z26">
        <v>1</v>
      </c>
      <c r="AA26">
        <v>0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1</v>
      </c>
      <c r="AH26">
        <v>2</v>
      </c>
      <c r="AI26">
        <f t="shared" si="0"/>
        <v>0</v>
      </c>
      <c r="AJ26" t="str">
        <f t="shared" si="1"/>
        <v>2-3 yrs</v>
      </c>
      <c r="AK26" t="str">
        <f t="shared" si="2"/>
        <v>Recent</v>
      </c>
      <c r="AL26">
        <f t="shared" si="3"/>
        <v>1</v>
      </c>
      <c r="AM26" t="str">
        <f t="shared" si="4"/>
        <v>Low Risk</v>
      </c>
      <c r="AN26" s="6">
        <f t="shared" si="5"/>
        <v>0.4101151606474796</v>
      </c>
      <c r="AO26" s="7">
        <f t="shared" si="6"/>
        <v>875184</v>
      </c>
    </row>
    <row r="27" spans="1:41" x14ac:dyDescent="0.3">
      <c r="A27" t="s">
        <v>94</v>
      </c>
      <c r="B27">
        <v>21</v>
      </c>
      <c r="C27" t="s">
        <v>46</v>
      </c>
      <c r="D27" t="s">
        <v>55</v>
      </c>
      <c r="E27" t="s">
        <v>48</v>
      </c>
      <c r="F27">
        <v>654</v>
      </c>
      <c r="G27" t="s">
        <v>57</v>
      </c>
      <c r="H27">
        <v>21</v>
      </c>
      <c r="I27">
        <v>3</v>
      </c>
      <c r="J27" t="s">
        <v>63</v>
      </c>
      <c r="K27">
        <v>1226</v>
      </c>
      <c r="L27">
        <v>3</v>
      </c>
      <c r="M27" t="s">
        <v>51</v>
      </c>
      <c r="N27">
        <v>4</v>
      </c>
      <c r="O27">
        <v>1</v>
      </c>
      <c r="P27" t="s">
        <v>60</v>
      </c>
      <c r="Q27">
        <v>4</v>
      </c>
      <c r="R27" t="s">
        <v>53</v>
      </c>
      <c r="S27">
        <v>94016</v>
      </c>
      <c r="T27" t="s">
        <v>70</v>
      </c>
      <c r="U27">
        <v>587.6</v>
      </c>
      <c r="V27">
        <v>1</v>
      </c>
      <c r="W27" t="s">
        <v>55</v>
      </c>
      <c r="X27">
        <v>17</v>
      </c>
      <c r="Y27">
        <v>3</v>
      </c>
      <c r="Z27">
        <v>4</v>
      </c>
      <c r="AA27">
        <v>0</v>
      </c>
      <c r="AB27">
        <v>2</v>
      </c>
      <c r="AC27">
        <v>2</v>
      </c>
      <c r="AD27">
        <v>3</v>
      </c>
      <c r="AE27">
        <v>2</v>
      </c>
      <c r="AF27">
        <v>1</v>
      </c>
      <c r="AG27">
        <v>2</v>
      </c>
      <c r="AH27">
        <v>2</v>
      </c>
      <c r="AI27">
        <f t="shared" si="0"/>
        <v>0</v>
      </c>
      <c r="AJ27" t="str">
        <f t="shared" si="1"/>
        <v>2-3 yrs</v>
      </c>
      <c r="AK27" t="str">
        <f t="shared" si="2"/>
        <v>Recent</v>
      </c>
      <c r="AL27">
        <f t="shared" si="3"/>
        <v>0</v>
      </c>
      <c r="AM27" t="str">
        <f t="shared" si="4"/>
        <v>Minimal Risk</v>
      </c>
      <c r="AN27" s="6">
        <f t="shared" si="5"/>
        <v>0.90598223558092039</v>
      </c>
      <c r="AO27" s="7">
        <f t="shared" si="6"/>
        <v>1128192</v>
      </c>
    </row>
    <row r="28" spans="1:41" x14ac:dyDescent="0.3">
      <c r="A28" t="s">
        <v>95</v>
      </c>
      <c r="B28">
        <v>21</v>
      </c>
      <c r="C28" t="s">
        <v>46</v>
      </c>
      <c r="D28" t="s">
        <v>55</v>
      </c>
      <c r="E28" t="s">
        <v>48</v>
      </c>
      <c r="F28">
        <v>1141</v>
      </c>
      <c r="G28" t="s">
        <v>57</v>
      </c>
      <c r="H28">
        <v>2</v>
      </c>
      <c r="I28">
        <v>3</v>
      </c>
      <c r="J28" t="s">
        <v>58</v>
      </c>
      <c r="K28">
        <v>1657</v>
      </c>
      <c r="L28">
        <v>3</v>
      </c>
      <c r="M28" t="s">
        <v>59</v>
      </c>
      <c r="N28">
        <v>3</v>
      </c>
      <c r="O28">
        <v>1</v>
      </c>
      <c r="P28" t="s">
        <v>60</v>
      </c>
      <c r="Q28">
        <v>3</v>
      </c>
      <c r="R28" t="s">
        <v>53</v>
      </c>
      <c r="S28">
        <v>26658</v>
      </c>
      <c r="T28" t="s">
        <v>72</v>
      </c>
      <c r="U28">
        <v>166.61</v>
      </c>
      <c r="V28">
        <v>1</v>
      </c>
      <c r="W28" t="s">
        <v>55</v>
      </c>
      <c r="X28">
        <v>19</v>
      </c>
      <c r="Y28">
        <v>3</v>
      </c>
      <c r="Z28">
        <v>1</v>
      </c>
      <c r="AA28">
        <v>0</v>
      </c>
      <c r="AB28">
        <v>2</v>
      </c>
      <c r="AC28">
        <v>3</v>
      </c>
      <c r="AD28">
        <v>3</v>
      </c>
      <c r="AE28">
        <v>2</v>
      </c>
      <c r="AF28">
        <v>2</v>
      </c>
      <c r="AG28">
        <v>2</v>
      </c>
      <c r="AH28">
        <v>2</v>
      </c>
      <c r="AI28">
        <f t="shared" si="0"/>
        <v>0</v>
      </c>
      <c r="AJ28" t="str">
        <f t="shared" si="1"/>
        <v>2-3 yrs</v>
      </c>
      <c r="AK28" t="str">
        <f t="shared" si="2"/>
        <v>Recent</v>
      </c>
      <c r="AL28">
        <f t="shared" si="3"/>
        <v>0</v>
      </c>
      <c r="AM28" t="str">
        <f t="shared" si="4"/>
        <v>Minimal Risk</v>
      </c>
      <c r="AN28" s="6">
        <f t="shared" si="5"/>
        <v>-0.45956353773702163</v>
      </c>
      <c r="AO28" s="7">
        <f t="shared" si="6"/>
        <v>319896</v>
      </c>
    </row>
    <row r="29" spans="1:41" x14ac:dyDescent="0.3">
      <c r="A29" t="s">
        <v>96</v>
      </c>
      <c r="B29">
        <v>21</v>
      </c>
      <c r="C29" t="s">
        <v>46</v>
      </c>
      <c r="D29" t="s">
        <v>55</v>
      </c>
      <c r="E29" t="s">
        <v>48</v>
      </c>
      <c r="F29">
        <v>727</v>
      </c>
      <c r="G29" t="s">
        <v>57</v>
      </c>
      <c r="H29">
        <v>9</v>
      </c>
      <c r="I29">
        <v>1</v>
      </c>
      <c r="J29" t="s">
        <v>50</v>
      </c>
      <c r="K29">
        <v>1680</v>
      </c>
      <c r="L29">
        <v>4</v>
      </c>
      <c r="M29" t="s">
        <v>51</v>
      </c>
      <c r="N29">
        <v>3</v>
      </c>
      <c r="O29">
        <v>1</v>
      </c>
      <c r="P29" t="s">
        <v>60</v>
      </c>
      <c r="Q29">
        <v>1</v>
      </c>
      <c r="R29" t="s">
        <v>53</v>
      </c>
      <c r="S29">
        <v>85478</v>
      </c>
      <c r="T29" t="s">
        <v>70</v>
      </c>
      <c r="U29">
        <v>534.24</v>
      </c>
      <c r="V29">
        <v>1</v>
      </c>
      <c r="W29" t="s">
        <v>55</v>
      </c>
      <c r="X29">
        <v>11</v>
      </c>
      <c r="Y29">
        <v>3</v>
      </c>
      <c r="Z29">
        <v>1</v>
      </c>
      <c r="AA29">
        <v>0</v>
      </c>
      <c r="AB29">
        <v>2</v>
      </c>
      <c r="AC29">
        <v>3</v>
      </c>
      <c r="AD29">
        <v>3</v>
      </c>
      <c r="AE29">
        <v>2</v>
      </c>
      <c r="AF29">
        <v>2</v>
      </c>
      <c r="AG29">
        <v>0</v>
      </c>
      <c r="AH29">
        <v>2</v>
      </c>
      <c r="AI29">
        <f t="shared" si="0"/>
        <v>0</v>
      </c>
      <c r="AJ29" t="str">
        <f t="shared" si="1"/>
        <v>2-3 yrs</v>
      </c>
      <c r="AK29" t="str">
        <f t="shared" si="2"/>
        <v>Recent</v>
      </c>
      <c r="AL29">
        <f t="shared" si="3"/>
        <v>1</v>
      </c>
      <c r="AM29" t="str">
        <f t="shared" si="4"/>
        <v>Low Risk</v>
      </c>
      <c r="AN29" s="6">
        <f t="shared" si="5"/>
        <v>0.73289173686378817</v>
      </c>
      <c r="AO29" s="7">
        <f t="shared" si="6"/>
        <v>1025736</v>
      </c>
    </row>
    <row r="30" spans="1:41" x14ac:dyDescent="0.3">
      <c r="A30" t="s">
        <v>97</v>
      </c>
      <c r="B30">
        <v>21</v>
      </c>
      <c r="C30" t="s">
        <v>46</v>
      </c>
      <c r="D30" t="s">
        <v>55</v>
      </c>
      <c r="E30" t="s">
        <v>48</v>
      </c>
      <c r="F30">
        <v>391</v>
      </c>
      <c r="G30" t="s">
        <v>49</v>
      </c>
      <c r="H30">
        <v>15</v>
      </c>
      <c r="I30">
        <v>2</v>
      </c>
      <c r="J30" t="s">
        <v>50</v>
      </c>
      <c r="K30">
        <v>30</v>
      </c>
      <c r="L30">
        <v>3</v>
      </c>
      <c r="M30" t="s">
        <v>51</v>
      </c>
      <c r="N30">
        <v>3</v>
      </c>
      <c r="O30">
        <v>1</v>
      </c>
      <c r="P30" t="s">
        <v>67</v>
      </c>
      <c r="Q30">
        <v>4</v>
      </c>
      <c r="R30" t="s">
        <v>53</v>
      </c>
      <c r="S30">
        <v>19431</v>
      </c>
      <c r="T30" t="s">
        <v>54</v>
      </c>
      <c r="U30">
        <v>121.44</v>
      </c>
      <c r="V30">
        <v>1</v>
      </c>
      <c r="W30" t="s">
        <v>55</v>
      </c>
      <c r="X30">
        <v>14</v>
      </c>
      <c r="Y30">
        <v>3</v>
      </c>
      <c r="Z30">
        <v>4</v>
      </c>
      <c r="AA30">
        <v>0</v>
      </c>
      <c r="AB30">
        <v>0</v>
      </c>
      <c r="AC30">
        <v>6</v>
      </c>
      <c r="AD30">
        <v>3</v>
      </c>
      <c r="AE30">
        <v>0</v>
      </c>
      <c r="AF30">
        <v>0</v>
      </c>
      <c r="AG30">
        <v>0</v>
      </c>
      <c r="AH30">
        <v>0</v>
      </c>
      <c r="AI30">
        <f t="shared" si="0"/>
        <v>0</v>
      </c>
      <c r="AJ30" t="str">
        <f t="shared" si="1"/>
        <v>0-1 yr</v>
      </c>
      <c r="AK30" t="str">
        <f t="shared" si="2"/>
        <v>Recent</v>
      </c>
      <c r="AL30">
        <f t="shared" si="3"/>
        <v>0</v>
      </c>
      <c r="AM30" t="str">
        <f t="shared" si="4"/>
        <v>Minimal Risk</v>
      </c>
      <c r="AN30" s="6">
        <f t="shared" si="5"/>
        <v>-0.61033649976510473</v>
      </c>
      <c r="AO30" s="7">
        <f t="shared" si="6"/>
        <v>233172</v>
      </c>
    </row>
    <row r="31" spans="1:41" x14ac:dyDescent="0.3">
      <c r="A31" t="s">
        <v>98</v>
      </c>
      <c r="B31">
        <v>22</v>
      </c>
      <c r="C31" t="s">
        <v>46</v>
      </c>
      <c r="D31" t="s">
        <v>55</v>
      </c>
      <c r="E31" t="s">
        <v>48</v>
      </c>
      <c r="F31">
        <v>996</v>
      </c>
      <c r="G31" t="s">
        <v>49</v>
      </c>
      <c r="H31">
        <v>3</v>
      </c>
      <c r="I31">
        <v>2</v>
      </c>
      <c r="J31" t="s">
        <v>58</v>
      </c>
      <c r="K31">
        <v>379</v>
      </c>
      <c r="L31">
        <v>4</v>
      </c>
      <c r="M31" t="s">
        <v>51</v>
      </c>
      <c r="N31">
        <v>2</v>
      </c>
      <c r="O31">
        <v>1</v>
      </c>
      <c r="P31" t="s">
        <v>67</v>
      </c>
      <c r="Q31">
        <v>3</v>
      </c>
      <c r="R31" t="s">
        <v>53</v>
      </c>
      <c r="S31">
        <v>3747</v>
      </c>
      <c r="T31" t="s">
        <v>54</v>
      </c>
      <c r="U31">
        <v>23.42</v>
      </c>
      <c r="V31">
        <v>1</v>
      </c>
      <c r="W31" t="s">
        <v>55</v>
      </c>
      <c r="X31">
        <v>17</v>
      </c>
      <c r="Y31">
        <v>3</v>
      </c>
      <c r="Z31">
        <v>1</v>
      </c>
      <c r="AA31">
        <v>0</v>
      </c>
      <c r="AB31">
        <v>3</v>
      </c>
      <c r="AC31">
        <v>4</v>
      </c>
      <c r="AD31">
        <v>4</v>
      </c>
      <c r="AE31">
        <v>3</v>
      </c>
      <c r="AF31">
        <v>2</v>
      </c>
      <c r="AG31">
        <v>1</v>
      </c>
      <c r="AH31">
        <v>0</v>
      </c>
      <c r="AI31">
        <f t="shared" si="0"/>
        <v>0</v>
      </c>
      <c r="AJ31" t="str">
        <f t="shared" si="1"/>
        <v>2-3 yrs</v>
      </c>
      <c r="AK31" t="str">
        <f t="shared" si="2"/>
        <v>Recent</v>
      </c>
      <c r="AL31">
        <f t="shared" si="3"/>
        <v>0</v>
      </c>
      <c r="AM31" t="str">
        <f t="shared" si="4"/>
        <v>Minimal Risk</v>
      </c>
      <c r="AN31" s="6">
        <f t="shared" si="5"/>
        <v>-0.92485877539086236</v>
      </c>
      <c r="AO31" s="7">
        <f t="shared" si="6"/>
        <v>44964</v>
      </c>
    </row>
    <row r="32" spans="1:41" x14ac:dyDescent="0.3">
      <c r="A32" t="s">
        <v>99</v>
      </c>
      <c r="B32">
        <v>22</v>
      </c>
      <c r="C32" t="s">
        <v>46</v>
      </c>
      <c r="D32" t="s">
        <v>47</v>
      </c>
      <c r="E32" t="s">
        <v>62</v>
      </c>
      <c r="F32">
        <v>756</v>
      </c>
      <c r="G32" t="s">
        <v>57</v>
      </c>
      <c r="H32">
        <v>1</v>
      </c>
      <c r="I32">
        <v>1</v>
      </c>
      <c r="J32" t="s">
        <v>77</v>
      </c>
      <c r="K32">
        <v>478</v>
      </c>
      <c r="L32">
        <v>1</v>
      </c>
      <c r="M32" t="s">
        <v>59</v>
      </c>
      <c r="N32">
        <v>2</v>
      </c>
      <c r="O32">
        <v>1</v>
      </c>
      <c r="P32" t="s">
        <v>60</v>
      </c>
      <c r="Q32">
        <v>2</v>
      </c>
      <c r="R32" t="s">
        <v>53</v>
      </c>
      <c r="S32">
        <v>60150</v>
      </c>
      <c r="T32" t="s">
        <v>64</v>
      </c>
      <c r="U32">
        <v>375.94</v>
      </c>
      <c r="V32">
        <v>1</v>
      </c>
      <c r="W32" t="s">
        <v>47</v>
      </c>
      <c r="X32">
        <v>11</v>
      </c>
      <c r="Y32">
        <v>3</v>
      </c>
      <c r="Z32">
        <v>3</v>
      </c>
      <c r="AA32">
        <v>0</v>
      </c>
      <c r="AB32">
        <v>3</v>
      </c>
      <c r="AC32">
        <v>3</v>
      </c>
      <c r="AD32">
        <v>3</v>
      </c>
      <c r="AE32">
        <v>3</v>
      </c>
      <c r="AF32">
        <v>2</v>
      </c>
      <c r="AG32">
        <v>1</v>
      </c>
      <c r="AH32">
        <v>2</v>
      </c>
      <c r="AI32">
        <f t="shared" si="0"/>
        <v>1</v>
      </c>
      <c r="AJ32" t="str">
        <f t="shared" si="1"/>
        <v>2-3 yrs</v>
      </c>
      <c r="AK32" t="str">
        <f t="shared" si="2"/>
        <v>Recent</v>
      </c>
      <c r="AL32">
        <f t="shared" si="3"/>
        <v>2</v>
      </c>
      <c r="AM32" t="str">
        <f t="shared" si="4"/>
        <v>Medium Risk</v>
      </c>
      <c r="AN32" s="6">
        <f t="shared" si="5"/>
        <v>0.21941830614142657</v>
      </c>
      <c r="AO32" s="7">
        <f t="shared" si="6"/>
        <v>721800</v>
      </c>
    </row>
    <row r="33" spans="1:41" x14ac:dyDescent="0.3">
      <c r="A33" t="s">
        <v>100</v>
      </c>
      <c r="B33">
        <v>22</v>
      </c>
      <c r="C33" t="s">
        <v>46</v>
      </c>
      <c r="D33" t="s">
        <v>55</v>
      </c>
      <c r="E33" t="s">
        <v>66</v>
      </c>
      <c r="F33">
        <v>895</v>
      </c>
      <c r="G33" t="s">
        <v>57</v>
      </c>
      <c r="H33">
        <v>9</v>
      </c>
      <c r="I33">
        <v>2</v>
      </c>
      <c r="J33" t="s">
        <v>58</v>
      </c>
      <c r="K33">
        <v>484</v>
      </c>
      <c r="L33">
        <v>1</v>
      </c>
      <c r="M33" t="s">
        <v>51</v>
      </c>
      <c r="N33">
        <v>3</v>
      </c>
      <c r="O33">
        <v>1</v>
      </c>
      <c r="P33" t="s">
        <v>60</v>
      </c>
      <c r="Q33">
        <v>4</v>
      </c>
      <c r="R33" t="s">
        <v>53</v>
      </c>
      <c r="S33">
        <v>66725</v>
      </c>
      <c r="T33" t="s">
        <v>64</v>
      </c>
      <c r="U33">
        <v>417.03</v>
      </c>
      <c r="V33">
        <v>1</v>
      </c>
      <c r="W33" t="s">
        <v>55</v>
      </c>
      <c r="X33">
        <v>24</v>
      </c>
      <c r="Y33">
        <v>4</v>
      </c>
      <c r="Z33">
        <v>3</v>
      </c>
      <c r="AA33">
        <v>0</v>
      </c>
      <c r="AB33">
        <v>3</v>
      </c>
      <c r="AC33">
        <v>3</v>
      </c>
      <c r="AD33">
        <v>2</v>
      </c>
      <c r="AE33">
        <v>3</v>
      </c>
      <c r="AF33">
        <v>2</v>
      </c>
      <c r="AG33">
        <v>2</v>
      </c>
      <c r="AH33">
        <v>2</v>
      </c>
      <c r="AI33">
        <f t="shared" si="0"/>
        <v>0</v>
      </c>
      <c r="AJ33" t="str">
        <f t="shared" si="1"/>
        <v>2-3 yrs</v>
      </c>
      <c r="AK33" t="str">
        <f t="shared" si="2"/>
        <v>Recent</v>
      </c>
      <c r="AL33">
        <f t="shared" si="3"/>
        <v>1</v>
      </c>
      <c r="AM33" t="str">
        <f t="shared" si="4"/>
        <v>Low Risk</v>
      </c>
      <c r="AN33" s="6">
        <f t="shared" si="5"/>
        <v>0.35271299214109209</v>
      </c>
      <c r="AO33" s="7">
        <f t="shared" si="6"/>
        <v>800700</v>
      </c>
    </row>
    <row r="34" spans="1:41" x14ac:dyDescent="0.3">
      <c r="A34" t="s">
        <v>101</v>
      </c>
      <c r="B34">
        <v>22</v>
      </c>
      <c r="C34" t="s">
        <v>46</v>
      </c>
      <c r="D34" t="s">
        <v>47</v>
      </c>
      <c r="E34" t="s">
        <v>48</v>
      </c>
      <c r="F34">
        <v>156</v>
      </c>
      <c r="G34" t="s">
        <v>57</v>
      </c>
      <c r="H34">
        <v>12</v>
      </c>
      <c r="I34">
        <v>3</v>
      </c>
      <c r="J34" t="s">
        <v>50</v>
      </c>
      <c r="K34">
        <v>494</v>
      </c>
      <c r="L34">
        <v>3</v>
      </c>
      <c r="M34" t="s">
        <v>59</v>
      </c>
      <c r="N34">
        <v>4</v>
      </c>
      <c r="O34">
        <v>1</v>
      </c>
      <c r="P34" t="s">
        <v>60</v>
      </c>
      <c r="Q34">
        <v>2</v>
      </c>
      <c r="R34" t="s">
        <v>53</v>
      </c>
      <c r="S34">
        <v>85654</v>
      </c>
      <c r="T34" t="s">
        <v>70</v>
      </c>
      <c r="U34">
        <v>535.34</v>
      </c>
      <c r="V34">
        <v>1</v>
      </c>
      <c r="W34" t="s">
        <v>55</v>
      </c>
      <c r="X34">
        <v>15</v>
      </c>
      <c r="Y34">
        <v>3</v>
      </c>
      <c r="Z34">
        <v>4</v>
      </c>
      <c r="AA34">
        <v>0</v>
      </c>
      <c r="AB34">
        <v>1</v>
      </c>
      <c r="AC34">
        <v>0</v>
      </c>
      <c r="AD34">
        <v>3</v>
      </c>
      <c r="AE34">
        <v>1</v>
      </c>
      <c r="AF34">
        <v>0</v>
      </c>
      <c r="AG34">
        <v>0</v>
      </c>
      <c r="AH34">
        <v>0</v>
      </c>
      <c r="AI34">
        <f t="shared" si="0"/>
        <v>1</v>
      </c>
      <c r="AJ34" t="str">
        <f t="shared" si="1"/>
        <v>0-1 yr</v>
      </c>
      <c r="AK34" t="str">
        <f t="shared" si="2"/>
        <v>Recent</v>
      </c>
      <c r="AL34">
        <f t="shared" si="3"/>
        <v>1</v>
      </c>
      <c r="AM34" t="str">
        <f t="shared" si="4"/>
        <v>Low Risk</v>
      </c>
      <c r="AN34" s="6">
        <f t="shared" si="5"/>
        <v>0.73645977712780963</v>
      </c>
      <c r="AO34" s="7">
        <f t="shared" si="6"/>
        <v>1027848</v>
      </c>
    </row>
    <row r="35" spans="1:41" x14ac:dyDescent="0.3">
      <c r="A35" t="s">
        <v>102</v>
      </c>
      <c r="B35">
        <v>22</v>
      </c>
      <c r="C35" t="s">
        <v>46</v>
      </c>
      <c r="D35" t="s">
        <v>55</v>
      </c>
      <c r="E35" t="s">
        <v>48</v>
      </c>
      <c r="F35">
        <v>1343</v>
      </c>
      <c r="G35" t="s">
        <v>57</v>
      </c>
      <c r="H35">
        <v>22</v>
      </c>
      <c r="I35">
        <v>1</v>
      </c>
      <c r="J35" t="s">
        <v>77</v>
      </c>
      <c r="K35">
        <v>669</v>
      </c>
      <c r="L35">
        <v>3</v>
      </c>
      <c r="M35" t="s">
        <v>51</v>
      </c>
      <c r="N35">
        <v>3</v>
      </c>
      <c r="O35">
        <v>1</v>
      </c>
      <c r="P35" t="s">
        <v>60</v>
      </c>
      <c r="Q35">
        <v>3</v>
      </c>
      <c r="R35" t="s">
        <v>53</v>
      </c>
      <c r="S35">
        <v>36773</v>
      </c>
      <c r="T35" t="s">
        <v>72</v>
      </c>
      <c r="U35">
        <v>229.83</v>
      </c>
      <c r="V35">
        <v>1</v>
      </c>
      <c r="W35" t="s">
        <v>55</v>
      </c>
      <c r="X35">
        <v>11</v>
      </c>
      <c r="Y35">
        <v>3</v>
      </c>
      <c r="Z35">
        <v>3</v>
      </c>
      <c r="AA35">
        <v>0</v>
      </c>
      <c r="AB35">
        <v>3</v>
      </c>
      <c r="AC35">
        <v>2</v>
      </c>
      <c r="AD35">
        <v>3</v>
      </c>
      <c r="AE35">
        <v>3</v>
      </c>
      <c r="AF35">
        <v>2</v>
      </c>
      <c r="AG35">
        <v>1</v>
      </c>
      <c r="AH35">
        <v>2</v>
      </c>
      <c r="AI35">
        <f t="shared" si="0"/>
        <v>0</v>
      </c>
      <c r="AJ35" t="str">
        <f t="shared" si="1"/>
        <v>2-3 yrs</v>
      </c>
      <c r="AK35" t="str">
        <f t="shared" si="2"/>
        <v>Recent</v>
      </c>
      <c r="AL35">
        <f t="shared" si="3"/>
        <v>0</v>
      </c>
      <c r="AM35" t="str">
        <f t="shared" si="4"/>
        <v>Minimal Risk</v>
      </c>
      <c r="AN35" s="6">
        <f t="shared" si="5"/>
        <v>-0.25450258733601533</v>
      </c>
      <c r="AO35" s="7">
        <f t="shared" si="6"/>
        <v>441276</v>
      </c>
    </row>
    <row r="36" spans="1:41" x14ac:dyDescent="0.3">
      <c r="A36" t="s">
        <v>103</v>
      </c>
      <c r="B36">
        <v>22</v>
      </c>
      <c r="C36" t="s">
        <v>46</v>
      </c>
      <c r="D36" t="s">
        <v>47</v>
      </c>
      <c r="E36" t="s">
        <v>48</v>
      </c>
      <c r="F36">
        <v>1427</v>
      </c>
      <c r="G36" t="s">
        <v>49</v>
      </c>
      <c r="H36">
        <v>18</v>
      </c>
      <c r="I36">
        <v>1</v>
      </c>
      <c r="J36" t="s">
        <v>82</v>
      </c>
      <c r="K36">
        <v>923</v>
      </c>
      <c r="L36">
        <v>4</v>
      </c>
      <c r="M36" t="s">
        <v>59</v>
      </c>
      <c r="N36">
        <v>3</v>
      </c>
      <c r="O36">
        <v>1</v>
      </c>
      <c r="P36" t="s">
        <v>67</v>
      </c>
      <c r="Q36">
        <v>4</v>
      </c>
      <c r="R36" t="s">
        <v>53</v>
      </c>
      <c r="S36">
        <v>68435</v>
      </c>
      <c r="T36" t="s">
        <v>64</v>
      </c>
      <c r="U36">
        <v>427.72</v>
      </c>
      <c r="V36">
        <v>1</v>
      </c>
      <c r="W36" t="s">
        <v>55</v>
      </c>
      <c r="X36">
        <v>19</v>
      </c>
      <c r="Y36">
        <v>3</v>
      </c>
      <c r="Z36">
        <v>1</v>
      </c>
      <c r="AA36">
        <v>0</v>
      </c>
      <c r="AB36">
        <v>1</v>
      </c>
      <c r="AC36">
        <v>3</v>
      </c>
      <c r="AD36">
        <v>2</v>
      </c>
      <c r="AE36">
        <v>1</v>
      </c>
      <c r="AF36">
        <v>0</v>
      </c>
      <c r="AG36">
        <v>0</v>
      </c>
      <c r="AH36">
        <v>0</v>
      </c>
      <c r="AI36">
        <f t="shared" si="0"/>
        <v>1</v>
      </c>
      <c r="AJ36" t="str">
        <f t="shared" si="1"/>
        <v>0-1 yr</v>
      </c>
      <c r="AK36" t="str">
        <f t="shared" si="2"/>
        <v>Recent</v>
      </c>
      <c r="AL36">
        <f t="shared" si="3"/>
        <v>1</v>
      </c>
      <c r="AM36" t="str">
        <f t="shared" si="4"/>
        <v>Low Risk</v>
      </c>
      <c r="AN36" s="6">
        <f t="shared" si="5"/>
        <v>0.37237515509109442</v>
      </c>
      <c r="AO36" s="7">
        <f t="shared" si="6"/>
        <v>821220</v>
      </c>
    </row>
    <row r="37" spans="1:41" x14ac:dyDescent="0.3">
      <c r="A37" t="s">
        <v>104</v>
      </c>
      <c r="B37">
        <v>22</v>
      </c>
      <c r="C37" t="s">
        <v>46</v>
      </c>
      <c r="D37" t="s">
        <v>47</v>
      </c>
      <c r="E37" t="s">
        <v>48</v>
      </c>
      <c r="F37">
        <v>1334</v>
      </c>
      <c r="G37" t="s">
        <v>49</v>
      </c>
      <c r="H37">
        <v>10</v>
      </c>
      <c r="I37">
        <v>3</v>
      </c>
      <c r="J37" t="s">
        <v>50</v>
      </c>
      <c r="K37">
        <v>1079</v>
      </c>
      <c r="L37">
        <v>3</v>
      </c>
      <c r="M37" t="s">
        <v>59</v>
      </c>
      <c r="N37">
        <v>2</v>
      </c>
      <c r="O37">
        <v>1</v>
      </c>
      <c r="P37" t="s">
        <v>52</v>
      </c>
      <c r="Q37">
        <v>1</v>
      </c>
      <c r="R37" t="s">
        <v>53</v>
      </c>
      <c r="S37">
        <v>57886</v>
      </c>
      <c r="T37" t="s">
        <v>64</v>
      </c>
      <c r="U37">
        <v>361.79</v>
      </c>
      <c r="V37">
        <v>1</v>
      </c>
      <c r="W37" t="s">
        <v>55</v>
      </c>
      <c r="X37">
        <v>13</v>
      </c>
      <c r="Y37">
        <v>3</v>
      </c>
      <c r="Z37">
        <v>1</v>
      </c>
      <c r="AA37">
        <v>0</v>
      </c>
      <c r="AB37">
        <v>1</v>
      </c>
      <c r="AC37">
        <v>6</v>
      </c>
      <c r="AD37">
        <v>2</v>
      </c>
      <c r="AE37">
        <v>1</v>
      </c>
      <c r="AF37">
        <v>0</v>
      </c>
      <c r="AG37">
        <v>1</v>
      </c>
      <c r="AH37">
        <v>0</v>
      </c>
      <c r="AI37">
        <f t="shared" si="0"/>
        <v>1</v>
      </c>
      <c r="AJ37" t="str">
        <f t="shared" si="1"/>
        <v>0-1 yr</v>
      </c>
      <c r="AK37" t="str">
        <f t="shared" si="2"/>
        <v>Recent</v>
      </c>
      <c r="AL37">
        <f t="shared" si="3"/>
        <v>2</v>
      </c>
      <c r="AM37" t="str">
        <f t="shared" si="4"/>
        <v>Medium Risk</v>
      </c>
      <c r="AN37" s="6">
        <f t="shared" si="5"/>
        <v>0.11920592043602266</v>
      </c>
      <c r="AO37" s="7">
        <f t="shared" si="6"/>
        <v>694632</v>
      </c>
    </row>
    <row r="38" spans="1:41" x14ac:dyDescent="0.3">
      <c r="A38" t="s">
        <v>105</v>
      </c>
      <c r="B38">
        <v>22</v>
      </c>
      <c r="C38" t="s">
        <v>46</v>
      </c>
      <c r="D38" t="s">
        <v>55</v>
      </c>
      <c r="E38" t="s">
        <v>48</v>
      </c>
      <c r="F38">
        <v>984</v>
      </c>
      <c r="G38" t="s">
        <v>49</v>
      </c>
      <c r="H38">
        <v>1</v>
      </c>
      <c r="I38">
        <v>1</v>
      </c>
      <c r="J38" t="s">
        <v>77</v>
      </c>
      <c r="K38">
        <v>1131</v>
      </c>
      <c r="L38">
        <v>4</v>
      </c>
      <c r="M38" t="s">
        <v>59</v>
      </c>
      <c r="N38">
        <v>2</v>
      </c>
      <c r="O38">
        <v>1</v>
      </c>
      <c r="P38" t="s">
        <v>67</v>
      </c>
      <c r="Q38">
        <v>2</v>
      </c>
      <c r="R38" t="s">
        <v>53</v>
      </c>
      <c r="S38">
        <v>67803</v>
      </c>
      <c r="T38" t="s">
        <v>64</v>
      </c>
      <c r="U38">
        <v>423.77</v>
      </c>
      <c r="V38">
        <v>1</v>
      </c>
      <c r="W38" t="s">
        <v>47</v>
      </c>
      <c r="X38">
        <v>11</v>
      </c>
      <c r="Y38">
        <v>3</v>
      </c>
      <c r="Z38">
        <v>3</v>
      </c>
      <c r="AA38">
        <v>0</v>
      </c>
      <c r="AB38">
        <v>2</v>
      </c>
      <c r="AC38">
        <v>6</v>
      </c>
      <c r="AD38">
        <v>4</v>
      </c>
      <c r="AE38">
        <v>2</v>
      </c>
      <c r="AF38">
        <v>2</v>
      </c>
      <c r="AG38">
        <v>2</v>
      </c>
      <c r="AH38">
        <v>2</v>
      </c>
      <c r="AI38">
        <f t="shared" si="0"/>
        <v>0</v>
      </c>
      <c r="AJ38" t="str">
        <f t="shared" si="1"/>
        <v>2-3 yrs</v>
      </c>
      <c r="AK38" t="str">
        <f t="shared" si="2"/>
        <v>Recent</v>
      </c>
      <c r="AL38">
        <f t="shared" si="3"/>
        <v>2</v>
      </c>
      <c r="AM38" t="str">
        <f t="shared" si="4"/>
        <v>Medium Risk</v>
      </c>
      <c r="AN38" s="6">
        <f t="shared" si="5"/>
        <v>0.35970121488480272</v>
      </c>
      <c r="AO38" s="7">
        <f t="shared" si="6"/>
        <v>813636</v>
      </c>
    </row>
    <row r="39" spans="1:41" x14ac:dyDescent="0.3">
      <c r="A39" t="s">
        <v>106</v>
      </c>
      <c r="B39">
        <v>22</v>
      </c>
      <c r="C39" t="s">
        <v>46</v>
      </c>
      <c r="D39" t="s">
        <v>47</v>
      </c>
      <c r="E39" t="s">
        <v>62</v>
      </c>
      <c r="F39">
        <v>251</v>
      </c>
      <c r="G39" t="s">
        <v>49</v>
      </c>
      <c r="H39">
        <v>10</v>
      </c>
      <c r="I39">
        <v>2</v>
      </c>
      <c r="J39" t="s">
        <v>50</v>
      </c>
      <c r="K39">
        <v>1279</v>
      </c>
      <c r="L39">
        <v>1</v>
      </c>
      <c r="M39" t="s">
        <v>59</v>
      </c>
      <c r="N39">
        <v>2</v>
      </c>
      <c r="O39">
        <v>1</v>
      </c>
      <c r="P39" t="s">
        <v>52</v>
      </c>
      <c r="Q39">
        <v>3</v>
      </c>
      <c r="R39" t="s">
        <v>53</v>
      </c>
      <c r="S39">
        <v>32551</v>
      </c>
      <c r="T39" t="s">
        <v>72</v>
      </c>
      <c r="U39">
        <v>203.44</v>
      </c>
      <c r="V39">
        <v>1</v>
      </c>
      <c r="W39" t="s">
        <v>55</v>
      </c>
      <c r="X39">
        <v>20</v>
      </c>
      <c r="Y39">
        <v>4</v>
      </c>
      <c r="Z39">
        <v>3</v>
      </c>
      <c r="AA39">
        <v>0</v>
      </c>
      <c r="AB39">
        <v>2</v>
      </c>
      <c r="AC39">
        <v>2</v>
      </c>
      <c r="AD39">
        <v>1</v>
      </c>
      <c r="AE39">
        <v>2</v>
      </c>
      <c r="AF39">
        <v>2</v>
      </c>
      <c r="AG39">
        <v>2</v>
      </c>
      <c r="AH39">
        <v>2</v>
      </c>
      <c r="AI39">
        <f t="shared" si="0"/>
        <v>1</v>
      </c>
      <c r="AJ39" t="str">
        <f t="shared" si="1"/>
        <v>2-3 yrs</v>
      </c>
      <c r="AK39" t="str">
        <f t="shared" si="2"/>
        <v>Recent</v>
      </c>
      <c r="AL39">
        <f t="shared" si="3"/>
        <v>1</v>
      </c>
      <c r="AM39" t="str">
        <f t="shared" si="4"/>
        <v>Low Risk</v>
      </c>
      <c r="AN39" s="6">
        <f t="shared" si="5"/>
        <v>-0.37063759948669844</v>
      </c>
      <c r="AO39" s="7">
        <f t="shared" si="6"/>
        <v>390612</v>
      </c>
    </row>
    <row r="40" spans="1:41" x14ac:dyDescent="0.3">
      <c r="A40" t="s">
        <v>107</v>
      </c>
      <c r="B40">
        <v>22</v>
      </c>
      <c r="C40" t="s">
        <v>46</v>
      </c>
      <c r="D40" t="s">
        <v>55</v>
      </c>
      <c r="E40" t="s">
        <v>48</v>
      </c>
      <c r="F40">
        <v>546</v>
      </c>
      <c r="G40" t="s">
        <v>49</v>
      </c>
      <c r="H40">
        <v>5</v>
      </c>
      <c r="I40">
        <v>1</v>
      </c>
      <c r="J40" t="s">
        <v>58</v>
      </c>
      <c r="K40">
        <v>1623</v>
      </c>
      <c r="L40">
        <v>3</v>
      </c>
      <c r="M40" t="s">
        <v>51</v>
      </c>
      <c r="N40">
        <v>3</v>
      </c>
      <c r="O40">
        <v>1</v>
      </c>
      <c r="P40" t="s">
        <v>67</v>
      </c>
      <c r="Q40">
        <v>4</v>
      </c>
      <c r="R40" t="s">
        <v>53</v>
      </c>
      <c r="S40">
        <v>12394</v>
      </c>
      <c r="T40" t="s">
        <v>54</v>
      </c>
      <c r="U40">
        <v>77.459999999999994</v>
      </c>
      <c r="V40">
        <v>1</v>
      </c>
      <c r="W40" t="s">
        <v>55</v>
      </c>
      <c r="X40">
        <v>18</v>
      </c>
      <c r="Y40">
        <v>3</v>
      </c>
      <c r="Z40">
        <v>3</v>
      </c>
      <c r="AA40">
        <v>0</v>
      </c>
      <c r="AB40">
        <v>3</v>
      </c>
      <c r="AC40">
        <v>2</v>
      </c>
      <c r="AD40">
        <v>3</v>
      </c>
      <c r="AE40">
        <v>2</v>
      </c>
      <c r="AF40">
        <v>2</v>
      </c>
      <c r="AG40">
        <v>2</v>
      </c>
      <c r="AH40">
        <v>2</v>
      </c>
      <c r="AI40">
        <f t="shared" si="0"/>
        <v>0</v>
      </c>
      <c r="AJ40" t="str">
        <f t="shared" si="1"/>
        <v>2-3 yrs</v>
      </c>
      <c r="AK40" t="str">
        <f t="shared" si="2"/>
        <v>Recent</v>
      </c>
      <c r="AL40">
        <f t="shared" si="3"/>
        <v>0</v>
      </c>
      <c r="AM40" t="str">
        <f t="shared" si="4"/>
        <v>Minimal Risk</v>
      </c>
      <c r="AN40" s="6">
        <f t="shared" si="5"/>
        <v>-0.75145440677724817</v>
      </c>
      <c r="AO40" s="7">
        <f t="shared" si="6"/>
        <v>148728</v>
      </c>
    </row>
    <row r="41" spans="1:41" x14ac:dyDescent="0.3">
      <c r="A41" t="s">
        <v>108</v>
      </c>
      <c r="B41">
        <v>22</v>
      </c>
      <c r="C41" t="s">
        <v>46</v>
      </c>
      <c r="D41" t="s">
        <v>47</v>
      </c>
      <c r="E41" t="s">
        <v>48</v>
      </c>
      <c r="F41">
        <v>337</v>
      </c>
      <c r="G41" t="s">
        <v>57</v>
      </c>
      <c r="H41">
        <v>7</v>
      </c>
      <c r="I41">
        <v>1</v>
      </c>
      <c r="J41" t="s">
        <v>63</v>
      </c>
      <c r="K41">
        <v>1780</v>
      </c>
      <c r="L41">
        <v>2</v>
      </c>
      <c r="M41" t="s">
        <v>51</v>
      </c>
      <c r="N41">
        <v>3</v>
      </c>
      <c r="O41">
        <v>1</v>
      </c>
      <c r="P41" t="s">
        <v>60</v>
      </c>
      <c r="Q41">
        <v>2</v>
      </c>
      <c r="R41" t="s">
        <v>53</v>
      </c>
      <c r="S41">
        <v>70092</v>
      </c>
      <c r="T41" t="s">
        <v>64</v>
      </c>
      <c r="U41">
        <v>438.08</v>
      </c>
      <c r="V41">
        <v>1</v>
      </c>
      <c r="W41" t="s">
        <v>55</v>
      </c>
      <c r="X41">
        <v>13</v>
      </c>
      <c r="Y41">
        <v>3</v>
      </c>
      <c r="Z41">
        <v>2</v>
      </c>
      <c r="AA41">
        <v>0</v>
      </c>
      <c r="AB41">
        <v>1</v>
      </c>
      <c r="AC41">
        <v>3</v>
      </c>
      <c r="AD41">
        <v>3</v>
      </c>
      <c r="AE41">
        <v>1</v>
      </c>
      <c r="AF41">
        <v>0</v>
      </c>
      <c r="AG41">
        <v>1</v>
      </c>
      <c r="AH41">
        <v>0</v>
      </c>
      <c r="AI41">
        <f t="shared" si="0"/>
        <v>1</v>
      </c>
      <c r="AJ41" t="str">
        <f t="shared" si="1"/>
        <v>0-1 yr</v>
      </c>
      <c r="AK41" t="str">
        <f t="shared" si="2"/>
        <v>Recent</v>
      </c>
      <c r="AL41">
        <f t="shared" si="3"/>
        <v>1</v>
      </c>
      <c r="AM41" t="str">
        <f t="shared" si="4"/>
        <v>Low Risk</v>
      </c>
      <c r="AN41" s="6">
        <f t="shared" si="5"/>
        <v>0.42097203514654813</v>
      </c>
      <c r="AO41" s="7">
        <f t="shared" si="6"/>
        <v>841104</v>
      </c>
    </row>
    <row r="42" spans="1:41" x14ac:dyDescent="0.3">
      <c r="A42" t="s">
        <v>109</v>
      </c>
      <c r="B42">
        <v>22</v>
      </c>
      <c r="C42" t="s">
        <v>46</v>
      </c>
      <c r="D42" t="s">
        <v>55</v>
      </c>
      <c r="E42" t="s">
        <v>48</v>
      </c>
      <c r="F42">
        <v>501</v>
      </c>
      <c r="G42" t="s">
        <v>57</v>
      </c>
      <c r="H42">
        <v>5</v>
      </c>
      <c r="I42">
        <v>1</v>
      </c>
      <c r="J42" t="s">
        <v>58</v>
      </c>
      <c r="K42">
        <v>2021</v>
      </c>
      <c r="L42">
        <v>3</v>
      </c>
      <c r="M42" t="s">
        <v>51</v>
      </c>
      <c r="N42">
        <v>3</v>
      </c>
      <c r="O42">
        <v>1</v>
      </c>
      <c r="P42" t="s">
        <v>60</v>
      </c>
      <c r="Q42">
        <v>1</v>
      </c>
      <c r="R42" t="s">
        <v>53</v>
      </c>
      <c r="S42">
        <v>4890</v>
      </c>
      <c r="T42" t="s">
        <v>54</v>
      </c>
      <c r="U42">
        <v>30.56</v>
      </c>
      <c r="V42">
        <v>1</v>
      </c>
      <c r="W42" t="s">
        <v>47</v>
      </c>
      <c r="X42">
        <v>11</v>
      </c>
      <c r="Y42">
        <v>3</v>
      </c>
      <c r="Z42">
        <v>4</v>
      </c>
      <c r="AA42">
        <v>0</v>
      </c>
      <c r="AB42">
        <v>2</v>
      </c>
      <c r="AC42">
        <v>6</v>
      </c>
      <c r="AD42">
        <v>3</v>
      </c>
      <c r="AE42">
        <v>2</v>
      </c>
      <c r="AF42">
        <v>2</v>
      </c>
      <c r="AG42">
        <v>1</v>
      </c>
      <c r="AH42">
        <v>2</v>
      </c>
      <c r="AI42">
        <f t="shared" si="0"/>
        <v>0</v>
      </c>
      <c r="AJ42" t="str">
        <f t="shared" si="1"/>
        <v>2-3 yrs</v>
      </c>
      <c r="AK42" t="str">
        <f t="shared" si="2"/>
        <v>Recent</v>
      </c>
      <c r="AL42">
        <f t="shared" si="3"/>
        <v>2</v>
      </c>
      <c r="AM42" t="str">
        <f t="shared" si="4"/>
        <v>Medium Risk</v>
      </c>
      <c r="AN42" s="6">
        <f t="shared" si="5"/>
        <v>-0.90086524493713094</v>
      </c>
      <c r="AO42" s="7">
        <f t="shared" si="6"/>
        <v>58680</v>
      </c>
    </row>
    <row r="43" spans="1:41" x14ac:dyDescent="0.3">
      <c r="A43" t="s">
        <v>110</v>
      </c>
      <c r="B43">
        <v>22</v>
      </c>
      <c r="C43" t="s">
        <v>46</v>
      </c>
      <c r="D43" t="s">
        <v>55</v>
      </c>
      <c r="E43" t="s">
        <v>66</v>
      </c>
      <c r="F43">
        <v>1123</v>
      </c>
      <c r="G43" t="s">
        <v>49</v>
      </c>
      <c r="H43">
        <v>16</v>
      </c>
      <c r="I43">
        <v>2</v>
      </c>
      <c r="J43" t="s">
        <v>58</v>
      </c>
      <c r="K43">
        <v>22</v>
      </c>
      <c r="L43">
        <v>4</v>
      </c>
      <c r="M43" t="s">
        <v>51</v>
      </c>
      <c r="N43">
        <v>4</v>
      </c>
      <c r="O43">
        <v>1</v>
      </c>
      <c r="P43" t="s">
        <v>52</v>
      </c>
      <c r="Q43">
        <v>4</v>
      </c>
      <c r="R43" t="s">
        <v>53</v>
      </c>
      <c r="S43">
        <v>42606</v>
      </c>
      <c r="T43" t="s">
        <v>72</v>
      </c>
      <c r="U43">
        <v>266.29000000000002</v>
      </c>
      <c r="V43">
        <v>1</v>
      </c>
      <c r="W43" t="s">
        <v>47</v>
      </c>
      <c r="X43">
        <v>13</v>
      </c>
      <c r="Y43">
        <v>3</v>
      </c>
      <c r="Z43">
        <v>2</v>
      </c>
      <c r="AA43">
        <v>2</v>
      </c>
      <c r="AB43">
        <v>1</v>
      </c>
      <c r="AC43">
        <v>2</v>
      </c>
      <c r="AD43">
        <v>2</v>
      </c>
      <c r="AE43">
        <v>1</v>
      </c>
      <c r="AF43">
        <v>0</v>
      </c>
      <c r="AG43">
        <v>0</v>
      </c>
      <c r="AH43">
        <v>0</v>
      </c>
      <c r="AI43">
        <f t="shared" si="0"/>
        <v>0</v>
      </c>
      <c r="AJ43" t="str">
        <f t="shared" si="1"/>
        <v>0-1 yr</v>
      </c>
      <c r="AK43" t="str">
        <f t="shared" si="2"/>
        <v>Recent</v>
      </c>
      <c r="AL43">
        <f t="shared" si="3"/>
        <v>2</v>
      </c>
      <c r="AM43" t="str">
        <f t="shared" si="4"/>
        <v>Medium Risk</v>
      </c>
      <c r="AN43" s="6">
        <f t="shared" si="5"/>
        <v>-0.17622762937329955</v>
      </c>
      <c r="AO43" s="7">
        <f t="shared" si="6"/>
        <v>511272</v>
      </c>
    </row>
    <row r="44" spans="1:41" x14ac:dyDescent="0.3">
      <c r="A44" t="s">
        <v>111</v>
      </c>
      <c r="B44">
        <v>22</v>
      </c>
      <c r="C44" t="s">
        <v>46</v>
      </c>
      <c r="D44" t="s">
        <v>55</v>
      </c>
      <c r="E44" t="s">
        <v>48</v>
      </c>
      <c r="F44">
        <v>534</v>
      </c>
      <c r="G44" t="s">
        <v>49</v>
      </c>
      <c r="H44">
        <v>15</v>
      </c>
      <c r="I44">
        <v>3</v>
      </c>
      <c r="J44" t="s">
        <v>58</v>
      </c>
      <c r="K44">
        <v>144</v>
      </c>
      <c r="L44">
        <v>2</v>
      </c>
      <c r="M44" t="s">
        <v>59</v>
      </c>
      <c r="N44">
        <v>3</v>
      </c>
      <c r="O44">
        <v>1</v>
      </c>
      <c r="P44" t="s">
        <v>52</v>
      </c>
      <c r="Q44">
        <v>4</v>
      </c>
      <c r="R44" t="s">
        <v>53</v>
      </c>
      <c r="S44">
        <v>97276</v>
      </c>
      <c r="T44" t="s">
        <v>70</v>
      </c>
      <c r="U44">
        <v>607.98</v>
      </c>
      <c r="V44">
        <v>1</v>
      </c>
      <c r="W44" t="s">
        <v>55</v>
      </c>
      <c r="X44">
        <v>15</v>
      </c>
      <c r="Y44">
        <v>3</v>
      </c>
      <c r="Z44">
        <v>3</v>
      </c>
      <c r="AA44">
        <v>0</v>
      </c>
      <c r="AB44">
        <v>1</v>
      </c>
      <c r="AC44">
        <v>5</v>
      </c>
      <c r="AD44">
        <v>3</v>
      </c>
      <c r="AE44">
        <v>0</v>
      </c>
      <c r="AF44">
        <v>0</v>
      </c>
      <c r="AG44">
        <v>0</v>
      </c>
      <c r="AH44">
        <v>0</v>
      </c>
      <c r="AI44">
        <f t="shared" si="0"/>
        <v>0</v>
      </c>
      <c r="AJ44" t="str">
        <f t="shared" si="1"/>
        <v>0-1 yr</v>
      </c>
      <c r="AK44" t="str">
        <f t="shared" si="2"/>
        <v>Recent</v>
      </c>
      <c r="AL44">
        <f t="shared" si="3"/>
        <v>0</v>
      </c>
      <c r="AM44" t="str">
        <f t="shared" si="4"/>
        <v>Minimal Risk</v>
      </c>
      <c r="AN44" s="6">
        <f t="shared" si="5"/>
        <v>0.88079803607667728</v>
      </c>
      <c r="AO44" s="7">
        <f t="shared" si="6"/>
        <v>1167312</v>
      </c>
    </row>
    <row r="45" spans="1:41" x14ac:dyDescent="0.3">
      <c r="A45" t="s">
        <v>112</v>
      </c>
      <c r="B45">
        <v>22</v>
      </c>
      <c r="C45" t="s">
        <v>46</v>
      </c>
      <c r="D45" t="s">
        <v>55</v>
      </c>
      <c r="E45" t="s">
        <v>48</v>
      </c>
      <c r="F45">
        <v>594</v>
      </c>
      <c r="G45" t="s">
        <v>49</v>
      </c>
      <c r="H45">
        <v>2</v>
      </c>
      <c r="I45">
        <v>1</v>
      </c>
      <c r="J45" t="s">
        <v>77</v>
      </c>
      <c r="K45">
        <v>169</v>
      </c>
      <c r="L45">
        <v>3</v>
      </c>
      <c r="M45" t="s">
        <v>51</v>
      </c>
      <c r="N45">
        <v>3</v>
      </c>
      <c r="O45">
        <v>1</v>
      </c>
      <c r="P45" t="s">
        <v>52</v>
      </c>
      <c r="Q45">
        <v>4</v>
      </c>
      <c r="R45" t="s">
        <v>113</v>
      </c>
      <c r="S45">
        <v>81038</v>
      </c>
      <c r="T45" t="s">
        <v>64</v>
      </c>
      <c r="U45">
        <v>506.49</v>
      </c>
      <c r="V45">
        <v>0</v>
      </c>
      <c r="W45" t="s">
        <v>55</v>
      </c>
      <c r="X45">
        <v>14</v>
      </c>
      <c r="Y45">
        <v>3</v>
      </c>
      <c r="Z45">
        <v>3</v>
      </c>
      <c r="AA45">
        <v>1</v>
      </c>
      <c r="AB45">
        <v>3</v>
      </c>
      <c r="AC45">
        <v>2</v>
      </c>
      <c r="AD45">
        <v>3</v>
      </c>
      <c r="AE45">
        <v>2</v>
      </c>
      <c r="AF45">
        <v>1</v>
      </c>
      <c r="AG45">
        <v>2</v>
      </c>
      <c r="AH45">
        <v>1</v>
      </c>
      <c r="AI45">
        <f t="shared" si="0"/>
        <v>0</v>
      </c>
      <c r="AJ45" t="str">
        <f t="shared" si="1"/>
        <v>2-3 yrs</v>
      </c>
      <c r="AK45" t="str">
        <f t="shared" si="2"/>
        <v>Recent</v>
      </c>
      <c r="AL45">
        <f t="shared" si="3"/>
        <v>0</v>
      </c>
      <c r="AM45" t="str">
        <f t="shared" si="4"/>
        <v>Minimal Risk</v>
      </c>
      <c r="AN45" s="6">
        <f t="shared" si="5"/>
        <v>0.56684188543506897</v>
      </c>
      <c r="AO45" s="7">
        <f t="shared" si="6"/>
        <v>972456</v>
      </c>
    </row>
    <row r="46" spans="1:41" x14ac:dyDescent="0.3">
      <c r="A46" t="s">
        <v>114</v>
      </c>
      <c r="B46">
        <v>22</v>
      </c>
      <c r="C46" t="s">
        <v>46</v>
      </c>
      <c r="D46" t="s">
        <v>55</v>
      </c>
      <c r="E46" t="s">
        <v>48</v>
      </c>
      <c r="F46">
        <v>1256</v>
      </c>
      <c r="G46" t="s">
        <v>49</v>
      </c>
      <c r="H46">
        <v>19</v>
      </c>
      <c r="I46">
        <v>1</v>
      </c>
      <c r="J46" t="s">
        <v>58</v>
      </c>
      <c r="K46">
        <v>217</v>
      </c>
      <c r="L46">
        <v>3</v>
      </c>
      <c r="M46" t="s">
        <v>51</v>
      </c>
      <c r="N46">
        <v>3</v>
      </c>
      <c r="O46">
        <v>1</v>
      </c>
      <c r="P46" t="s">
        <v>67</v>
      </c>
      <c r="Q46">
        <v>4</v>
      </c>
      <c r="R46" t="s">
        <v>113</v>
      </c>
      <c r="S46">
        <v>88313</v>
      </c>
      <c r="T46" t="s">
        <v>70</v>
      </c>
      <c r="U46">
        <v>551.96</v>
      </c>
      <c r="V46">
        <v>1</v>
      </c>
      <c r="W46" t="s">
        <v>55</v>
      </c>
      <c r="X46">
        <v>24</v>
      </c>
      <c r="Y46">
        <v>4</v>
      </c>
      <c r="Z46">
        <v>1</v>
      </c>
      <c r="AA46">
        <v>2</v>
      </c>
      <c r="AB46">
        <v>2</v>
      </c>
      <c r="AC46">
        <v>6</v>
      </c>
      <c r="AD46">
        <v>3</v>
      </c>
      <c r="AE46">
        <v>2</v>
      </c>
      <c r="AF46">
        <v>2</v>
      </c>
      <c r="AG46">
        <v>2</v>
      </c>
      <c r="AH46">
        <v>2</v>
      </c>
      <c r="AI46">
        <f t="shared" si="0"/>
        <v>0</v>
      </c>
      <c r="AJ46" t="str">
        <f t="shared" si="1"/>
        <v>2-3 yrs</v>
      </c>
      <c r="AK46" t="str">
        <f t="shared" si="2"/>
        <v>Recent</v>
      </c>
      <c r="AL46">
        <f t="shared" si="3"/>
        <v>0</v>
      </c>
      <c r="AM46" t="str">
        <f t="shared" si="4"/>
        <v>Minimal Risk</v>
      </c>
      <c r="AN46" s="6">
        <f t="shared" si="5"/>
        <v>0.77100266050354094</v>
      </c>
      <c r="AO46" s="7">
        <f t="shared" si="6"/>
        <v>1059756</v>
      </c>
    </row>
    <row r="47" spans="1:41" x14ac:dyDescent="0.3">
      <c r="A47" t="s">
        <v>115</v>
      </c>
      <c r="B47">
        <v>22</v>
      </c>
      <c r="C47" t="s">
        <v>46</v>
      </c>
      <c r="D47" t="s">
        <v>55</v>
      </c>
      <c r="E47" t="s">
        <v>48</v>
      </c>
      <c r="F47">
        <v>1136</v>
      </c>
      <c r="G47" t="s">
        <v>49</v>
      </c>
      <c r="H47">
        <v>5</v>
      </c>
      <c r="I47">
        <v>3</v>
      </c>
      <c r="J47" t="s">
        <v>50</v>
      </c>
      <c r="K47">
        <v>284</v>
      </c>
      <c r="L47">
        <v>4</v>
      </c>
      <c r="M47" t="s">
        <v>51</v>
      </c>
      <c r="N47">
        <v>4</v>
      </c>
      <c r="O47">
        <v>1</v>
      </c>
      <c r="P47" t="s">
        <v>67</v>
      </c>
      <c r="Q47">
        <v>2</v>
      </c>
      <c r="R47" t="s">
        <v>53</v>
      </c>
      <c r="S47">
        <v>11627</v>
      </c>
      <c r="T47" t="s">
        <v>54</v>
      </c>
      <c r="U47">
        <v>72.67</v>
      </c>
      <c r="V47">
        <v>1</v>
      </c>
      <c r="W47" t="s">
        <v>47</v>
      </c>
      <c r="X47">
        <v>16</v>
      </c>
      <c r="Y47">
        <v>3</v>
      </c>
      <c r="Z47">
        <v>1</v>
      </c>
      <c r="AA47">
        <v>1</v>
      </c>
      <c r="AB47">
        <v>4</v>
      </c>
      <c r="AC47">
        <v>2</v>
      </c>
      <c r="AD47">
        <v>2</v>
      </c>
      <c r="AE47">
        <v>4</v>
      </c>
      <c r="AF47">
        <v>2</v>
      </c>
      <c r="AG47">
        <v>2</v>
      </c>
      <c r="AH47">
        <v>2</v>
      </c>
      <c r="AI47">
        <f t="shared" si="0"/>
        <v>0</v>
      </c>
      <c r="AJ47" t="str">
        <f t="shared" si="1"/>
        <v>4-5 yrs</v>
      </c>
      <c r="AK47" t="str">
        <f t="shared" si="2"/>
        <v>Recent</v>
      </c>
      <c r="AL47">
        <f t="shared" si="3"/>
        <v>3</v>
      </c>
      <c r="AM47" t="str">
        <f t="shared" si="4"/>
        <v>High Risk</v>
      </c>
      <c r="AN47" s="6">
        <f t="shared" si="5"/>
        <v>-0.76683559686937741</v>
      </c>
      <c r="AO47" s="7">
        <f t="shared" si="6"/>
        <v>139524</v>
      </c>
    </row>
    <row r="48" spans="1:41" x14ac:dyDescent="0.3">
      <c r="A48" t="s">
        <v>116</v>
      </c>
      <c r="B48">
        <v>22</v>
      </c>
      <c r="C48" t="s">
        <v>46</v>
      </c>
      <c r="D48" t="s">
        <v>55</v>
      </c>
      <c r="E48" t="s">
        <v>48</v>
      </c>
      <c r="F48">
        <v>253</v>
      </c>
      <c r="G48" t="s">
        <v>49</v>
      </c>
      <c r="H48">
        <v>11</v>
      </c>
      <c r="I48">
        <v>3</v>
      </c>
      <c r="J48" t="s">
        <v>58</v>
      </c>
      <c r="K48">
        <v>511</v>
      </c>
      <c r="L48">
        <v>1</v>
      </c>
      <c r="M48" t="s">
        <v>59</v>
      </c>
      <c r="N48">
        <v>3</v>
      </c>
      <c r="O48">
        <v>1</v>
      </c>
      <c r="P48" t="s">
        <v>67</v>
      </c>
      <c r="Q48">
        <v>2</v>
      </c>
      <c r="R48" t="s">
        <v>113</v>
      </c>
      <c r="S48">
        <v>9792</v>
      </c>
      <c r="T48" t="s">
        <v>54</v>
      </c>
      <c r="U48">
        <v>61.2</v>
      </c>
      <c r="V48">
        <v>1</v>
      </c>
      <c r="W48" t="s">
        <v>55</v>
      </c>
      <c r="X48">
        <v>13</v>
      </c>
      <c r="Y48">
        <v>3</v>
      </c>
      <c r="Z48">
        <v>4</v>
      </c>
      <c r="AA48">
        <v>1</v>
      </c>
      <c r="AB48">
        <v>2</v>
      </c>
      <c r="AC48">
        <v>1</v>
      </c>
      <c r="AD48">
        <v>3</v>
      </c>
      <c r="AE48">
        <v>2</v>
      </c>
      <c r="AF48">
        <v>1</v>
      </c>
      <c r="AG48">
        <v>1</v>
      </c>
      <c r="AH48">
        <v>2</v>
      </c>
      <c r="AI48">
        <f t="shared" si="0"/>
        <v>0</v>
      </c>
      <c r="AJ48" t="str">
        <f t="shared" si="1"/>
        <v>2-3 yrs</v>
      </c>
      <c r="AK48" t="str">
        <f t="shared" si="2"/>
        <v>Recent</v>
      </c>
      <c r="AL48">
        <f t="shared" si="3"/>
        <v>1</v>
      </c>
      <c r="AM48" t="str">
        <f t="shared" si="4"/>
        <v>Low Risk</v>
      </c>
      <c r="AN48" s="6">
        <f t="shared" si="5"/>
        <v>-0.80363414161391111</v>
      </c>
      <c r="AO48" s="7">
        <f t="shared" si="6"/>
        <v>117504</v>
      </c>
    </row>
    <row r="49" spans="1:41" x14ac:dyDescent="0.3">
      <c r="A49" t="s">
        <v>117</v>
      </c>
      <c r="B49">
        <v>22</v>
      </c>
      <c r="C49" t="s">
        <v>46</v>
      </c>
      <c r="D49" t="s">
        <v>47</v>
      </c>
      <c r="E49" t="s">
        <v>62</v>
      </c>
      <c r="F49">
        <v>1368</v>
      </c>
      <c r="G49" t="s">
        <v>49</v>
      </c>
      <c r="H49">
        <v>4</v>
      </c>
      <c r="I49">
        <v>1</v>
      </c>
      <c r="J49" t="s">
        <v>77</v>
      </c>
      <c r="K49">
        <v>593</v>
      </c>
      <c r="L49">
        <v>3</v>
      </c>
      <c r="M49" t="s">
        <v>51</v>
      </c>
      <c r="N49">
        <v>2</v>
      </c>
      <c r="O49">
        <v>1</v>
      </c>
      <c r="P49" t="s">
        <v>52</v>
      </c>
      <c r="Q49">
        <v>3</v>
      </c>
      <c r="R49" t="s">
        <v>53</v>
      </c>
      <c r="S49">
        <v>74969</v>
      </c>
      <c r="T49" t="s">
        <v>64</v>
      </c>
      <c r="U49">
        <v>468.56</v>
      </c>
      <c r="V49">
        <v>5</v>
      </c>
      <c r="W49" t="s">
        <v>55</v>
      </c>
      <c r="X49">
        <v>16</v>
      </c>
      <c r="Y49">
        <v>3</v>
      </c>
      <c r="Z49">
        <v>3</v>
      </c>
      <c r="AA49">
        <v>0</v>
      </c>
      <c r="AB49">
        <v>4</v>
      </c>
      <c r="AC49">
        <v>3</v>
      </c>
      <c r="AD49">
        <v>3</v>
      </c>
      <c r="AE49">
        <v>2</v>
      </c>
      <c r="AF49">
        <v>2</v>
      </c>
      <c r="AG49">
        <v>1</v>
      </c>
      <c r="AH49">
        <v>2</v>
      </c>
      <c r="AI49">
        <f t="shared" si="0"/>
        <v>1</v>
      </c>
      <c r="AJ49" t="str">
        <f t="shared" si="1"/>
        <v>2-3 yrs</v>
      </c>
      <c r="AK49" t="str">
        <f t="shared" si="2"/>
        <v>Recent</v>
      </c>
      <c r="AL49">
        <f t="shared" si="3"/>
        <v>0</v>
      </c>
      <c r="AM49" t="str">
        <f t="shared" si="4"/>
        <v>Minimal Risk</v>
      </c>
      <c r="AN49" s="6">
        <f t="shared" si="5"/>
        <v>0.44949985573658885</v>
      </c>
      <c r="AO49" s="7">
        <f t="shared" si="6"/>
        <v>899628</v>
      </c>
    </row>
    <row r="50" spans="1:41" x14ac:dyDescent="0.3">
      <c r="A50" t="s">
        <v>118</v>
      </c>
      <c r="B50">
        <v>22</v>
      </c>
      <c r="C50" t="s">
        <v>46</v>
      </c>
      <c r="D50" t="s">
        <v>55</v>
      </c>
      <c r="E50" t="s">
        <v>48</v>
      </c>
      <c r="F50">
        <v>604</v>
      </c>
      <c r="G50" t="s">
        <v>49</v>
      </c>
      <c r="H50">
        <v>6</v>
      </c>
      <c r="I50">
        <v>1</v>
      </c>
      <c r="J50" t="s">
        <v>58</v>
      </c>
      <c r="K50">
        <v>675</v>
      </c>
      <c r="L50">
        <v>1</v>
      </c>
      <c r="M50" t="s">
        <v>51</v>
      </c>
      <c r="N50">
        <v>3</v>
      </c>
      <c r="O50">
        <v>1</v>
      </c>
      <c r="P50" t="s">
        <v>67</v>
      </c>
      <c r="Q50">
        <v>3</v>
      </c>
      <c r="R50" t="s">
        <v>113</v>
      </c>
      <c r="S50">
        <v>44001</v>
      </c>
      <c r="T50" t="s">
        <v>72</v>
      </c>
      <c r="U50">
        <v>275.01</v>
      </c>
      <c r="V50">
        <v>0</v>
      </c>
      <c r="W50" t="s">
        <v>55</v>
      </c>
      <c r="X50">
        <v>20</v>
      </c>
      <c r="Y50">
        <v>4</v>
      </c>
      <c r="Z50">
        <v>4</v>
      </c>
      <c r="AA50">
        <v>0</v>
      </c>
      <c r="AB50">
        <v>3</v>
      </c>
      <c r="AC50">
        <v>3</v>
      </c>
      <c r="AD50">
        <v>3</v>
      </c>
      <c r="AE50">
        <v>2</v>
      </c>
      <c r="AF50">
        <v>2</v>
      </c>
      <c r="AG50">
        <v>2</v>
      </c>
      <c r="AH50">
        <v>2</v>
      </c>
      <c r="AI50">
        <f t="shared" si="0"/>
        <v>0</v>
      </c>
      <c r="AJ50" t="str">
        <f t="shared" si="1"/>
        <v>2-3 yrs</v>
      </c>
      <c r="AK50" t="str">
        <f t="shared" si="2"/>
        <v>Recent</v>
      </c>
      <c r="AL50">
        <f t="shared" si="3"/>
        <v>0</v>
      </c>
      <c r="AM50" t="str">
        <f t="shared" si="4"/>
        <v>Minimal Risk</v>
      </c>
      <c r="AN50" s="6">
        <f t="shared" si="5"/>
        <v>-0.11761702054265734</v>
      </c>
      <c r="AO50" s="7">
        <f t="shared" si="6"/>
        <v>528012</v>
      </c>
    </row>
    <row r="51" spans="1:41" x14ac:dyDescent="0.3">
      <c r="A51" t="s">
        <v>119</v>
      </c>
      <c r="B51">
        <v>22</v>
      </c>
      <c r="C51" t="s">
        <v>46</v>
      </c>
      <c r="D51" t="s">
        <v>55</v>
      </c>
      <c r="E51" t="s">
        <v>48</v>
      </c>
      <c r="F51">
        <v>1230</v>
      </c>
      <c r="G51" t="s">
        <v>49</v>
      </c>
      <c r="H51">
        <v>1</v>
      </c>
      <c r="I51">
        <v>2</v>
      </c>
      <c r="J51" t="s">
        <v>50</v>
      </c>
      <c r="K51">
        <v>872</v>
      </c>
      <c r="L51">
        <v>4</v>
      </c>
      <c r="M51" t="s">
        <v>51</v>
      </c>
      <c r="N51">
        <v>2</v>
      </c>
      <c r="O51">
        <v>2</v>
      </c>
      <c r="P51" t="s">
        <v>120</v>
      </c>
      <c r="Q51">
        <v>4</v>
      </c>
      <c r="R51" t="s">
        <v>113</v>
      </c>
      <c r="S51">
        <v>77552</v>
      </c>
      <c r="T51" t="s">
        <v>64</v>
      </c>
      <c r="U51">
        <v>484.7</v>
      </c>
      <c r="V51">
        <v>6</v>
      </c>
      <c r="W51" t="s">
        <v>55</v>
      </c>
      <c r="X51">
        <v>22</v>
      </c>
      <c r="Y51">
        <v>4</v>
      </c>
      <c r="Z51">
        <v>1</v>
      </c>
      <c r="AA51">
        <v>2</v>
      </c>
      <c r="AB51">
        <v>4</v>
      </c>
      <c r="AC51">
        <v>2</v>
      </c>
      <c r="AD51">
        <v>1</v>
      </c>
      <c r="AE51">
        <v>2</v>
      </c>
      <c r="AF51">
        <v>2</v>
      </c>
      <c r="AG51">
        <v>2</v>
      </c>
      <c r="AH51">
        <v>2</v>
      </c>
      <c r="AI51">
        <f t="shared" si="0"/>
        <v>0</v>
      </c>
      <c r="AJ51" t="str">
        <f t="shared" si="1"/>
        <v>2-3 yrs</v>
      </c>
      <c r="AK51" t="str">
        <f t="shared" si="2"/>
        <v>Recent</v>
      </c>
      <c r="AL51">
        <f t="shared" si="3"/>
        <v>1</v>
      </c>
      <c r="AM51" t="str">
        <f t="shared" si="4"/>
        <v>Low Risk</v>
      </c>
      <c r="AN51" s="6">
        <f t="shared" si="5"/>
        <v>0.75079382333926425</v>
      </c>
      <c r="AO51" s="7">
        <f t="shared" si="6"/>
        <v>930624</v>
      </c>
    </row>
    <row r="52" spans="1:41" x14ac:dyDescent="0.3">
      <c r="A52" t="s">
        <v>121</v>
      </c>
      <c r="B52">
        <v>22</v>
      </c>
      <c r="C52" t="s">
        <v>46</v>
      </c>
      <c r="D52" t="s">
        <v>47</v>
      </c>
      <c r="E52" t="s">
        <v>48</v>
      </c>
      <c r="F52">
        <v>617</v>
      </c>
      <c r="G52" t="s">
        <v>49</v>
      </c>
      <c r="H52">
        <v>3</v>
      </c>
      <c r="I52">
        <v>1</v>
      </c>
      <c r="J52" t="s">
        <v>50</v>
      </c>
      <c r="K52">
        <v>926</v>
      </c>
      <c r="L52">
        <v>2</v>
      </c>
      <c r="M52" t="s">
        <v>59</v>
      </c>
      <c r="N52">
        <v>3</v>
      </c>
      <c r="O52">
        <v>2</v>
      </c>
      <c r="P52" t="s">
        <v>120</v>
      </c>
      <c r="Q52">
        <v>3</v>
      </c>
      <c r="R52" t="s">
        <v>113</v>
      </c>
      <c r="S52">
        <v>24897</v>
      </c>
      <c r="T52" t="s">
        <v>54</v>
      </c>
      <c r="U52">
        <v>155.61000000000001</v>
      </c>
      <c r="V52">
        <v>0</v>
      </c>
      <c r="W52" t="s">
        <v>47</v>
      </c>
      <c r="X52">
        <v>19</v>
      </c>
      <c r="Y52">
        <v>3</v>
      </c>
      <c r="Z52">
        <v>1</v>
      </c>
      <c r="AA52">
        <v>1</v>
      </c>
      <c r="AB52">
        <v>4</v>
      </c>
      <c r="AC52">
        <v>3</v>
      </c>
      <c r="AD52">
        <v>4</v>
      </c>
      <c r="AE52">
        <v>3</v>
      </c>
      <c r="AF52">
        <v>2</v>
      </c>
      <c r="AG52">
        <v>0</v>
      </c>
      <c r="AH52">
        <v>2</v>
      </c>
      <c r="AI52">
        <f t="shared" si="0"/>
        <v>1</v>
      </c>
      <c r="AJ52" t="str">
        <f t="shared" si="1"/>
        <v>2-3 yrs</v>
      </c>
      <c r="AK52" t="str">
        <f t="shared" si="2"/>
        <v>Recent</v>
      </c>
      <c r="AL52">
        <f t="shared" si="3"/>
        <v>1</v>
      </c>
      <c r="AM52" t="str">
        <f t="shared" si="4"/>
        <v>Low Risk</v>
      </c>
      <c r="AN52" s="6">
        <f t="shared" si="5"/>
        <v>-0.43793179002891397</v>
      </c>
      <c r="AO52" s="7">
        <f t="shared" si="6"/>
        <v>298764</v>
      </c>
    </row>
    <row r="53" spans="1:41" x14ac:dyDescent="0.3">
      <c r="A53" t="s">
        <v>122</v>
      </c>
      <c r="B53">
        <v>22</v>
      </c>
      <c r="C53" t="s">
        <v>46</v>
      </c>
      <c r="D53" t="s">
        <v>55</v>
      </c>
      <c r="E53" t="s">
        <v>48</v>
      </c>
      <c r="F53">
        <v>217</v>
      </c>
      <c r="G53" t="s">
        <v>49</v>
      </c>
      <c r="H53">
        <v>8</v>
      </c>
      <c r="I53">
        <v>1</v>
      </c>
      <c r="J53" t="s">
        <v>50</v>
      </c>
      <c r="K53">
        <v>1019</v>
      </c>
      <c r="L53">
        <v>2</v>
      </c>
      <c r="M53" t="s">
        <v>51</v>
      </c>
      <c r="N53">
        <v>1</v>
      </c>
      <c r="O53">
        <v>1</v>
      </c>
      <c r="P53" t="s">
        <v>52</v>
      </c>
      <c r="Q53">
        <v>1</v>
      </c>
      <c r="R53" t="s">
        <v>113</v>
      </c>
      <c r="S53">
        <v>69148</v>
      </c>
      <c r="T53" t="s">
        <v>64</v>
      </c>
      <c r="U53">
        <v>432.18</v>
      </c>
      <c r="V53">
        <v>1</v>
      </c>
      <c r="W53" t="s">
        <v>55</v>
      </c>
      <c r="X53">
        <v>15</v>
      </c>
      <c r="Y53">
        <v>3</v>
      </c>
      <c r="Z53">
        <v>1</v>
      </c>
      <c r="AA53">
        <v>1</v>
      </c>
      <c r="AB53">
        <v>4</v>
      </c>
      <c r="AC53">
        <v>3</v>
      </c>
      <c r="AD53">
        <v>2</v>
      </c>
      <c r="AE53">
        <v>4</v>
      </c>
      <c r="AF53">
        <v>3</v>
      </c>
      <c r="AG53">
        <v>1</v>
      </c>
      <c r="AH53">
        <v>1</v>
      </c>
      <c r="AI53">
        <f t="shared" si="0"/>
        <v>0</v>
      </c>
      <c r="AJ53" t="str">
        <f t="shared" si="1"/>
        <v>4-5 yrs</v>
      </c>
      <c r="AK53" t="str">
        <f t="shared" si="2"/>
        <v>Recent</v>
      </c>
      <c r="AL53">
        <f t="shared" si="3"/>
        <v>2</v>
      </c>
      <c r="AM53" t="str">
        <f t="shared" si="4"/>
        <v>Medium Risk</v>
      </c>
      <c r="AN53" s="6">
        <f t="shared" si="5"/>
        <v>0.33695282082558986</v>
      </c>
      <c r="AO53" s="7">
        <f t="shared" si="6"/>
        <v>829776</v>
      </c>
    </row>
    <row r="54" spans="1:41" x14ac:dyDescent="0.3">
      <c r="A54" t="s">
        <v>123</v>
      </c>
      <c r="B54">
        <v>22</v>
      </c>
      <c r="C54" t="s">
        <v>46</v>
      </c>
      <c r="D54" t="s">
        <v>47</v>
      </c>
      <c r="E54" t="s">
        <v>62</v>
      </c>
      <c r="F54">
        <v>1256</v>
      </c>
      <c r="G54" t="s">
        <v>49</v>
      </c>
      <c r="H54">
        <v>3</v>
      </c>
      <c r="I54">
        <v>4</v>
      </c>
      <c r="J54" t="s">
        <v>50</v>
      </c>
      <c r="K54">
        <v>1203</v>
      </c>
      <c r="L54">
        <v>3</v>
      </c>
      <c r="M54" t="s">
        <v>51</v>
      </c>
      <c r="N54">
        <v>2</v>
      </c>
      <c r="O54">
        <v>1</v>
      </c>
      <c r="P54" t="s">
        <v>67</v>
      </c>
      <c r="Q54">
        <v>4</v>
      </c>
      <c r="R54" t="s">
        <v>113</v>
      </c>
      <c r="S54">
        <v>24483</v>
      </c>
      <c r="T54" t="s">
        <v>54</v>
      </c>
      <c r="U54">
        <v>153.02000000000001</v>
      </c>
      <c r="V54">
        <v>0</v>
      </c>
      <c r="W54" t="s">
        <v>47</v>
      </c>
      <c r="X54">
        <v>11</v>
      </c>
      <c r="Y54">
        <v>3</v>
      </c>
      <c r="Z54">
        <v>2</v>
      </c>
      <c r="AA54">
        <v>1</v>
      </c>
      <c r="AB54">
        <v>1</v>
      </c>
      <c r="AC54">
        <v>5</v>
      </c>
      <c r="AD54">
        <v>3</v>
      </c>
      <c r="AE54">
        <v>0</v>
      </c>
      <c r="AF54">
        <v>0</v>
      </c>
      <c r="AG54">
        <v>0</v>
      </c>
      <c r="AH54">
        <v>0</v>
      </c>
      <c r="AI54">
        <f t="shared" si="0"/>
        <v>1</v>
      </c>
      <c r="AJ54" t="str">
        <f t="shared" si="1"/>
        <v>0-1 yr</v>
      </c>
      <c r="AK54" t="str">
        <f t="shared" si="2"/>
        <v>Recent</v>
      </c>
      <c r="AL54">
        <f t="shared" si="3"/>
        <v>1</v>
      </c>
      <c r="AM54" t="str">
        <f t="shared" si="4"/>
        <v>Low Risk</v>
      </c>
      <c r="AN54" s="6">
        <f t="shared" si="5"/>
        <v>-0.50902519292620352</v>
      </c>
      <c r="AO54" s="7">
        <f t="shared" si="6"/>
        <v>293796</v>
      </c>
    </row>
    <row r="55" spans="1:41" x14ac:dyDescent="0.3">
      <c r="A55" t="s">
        <v>124</v>
      </c>
      <c r="B55">
        <v>22</v>
      </c>
      <c r="C55" t="s">
        <v>46</v>
      </c>
      <c r="D55" t="s">
        <v>55</v>
      </c>
      <c r="E55" t="s">
        <v>66</v>
      </c>
      <c r="F55">
        <v>457</v>
      </c>
      <c r="G55" t="s">
        <v>49</v>
      </c>
      <c r="H55">
        <v>26</v>
      </c>
      <c r="I55">
        <v>2</v>
      </c>
      <c r="J55" t="s">
        <v>82</v>
      </c>
      <c r="K55">
        <v>1605</v>
      </c>
      <c r="L55">
        <v>2</v>
      </c>
      <c r="M55" t="s">
        <v>59</v>
      </c>
      <c r="N55">
        <v>2</v>
      </c>
      <c r="O55">
        <v>1</v>
      </c>
      <c r="P55" t="s">
        <v>67</v>
      </c>
      <c r="Q55">
        <v>3</v>
      </c>
      <c r="R55" t="s">
        <v>113</v>
      </c>
      <c r="S55">
        <v>49555</v>
      </c>
      <c r="T55" t="s">
        <v>72</v>
      </c>
      <c r="U55">
        <v>309.72000000000003</v>
      </c>
      <c r="V55">
        <v>1</v>
      </c>
      <c r="W55" t="s">
        <v>47</v>
      </c>
      <c r="X55">
        <v>14</v>
      </c>
      <c r="Y55">
        <v>3</v>
      </c>
      <c r="Z55">
        <v>2</v>
      </c>
      <c r="AA55">
        <v>0</v>
      </c>
      <c r="AB55">
        <v>4</v>
      </c>
      <c r="AC55">
        <v>2</v>
      </c>
      <c r="AD55">
        <v>2</v>
      </c>
      <c r="AE55">
        <v>4</v>
      </c>
      <c r="AF55">
        <v>2</v>
      </c>
      <c r="AG55">
        <v>1</v>
      </c>
      <c r="AH55">
        <v>3</v>
      </c>
      <c r="AI55">
        <f t="shared" si="0"/>
        <v>0</v>
      </c>
      <c r="AJ55" t="str">
        <f t="shared" si="1"/>
        <v>4-5 yrs</v>
      </c>
      <c r="AK55" t="str">
        <f t="shared" si="2"/>
        <v>Recent</v>
      </c>
      <c r="AL55">
        <f t="shared" si="3"/>
        <v>2</v>
      </c>
      <c r="AM55" t="str">
        <f t="shared" si="4"/>
        <v>Medium Risk</v>
      </c>
      <c r="AN55" s="6">
        <f t="shared" si="5"/>
        <v>-6.2387548690117107E-3</v>
      </c>
      <c r="AO55" s="7">
        <f t="shared" si="6"/>
        <v>594660</v>
      </c>
    </row>
    <row r="56" spans="1:41" x14ac:dyDescent="0.3">
      <c r="A56" t="s">
        <v>125</v>
      </c>
      <c r="B56">
        <v>22</v>
      </c>
      <c r="C56" t="s">
        <v>46</v>
      </c>
      <c r="D56" t="s">
        <v>47</v>
      </c>
      <c r="E56" t="s">
        <v>48</v>
      </c>
      <c r="F56">
        <v>1294</v>
      </c>
      <c r="G56" t="s">
        <v>49</v>
      </c>
      <c r="H56">
        <v>8</v>
      </c>
      <c r="I56">
        <v>1</v>
      </c>
      <c r="J56" t="s">
        <v>58</v>
      </c>
      <c r="K56">
        <v>1783</v>
      </c>
      <c r="L56">
        <v>3</v>
      </c>
      <c r="M56" t="s">
        <v>59</v>
      </c>
      <c r="N56">
        <v>3</v>
      </c>
      <c r="O56">
        <v>1</v>
      </c>
      <c r="P56" t="s">
        <v>52</v>
      </c>
      <c r="Q56">
        <v>1</v>
      </c>
      <c r="R56" t="s">
        <v>113</v>
      </c>
      <c r="S56">
        <v>18159</v>
      </c>
      <c r="T56" t="s">
        <v>54</v>
      </c>
      <c r="U56">
        <v>113.49</v>
      </c>
      <c r="V56">
        <v>1</v>
      </c>
      <c r="W56" t="s">
        <v>47</v>
      </c>
      <c r="X56">
        <v>17</v>
      </c>
      <c r="Y56">
        <v>3</v>
      </c>
      <c r="Z56">
        <v>3</v>
      </c>
      <c r="AA56">
        <v>0</v>
      </c>
      <c r="AB56">
        <v>1</v>
      </c>
      <c r="AC56">
        <v>6</v>
      </c>
      <c r="AD56">
        <v>3</v>
      </c>
      <c r="AE56">
        <v>1</v>
      </c>
      <c r="AF56">
        <v>0</v>
      </c>
      <c r="AG56">
        <v>0</v>
      </c>
      <c r="AH56">
        <v>0</v>
      </c>
      <c r="AI56">
        <f t="shared" si="0"/>
        <v>1</v>
      </c>
      <c r="AJ56" t="str">
        <f t="shared" si="1"/>
        <v>0-1 yr</v>
      </c>
      <c r="AK56" t="str">
        <f t="shared" si="2"/>
        <v>Recent</v>
      </c>
      <c r="AL56">
        <f t="shared" si="3"/>
        <v>2</v>
      </c>
      <c r="AM56" t="str">
        <f t="shared" si="4"/>
        <v>Medium Risk</v>
      </c>
      <c r="AN56" s="6">
        <f t="shared" si="5"/>
        <v>-0.64890197441181396</v>
      </c>
      <c r="AO56" s="7">
        <f t="shared" si="6"/>
        <v>217908</v>
      </c>
    </row>
    <row r="57" spans="1:41" x14ac:dyDescent="0.3">
      <c r="A57" t="s">
        <v>126</v>
      </c>
      <c r="B57">
        <v>22</v>
      </c>
      <c r="C57" t="s">
        <v>46</v>
      </c>
      <c r="D57" t="s">
        <v>47</v>
      </c>
      <c r="E57" t="s">
        <v>48</v>
      </c>
      <c r="F57">
        <v>391</v>
      </c>
      <c r="G57" t="s">
        <v>49</v>
      </c>
      <c r="H57">
        <v>7</v>
      </c>
      <c r="I57">
        <v>1</v>
      </c>
      <c r="J57" t="s">
        <v>50</v>
      </c>
      <c r="K57">
        <v>1878</v>
      </c>
      <c r="L57">
        <v>4</v>
      </c>
      <c r="M57" t="s">
        <v>51</v>
      </c>
      <c r="N57">
        <v>3</v>
      </c>
      <c r="O57">
        <v>1</v>
      </c>
      <c r="P57" t="s">
        <v>67</v>
      </c>
      <c r="Q57">
        <v>2</v>
      </c>
      <c r="R57" t="s">
        <v>53</v>
      </c>
      <c r="S57">
        <v>81077</v>
      </c>
      <c r="T57" t="s">
        <v>64</v>
      </c>
      <c r="U57">
        <v>506.73</v>
      </c>
      <c r="V57">
        <v>1</v>
      </c>
      <c r="W57" t="s">
        <v>47</v>
      </c>
      <c r="X57">
        <v>23</v>
      </c>
      <c r="Y57">
        <v>4</v>
      </c>
      <c r="Z57">
        <v>1</v>
      </c>
      <c r="AA57">
        <v>0</v>
      </c>
      <c r="AB57">
        <v>1</v>
      </c>
      <c r="AC57">
        <v>2</v>
      </c>
      <c r="AD57">
        <v>3</v>
      </c>
      <c r="AE57">
        <v>1</v>
      </c>
      <c r="AF57">
        <v>0</v>
      </c>
      <c r="AG57">
        <v>0</v>
      </c>
      <c r="AH57">
        <v>0</v>
      </c>
      <c r="AI57">
        <f t="shared" si="0"/>
        <v>1</v>
      </c>
      <c r="AJ57" t="str">
        <f t="shared" si="1"/>
        <v>0-1 yr</v>
      </c>
      <c r="AK57" t="str">
        <f t="shared" si="2"/>
        <v>Recent</v>
      </c>
      <c r="AL57">
        <f t="shared" si="3"/>
        <v>2</v>
      </c>
      <c r="AM57" t="str">
        <f t="shared" si="4"/>
        <v>Medium Risk</v>
      </c>
      <c r="AN57" s="6">
        <f t="shared" si="5"/>
        <v>0.62589406662264424</v>
      </c>
      <c r="AO57" s="7">
        <f t="shared" si="6"/>
        <v>972924</v>
      </c>
    </row>
    <row r="58" spans="1:41" x14ac:dyDescent="0.3">
      <c r="A58" t="s">
        <v>127</v>
      </c>
      <c r="B58">
        <v>22</v>
      </c>
      <c r="C58" t="s">
        <v>46</v>
      </c>
      <c r="D58" t="s">
        <v>55</v>
      </c>
      <c r="E58" t="s">
        <v>48</v>
      </c>
      <c r="F58">
        <v>581</v>
      </c>
      <c r="G58" t="s">
        <v>49</v>
      </c>
      <c r="H58">
        <v>1</v>
      </c>
      <c r="I58">
        <v>2</v>
      </c>
      <c r="J58" t="s">
        <v>50</v>
      </c>
      <c r="K58">
        <v>2007</v>
      </c>
      <c r="L58">
        <v>4</v>
      </c>
      <c r="M58" t="s">
        <v>51</v>
      </c>
      <c r="N58">
        <v>3</v>
      </c>
      <c r="O58">
        <v>1</v>
      </c>
      <c r="P58" t="s">
        <v>67</v>
      </c>
      <c r="Q58">
        <v>3</v>
      </c>
      <c r="R58" t="s">
        <v>53</v>
      </c>
      <c r="S58">
        <v>36920</v>
      </c>
      <c r="T58" t="s">
        <v>72</v>
      </c>
      <c r="U58">
        <v>230.75</v>
      </c>
      <c r="V58">
        <v>0</v>
      </c>
      <c r="W58" t="s">
        <v>55</v>
      </c>
      <c r="X58">
        <v>12</v>
      </c>
      <c r="Y58">
        <v>3</v>
      </c>
      <c r="Z58">
        <v>4</v>
      </c>
      <c r="AA58">
        <v>0</v>
      </c>
      <c r="AB58">
        <v>4</v>
      </c>
      <c r="AC58">
        <v>2</v>
      </c>
      <c r="AD58">
        <v>4</v>
      </c>
      <c r="AE58">
        <v>3</v>
      </c>
      <c r="AF58">
        <v>2</v>
      </c>
      <c r="AG58">
        <v>1</v>
      </c>
      <c r="AH58">
        <v>2</v>
      </c>
      <c r="AI58">
        <f t="shared" si="0"/>
        <v>0</v>
      </c>
      <c r="AJ58" t="str">
        <f t="shared" si="1"/>
        <v>2-3 yrs</v>
      </c>
      <c r="AK58" t="str">
        <f t="shared" si="2"/>
        <v>Recent</v>
      </c>
      <c r="AL58">
        <f t="shared" si="3"/>
        <v>0</v>
      </c>
      <c r="AM58" t="str">
        <f t="shared" si="4"/>
        <v>Minimal Risk</v>
      </c>
      <c r="AN58" s="6">
        <f t="shared" si="5"/>
        <v>-0.25961729048055521</v>
      </c>
      <c r="AO58" s="7">
        <f t="shared" si="6"/>
        <v>443040</v>
      </c>
    </row>
    <row r="59" spans="1:41" x14ac:dyDescent="0.3">
      <c r="A59" t="s">
        <v>128</v>
      </c>
      <c r="B59">
        <v>23</v>
      </c>
      <c r="C59" t="s">
        <v>46</v>
      </c>
      <c r="D59" t="s">
        <v>55</v>
      </c>
      <c r="E59" t="s">
        <v>48</v>
      </c>
      <c r="F59">
        <v>541</v>
      </c>
      <c r="G59" t="s">
        <v>57</v>
      </c>
      <c r="H59">
        <v>2</v>
      </c>
      <c r="I59">
        <v>1</v>
      </c>
      <c r="J59" t="s">
        <v>77</v>
      </c>
      <c r="K59">
        <v>113</v>
      </c>
      <c r="L59">
        <v>3</v>
      </c>
      <c r="M59" t="s">
        <v>51</v>
      </c>
      <c r="N59">
        <v>3</v>
      </c>
      <c r="O59">
        <v>1</v>
      </c>
      <c r="P59" t="s">
        <v>60</v>
      </c>
      <c r="Q59">
        <v>1</v>
      </c>
      <c r="R59" t="s">
        <v>53</v>
      </c>
      <c r="S59">
        <v>93067</v>
      </c>
      <c r="T59" t="s">
        <v>70</v>
      </c>
      <c r="U59">
        <v>581.66999999999996</v>
      </c>
      <c r="V59">
        <v>3</v>
      </c>
      <c r="W59" t="s">
        <v>55</v>
      </c>
      <c r="X59">
        <v>13</v>
      </c>
      <c r="Y59">
        <v>3</v>
      </c>
      <c r="Z59">
        <v>3</v>
      </c>
      <c r="AA59">
        <v>1</v>
      </c>
      <c r="AB59">
        <v>3</v>
      </c>
      <c r="AC59">
        <v>3</v>
      </c>
      <c r="AD59">
        <v>3</v>
      </c>
      <c r="AE59">
        <v>0</v>
      </c>
      <c r="AF59">
        <v>0</v>
      </c>
      <c r="AG59">
        <v>0</v>
      </c>
      <c r="AH59">
        <v>0</v>
      </c>
      <c r="AI59">
        <f t="shared" si="0"/>
        <v>0</v>
      </c>
      <c r="AJ59" t="str">
        <f t="shared" si="1"/>
        <v>0-1 yr</v>
      </c>
      <c r="AK59" t="str">
        <f t="shared" si="2"/>
        <v>Recent</v>
      </c>
      <c r="AL59">
        <f t="shared" si="3"/>
        <v>1</v>
      </c>
      <c r="AM59" t="str">
        <f t="shared" si="4"/>
        <v>Low Risk</v>
      </c>
      <c r="AN59" s="6">
        <f t="shared" si="5"/>
        <v>0.88674320029366827</v>
      </c>
      <c r="AO59" s="7">
        <f t="shared" si="6"/>
        <v>1116804</v>
      </c>
    </row>
    <row r="60" spans="1:41" x14ac:dyDescent="0.3">
      <c r="A60" t="s">
        <v>129</v>
      </c>
      <c r="B60">
        <v>23</v>
      </c>
      <c r="C60" t="s">
        <v>46</v>
      </c>
      <c r="D60" t="s">
        <v>55</v>
      </c>
      <c r="E60" t="s">
        <v>48</v>
      </c>
      <c r="F60">
        <v>1309</v>
      </c>
      <c r="G60" t="s">
        <v>49</v>
      </c>
      <c r="H60">
        <v>26</v>
      </c>
      <c r="I60">
        <v>1</v>
      </c>
      <c r="J60" t="s">
        <v>50</v>
      </c>
      <c r="K60">
        <v>465</v>
      </c>
      <c r="L60">
        <v>3</v>
      </c>
      <c r="M60" t="s">
        <v>51</v>
      </c>
      <c r="N60">
        <v>3</v>
      </c>
      <c r="O60">
        <v>1</v>
      </c>
      <c r="P60" t="s">
        <v>67</v>
      </c>
      <c r="Q60">
        <v>4</v>
      </c>
      <c r="R60" t="s">
        <v>53</v>
      </c>
      <c r="S60">
        <v>68121</v>
      </c>
      <c r="T60" t="s">
        <v>64</v>
      </c>
      <c r="U60">
        <v>425.76</v>
      </c>
      <c r="V60">
        <v>1</v>
      </c>
      <c r="W60" t="s">
        <v>55</v>
      </c>
      <c r="X60">
        <v>12</v>
      </c>
      <c r="Y60">
        <v>3</v>
      </c>
      <c r="Z60">
        <v>3</v>
      </c>
      <c r="AA60">
        <v>2</v>
      </c>
      <c r="AB60">
        <v>4</v>
      </c>
      <c r="AC60">
        <v>2</v>
      </c>
      <c r="AD60">
        <v>2</v>
      </c>
      <c r="AE60">
        <v>4</v>
      </c>
      <c r="AF60">
        <v>2</v>
      </c>
      <c r="AG60">
        <v>0</v>
      </c>
      <c r="AH60">
        <v>2</v>
      </c>
      <c r="AI60">
        <f t="shared" si="0"/>
        <v>0</v>
      </c>
      <c r="AJ60" t="str">
        <f t="shared" si="1"/>
        <v>4-5 yrs</v>
      </c>
      <c r="AK60" t="str">
        <f t="shared" si="2"/>
        <v>Recent</v>
      </c>
      <c r="AL60">
        <f t="shared" si="3"/>
        <v>1</v>
      </c>
      <c r="AM60" t="str">
        <f t="shared" si="4"/>
        <v>Low Risk</v>
      </c>
      <c r="AN60" s="6">
        <f t="shared" si="5"/>
        <v>0.36607829239366468</v>
      </c>
      <c r="AO60" s="7">
        <f t="shared" si="6"/>
        <v>817452</v>
      </c>
    </row>
    <row r="61" spans="1:41" x14ac:dyDescent="0.3">
      <c r="A61" t="s">
        <v>130</v>
      </c>
      <c r="B61">
        <v>23</v>
      </c>
      <c r="C61" t="s">
        <v>46</v>
      </c>
      <c r="D61" t="s">
        <v>55</v>
      </c>
      <c r="E61" t="s">
        <v>48</v>
      </c>
      <c r="F61">
        <v>885</v>
      </c>
      <c r="G61" t="s">
        <v>49</v>
      </c>
      <c r="H61">
        <v>4</v>
      </c>
      <c r="I61">
        <v>3</v>
      </c>
      <c r="J61" t="s">
        <v>58</v>
      </c>
      <c r="K61">
        <v>705</v>
      </c>
      <c r="L61">
        <v>1</v>
      </c>
      <c r="M61" t="s">
        <v>51</v>
      </c>
      <c r="N61">
        <v>4</v>
      </c>
      <c r="O61">
        <v>1</v>
      </c>
      <c r="P61" t="s">
        <v>67</v>
      </c>
      <c r="Q61">
        <v>1</v>
      </c>
      <c r="R61" t="s">
        <v>113</v>
      </c>
      <c r="S61">
        <v>70479</v>
      </c>
      <c r="T61" t="s">
        <v>64</v>
      </c>
      <c r="U61">
        <v>440.49</v>
      </c>
      <c r="V61">
        <v>2</v>
      </c>
      <c r="W61" t="s">
        <v>55</v>
      </c>
      <c r="X61">
        <v>16</v>
      </c>
      <c r="Y61">
        <v>3</v>
      </c>
      <c r="Z61">
        <v>1</v>
      </c>
      <c r="AA61">
        <v>1</v>
      </c>
      <c r="AB61">
        <v>5</v>
      </c>
      <c r="AC61">
        <v>3</v>
      </c>
      <c r="AD61">
        <v>4</v>
      </c>
      <c r="AE61">
        <v>3</v>
      </c>
      <c r="AF61">
        <v>2</v>
      </c>
      <c r="AG61">
        <v>0</v>
      </c>
      <c r="AH61">
        <v>2</v>
      </c>
      <c r="AI61">
        <f t="shared" si="0"/>
        <v>0</v>
      </c>
      <c r="AJ61" t="str">
        <f t="shared" si="1"/>
        <v>2-3 yrs</v>
      </c>
      <c r="AK61" t="str">
        <f t="shared" si="2"/>
        <v>Recent</v>
      </c>
      <c r="AL61">
        <f t="shared" si="3"/>
        <v>1</v>
      </c>
      <c r="AM61" t="str">
        <f t="shared" si="4"/>
        <v>Low Risk</v>
      </c>
      <c r="AN61" s="6">
        <f t="shared" si="5"/>
        <v>0.41336492373296185</v>
      </c>
      <c r="AO61" s="7">
        <f t="shared" si="6"/>
        <v>845748</v>
      </c>
    </row>
    <row r="62" spans="1:41" x14ac:dyDescent="0.3">
      <c r="A62" t="s">
        <v>131</v>
      </c>
      <c r="B62">
        <v>23</v>
      </c>
      <c r="C62" t="s">
        <v>46</v>
      </c>
      <c r="D62" t="s">
        <v>55</v>
      </c>
      <c r="E62" t="s">
        <v>48</v>
      </c>
      <c r="F62">
        <v>650</v>
      </c>
      <c r="G62" t="s">
        <v>49</v>
      </c>
      <c r="H62">
        <v>9</v>
      </c>
      <c r="I62">
        <v>1</v>
      </c>
      <c r="J62" t="s">
        <v>58</v>
      </c>
      <c r="K62">
        <v>758</v>
      </c>
      <c r="L62">
        <v>2</v>
      </c>
      <c r="M62" t="s">
        <v>51</v>
      </c>
      <c r="N62">
        <v>3</v>
      </c>
      <c r="O62">
        <v>1</v>
      </c>
      <c r="P62" t="s">
        <v>52</v>
      </c>
      <c r="Q62">
        <v>1</v>
      </c>
      <c r="R62" t="s">
        <v>113</v>
      </c>
      <c r="S62">
        <v>90475</v>
      </c>
      <c r="T62" t="s">
        <v>70</v>
      </c>
      <c r="U62">
        <v>565.47</v>
      </c>
      <c r="V62">
        <v>1</v>
      </c>
      <c r="W62" t="s">
        <v>55</v>
      </c>
      <c r="X62">
        <v>14</v>
      </c>
      <c r="Y62">
        <v>3</v>
      </c>
      <c r="Z62">
        <v>4</v>
      </c>
      <c r="AA62">
        <v>1</v>
      </c>
      <c r="AB62">
        <v>5</v>
      </c>
      <c r="AC62">
        <v>2</v>
      </c>
      <c r="AD62">
        <v>4</v>
      </c>
      <c r="AE62">
        <v>4</v>
      </c>
      <c r="AF62">
        <v>3</v>
      </c>
      <c r="AG62">
        <v>0</v>
      </c>
      <c r="AH62">
        <v>2</v>
      </c>
      <c r="AI62">
        <f t="shared" si="0"/>
        <v>0</v>
      </c>
      <c r="AJ62" t="str">
        <f t="shared" si="1"/>
        <v>4-5 yrs</v>
      </c>
      <c r="AK62" t="str">
        <f t="shared" si="2"/>
        <v>Recent</v>
      </c>
      <c r="AL62">
        <f t="shared" si="3"/>
        <v>1</v>
      </c>
      <c r="AM62" t="str">
        <f t="shared" si="4"/>
        <v>Low Risk</v>
      </c>
      <c r="AN62" s="6">
        <f t="shared" si="5"/>
        <v>0.74930303789256725</v>
      </c>
      <c r="AO62" s="7">
        <f t="shared" si="6"/>
        <v>1085700</v>
      </c>
    </row>
    <row r="63" spans="1:41" x14ac:dyDescent="0.3">
      <c r="A63" t="s">
        <v>132</v>
      </c>
      <c r="B63">
        <v>23</v>
      </c>
      <c r="C63" t="s">
        <v>46</v>
      </c>
      <c r="D63" t="s">
        <v>55</v>
      </c>
      <c r="E63" t="s">
        <v>48</v>
      </c>
      <c r="F63">
        <v>310</v>
      </c>
      <c r="G63" t="s">
        <v>49</v>
      </c>
      <c r="H63">
        <v>10</v>
      </c>
      <c r="I63">
        <v>1</v>
      </c>
      <c r="J63" t="s">
        <v>58</v>
      </c>
      <c r="K63">
        <v>784</v>
      </c>
      <c r="L63">
        <v>1</v>
      </c>
      <c r="M63" t="s">
        <v>51</v>
      </c>
      <c r="N63">
        <v>4</v>
      </c>
      <c r="O63">
        <v>1</v>
      </c>
      <c r="P63" t="s">
        <v>67</v>
      </c>
      <c r="Q63">
        <v>3</v>
      </c>
      <c r="R63" t="s">
        <v>53</v>
      </c>
      <c r="S63">
        <v>20457</v>
      </c>
      <c r="T63" t="s">
        <v>54</v>
      </c>
      <c r="U63">
        <v>127.86</v>
      </c>
      <c r="V63">
        <v>1</v>
      </c>
      <c r="W63" t="s">
        <v>55</v>
      </c>
      <c r="X63">
        <v>18</v>
      </c>
      <c r="Y63">
        <v>3</v>
      </c>
      <c r="Z63">
        <v>4</v>
      </c>
      <c r="AA63">
        <v>0</v>
      </c>
      <c r="AB63">
        <v>2</v>
      </c>
      <c r="AC63">
        <v>3</v>
      </c>
      <c r="AD63">
        <v>3</v>
      </c>
      <c r="AE63">
        <v>2</v>
      </c>
      <c r="AF63">
        <v>2</v>
      </c>
      <c r="AG63">
        <v>0</v>
      </c>
      <c r="AH63">
        <v>2</v>
      </c>
      <c r="AI63">
        <f t="shared" si="0"/>
        <v>0</v>
      </c>
      <c r="AJ63" t="str">
        <f t="shared" si="1"/>
        <v>2-3 yrs</v>
      </c>
      <c r="AK63" t="str">
        <f t="shared" si="2"/>
        <v>Recent</v>
      </c>
      <c r="AL63">
        <f t="shared" si="3"/>
        <v>0</v>
      </c>
      <c r="AM63" t="str">
        <f t="shared" si="4"/>
        <v>Minimal Risk</v>
      </c>
      <c r="AN63" s="6">
        <f t="shared" si="5"/>
        <v>-0.58976140063273885</v>
      </c>
      <c r="AO63" s="7">
        <f t="shared" si="6"/>
        <v>245484</v>
      </c>
    </row>
    <row r="64" spans="1:41" x14ac:dyDescent="0.3">
      <c r="A64" t="s">
        <v>133</v>
      </c>
      <c r="B64">
        <v>23</v>
      </c>
      <c r="C64" t="s">
        <v>46</v>
      </c>
      <c r="D64" t="s">
        <v>47</v>
      </c>
      <c r="E64" t="s">
        <v>48</v>
      </c>
      <c r="F64">
        <v>1243</v>
      </c>
      <c r="G64" t="s">
        <v>49</v>
      </c>
      <c r="H64">
        <v>6</v>
      </c>
      <c r="I64">
        <v>3</v>
      </c>
      <c r="J64" t="s">
        <v>50</v>
      </c>
      <c r="K64">
        <v>811</v>
      </c>
      <c r="L64">
        <v>3</v>
      </c>
      <c r="M64" t="s">
        <v>51</v>
      </c>
      <c r="N64">
        <v>4</v>
      </c>
      <c r="O64">
        <v>1</v>
      </c>
      <c r="P64" t="s">
        <v>52</v>
      </c>
      <c r="Q64">
        <v>1</v>
      </c>
      <c r="R64" t="s">
        <v>113</v>
      </c>
      <c r="S64">
        <v>67557</v>
      </c>
      <c r="T64" t="s">
        <v>64</v>
      </c>
      <c r="U64">
        <v>422.23</v>
      </c>
      <c r="V64">
        <v>1</v>
      </c>
      <c r="W64" t="s">
        <v>47</v>
      </c>
      <c r="X64">
        <v>21</v>
      </c>
      <c r="Y64">
        <v>4</v>
      </c>
      <c r="Z64">
        <v>3</v>
      </c>
      <c r="AA64">
        <v>2</v>
      </c>
      <c r="AB64">
        <v>1</v>
      </c>
      <c r="AC64">
        <v>2</v>
      </c>
      <c r="AD64">
        <v>3</v>
      </c>
      <c r="AE64">
        <v>0</v>
      </c>
      <c r="AF64">
        <v>0</v>
      </c>
      <c r="AG64">
        <v>0</v>
      </c>
      <c r="AH64">
        <v>0</v>
      </c>
      <c r="AI64">
        <f t="shared" si="0"/>
        <v>1</v>
      </c>
      <c r="AJ64" t="str">
        <f t="shared" si="1"/>
        <v>0-1 yr</v>
      </c>
      <c r="AK64" t="str">
        <f t="shared" si="2"/>
        <v>Recent</v>
      </c>
      <c r="AL64">
        <f t="shared" si="3"/>
        <v>2</v>
      </c>
      <c r="AM64" t="str">
        <f t="shared" si="4"/>
        <v>Medium Risk</v>
      </c>
      <c r="AN64" s="6">
        <f t="shared" si="5"/>
        <v>0.30619138249138622</v>
      </c>
      <c r="AO64" s="7">
        <f t="shared" si="6"/>
        <v>810684</v>
      </c>
    </row>
    <row r="65" spans="1:41" x14ac:dyDescent="0.3">
      <c r="A65" t="s">
        <v>134</v>
      </c>
      <c r="B65">
        <v>23</v>
      </c>
      <c r="C65" t="s">
        <v>46</v>
      </c>
      <c r="D65" t="s">
        <v>55</v>
      </c>
      <c r="E65" t="s">
        <v>48</v>
      </c>
      <c r="F65">
        <v>373</v>
      </c>
      <c r="G65" t="s">
        <v>49</v>
      </c>
      <c r="H65">
        <v>1</v>
      </c>
      <c r="I65">
        <v>2</v>
      </c>
      <c r="J65" t="s">
        <v>50</v>
      </c>
      <c r="K65">
        <v>1270</v>
      </c>
      <c r="L65">
        <v>4</v>
      </c>
      <c r="M65" t="s">
        <v>51</v>
      </c>
      <c r="N65">
        <v>3</v>
      </c>
      <c r="O65">
        <v>1</v>
      </c>
      <c r="P65" t="s">
        <v>67</v>
      </c>
      <c r="Q65">
        <v>3</v>
      </c>
      <c r="R65" t="s">
        <v>113</v>
      </c>
      <c r="S65">
        <v>78189</v>
      </c>
      <c r="T65" t="s">
        <v>64</v>
      </c>
      <c r="U65">
        <v>488.68</v>
      </c>
      <c r="V65">
        <v>1</v>
      </c>
      <c r="W65" t="s">
        <v>55</v>
      </c>
      <c r="X65">
        <v>22</v>
      </c>
      <c r="Y65">
        <v>4</v>
      </c>
      <c r="Z65">
        <v>4</v>
      </c>
      <c r="AA65">
        <v>1</v>
      </c>
      <c r="AB65">
        <v>1</v>
      </c>
      <c r="AC65">
        <v>2</v>
      </c>
      <c r="AD65">
        <v>3</v>
      </c>
      <c r="AE65">
        <v>1</v>
      </c>
      <c r="AF65">
        <v>0</v>
      </c>
      <c r="AG65">
        <v>0</v>
      </c>
      <c r="AH65">
        <v>1</v>
      </c>
      <c r="AI65">
        <f t="shared" si="0"/>
        <v>0</v>
      </c>
      <c r="AJ65" t="str">
        <f t="shared" si="1"/>
        <v>0-1 yr</v>
      </c>
      <c r="AK65" t="str">
        <f t="shared" si="2"/>
        <v>Recent</v>
      </c>
      <c r="AL65">
        <f t="shared" si="3"/>
        <v>0</v>
      </c>
      <c r="AM65" t="str">
        <f t="shared" si="4"/>
        <v>Minimal Risk</v>
      </c>
      <c r="AN65" s="6">
        <f t="shared" si="5"/>
        <v>0.56797897276857723</v>
      </c>
      <c r="AO65" s="7">
        <f t="shared" si="6"/>
        <v>938268</v>
      </c>
    </row>
    <row r="66" spans="1:41" x14ac:dyDescent="0.3">
      <c r="A66" t="s">
        <v>135</v>
      </c>
      <c r="B66">
        <v>23</v>
      </c>
      <c r="C66" t="s">
        <v>46</v>
      </c>
      <c r="D66" t="s">
        <v>55</v>
      </c>
      <c r="E66" t="s">
        <v>48</v>
      </c>
      <c r="F66">
        <v>507</v>
      </c>
      <c r="G66" t="s">
        <v>49</v>
      </c>
      <c r="H66">
        <v>20</v>
      </c>
      <c r="I66">
        <v>1</v>
      </c>
      <c r="J66" t="s">
        <v>50</v>
      </c>
      <c r="K66">
        <v>1533</v>
      </c>
      <c r="L66">
        <v>1</v>
      </c>
      <c r="M66" t="s">
        <v>51</v>
      </c>
      <c r="N66">
        <v>3</v>
      </c>
      <c r="O66">
        <v>2</v>
      </c>
      <c r="P66" t="s">
        <v>52</v>
      </c>
      <c r="Q66">
        <v>3</v>
      </c>
      <c r="R66" t="s">
        <v>53</v>
      </c>
      <c r="S66">
        <v>79953</v>
      </c>
      <c r="T66" t="s">
        <v>64</v>
      </c>
      <c r="U66">
        <v>499.71</v>
      </c>
      <c r="V66">
        <v>0</v>
      </c>
      <c r="W66" t="s">
        <v>55</v>
      </c>
      <c r="X66">
        <v>14</v>
      </c>
      <c r="Y66">
        <v>3</v>
      </c>
      <c r="Z66">
        <v>2</v>
      </c>
      <c r="AA66">
        <v>0</v>
      </c>
      <c r="AB66">
        <v>5</v>
      </c>
      <c r="AC66">
        <v>2</v>
      </c>
      <c r="AD66">
        <v>3</v>
      </c>
      <c r="AE66">
        <v>4</v>
      </c>
      <c r="AF66">
        <v>3</v>
      </c>
      <c r="AG66">
        <v>1</v>
      </c>
      <c r="AH66">
        <v>2</v>
      </c>
      <c r="AI66">
        <f t="shared" ref="AI66:AI129" si="7">IF(D66="Yes",1,0)</f>
        <v>0</v>
      </c>
      <c r="AJ66" t="str">
        <f t="shared" ref="AJ66:AJ129" si="8">IF(AE66&lt;=1,"0-1 yr",IF(AE66&lt;=3,"2-3 yrs",IF(AE66&lt;=5,"4-5 yrs",IF(AE66&lt;=10,"6-10 yrs","10+ yrs"))))</f>
        <v>4-5 yrs</v>
      </c>
      <c r="AK66" t="str">
        <f t="shared" ref="AK66:AK129" si="9">IF(AG66&gt;=3,"Overdue","Recent")</f>
        <v>Recent</v>
      </c>
      <c r="AL66">
        <f t="shared" ref="AL66:AL129" si="10">IF(W66="Yes",1,0)+IF(AD66&lt;=2,1,0)+IF(Q66&lt;=2,1,0)+IF(AG66&gt;=3,1,0)</f>
        <v>0</v>
      </c>
      <c r="AM66" t="str">
        <f t="shared" ref="AM66:AM129" si="11">IF(AL66&gt;=3,"High Risk",IF(AL66=2,"Medium Risk",IF(AL66=1,"Low Risk","Minimal Risk")))</f>
        <v>Minimal Risk</v>
      </c>
      <c r="AN66" s="6">
        <f t="shared" ref="AN66:AN129" si="12">IFERROR((S66-AVERAGEIF(P$2:P$1479,P66,S$2:S$1479))/AVERAGEIF(P$2:P$1479,P66,S$2:S$1479),0)</f>
        <v>0.54586378323983897</v>
      </c>
      <c r="AO66" s="7">
        <f t="shared" ref="AO66:AO129" si="13">S66*12</f>
        <v>959436</v>
      </c>
    </row>
    <row r="67" spans="1:41" x14ac:dyDescent="0.3">
      <c r="A67" t="s">
        <v>136</v>
      </c>
      <c r="B67">
        <v>23</v>
      </c>
      <c r="C67" t="s">
        <v>46</v>
      </c>
      <c r="D67" t="s">
        <v>55</v>
      </c>
      <c r="E67" t="s">
        <v>48</v>
      </c>
      <c r="F67">
        <v>977</v>
      </c>
      <c r="G67" t="s">
        <v>49</v>
      </c>
      <c r="H67">
        <v>10</v>
      </c>
      <c r="I67">
        <v>3</v>
      </c>
      <c r="J67" t="s">
        <v>77</v>
      </c>
      <c r="K67">
        <v>1592</v>
      </c>
      <c r="L67">
        <v>4</v>
      </c>
      <c r="M67" t="s">
        <v>51</v>
      </c>
      <c r="N67">
        <v>4</v>
      </c>
      <c r="O67">
        <v>1</v>
      </c>
      <c r="P67" t="s">
        <v>67</v>
      </c>
      <c r="Q67">
        <v>3</v>
      </c>
      <c r="R67" t="s">
        <v>113</v>
      </c>
      <c r="S67">
        <v>53995</v>
      </c>
      <c r="T67" t="s">
        <v>64</v>
      </c>
      <c r="U67">
        <v>337.47</v>
      </c>
      <c r="V67">
        <v>2</v>
      </c>
      <c r="W67" t="s">
        <v>55</v>
      </c>
      <c r="X67">
        <v>16</v>
      </c>
      <c r="Y67">
        <v>3</v>
      </c>
      <c r="Z67">
        <v>4</v>
      </c>
      <c r="AA67">
        <v>1</v>
      </c>
      <c r="AB67">
        <v>4</v>
      </c>
      <c r="AC67">
        <v>2</v>
      </c>
      <c r="AD67">
        <v>3</v>
      </c>
      <c r="AE67">
        <v>2</v>
      </c>
      <c r="AF67">
        <v>2</v>
      </c>
      <c r="AG67">
        <v>2</v>
      </c>
      <c r="AH67">
        <v>2</v>
      </c>
      <c r="AI67">
        <f t="shared" si="7"/>
        <v>0</v>
      </c>
      <c r="AJ67" t="str">
        <f t="shared" si="8"/>
        <v>2-3 yrs</v>
      </c>
      <c r="AK67" t="str">
        <f t="shared" si="9"/>
        <v>Recent</v>
      </c>
      <c r="AL67">
        <f t="shared" si="10"/>
        <v>0</v>
      </c>
      <c r="AM67" t="str">
        <f t="shared" si="11"/>
        <v>Minimal Risk</v>
      </c>
      <c r="AN67" s="6">
        <f t="shared" si="12"/>
        <v>8.2799685820759014E-2</v>
      </c>
      <c r="AO67" s="7">
        <f t="shared" si="13"/>
        <v>647940</v>
      </c>
    </row>
    <row r="68" spans="1:41" x14ac:dyDescent="0.3">
      <c r="A68" t="s">
        <v>137</v>
      </c>
      <c r="B68">
        <v>23</v>
      </c>
      <c r="C68" t="s">
        <v>46</v>
      </c>
      <c r="D68" t="s">
        <v>47</v>
      </c>
      <c r="E68" t="s">
        <v>48</v>
      </c>
      <c r="F68">
        <v>1320</v>
      </c>
      <c r="G68" t="s">
        <v>49</v>
      </c>
      <c r="H68">
        <v>8</v>
      </c>
      <c r="I68">
        <v>1</v>
      </c>
      <c r="J68" t="s">
        <v>58</v>
      </c>
      <c r="K68">
        <v>1684</v>
      </c>
      <c r="L68">
        <v>4</v>
      </c>
      <c r="M68" t="s">
        <v>51</v>
      </c>
      <c r="N68">
        <v>2</v>
      </c>
      <c r="O68">
        <v>1</v>
      </c>
      <c r="P68" t="s">
        <v>52</v>
      </c>
      <c r="Q68">
        <v>3</v>
      </c>
      <c r="R68" t="s">
        <v>53</v>
      </c>
      <c r="S68">
        <v>41757</v>
      </c>
      <c r="T68" t="s">
        <v>72</v>
      </c>
      <c r="U68">
        <v>260.98</v>
      </c>
      <c r="V68">
        <v>1</v>
      </c>
      <c r="W68" t="s">
        <v>47</v>
      </c>
      <c r="X68">
        <v>11</v>
      </c>
      <c r="Y68">
        <v>3</v>
      </c>
      <c r="Z68">
        <v>1</v>
      </c>
      <c r="AA68">
        <v>0</v>
      </c>
      <c r="AB68">
        <v>5</v>
      </c>
      <c r="AC68">
        <v>2</v>
      </c>
      <c r="AD68">
        <v>3</v>
      </c>
      <c r="AE68">
        <v>5</v>
      </c>
      <c r="AF68">
        <v>4</v>
      </c>
      <c r="AG68">
        <v>1</v>
      </c>
      <c r="AH68">
        <v>2</v>
      </c>
      <c r="AI68">
        <f t="shared" si="7"/>
        <v>1</v>
      </c>
      <c r="AJ68" t="str">
        <f t="shared" si="8"/>
        <v>4-5 yrs</v>
      </c>
      <c r="AK68" t="str">
        <f t="shared" si="9"/>
        <v>Recent</v>
      </c>
      <c r="AL68">
        <f t="shared" si="10"/>
        <v>1</v>
      </c>
      <c r="AM68" t="str">
        <f t="shared" si="11"/>
        <v>Low Risk</v>
      </c>
      <c r="AN68" s="6">
        <f t="shared" si="12"/>
        <v>-0.19264275265786204</v>
      </c>
      <c r="AO68" s="7">
        <f t="shared" si="13"/>
        <v>501084</v>
      </c>
    </row>
    <row r="69" spans="1:41" x14ac:dyDescent="0.3">
      <c r="A69" t="s">
        <v>138</v>
      </c>
      <c r="B69">
        <v>23</v>
      </c>
      <c r="C69" t="s">
        <v>46</v>
      </c>
      <c r="D69" t="s">
        <v>47</v>
      </c>
      <c r="E69" t="s">
        <v>48</v>
      </c>
      <c r="F69">
        <v>427</v>
      </c>
      <c r="G69" t="s">
        <v>57</v>
      </c>
      <c r="H69">
        <v>7</v>
      </c>
      <c r="I69">
        <v>3</v>
      </c>
      <c r="J69" t="s">
        <v>50</v>
      </c>
      <c r="K69">
        <v>1702</v>
      </c>
      <c r="L69">
        <v>3</v>
      </c>
      <c r="M69" t="s">
        <v>51</v>
      </c>
      <c r="N69">
        <v>3</v>
      </c>
      <c r="O69">
        <v>1</v>
      </c>
      <c r="P69" t="s">
        <v>60</v>
      </c>
      <c r="Q69">
        <v>4</v>
      </c>
      <c r="R69" t="s">
        <v>53</v>
      </c>
      <c r="S69">
        <v>10692</v>
      </c>
      <c r="T69" t="s">
        <v>54</v>
      </c>
      <c r="U69">
        <v>66.819999999999993</v>
      </c>
      <c r="V69">
        <v>1</v>
      </c>
      <c r="W69" t="s">
        <v>47</v>
      </c>
      <c r="X69">
        <v>21</v>
      </c>
      <c r="Y69">
        <v>4</v>
      </c>
      <c r="Z69">
        <v>2</v>
      </c>
      <c r="AA69">
        <v>1</v>
      </c>
      <c r="AB69">
        <v>3</v>
      </c>
      <c r="AC69">
        <v>2</v>
      </c>
      <c r="AD69">
        <v>3</v>
      </c>
      <c r="AE69">
        <v>3</v>
      </c>
      <c r="AF69">
        <v>2</v>
      </c>
      <c r="AG69">
        <v>0</v>
      </c>
      <c r="AH69">
        <v>2</v>
      </c>
      <c r="AI69">
        <f t="shared" si="7"/>
        <v>1</v>
      </c>
      <c r="AJ69" t="str">
        <f t="shared" si="8"/>
        <v>2-3 yrs</v>
      </c>
      <c r="AK69" t="str">
        <f t="shared" si="9"/>
        <v>Recent</v>
      </c>
      <c r="AL69">
        <f t="shared" si="10"/>
        <v>1</v>
      </c>
      <c r="AM69" t="str">
        <f t="shared" si="11"/>
        <v>Low Risk</v>
      </c>
      <c r="AN69" s="6">
        <f t="shared" si="12"/>
        <v>-0.78324155396069606</v>
      </c>
      <c r="AO69" s="7">
        <f t="shared" si="13"/>
        <v>128304</v>
      </c>
    </row>
    <row r="70" spans="1:41" x14ac:dyDescent="0.3">
      <c r="A70" t="s">
        <v>139</v>
      </c>
      <c r="B70">
        <v>23</v>
      </c>
      <c r="C70" t="s">
        <v>46</v>
      </c>
      <c r="D70" t="s">
        <v>55</v>
      </c>
      <c r="E70" t="s">
        <v>48</v>
      </c>
      <c r="F70">
        <v>160</v>
      </c>
      <c r="G70" t="s">
        <v>49</v>
      </c>
      <c r="H70">
        <v>4</v>
      </c>
      <c r="I70">
        <v>1</v>
      </c>
      <c r="J70" t="s">
        <v>58</v>
      </c>
      <c r="K70">
        <v>1735</v>
      </c>
      <c r="L70">
        <v>3</v>
      </c>
      <c r="M70" t="s">
        <v>59</v>
      </c>
      <c r="N70">
        <v>3</v>
      </c>
      <c r="O70">
        <v>1</v>
      </c>
      <c r="P70" t="s">
        <v>52</v>
      </c>
      <c r="Q70">
        <v>2</v>
      </c>
      <c r="R70" t="s">
        <v>53</v>
      </c>
      <c r="S70">
        <v>46758</v>
      </c>
      <c r="T70" t="s">
        <v>72</v>
      </c>
      <c r="U70">
        <v>292.24</v>
      </c>
      <c r="V70">
        <v>1</v>
      </c>
      <c r="W70" t="s">
        <v>55</v>
      </c>
      <c r="X70">
        <v>13</v>
      </c>
      <c r="Y70">
        <v>3</v>
      </c>
      <c r="Z70">
        <v>3</v>
      </c>
      <c r="AA70">
        <v>0</v>
      </c>
      <c r="AB70">
        <v>3</v>
      </c>
      <c r="AC70">
        <v>3</v>
      </c>
      <c r="AD70">
        <v>1</v>
      </c>
      <c r="AE70">
        <v>3</v>
      </c>
      <c r="AF70">
        <v>2</v>
      </c>
      <c r="AG70">
        <v>1</v>
      </c>
      <c r="AH70">
        <v>2</v>
      </c>
      <c r="AI70">
        <f t="shared" si="7"/>
        <v>0</v>
      </c>
      <c r="AJ70" t="str">
        <f t="shared" si="8"/>
        <v>2-3 yrs</v>
      </c>
      <c r="AK70" t="str">
        <f t="shared" si="9"/>
        <v>Recent</v>
      </c>
      <c r="AL70">
        <f t="shared" si="10"/>
        <v>2</v>
      </c>
      <c r="AM70" t="str">
        <f t="shared" si="11"/>
        <v>Medium Risk</v>
      </c>
      <c r="AN70" s="6">
        <f t="shared" si="12"/>
        <v>-9.5950135995792635E-2</v>
      </c>
      <c r="AO70" s="7">
        <f t="shared" si="13"/>
        <v>561096</v>
      </c>
    </row>
    <row r="71" spans="1:41" x14ac:dyDescent="0.3">
      <c r="A71" t="s">
        <v>140</v>
      </c>
      <c r="B71">
        <v>23</v>
      </c>
      <c r="C71" t="s">
        <v>46</v>
      </c>
      <c r="D71" t="s">
        <v>55</v>
      </c>
      <c r="E71" t="s">
        <v>48</v>
      </c>
      <c r="F71">
        <v>571</v>
      </c>
      <c r="G71" t="s">
        <v>49</v>
      </c>
      <c r="H71">
        <v>12</v>
      </c>
      <c r="I71">
        <v>2</v>
      </c>
      <c r="J71" t="s">
        <v>82</v>
      </c>
      <c r="K71">
        <v>1982</v>
      </c>
      <c r="L71">
        <v>4</v>
      </c>
      <c r="M71" t="s">
        <v>51</v>
      </c>
      <c r="N71">
        <v>3</v>
      </c>
      <c r="O71">
        <v>1</v>
      </c>
      <c r="P71" t="s">
        <v>52</v>
      </c>
      <c r="Q71">
        <v>4</v>
      </c>
      <c r="R71" t="s">
        <v>53</v>
      </c>
      <c r="S71">
        <v>73409</v>
      </c>
      <c r="T71" t="s">
        <v>64</v>
      </c>
      <c r="U71">
        <v>458.81</v>
      </c>
      <c r="V71">
        <v>1</v>
      </c>
      <c r="W71" t="s">
        <v>55</v>
      </c>
      <c r="X71">
        <v>13</v>
      </c>
      <c r="Y71">
        <v>3</v>
      </c>
      <c r="Z71">
        <v>3</v>
      </c>
      <c r="AA71">
        <v>0</v>
      </c>
      <c r="AB71">
        <v>5</v>
      </c>
      <c r="AC71">
        <v>6</v>
      </c>
      <c r="AD71">
        <v>4</v>
      </c>
      <c r="AE71">
        <v>5</v>
      </c>
      <c r="AF71">
        <v>2</v>
      </c>
      <c r="AG71">
        <v>1</v>
      </c>
      <c r="AH71">
        <v>4</v>
      </c>
      <c r="AI71">
        <f t="shared" si="7"/>
        <v>0</v>
      </c>
      <c r="AJ71" t="str">
        <f t="shared" si="8"/>
        <v>4-5 yrs</v>
      </c>
      <c r="AK71" t="str">
        <f t="shared" si="9"/>
        <v>Recent</v>
      </c>
      <c r="AL71">
        <f t="shared" si="10"/>
        <v>0</v>
      </c>
      <c r="AM71" t="str">
        <f t="shared" si="11"/>
        <v>Minimal Risk</v>
      </c>
      <c r="AN71" s="6">
        <f t="shared" si="12"/>
        <v>0.41933779175082037</v>
      </c>
      <c r="AO71" s="7">
        <f t="shared" si="13"/>
        <v>880908</v>
      </c>
    </row>
    <row r="72" spans="1:41" x14ac:dyDescent="0.3">
      <c r="A72" t="s">
        <v>141</v>
      </c>
      <c r="B72">
        <v>23</v>
      </c>
      <c r="C72" t="s">
        <v>46</v>
      </c>
      <c r="D72" t="s">
        <v>47</v>
      </c>
      <c r="E72" t="s">
        <v>62</v>
      </c>
      <c r="F72">
        <v>638</v>
      </c>
      <c r="G72" t="s">
        <v>57</v>
      </c>
      <c r="H72">
        <v>9</v>
      </c>
      <c r="I72">
        <v>3</v>
      </c>
      <c r="J72" t="s">
        <v>63</v>
      </c>
      <c r="K72">
        <v>2023</v>
      </c>
      <c r="L72">
        <v>4</v>
      </c>
      <c r="M72" t="s">
        <v>51</v>
      </c>
      <c r="N72">
        <v>3</v>
      </c>
      <c r="O72">
        <v>1</v>
      </c>
      <c r="P72" t="s">
        <v>60</v>
      </c>
      <c r="Q72">
        <v>1</v>
      </c>
      <c r="R72" t="s">
        <v>113</v>
      </c>
      <c r="S72">
        <v>72211</v>
      </c>
      <c r="T72" t="s">
        <v>64</v>
      </c>
      <c r="U72">
        <v>451.32</v>
      </c>
      <c r="V72">
        <v>1</v>
      </c>
      <c r="W72" t="s">
        <v>55</v>
      </c>
      <c r="X72">
        <v>19</v>
      </c>
      <c r="Y72">
        <v>3</v>
      </c>
      <c r="Z72">
        <v>1</v>
      </c>
      <c r="AA72">
        <v>1</v>
      </c>
      <c r="AB72">
        <v>1</v>
      </c>
      <c r="AC72">
        <v>3</v>
      </c>
      <c r="AD72">
        <v>2</v>
      </c>
      <c r="AE72">
        <v>1</v>
      </c>
      <c r="AF72">
        <v>0</v>
      </c>
      <c r="AG72">
        <v>1</v>
      </c>
      <c r="AH72">
        <v>0</v>
      </c>
      <c r="AI72">
        <f t="shared" si="7"/>
        <v>1</v>
      </c>
      <c r="AJ72" t="str">
        <f t="shared" si="8"/>
        <v>0-1 yr</v>
      </c>
      <c r="AK72" t="str">
        <f t="shared" si="9"/>
        <v>Recent</v>
      </c>
      <c r="AL72">
        <f t="shared" si="10"/>
        <v>2</v>
      </c>
      <c r="AM72" t="str">
        <f t="shared" si="11"/>
        <v>Medium Risk</v>
      </c>
      <c r="AN72" s="6">
        <f t="shared" si="12"/>
        <v>0.46393042900712478</v>
      </c>
      <c r="AO72" s="7">
        <f t="shared" si="13"/>
        <v>866532</v>
      </c>
    </row>
    <row r="73" spans="1:41" x14ac:dyDescent="0.3">
      <c r="A73" t="s">
        <v>142</v>
      </c>
      <c r="B73">
        <v>24</v>
      </c>
      <c r="C73" t="s">
        <v>46</v>
      </c>
      <c r="D73" t="s">
        <v>55</v>
      </c>
      <c r="E73" t="s">
        <v>66</v>
      </c>
      <c r="F73">
        <v>673</v>
      </c>
      <c r="G73" t="s">
        <v>49</v>
      </c>
      <c r="H73">
        <v>11</v>
      </c>
      <c r="I73">
        <v>2</v>
      </c>
      <c r="J73" t="s">
        <v>82</v>
      </c>
      <c r="K73">
        <v>26</v>
      </c>
      <c r="L73">
        <v>1</v>
      </c>
      <c r="M73" t="s">
        <v>59</v>
      </c>
      <c r="N73">
        <v>4</v>
      </c>
      <c r="O73">
        <v>2</v>
      </c>
      <c r="P73" t="s">
        <v>120</v>
      </c>
      <c r="Q73">
        <v>3</v>
      </c>
      <c r="R73" t="s">
        <v>53</v>
      </c>
      <c r="S73">
        <v>66697</v>
      </c>
      <c r="T73" t="s">
        <v>64</v>
      </c>
      <c r="U73">
        <v>416.86</v>
      </c>
      <c r="V73">
        <v>0</v>
      </c>
      <c r="W73" t="s">
        <v>55</v>
      </c>
      <c r="X73">
        <v>18</v>
      </c>
      <c r="Y73">
        <v>3</v>
      </c>
      <c r="Z73">
        <v>4</v>
      </c>
      <c r="AA73">
        <v>1</v>
      </c>
      <c r="AB73">
        <v>5</v>
      </c>
      <c r="AC73">
        <v>5</v>
      </c>
      <c r="AD73">
        <v>2</v>
      </c>
      <c r="AE73">
        <v>4</v>
      </c>
      <c r="AF73">
        <v>2</v>
      </c>
      <c r="AG73">
        <v>1</v>
      </c>
      <c r="AH73">
        <v>3</v>
      </c>
      <c r="AI73">
        <f t="shared" si="7"/>
        <v>0</v>
      </c>
      <c r="AJ73" t="str">
        <f t="shared" si="8"/>
        <v>4-5 yrs</v>
      </c>
      <c r="AK73" t="str">
        <f t="shared" si="9"/>
        <v>Recent</v>
      </c>
      <c r="AL73">
        <f t="shared" si="10"/>
        <v>1</v>
      </c>
      <c r="AM73" t="str">
        <f t="shared" si="11"/>
        <v>Low Risk</v>
      </c>
      <c r="AN73" s="6">
        <f t="shared" si="12"/>
        <v>0.50573416075999211</v>
      </c>
      <c r="AO73" s="7">
        <f t="shared" si="13"/>
        <v>800364</v>
      </c>
    </row>
    <row r="74" spans="1:41" x14ac:dyDescent="0.3">
      <c r="A74" t="s">
        <v>143</v>
      </c>
      <c r="B74">
        <v>24</v>
      </c>
      <c r="C74" t="s">
        <v>46</v>
      </c>
      <c r="D74" t="s">
        <v>47</v>
      </c>
      <c r="E74" t="s">
        <v>48</v>
      </c>
      <c r="F74">
        <v>813</v>
      </c>
      <c r="G74" t="s">
        <v>49</v>
      </c>
      <c r="H74">
        <v>1</v>
      </c>
      <c r="I74">
        <v>3</v>
      </c>
      <c r="J74" t="s">
        <v>58</v>
      </c>
      <c r="K74">
        <v>45</v>
      </c>
      <c r="L74">
        <v>2</v>
      </c>
      <c r="M74" t="s">
        <v>51</v>
      </c>
      <c r="N74">
        <v>3</v>
      </c>
      <c r="O74">
        <v>1</v>
      </c>
      <c r="P74" t="s">
        <v>67</v>
      </c>
      <c r="Q74">
        <v>4</v>
      </c>
      <c r="R74" t="s">
        <v>113</v>
      </c>
      <c r="S74">
        <v>38065</v>
      </c>
      <c r="T74" t="s">
        <v>72</v>
      </c>
      <c r="U74">
        <v>237.91</v>
      </c>
      <c r="V74">
        <v>2</v>
      </c>
      <c r="W74" t="s">
        <v>47</v>
      </c>
      <c r="X74">
        <v>16</v>
      </c>
      <c r="Y74">
        <v>3</v>
      </c>
      <c r="Z74">
        <v>1</v>
      </c>
      <c r="AA74">
        <v>1</v>
      </c>
      <c r="AB74">
        <v>6</v>
      </c>
      <c r="AC74">
        <v>2</v>
      </c>
      <c r="AD74">
        <v>2</v>
      </c>
      <c r="AE74">
        <v>2</v>
      </c>
      <c r="AF74">
        <v>0</v>
      </c>
      <c r="AG74">
        <v>2</v>
      </c>
      <c r="AH74">
        <v>0</v>
      </c>
      <c r="AI74">
        <f t="shared" si="7"/>
        <v>1</v>
      </c>
      <c r="AJ74" t="str">
        <f t="shared" si="8"/>
        <v>2-3 yrs</v>
      </c>
      <c r="AK74" t="str">
        <f t="shared" si="9"/>
        <v>Recent</v>
      </c>
      <c r="AL74">
        <f t="shared" si="10"/>
        <v>2</v>
      </c>
      <c r="AM74" t="str">
        <f t="shared" si="11"/>
        <v>Medium Risk</v>
      </c>
      <c r="AN74" s="6">
        <f t="shared" si="12"/>
        <v>-0.23665580070808054</v>
      </c>
      <c r="AO74" s="7">
        <f t="shared" si="13"/>
        <v>456780</v>
      </c>
    </row>
    <row r="75" spans="1:41" x14ac:dyDescent="0.3">
      <c r="A75" t="s">
        <v>144</v>
      </c>
      <c r="B75">
        <v>24</v>
      </c>
      <c r="C75" t="s">
        <v>46</v>
      </c>
      <c r="D75" t="s">
        <v>55</v>
      </c>
      <c r="E75" t="s">
        <v>48</v>
      </c>
      <c r="F75">
        <v>1353</v>
      </c>
      <c r="G75" t="s">
        <v>57</v>
      </c>
      <c r="H75">
        <v>3</v>
      </c>
      <c r="I75">
        <v>2</v>
      </c>
      <c r="J75" t="s">
        <v>82</v>
      </c>
      <c r="K75">
        <v>128</v>
      </c>
      <c r="L75">
        <v>1</v>
      </c>
      <c r="M75" t="s">
        <v>59</v>
      </c>
      <c r="N75">
        <v>3</v>
      </c>
      <c r="O75">
        <v>2</v>
      </c>
      <c r="P75" t="s">
        <v>145</v>
      </c>
      <c r="Q75">
        <v>3</v>
      </c>
      <c r="R75" t="s">
        <v>113</v>
      </c>
      <c r="S75">
        <v>93093</v>
      </c>
      <c r="T75" t="s">
        <v>70</v>
      </c>
      <c r="U75">
        <v>581.83000000000004</v>
      </c>
      <c r="V75">
        <v>0</v>
      </c>
      <c r="W75" t="s">
        <v>55</v>
      </c>
      <c r="X75">
        <v>21</v>
      </c>
      <c r="Y75">
        <v>4</v>
      </c>
      <c r="Z75">
        <v>1</v>
      </c>
      <c r="AA75">
        <v>1</v>
      </c>
      <c r="AB75">
        <v>4</v>
      </c>
      <c r="AC75">
        <v>2</v>
      </c>
      <c r="AD75">
        <v>2</v>
      </c>
      <c r="AE75">
        <v>3</v>
      </c>
      <c r="AF75">
        <v>2</v>
      </c>
      <c r="AG75">
        <v>0</v>
      </c>
      <c r="AH75">
        <v>2</v>
      </c>
      <c r="AI75">
        <f t="shared" si="7"/>
        <v>0</v>
      </c>
      <c r="AJ75" t="str">
        <f t="shared" si="8"/>
        <v>2-3 yrs</v>
      </c>
      <c r="AK75" t="str">
        <f t="shared" si="9"/>
        <v>Recent</v>
      </c>
      <c r="AL75">
        <f t="shared" si="10"/>
        <v>1</v>
      </c>
      <c r="AM75" t="str">
        <f t="shared" si="11"/>
        <v>Low Risk</v>
      </c>
      <c r="AN75" s="6">
        <f t="shared" si="12"/>
        <v>0.89761216678587297</v>
      </c>
      <c r="AO75" s="7">
        <f t="shared" si="13"/>
        <v>1117116</v>
      </c>
    </row>
    <row r="76" spans="1:41" x14ac:dyDescent="0.3">
      <c r="A76" t="s">
        <v>146</v>
      </c>
      <c r="B76">
        <v>24</v>
      </c>
      <c r="C76" t="s">
        <v>46</v>
      </c>
      <c r="D76" t="s">
        <v>55</v>
      </c>
      <c r="E76" t="s">
        <v>48</v>
      </c>
      <c r="F76">
        <v>1127</v>
      </c>
      <c r="G76" t="s">
        <v>49</v>
      </c>
      <c r="H76">
        <v>18</v>
      </c>
      <c r="I76">
        <v>1</v>
      </c>
      <c r="J76" t="s">
        <v>50</v>
      </c>
      <c r="K76">
        <v>150</v>
      </c>
      <c r="L76">
        <v>2</v>
      </c>
      <c r="M76" t="s">
        <v>51</v>
      </c>
      <c r="N76">
        <v>3</v>
      </c>
      <c r="O76">
        <v>1</v>
      </c>
      <c r="P76" t="s">
        <v>52</v>
      </c>
      <c r="Q76">
        <v>3</v>
      </c>
      <c r="R76" t="s">
        <v>113</v>
      </c>
      <c r="S76">
        <v>33606</v>
      </c>
      <c r="T76" t="s">
        <v>72</v>
      </c>
      <c r="U76">
        <v>210.04</v>
      </c>
      <c r="V76">
        <v>0</v>
      </c>
      <c r="W76" t="s">
        <v>55</v>
      </c>
      <c r="X76">
        <v>12</v>
      </c>
      <c r="Y76">
        <v>3</v>
      </c>
      <c r="Z76">
        <v>3</v>
      </c>
      <c r="AA76">
        <v>1</v>
      </c>
      <c r="AB76">
        <v>6</v>
      </c>
      <c r="AC76">
        <v>2</v>
      </c>
      <c r="AD76">
        <v>3</v>
      </c>
      <c r="AE76">
        <v>5</v>
      </c>
      <c r="AF76">
        <v>3</v>
      </c>
      <c r="AG76">
        <v>1</v>
      </c>
      <c r="AH76">
        <v>2</v>
      </c>
      <c r="AI76">
        <f t="shared" si="7"/>
        <v>0</v>
      </c>
      <c r="AJ76" t="str">
        <f t="shared" si="8"/>
        <v>4-5 yrs</v>
      </c>
      <c r="AK76" t="str">
        <f t="shared" si="9"/>
        <v>Recent</v>
      </c>
      <c r="AL76">
        <f t="shared" si="10"/>
        <v>0</v>
      </c>
      <c r="AM76" t="str">
        <f t="shared" si="11"/>
        <v>Minimal Risk</v>
      </c>
      <c r="AN76" s="6">
        <f t="shared" si="12"/>
        <v>-0.35023953698350246</v>
      </c>
      <c r="AO76" s="7">
        <f t="shared" si="13"/>
        <v>403272</v>
      </c>
    </row>
    <row r="77" spans="1:41" x14ac:dyDescent="0.3">
      <c r="A77" t="s">
        <v>147</v>
      </c>
      <c r="B77">
        <v>24</v>
      </c>
      <c r="C77" t="s">
        <v>46</v>
      </c>
      <c r="D77" t="s">
        <v>55</v>
      </c>
      <c r="E77" t="s">
        <v>48</v>
      </c>
      <c r="F77">
        <v>1371</v>
      </c>
      <c r="G77" t="s">
        <v>57</v>
      </c>
      <c r="H77">
        <v>10</v>
      </c>
      <c r="I77">
        <v>4</v>
      </c>
      <c r="J77" t="s">
        <v>63</v>
      </c>
      <c r="K77">
        <v>507</v>
      </c>
      <c r="L77">
        <v>4</v>
      </c>
      <c r="M77" t="s">
        <v>59</v>
      </c>
      <c r="N77">
        <v>3</v>
      </c>
      <c r="O77">
        <v>2</v>
      </c>
      <c r="P77" t="s">
        <v>145</v>
      </c>
      <c r="Q77">
        <v>3</v>
      </c>
      <c r="R77" t="s">
        <v>53</v>
      </c>
      <c r="S77">
        <v>12534</v>
      </c>
      <c r="T77" t="s">
        <v>54</v>
      </c>
      <c r="U77">
        <v>78.34</v>
      </c>
      <c r="V77">
        <v>1</v>
      </c>
      <c r="W77" t="s">
        <v>47</v>
      </c>
      <c r="X77">
        <v>12</v>
      </c>
      <c r="Y77">
        <v>3</v>
      </c>
      <c r="Z77">
        <v>4</v>
      </c>
      <c r="AA77">
        <v>1</v>
      </c>
      <c r="AB77">
        <v>5</v>
      </c>
      <c r="AC77">
        <v>2</v>
      </c>
      <c r="AD77">
        <v>4</v>
      </c>
      <c r="AE77">
        <v>5</v>
      </c>
      <c r="AF77">
        <v>2</v>
      </c>
      <c r="AG77">
        <v>0</v>
      </c>
      <c r="AH77">
        <v>3</v>
      </c>
      <c r="AI77">
        <f t="shared" si="7"/>
        <v>0</v>
      </c>
      <c r="AJ77" t="str">
        <f t="shared" si="8"/>
        <v>4-5 yrs</v>
      </c>
      <c r="AK77" t="str">
        <f t="shared" si="9"/>
        <v>Recent</v>
      </c>
      <c r="AL77">
        <f t="shared" si="10"/>
        <v>1</v>
      </c>
      <c r="AM77" t="str">
        <f t="shared" si="11"/>
        <v>Low Risk</v>
      </c>
      <c r="AN77" s="6">
        <f t="shared" si="12"/>
        <v>-0.74450634420961692</v>
      </c>
      <c r="AO77" s="7">
        <f t="shared" si="13"/>
        <v>150408</v>
      </c>
    </row>
    <row r="78" spans="1:41" x14ac:dyDescent="0.3">
      <c r="A78" t="s">
        <v>148</v>
      </c>
      <c r="B78">
        <v>24</v>
      </c>
      <c r="C78" t="s">
        <v>46</v>
      </c>
      <c r="D78" t="s">
        <v>47</v>
      </c>
      <c r="E78" t="s">
        <v>48</v>
      </c>
      <c r="F78">
        <v>1448</v>
      </c>
      <c r="G78" t="s">
        <v>57</v>
      </c>
      <c r="H78">
        <v>1</v>
      </c>
      <c r="I78">
        <v>1</v>
      </c>
      <c r="J78" t="s">
        <v>77</v>
      </c>
      <c r="K78">
        <v>554</v>
      </c>
      <c r="L78">
        <v>1</v>
      </c>
      <c r="M78" t="s">
        <v>59</v>
      </c>
      <c r="N78">
        <v>3</v>
      </c>
      <c r="O78">
        <v>1</v>
      </c>
      <c r="P78" t="s">
        <v>60</v>
      </c>
      <c r="Q78">
        <v>2</v>
      </c>
      <c r="R78" t="s">
        <v>53</v>
      </c>
      <c r="S78">
        <v>95663</v>
      </c>
      <c r="T78" t="s">
        <v>70</v>
      </c>
      <c r="U78">
        <v>597.89</v>
      </c>
      <c r="V78">
        <v>1</v>
      </c>
      <c r="W78" t="s">
        <v>47</v>
      </c>
      <c r="X78">
        <v>16</v>
      </c>
      <c r="Y78">
        <v>3</v>
      </c>
      <c r="Z78">
        <v>2</v>
      </c>
      <c r="AA78">
        <v>0</v>
      </c>
      <c r="AB78">
        <v>6</v>
      </c>
      <c r="AC78">
        <v>4</v>
      </c>
      <c r="AD78">
        <v>3</v>
      </c>
      <c r="AE78">
        <v>5</v>
      </c>
      <c r="AF78">
        <v>3</v>
      </c>
      <c r="AG78">
        <v>1</v>
      </c>
      <c r="AH78">
        <v>4</v>
      </c>
      <c r="AI78">
        <f t="shared" si="7"/>
        <v>1</v>
      </c>
      <c r="AJ78" t="str">
        <f t="shared" si="8"/>
        <v>4-5 yrs</v>
      </c>
      <c r="AK78" t="str">
        <f t="shared" si="9"/>
        <v>Recent</v>
      </c>
      <c r="AL78">
        <f t="shared" si="10"/>
        <v>2</v>
      </c>
      <c r="AM78" t="str">
        <f t="shared" si="11"/>
        <v>Medium Risk</v>
      </c>
      <c r="AN78" s="6">
        <f t="shared" si="12"/>
        <v>0.93937179418798489</v>
      </c>
      <c r="AO78" s="7">
        <f t="shared" si="13"/>
        <v>1147956</v>
      </c>
    </row>
    <row r="79" spans="1:41" x14ac:dyDescent="0.3">
      <c r="A79" t="s">
        <v>141</v>
      </c>
      <c r="B79">
        <v>23</v>
      </c>
      <c r="C79" t="s">
        <v>46</v>
      </c>
      <c r="D79" t="s">
        <v>47</v>
      </c>
      <c r="E79" t="s">
        <v>62</v>
      </c>
      <c r="F79">
        <v>638</v>
      </c>
      <c r="G79" t="s">
        <v>57</v>
      </c>
      <c r="H79">
        <v>9</v>
      </c>
      <c r="I79">
        <v>3</v>
      </c>
      <c r="J79" t="s">
        <v>63</v>
      </c>
      <c r="K79">
        <v>2023</v>
      </c>
      <c r="L79">
        <v>4</v>
      </c>
      <c r="M79" t="s">
        <v>51</v>
      </c>
      <c r="N79">
        <v>3</v>
      </c>
      <c r="O79">
        <v>1</v>
      </c>
      <c r="P79" t="s">
        <v>60</v>
      </c>
      <c r="Q79">
        <v>1</v>
      </c>
      <c r="R79" t="s">
        <v>113</v>
      </c>
      <c r="S79">
        <v>72211</v>
      </c>
      <c r="T79" t="s">
        <v>64</v>
      </c>
      <c r="U79">
        <v>451.32</v>
      </c>
      <c r="V79">
        <v>1</v>
      </c>
      <c r="W79" t="s">
        <v>55</v>
      </c>
      <c r="X79">
        <v>19</v>
      </c>
      <c r="Y79">
        <v>3</v>
      </c>
      <c r="Z79">
        <v>1</v>
      </c>
      <c r="AA79">
        <v>1</v>
      </c>
      <c r="AB79">
        <v>1</v>
      </c>
      <c r="AC79">
        <v>3</v>
      </c>
      <c r="AD79">
        <v>2</v>
      </c>
      <c r="AE79">
        <v>1</v>
      </c>
      <c r="AF79">
        <v>0</v>
      </c>
      <c r="AG79">
        <v>1</v>
      </c>
      <c r="AH79">
        <v>1</v>
      </c>
      <c r="AI79">
        <f t="shared" si="7"/>
        <v>1</v>
      </c>
      <c r="AJ79" t="str">
        <f t="shared" si="8"/>
        <v>0-1 yr</v>
      </c>
      <c r="AK79" t="str">
        <f t="shared" si="9"/>
        <v>Recent</v>
      </c>
      <c r="AL79">
        <f t="shared" si="10"/>
        <v>2</v>
      </c>
      <c r="AM79" t="str">
        <f t="shared" si="11"/>
        <v>Medium Risk</v>
      </c>
      <c r="AN79" s="6">
        <f t="shared" si="12"/>
        <v>0.46393042900712478</v>
      </c>
      <c r="AO79" s="7">
        <f t="shared" si="13"/>
        <v>866532</v>
      </c>
    </row>
    <row r="80" spans="1:41" x14ac:dyDescent="0.3">
      <c r="A80" t="s">
        <v>149</v>
      </c>
      <c r="B80">
        <v>24</v>
      </c>
      <c r="C80" t="s">
        <v>46</v>
      </c>
      <c r="D80" t="s">
        <v>55</v>
      </c>
      <c r="E80" t="s">
        <v>48</v>
      </c>
      <c r="F80">
        <v>691</v>
      </c>
      <c r="G80" t="s">
        <v>49</v>
      </c>
      <c r="H80">
        <v>23</v>
      </c>
      <c r="I80">
        <v>3</v>
      </c>
      <c r="J80" t="s">
        <v>58</v>
      </c>
      <c r="K80">
        <v>639</v>
      </c>
      <c r="L80">
        <v>2</v>
      </c>
      <c r="M80" t="s">
        <v>51</v>
      </c>
      <c r="N80">
        <v>4</v>
      </c>
      <c r="O80">
        <v>1</v>
      </c>
      <c r="P80" t="s">
        <v>67</v>
      </c>
      <c r="Q80">
        <v>4</v>
      </c>
      <c r="R80" t="s">
        <v>113</v>
      </c>
      <c r="S80">
        <v>92387</v>
      </c>
      <c r="T80" t="s">
        <v>70</v>
      </c>
      <c r="U80">
        <v>577.41999999999996</v>
      </c>
      <c r="V80">
        <v>1</v>
      </c>
      <c r="W80" t="s">
        <v>47</v>
      </c>
      <c r="X80">
        <v>11</v>
      </c>
      <c r="Y80">
        <v>3</v>
      </c>
      <c r="Z80">
        <v>2</v>
      </c>
      <c r="AA80">
        <v>2</v>
      </c>
      <c r="AB80">
        <v>6</v>
      </c>
      <c r="AC80">
        <v>3</v>
      </c>
      <c r="AD80">
        <v>3</v>
      </c>
      <c r="AE80">
        <v>6</v>
      </c>
      <c r="AF80">
        <v>5</v>
      </c>
      <c r="AG80">
        <v>1</v>
      </c>
      <c r="AH80">
        <v>4</v>
      </c>
      <c r="AI80">
        <f t="shared" si="7"/>
        <v>0</v>
      </c>
      <c r="AJ80" t="str">
        <f t="shared" si="8"/>
        <v>6-10 yrs</v>
      </c>
      <c r="AK80" t="str">
        <f t="shared" si="9"/>
        <v>Recent</v>
      </c>
      <c r="AL80">
        <f t="shared" si="10"/>
        <v>1</v>
      </c>
      <c r="AM80" t="str">
        <f t="shared" si="11"/>
        <v>Low Risk</v>
      </c>
      <c r="AN80" s="6">
        <f t="shared" si="12"/>
        <v>0.85270144594726294</v>
      </c>
      <c r="AO80" s="7">
        <f t="shared" si="13"/>
        <v>1108644</v>
      </c>
    </row>
    <row r="81" spans="1:41" x14ac:dyDescent="0.3">
      <c r="A81" t="s">
        <v>150</v>
      </c>
      <c r="B81">
        <v>24</v>
      </c>
      <c r="C81" t="s">
        <v>46</v>
      </c>
      <c r="D81" t="s">
        <v>55</v>
      </c>
      <c r="E81" t="s">
        <v>48</v>
      </c>
      <c r="F81">
        <v>823</v>
      </c>
      <c r="G81" t="s">
        <v>49</v>
      </c>
      <c r="H81">
        <v>17</v>
      </c>
      <c r="I81">
        <v>2</v>
      </c>
      <c r="J81" t="s">
        <v>82</v>
      </c>
      <c r="K81">
        <v>643</v>
      </c>
      <c r="L81">
        <v>4</v>
      </c>
      <c r="M81" t="s">
        <v>51</v>
      </c>
      <c r="N81">
        <v>2</v>
      </c>
      <c r="O81">
        <v>1</v>
      </c>
      <c r="P81" t="s">
        <v>52</v>
      </c>
      <c r="Q81">
        <v>2</v>
      </c>
      <c r="R81" t="s">
        <v>113</v>
      </c>
      <c r="S81">
        <v>2016</v>
      </c>
      <c r="T81" t="s">
        <v>54</v>
      </c>
      <c r="U81">
        <v>12.6</v>
      </c>
      <c r="V81">
        <v>1</v>
      </c>
      <c r="W81" t="s">
        <v>55</v>
      </c>
      <c r="X81">
        <v>21</v>
      </c>
      <c r="Y81">
        <v>4</v>
      </c>
      <c r="Z81">
        <v>4</v>
      </c>
      <c r="AA81">
        <v>1</v>
      </c>
      <c r="AB81">
        <v>1</v>
      </c>
      <c r="AC81">
        <v>2</v>
      </c>
      <c r="AD81">
        <v>3</v>
      </c>
      <c r="AE81">
        <v>1</v>
      </c>
      <c r="AF81">
        <v>0</v>
      </c>
      <c r="AG81">
        <v>0</v>
      </c>
      <c r="AH81">
        <v>0</v>
      </c>
      <c r="AI81">
        <f t="shared" si="7"/>
        <v>0</v>
      </c>
      <c r="AJ81" t="str">
        <f t="shared" si="8"/>
        <v>0-1 yr</v>
      </c>
      <c r="AK81" t="str">
        <f t="shared" si="9"/>
        <v>Recent</v>
      </c>
      <c r="AL81">
        <f t="shared" si="10"/>
        <v>1</v>
      </c>
      <c r="AM81" t="str">
        <f t="shared" si="11"/>
        <v>Low Risk</v>
      </c>
      <c r="AN81" s="6">
        <f t="shared" si="12"/>
        <v>-0.96102133269531453</v>
      </c>
      <c r="AO81" s="7">
        <f t="shared" si="13"/>
        <v>24192</v>
      </c>
    </row>
    <row r="82" spans="1:41" x14ac:dyDescent="0.3">
      <c r="A82" t="s">
        <v>151</v>
      </c>
      <c r="B82">
        <v>24</v>
      </c>
      <c r="C82" t="s">
        <v>46</v>
      </c>
      <c r="D82" t="s">
        <v>47</v>
      </c>
      <c r="E82" t="s">
        <v>62</v>
      </c>
      <c r="F82">
        <v>1287</v>
      </c>
      <c r="G82" t="s">
        <v>49</v>
      </c>
      <c r="H82">
        <v>7</v>
      </c>
      <c r="I82">
        <v>3</v>
      </c>
      <c r="J82" t="s">
        <v>50</v>
      </c>
      <c r="K82">
        <v>647</v>
      </c>
      <c r="L82">
        <v>1</v>
      </c>
      <c r="M82" t="s">
        <v>59</v>
      </c>
      <c r="N82">
        <v>3</v>
      </c>
      <c r="O82">
        <v>1</v>
      </c>
      <c r="P82" t="s">
        <v>52</v>
      </c>
      <c r="Q82">
        <v>3</v>
      </c>
      <c r="R82" t="s">
        <v>113</v>
      </c>
      <c r="S82">
        <v>90789</v>
      </c>
      <c r="T82" t="s">
        <v>70</v>
      </c>
      <c r="U82">
        <v>567.42999999999995</v>
      </c>
      <c r="V82">
        <v>1</v>
      </c>
      <c r="W82" t="s">
        <v>47</v>
      </c>
      <c r="X82">
        <v>16</v>
      </c>
      <c r="Y82">
        <v>3</v>
      </c>
      <c r="Z82">
        <v>4</v>
      </c>
      <c r="AA82">
        <v>1</v>
      </c>
      <c r="AB82">
        <v>6</v>
      </c>
      <c r="AC82">
        <v>4</v>
      </c>
      <c r="AD82">
        <v>3</v>
      </c>
      <c r="AE82">
        <v>6</v>
      </c>
      <c r="AF82">
        <v>3</v>
      </c>
      <c r="AG82">
        <v>1</v>
      </c>
      <c r="AH82">
        <v>2</v>
      </c>
      <c r="AI82">
        <f t="shared" si="7"/>
        <v>1</v>
      </c>
      <c r="AJ82" t="str">
        <f t="shared" si="8"/>
        <v>6-10 yrs</v>
      </c>
      <c r="AK82" t="str">
        <f t="shared" si="9"/>
        <v>Recent</v>
      </c>
      <c r="AL82">
        <f t="shared" si="10"/>
        <v>1</v>
      </c>
      <c r="AM82" t="str">
        <f t="shared" si="11"/>
        <v>Low Risk</v>
      </c>
      <c r="AN82" s="6">
        <f t="shared" si="12"/>
        <v>0.75537412000252324</v>
      </c>
      <c r="AO82" s="7">
        <f t="shared" si="13"/>
        <v>1089468</v>
      </c>
    </row>
    <row r="83" spans="1:41" x14ac:dyDescent="0.3">
      <c r="A83" t="s">
        <v>152</v>
      </c>
      <c r="B83">
        <v>24</v>
      </c>
      <c r="C83" t="s">
        <v>46</v>
      </c>
      <c r="D83" t="s">
        <v>47</v>
      </c>
      <c r="E83" t="s">
        <v>48</v>
      </c>
      <c r="F83">
        <v>693</v>
      </c>
      <c r="G83" t="s">
        <v>57</v>
      </c>
      <c r="H83">
        <v>3</v>
      </c>
      <c r="I83">
        <v>2</v>
      </c>
      <c r="J83" t="s">
        <v>50</v>
      </c>
      <c r="K83">
        <v>720</v>
      </c>
      <c r="L83">
        <v>1</v>
      </c>
      <c r="M83" t="s">
        <v>59</v>
      </c>
      <c r="N83">
        <v>3</v>
      </c>
      <c r="O83">
        <v>2</v>
      </c>
      <c r="P83" t="s">
        <v>145</v>
      </c>
      <c r="Q83">
        <v>3</v>
      </c>
      <c r="R83" t="s">
        <v>53</v>
      </c>
      <c r="S83">
        <v>56591</v>
      </c>
      <c r="T83" t="s">
        <v>64</v>
      </c>
      <c r="U83">
        <v>353.69</v>
      </c>
      <c r="V83">
        <v>9</v>
      </c>
      <c r="W83" t="s">
        <v>55</v>
      </c>
      <c r="X83">
        <v>14</v>
      </c>
      <c r="Y83">
        <v>3</v>
      </c>
      <c r="Z83">
        <v>1</v>
      </c>
      <c r="AA83">
        <v>0</v>
      </c>
      <c r="AB83">
        <v>4</v>
      </c>
      <c r="AC83">
        <v>3</v>
      </c>
      <c r="AD83">
        <v>3</v>
      </c>
      <c r="AE83">
        <v>2</v>
      </c>
      <c r="AF83">
        <v>2</v>
      </c>
      <c r="AG83">
        <v>2</v>
      </c>
      <c r="AH83">
        <v>0</v>
      </c>
      <c r="AI83">
        <f t="shared" si="7"/>
        <v>1</v>
      </c>
      <c r="AJ83" t="str">
        <f t="shared" si="8"/>
        <v>2-3 yrs</v>
      </c>
      <c r="AK83" t="str">
        <f t="shared" si="9"/>
        <v>Recent</v>
      </c>
      <c r="AL83">
        <f t="shared" si="10"/>
        <v>0</v>
      </c>
      <c r="AM83" t="str">
        <f t="shared" si="11"/>
        <v>Minimal Risk</v>
      </c>
      <c r="AN83" s="6">
        <f t="shared" si="12"/>
        <v>0.15355365205310106</v>
      </c>
      <c r="AO83" s="7">
        <f t="shared" si="13"/>
        <v>679092</v>
      </c>
    </row>
    <row r="84" spans="1:41" x14ac:dyDescent="0.3">
      <c r="A84" t="s">
        <v>153</v>
      </c>
      <c r="B84">
        <v>24</v>
      </c>
      <c r="C84" t="s">
        <v>46</v>
      </c>
      <c r="D84" t="s">
        <v>55</v>
      </c>
      <c r="E84" t="s">
        <v>66</v>
      </c>
      <c r="F84">
        <v>1092</v>
      </c>
      <c r="G84" t="s">
        <v>49</v>
      </c>
      <c r="H84">
        <v>9</v>
      </c>
      <c r="I84">
        <v>3</v>
      </c>
      <c r="J84" t="s">
        <v>50</v>
      </c>
      <c r="K84">
        <v>812</v>
      </c>
      <c r="L84">
        <v>3</v>
      </c>
      <c r="M84" t="s">
        <v>51</v>
      </c>
      <c r="N84">
        <v>2</v>
      </c>
      <c r="O84">
        <v>1</v>
      </c>
      <c r="P84" t="s">
        <v>52</v>
      </c>
      <c r="Q84">
        <v>2</v>
      </c>
      <c r="R84" t="s">
        <v>53</v>
      </c>
      <c r="S84">
        <v>90812</v>
      </c>
      <c r="T84" t="s">
        <v>70</v>
      </c>
      <c r="U84">
        <v>567.58000000000004</v>
      </c>
      <c r="V84">
        <v>1</v>
      </c>
      <c r="W84" t="s">
        <v>55</v>
      </c>
      <c r="X84">
        <v>11</v>
      </c>
      <c r="Y84">
        <v>3</v>
      </c>
      <c r="Z84">
        <v>3</v>
      </c>
      <c r="AA84">
        <v>3</v>
      </c>
      <c r="AB84">
        <v>1</v>
      </c>
      <c r="AC84">
        <v>4</v>
      </c>
      <c r="AD84">
        <v>3</v>
      </c>
      <c r="AE84">
        <v>1</v>
      </c>
      <c r="AF84">
        <v>0</v>
      </c>
      <c r="AG84">
        <v>0</v>
      </c>
      <c r="AH84">
        <v>0</v>
      </c>
      <c r="AI84">
        <f t="shared" si="7"/>
        <v>0</v>
      </c>
      <c r="AJ84" t="str">
        <f t="shared" si="8"/>
        <v>0-1 yr</v>
      </c>
      <c r="AK84" t="str">
        <f t="shared" si="9"/>
        <v>Recent</v>
      </c>
      <c r="AL84">
        <f t="shared" si="10"/>
        <v>1</v>
      </c>
      <c r="AM84" t="str">
        <f t="shared" si="11"/>
        <v>Low Risk</v>
      </c>
      <c r="AN84" s="6">
        <f t="shared" si="12"/>
        <v>0.7558188170997493</v>
      </c>
      <c r="AO84" s="7">
        <f t="shared" si="13"/>
        <v>1089744</v>
      </c>
    </row>
    <row r="85" spans="1:41" x14ac:dyDescent="0.3">
      <c r="A85" t="s">
        <v>154</v>
      </c>
      <c r="B85">
        <v>24</v>
      </c>
      <c r="C85" t="s">
        <v>46</v>
      </c>
      <c r="D85" t="s">
        <v>55</v>
      </c>
      <c r="E85" t="s">
        <v>66</v>
      </c>
      <c r="F85">
        <v>1269</v>
      </c>
      <c r="G85" t="s">
        <v>49</v>
      </c>
      <c r="H85">
        <v>4</v>
      </c>
      <c r="I85">
        <v>1</v>
      </c>
      <c r="J85" t="s">
        <v>50</v>
      </c>
      <c r="K85">
        <v>888</v>
      </c>
      <c r="L85">
        <v>1</v>
      </c>
      <c r="M85" t="s">
        <v>51</v>
      </c>
      <c r="N85">
        <v>2</v>
      </c>
      <c r="O85">
        <v>1</v>
      </c>
      <c r="P85" t="s">
        <v>52</v>
      </c>
      <c r="Q85">
        <v>4</v>
      </c>
      <c r="R85" t="s">
        <v>113</v>
      </c>
      <c r="S85">
        <v>24247</v>
      </c>
      <c r="T85" t="s">
        <v>54</v>
      </c>
      <c r="U85">
        <v>151.54</v>
      </c>
      <c r="V85">
        <v>0</v>
      </c>
      <c r="W85" t="s">
        <v>55</v>
      </c>
      <c r="X85">
        <v>17</v>
      </c>
      <c r="Y85">
        <v>3</v>
      </c>
      <c r="Z85">
        <v>4</v>
      </c>
      <c r="AA85">
        <v>0</v>
      </c>
      <c r="AB85">
        <v>6</v>
      </c>
      <c r="AC85">
        <v>2</v>
      </c>
      <c r="AD85">
        <v>2</v>
      </c>
      <c r="AE85">
        <v>5</v>
      </c>
      <c r="AF85">
        <v>2</v>
      </c>
      <c r="AG85">
        <v>3</v>
      </c>
      <c r="AH85">
        <v>4</v>
      </c>
      <c r="AI85">
        <f t="shared" si="7"/>
        <v>0</v>
      </c>
      <c r="AJ85" t="str">
        <f t="shared" si="8"/>
        <v>4-5 yrs</v>
      </c>
      <c r="AK85" t="str">
        <f t="shared" si="9"/>
        <v>Overdue</v>
      </c>
      <c r="AL85">
        <f t="shared" si="10"/>
        <v>2</v>
      </c>
      <c r="AM85" t="str">
        <f t="shared" si="11"/>
        <v>Medium Risk</v>
      </c>
      <c r="AN85" s="6">
        <f t="shared" si="12"/>
        <v>-0.53119258624171228</v>
      </c>
      <c r="AO85" s="7">
        <f t="shared" si="13"/>
        <v>290964</v>
      </c>
    </row>
    <row r="86" spans="1:41" x14ac:dyDescent="0.3">
      <c r="A86" t="s">
        <v>155</v>
      </c>
      <c r="B86">
        <v>24</v>
      </c>
      <c r="C86" t="s">
        <v>46</v>
      </c>
      <c r="D86" t="s">
        <v>55</v>
      </c>
      <c r="E86" t="s">
        <v>48</v>
      </c>
      <c r="F86">
        <v>1206</v>
      </c>
      <c r="G86" t="s">
        <v>49</v>
      </c>
      <c r="H86">
        <v>17</v>
      </c>
      <c r="I86">
        <v>1</v>
      </c>
      <c r="J86" t="s">
        <v>58</v>
      </c>
      <c r="K86">
        <v>1009</v>
      </c>
      <c r="L86">
        <v>4</v>
      </c>
      <c r="M86" t="s">
        <v>59</v>
      </c>
      <c r="N86">
        <v>2</v>
      </c>
      <c r="O86">
        <v>2</v>
      </c>
      <c r="P86" t="s">
        <v>120</v>
      </c>
      <c r="Q86">
        <v>3</v>
      </c>
      <c r="R86" t="s">
        <v>53</v>
      </c>
      <c r="S86">
        <v>25300</v>
      </c>
      <c r="T86" t="s">
        <v>72</v>
      </c>
      <c r="U86">
        <v>158.12</v>
      </c>
      <c r="V86">
        <v>1</v>
      </c>
      <c r="W86" t="s">
        <v>55</v>
      </c>
      <c r="X86">
        <v>15</v>
      </c>
      <c r="Y86">
        <v>3</v>
      </c>
      <c r="Z86">
        <v>2</v>
      </c>
      <c r="AA86">
        <v>2</v>
      </c>
      <c r="AB86">
        <v>5</v>
      </c>
      <c r="AC86">
        <v>6</v>
      </c>
      <c r="AD86">
        <v>3</v>
      </c>
      <c r="AE86">
        <v>4</v>
      </c>
      <c r="AF86">
        <v>2</v>
      </c>
      <c r="AG86">
        <v>3</v>
      </c>
      <c r="AH86">
        <v>2</v>
      </c>
      <c r="AI86">
        <f t="shared" si="7"/>
        <v>0</v>
      </c>
      <c r="AJ86" t="str">
        <f t="shared" si="8"/>
        <v>4-5 yrs</v>
      </c>
      <c r="AK86" t="str">
        <f t="shared" si="9"/>
        <v>Overdue</v>
      </c>
      <c r="AL86">
        <f t="shared" si="10"/>
        <v>1</v>
      </c>
      <c r="AM86" t="str">
        <f t="shared" si="11"/>
        <v>Low Risk</v>
      </c>
      <c r="AN86" s="6">
        <f t="shared" si="12"/>
        <v>-0.42883376662776734</v>
      </c>
      <c r="AO86" s="7">
        <f t="shared" si="13"/>
        <v>303600</v>
      </c>
    </row>
    <row r="87" spans="1:41" x14ac:dyDescent="0.3">
      <c r="A87" t="s">
        <v>156</v>
      </c>
      <c r="B87">
        <v>24</v>
      </c>
      <c r="C87" t="s">
        <v>46</v>
      </c>
      <c r="D87" t="s">
        <v>55</v>
      </c>
      <c r="E87" t="s">
        <v>48</v>
      </c>
      <c r="F87">
        <v>477</v>
      </c>
      <c r="G87" t="s">
        <v>49</v>
      </c>
      <c r="H87">
        <v>24</v>
      </c>
      <c r="I87">
        <v>3</v>
      </c>
      <c r="J87" t="s">
        <v>58</v>
      </c>
      <c r="K87">
        <v>1173</v>
      </c>
      <c r="L87">
        <v>4</v>
      </c>
      <c r="M87" t="s">
        <v>51</v>
      </c>
      <c r="N87">
        <v>3</v>
      </c>
      <c r="O87">
        <v>1</v>
      </c>
      <c r="P87" t="s">
        <v>52</v>
      </c>
      <c r="Q87">
        <v>2</v>
      </c>
      <c r="R87" t="s">
        <v>53</v>
      </c>
      <c r="S87">
        <v>75065</v>
      </c>
      <c r="T87" t="s">
        <v>64</v>
      </c>
      <c r="U87">
        <v>469.16</v>
      </c>
      <c r="V87">
        <v>8</v>
      </c>
      <c r="W87" t="s">
        <v>55</v>
      </c>
      <c r="X87">
        <v>22</v>
      </c>
      <c r="Y87">
        <v>4</v>
      </c>
      <c r="Z87">
        <v>4</v>
      </c>
      <c r="AA87">
        <v>0</v>
      </c>
      <c r="AB87">
        <v>6</v>
      </c>
      <c r="AC87">
        <v>2</v>
      </c>
      <c r="AD87">
        <v>3</v>
      </c>
      <c r="AE87">
        <v>4</v>
      </c>
      <c r="AF87">
        <v>3</v>
      </c>
      <c r="AG87">
        <v>1</v>
      </c>
      <c r="AH87">
        <v>2</v>
      </c>
      <c r="AI87">
        <f t="shared" si="7"/>
        <v>0</v>
      </c>
      <c r="AJ87" t="str">
        <f t="shared" si="8"/>
        <v>4-5 yrs</v>
      </c>
      <c r="AK87" t="str">
        <f t="shared" si="9"/>
        <v>Recent</v>
      </c>
      <c r="AL87">
        <f t="shared" si="10"/>
        <v>1</v>
      </c>
      <c r="AM87" t="str">
        <f t="shared" si="11"/>
        <v>Low Risk</v>
      </c>
      <c r="AN87" s="6">
        <f t="shared" si="12"/>
        <v>0.45135598275109767</v>
      </c>
      <c r="AO87" s="7">
        <f t="shared" si="13"/>
        <v>900780</v>
      </c>
    </row>
    <row r="88" spans="1:41" x14ac:dyDescent="0.3">
      <c r="A88" t="s">
        <v>157</v>
      </c>
      <c r="B88">
        <v>24</v>
      </c>
      <c r="C88" t="s">
        <v>46</v>
      </c>
      <c r="D88" t="s">
        <v>47</v>
      </c>
      <c r="E88" t="s">
        <v>48</v>
      </c>
      <c r="F88">
        <v>984</v>
      </c>
      <c r="G88" t="s">
        <v>49</v>
      </c>
      <c r="H88">
        <v>17</v>
      </c>
      <c r="I88">
        <v>2</v>
      </c>
      <c r="J88" t="s">
        <v>50</v>
      </c>
      <c r="K88">
        <v>1219</v>
      </c>
      <c r="L88">
        <v>4</v>
      </c>
      <c r="M88" t="s">
        <v>59</v>
      </c>
      <c r="N88">
        <v>3</v>
      </c>
      <c r="O88">
        <v>1</v>
      </c>
      <c r="P88" t="s">
        <v>52</v>
      </c>
      <c r="Q88">
        <v>2</v>
      </c>
      <c r="R88" t="s">
        <v>113</v>
      </c>
      <c r="S88">
        <v>83798</v>
      </c>
      <c r="T88" t="s">
        <v>70</v>
      </c>
      <c r="U88">
        <v>523.74</v>
      </c>
      <c r="V88">
        <v>1</v>
      </c>
      <c r="W88" t="s">
        <v>55</v>
      </c>
      <c r="X88">
        <v>13</v>
      </c>
      <c r="Y88">
        <v>3</v>
      </c>
      <c r="Z88">
        <v>1</v>
      </c>
      <c r="AA88">
        <v>1</v>
      </c>
      <c r="AB88">
        <v>1</v>
      </c>
      <c r="AC88">
        <v>3</v>
      </c>
      <c r="AD88">
        <v>1</v>
      </c>
      <c r="AE88">
        <v>1</v>
      </c>
      <c r="AF88">
        <v>0</v>
      </c>
      <c r="AG88">
        <v>0</v>
      </c>
      <c r="AH88">
        <v>0</v>
      </c>
      <c r="AI88">
        <f t="shared" si="7"/>
        <v>1</v>
      </c>
      <c r="AJ88" t="str">
        <f t="shared" si="8"/>
        <v>0-1 yr</v>
      </c>
      <c r="AK88" t="str">
        <f t="shared" si="9"/>
        <v>Recent</v>
      </c>
      <c r="AL88">
        <f t="shared" si="10"/>
        <v>2</v>
      </c>
      <c r="AM88" t="str">
        <f t="shared" si="11"/>
        <v>Medium Risk</v>
      </c>
      <c r="AN88" s="6">
        <f t="shared" si="12"/>
        <v>0.62020553710219783</v>
      </c>
      <c r="AO88" s="7">
        <f t="shared" si="13"/>
        <v>1005576</v>
      </c>
    </row>
    <row r="89" spans="1:41" x14ac:dyDescent="0.3">
      <c r="A89" t="s">
        <v>158</v>
      </c>
      <c r="B89">
        <v>24</v>
      </c>
      <c r="C89" t="s">
        <v>46</v>
      </c>
      <c r="D89" t="s">
        <v>55</v>
      </c>
      <c r="E89" t="s">
        <v>48</v>
      </c>
      <c r="F89">
        <v>1476</v>
      </c>
      <c r="G89" t="s">
        <v>57</v>
      </c>
      <c r="H89">
        <v>4</v>
      </c>
      <c r="I89">
        <v>1</v>
      </c>
      <c r="J89" t="s">
        <v>58</v>
      </c>
      <c r="K89">
        <v>1445</v>
      </c>
      <c r="L89">
        <v>4</v>
      </c>
      <c r="M89" t="s">
        <v>59</v>
      </c>
      <c r="N89">
        <v>3</v>
      </c>
      <c r="O89">
        <v>2</v>
      </c>
      <c r="P89" t="s">
        <v>145</v>
      </c>
      <c r="Q89">
        <v>3</v>
      </c>
      <c r="R89" t="s">
        <v>113</v>
      </c>
      <c r="S89">
        <v>10268</v>
      </c>
      <c r="T89" t="s">
        <v>54</v>
      </c>
      <c r="U89">
        <v>64.180000000000007</v>
      </c>
      <c r="V89">
        <v>1</v>
      </c>
      <c r="W89" t="s">
        <v>47</v>
      </c>
      <c r="X89">
        <v>12</v>
      </c>
      <c r="Y89">
        <v>3</v>
      </c>
      <c r="Z89">
        <v>3</v>
      </c>
      <c r="AA89">
        <v>2</v>
      </c>
      <c r="AB89">
        <v>5</v>
      </c>
      <c r="AC89">
        <v>3</v>
      </c>
      <c r="AD89">
        <v>3</v>
      </c>
      <c r="AE89">
        <v>5</v>
      </c>
      <c r="AF89">
        <v>4</v>
      </c>
      <c r="AG89">
        <v>0</v>
      </c>
      <c r="AH89">
        <v>3</v>
      </c>
      <c r="AI89">
        <f t="shared" si="7"/>
        <v>0</v>
      </c>
      <c r="AJ89" t="str">
        <f t="shared" si="8"/>
        <v>4-5 yrs</v>
      </c>
      <c r="AK89" t="str">
        <f t="shared" si="9"/>
        <v>Recent</v>
      </c>
      <c r="AL89">
        <f t="shared" si="10"/>
        <v>1</v>
      </c>
      <c r="AM89" t="str">
        <f t="shared" si="11"/>
        <v>Low Risk</v>
      </c>
      <c r="AN89" s="6">
        <f t="shared" si="12"/>
        <v>-0.79069659664467418</v>
      </c>
      <c r="AO89" s="7">
        <f t="shared" si="13"/>
        <v>123216</v>
      </c>
    </row>
    <row r="90" spans="1:41" x14ac:dyDescent="0.3">
      <c r="A90" t="s">
        <v>159</v>
      </c>
      <c r="B90">
        <v>24</v>
      </c>
      <c r="C90" t="s">
        <v>46</v>
      </c>
      <c r="D90" t="s">
        <v>47</v>
      </c>
      <c r="E90" t="s">
        <v>62</v>
      </c>
      <c r="F90">
        <v>381</v>
      </c>
      <c r="G90" t="s">
        <v>49</v>
      </c>
      <c r="H90">
        <v>9</v>
      </c>
      <c r="I90">
        <v>3</v>
      </c>
      <c r="J90" t="s">
        <v>58</v>
      </c>
      <c r="K90">
        <v>1494</v>
      </c>
      <c r="L90">
        <v>2</v>
      </c>
      <c r="M90" t="s">
        <v>51</v>
      </c>
      <c r="N90">
        <v>3</v>
      </c>
      <c r="O90">
        <v>1</v>
      </c>
      <c r="P90" t="s">
        <v>52</v>
      </c>
      <c r="Q90">
        <v>1</v>
      </c>
      <c r="R90" t="s">
        <v>53</v>
      </c>
      <c r="S90">
        <v>87807</v>
      </c>
      <c r="T90" t="s">
        <v>70</v>
      </c>
      <c r="U90">
        <v>548.79</v>
      </c>
      <c r="V90">
        <v>2</v>
      </c>
      <c r="W90" t="s">
        <v>47</v>
      </c>
      <c r="X90">
        <v>11</v>
      </c>
      <c r="Y90">
        <v>3</v>
      </c>
      <c r="Z90">
        <v>3</v>
      </c>
      <c r="AA90">
        <v>0</v>
      </c>
      <c r="AB90">
        <v>4</v>
      </c>
      <c r="AC90">
        <v>2</v>
      </c>
      <c r="AD90">
        <v>2</v>
      </c>
      <c r="AE90">
        <v>0</v>
      </c>
      <c r="AF90">
        <v>0</v>
      </c>
      <c r="AG90">
        <v>0</v>
      </c>
      <c r="AH90">
        <v>0</v>
      </c>
      <c r="AI90">
        <f t="shared" si="7"/>
        <v>1</v>
      </c>
      <c r="AJ90" t="str">
        <f t="shared" si="8"/>
        <v>0-1 yr</v>
      </c>
      <c r="AK90" t="str">
        <f t="shared" si="9"/>
        <v>Recent</v>
      </c>
      <c r="AL90">
        <f t="shared" si="10"/>
        <v>3</v>
      </c>
      <c r="AM90" t="str">
        <f t="shared" si="11"/>
        <v>High Risk</v>
      </c>
      <c r="AN90" s="6">
        <f t="shared" si="12"/>
        <v>0.69771817461434271</v>
      </c>
      <c r="AO90" s="7">
        <f t="shared" si="13"/>
        <v>1053684</v>
      </c>
    </row>
    <row r="91" spans="1:41" x14ac:dyDescent="0.3">
      <c r="A91" t="s">
        <v>160</v>
      </c>
      <c r="B91">
        <v>24</v>
      </c>
      <c r="C91" t="s">
        <v>46</v>
      </c>
      <c r="D91" t="s">
        <v>55</v>
      </c>
      <c r="E91" t="s">
        <v>66</v>
      </c>
      <c r="F91">
        <v>830</v>
      </c>
      <c r="G91" t="s">
        <v>57</v>
      </c>
      <c r="H91">
        <v>13</v>
      </c>
      <c r="I91">
        <v>2</v>
      </c>
      <c r="J91" t="s">
        <v>50</v>
      </c>
      <c r="K91">
        <v>1495</v>
      </c>
      <c r="L91">
        <v>4</v>
      </c>
      <c r="M91" t="s">
        <v>59</v>
      </c>
      <c r="N91">
        <v>3</v>
      </c>
      <c r="O91">
        <v>1</v>
      </c>
      <c r="P91" t="s">
        <v>60</v>
      </c>
      <c r="Q91">
        <v>2</v>
      </c>
      <c r="R91" t="s">
        <v>113</v>
      </c>
      <c r="S91">
        <v>13185</v>
      </c>
      <c r="T91" t="s">
        <v>54</v>
      </c>
      <c r="U91">
        <v>82.41</v>
      </c>
      <c r="V91">
        <v>1</v>
      </c>
      <c r="W91" t="s">
        <v>55</v>
      </c>
      <c r="X91">
        <v>13</v>
      </c>
      <c r="Y91">
        <v>3</v>
      </c>
      <c r="Z91">
        <v>3</v>
      </c>
      <c r="AA91">
        <v>1</v>
      </c>
      <c r="AB91">
        <v>1</v>
      </c>
      <c r="AC91">
        <v>2</v>
      </c>
      <c r="AD91">
        <v>3</v>
      </c>
      <c r="AE91">
        <v>1</v>
      </c>
      <c r="AF91">
        <v>0</v>
      </c>
      <c r="AG91">
        <v>0</v>
      </c>
      <c r="AH91">
        <v>0</v>
      </c>
      <c r="AI91">
        <f t="shared" si="7"/>
        <v>0</v>
      </c>
      <c r="AJ91" t="str">
        <f t="shared" si="8"/>
        <v>0-1 yr</v>
      </c>
      <c r="AK91" t="str">
        <f t="shared" si="9"/>
        <v>Recent</v>
      </c>
      <c r="AL91">
        <f t="shared" si="10"/>
        <v>1</v>
      </c>
      <c r="AM91" t="str">
        <f t="shared" si="11"/>
        <v>Low Risk</v>
      </c>
      <c r="AN91" s="6">
        <f t="shared" si="12"/>
        <v>-0.73270107453907385</v>
      </c>
      <c r="AO91" s="7">
        <f t="shared" si="13"/>
        <v>158220</v>
      </c>
    </row>
    <row r="92" spans="1:41" x14ac:dyDescent="0.3">
      <c r="A92" t="s">
        <v>161</v>
      </c>
      <c r="B92">
        <v>24</v>
      </c>
      <c r="C92" t="s">
        <v>46</v>
      </c>
      <c r="D92" t="s">
        <v>55</v>
      </c>
      <c r="E92" t="s">
        <v>48</v>
      </c>
      <c r="F92">
        <v>350</v>
      </c>
      <c r="G92" t="s">
        <v>49</v>
      </c>
      <c r="H92">
        <v>21</v>
      </c>
      <c r="I92">
        <v>2</v>
      </c>
      <c r="J92" t="s">
        <v>77</v>
      </c>
      <c r="K92">
        <v>1551</v>
      </c>
      <c r="L92">
        <v>3</v>
      </c>
      <c r="M92" t="s">
        <v>51</v>
      </c>
      <c r="N92">
        <v>2</v>
      </c>
      <c r="O92">
        <v>1</v>
      </c>
      <c r="P92" t="s">
        <v>52</v>
      </c>
      <c r="Q92">
        <v>1</v>
      </c>
      <c r="R92" t="s">
        <v>53</v>
      </c>
      <c r="S92">
        <v>64704</v>
      </c>
      <c r="T92" t="s">
        <v>64</v>
      </c>
      <c r="U92">
        <v>404.4</v>
      </c>
      <c r="V92">
        <v>0</v>
      </c>
      <c r="W92" t="s">
        <v>55</v>
      </c>
      <c r="X92">
        <v>14</v>
      </c>
      <c r="Y92">
        <v>3</v>
      </c>
      <c r="Z92">
        <v>2</v>
      </c>
      <c r="AA92">
        <v>3</v>
      </c>
      <c r="AB92">
        <v>2</v>
      </c>
      <c r="AC92">
        <v>3</v>
      </c>
      <c r="AD92">
        <v>3</v>
      </c>
      <c r="AE92">
        <v>1</v>
      </c>
      <c r="AF92">
        <v>1</v>
      </c>
      <c r="AG92">
        <v>0</v>
      </c>
      <c r="AH92">
        <v>0</v>
      </c>
      <c r="AI92">
        <f t="shared" si="7"/>
        <v>0</v>
      </c>
      <c r="AJ92" t="str">
        <f t="shared" si="8"/>
        <v>0-1 yr</v>
      </c>
      <c r="AK92" t="str">
        <f t="shared" si="9"/>
        <v>Recent</v>
      </c>
      <c r="AL92">
        <f t="shared" si="10"/>
        <v>1</v>
      </c>
      <c r="AM92" t="str">
        <f t="shared" si="11"/>
        <v>Low Risk</v>
      </c>
      <c r="AN92" s="6">
        <f t="shared" si="12"/>
        <v>0.25102960777895189</v>
      </c>
      <c r="AO92" s="7">
        <f t="shared" si="13"/>
        <v>776448</v>
      </c>
    </row>
    <row r="93" spans="1:41" x14ac:dyDescent="0.3">
      <c r="A93" t="s">
        <v>162</v>
      </c>
      <c r="B93">
        <v>24</v>
      </c>
      <c r="C93" t="s">
        <v>46</v>
      </c>
      <c r="D93" t="s">
        <v>55</v>
      </c>
      <c r="E93" t="s">
        <v>62</v>
      </c>
      <c r="F93">
        <v>567</v>
      </c>
      <c r="G93" t="s">
        <v>49</v>
      </c>
      <c r="H93">
        <v>2</v>
      </c>
      <c r="I93">
        <v>1</v>
      </c>
      <c r="J93" t="s">
        <v>77</v>
      </c>
      <c r="K93">
        <v>1646</v>
      </c>
      <c r="L93">
        <v>1</v>
      </c>
      <c r="M93" t="s">
        <v>59</v>
      </c>
      <c r="N93">
        <v>3</v>
      </c>
      <c r="O93">
        <v>1</v>
      </c>
      <c r="P93" t="s">
        <v>67</v>
      </c>
      <c r="Q93">
        <v>4</v>
      </c>
      <c r="R93" t="s">
        <v>53</v>
      </c>
      <c r="S93">
        <v>87779</v>
      </c>
      <c r="T93" t="s">
        <v>70</v>
      </c>
      <c r="U93">
        <v>548.62</v>
      </c>
      <c r="V93">
        <v>1</v>
      </c>
      <c r="W93" t="s">
        <v>47</v>
      </c>
      <c r="X93">
        <v>13</v>
      </c>
      <c r="Y93">
        <v>3</v>
      </c>
      <c r="Z93">
        <v>3</v>
      </c>
      <c r="AA93">
        <v>0</v>
      </c>
      <c r="AB93">
        <v>6</v>
      </c>
      <c r="AC93">
        <v>2</v>
      </c>
      <c r="AD93">
        <v>3</v>
      </c>
      <c r="AE93">
        <v>6</v>
      </c>
      <c r="AF93">
        <v>3</v>
      </c>
      <c r="AG93">
        <v>1</v>
      </c>
      <c r="AH93">
        <v>3</v>
      </c>
      <c r="AI93">
        <f t="shared" si="7"/>
        <v>0</v>
      </c>
      <c r="AJ93" t="str">
        <f t="shared" si="8"/>
        <v>6-10 yrs</v>
      </c>
      <c r="AK93" t="str">
        <f t="shared" si="9"/>
        <v>Recent</v>
      </c>
      <c r="AL93">
        <f t="shared" si="10"/>
        <v>1</v>
      </c>
      <c r="AM93" t="str">
        <f t="shared" si="11"/>
        <v>Low Risk</v>
      </c>
      <c r="AN93" s="6">
        <f t="shared" si="12"/>
        <v>0.76029398317733876</v>
      </c>
      <c r="AO93" s="7">
        <f t="shared" si="13"/>
        <v>1053348</v>
      </c>
    </row>
    <row r="94" spans="1:41" x14ac:dyDescent="0.3">
      <c r="A94" t="s">
        <v>163</v>
      </c>
      <c r="B94">
        <v>24</v>
      </c>
      <c r="C94" t="s">
        <v>46</v>
      </c>
      <c r="D94" t="s">
        <v>55</v>
      </c>
      <c r="E94" t="s">
        <v>48</v>
      </c>
      <c r="F94">
        <v>581</v>
      </c>
      <c r="G94" t="s">
        <v>49</v>
      </c>
      <c r="H94">
        <v>9</v>
      </c>
      <c r="I94">
        <v>3</v>
      </c>
      <c r="J94" t="s">
        <v>58</v>
      </c>
      <c r="K94">
        <v>1707</v>
      </c>
      <c r="L94">
        <v>3</v>
      </c>
      <c r="M94" t="s">
        <v>51</v>
      </c>
      <c r="N94">
        <v>4</v>
      </c>
      <c r="O94">
        <v>1</v>
      </c>
      <c r="P94" t="s">
        <v>67</v>
      </c>
      <c r="Q94">
        <v>3</v>
      </c>
      <c r="R94" t="s">
        <v>113</v>
      </c>
      <c r="S94">
        <v>40099</v>
      </c>
      <c r="T94" t="s">
        <v>72</v>
      </c>
      <c r="U94">
        <v>250.62</v>
      </c>
      <c r="V94">
        <v>1</v>
      </c>
      <c r="W94" t="s">
        <v>55</v>
      </c>
      <c r="X94">
        <v>16</v>
      </c>
      <c r="Y94">
        <v>3</v>
      </c>
      <c r="Z94">
        <v>4</v>
      </c>
      <c r="AA94">
        <v>1</v>
      </c>
      <c r="AB94">
        <v>5</v>
      </c>
      <c r="AC94">
        <v>1</v>
      </c>
      <c r="AD94">
        <v>3</v>
      </c>
      <c r="AE94">
        <v>5</v>
      </c>
      <c r="AF94">
        <v>3</v>
      </c>
      <c r="AG94">
        <v>0</v>
      </c>
      <c r="AH94">
        <v>4</v>
      </c>
      <c r="AI94">
        <f t="shared" si="7"/>
        <v>0</v>
      </c>
      <c r="AJ94" t="str">
        <f t="shared" si="8"/>
        <v>4-5 yrs</v>
      </c>
      <c r="AK94" t="str">
        <f t="shared" si="9"/>
        <v>Recent</v>
      </c>
      <c r="AL94">
        <f t="shared" si="10"/>
        <v>0</v>
      </c>
      <c r="AM94" t="str">
        <f t="shared" si="11"/>
        <v>Minimal Risk</v>
      </c>
      <c r="AN94" s="6">
        <f t="shared" si="12"/>
        <v>-0.19586656909479366</v>
      </c>
      <c r="AO94" s="7">
        <f t="shared" si="13"/>
        <v>481188</v>
      </c>
    </row>
    <row r="95" spans="1:41" x14ac:dyDescent="0.3">
      <c r="A95" t="s">
        <v>164</v>
      </c>
      <c r="B95">
        <v>24</v>
      </c>
      <c r="C95" t="s">
        <v>46</v>
      </c>
      <c r="D95" t="s">
        <v>47</v>
      </c>
      <c r="E95" t="s">
        <v>48</v>
      </c>
      <c r="F95">
        <v>240</v>
      </c>
      <c r="G95" t="s">
        <v>80</v>
      </c>
      <c r="H95">
        <v>22</v>
      </c>
      <c r="I95">
        <v>1</v>
      </c>
      <c r="J95" t="s">
        <v>80</v>
      </c>
      <c r="K95">
        <v>1714</v>
      </c>
      <c r="L95">
        <v>4</v>
      </c>
      <c r="M95" t="s">
        <v>51</v>
      </c>
      <c r="N95">
        <v>1</v>
      </c>
      <c r="O95">
        <v>1</v>
      </c>
      <c r="P95" t="s">
        <v>80</v>
      </c>
      <c r="Q95">
        <v>3</v>
      </c>
      <c r="R95" t="s">
        <v>113</v>
      </c>
      <c r="S95">
        <v>9571</v>
      </c>
      <c r="T95" t="s">
        <v>54</v>
      </c>
      <c r="U95">
        <v>59.82</v>
      </c>
      <c r="V95">
        <v>1</v>
      </c>
      <c r="W95" t="s">
        <v>55</v>
      </c>
      <c r="X95">
        <v>11</v>
      </c>
      <c r="Y95">
        <v>3</v>
      </c>
      <c r="Z95">
        <v>3</v>
      </c>
      <c r="AA95">
        <v>1</v>
      </c>
      <c r="AB95">
        <v>1</v>
      </c>
      <c r="AC95">
        <v>2</v>
      </c>
      <c r="AD95">
        <v>3</v>
      </c>
      <c r="AE95">
        <v>1</v>
      </c>
      <c r="AF95">
        <v>0</v>
      </c>
      <c r="AG95">
        <v>0</v>
      </c>
      <c r="AH95">
        <v>0</v>
      </c>
      <c r="AI95">
        <f t="shared" si="7"/>
        <v>1</v>
      </c>
      <c r="AJ95" t="str">
        <f t="shared" si="8"/>
        <v>0-1 yr</v>
      </c>
      <c r="AK95" t="str">
        <f t="shared" si="9"/>
        <v>Recent</v>
      </c>
      <c r="AL95">
        <f t="shared" si="10"/>
        <v>0</v>
      </c>
      <c r="AM95" t="str">
        <f t="shared" si="11"/>
        <v>Minimal Risk</v>
      </c>
      <c r="AN95" s="6">
        <f t="shared" si="12"/>
        <v>-0.81138671082999514</v>
      </c>
      <c r="AO95" s="7">
        <f t="shared" si="13"/>
        <v>114852</v>
      </c>
    </row>
    <row r="96" spans="1:41" x14ac:dyDescent="0.3">
      <c r="A96" t="s">
        <v>165</v>
      </c>
      <c r="B96">
        <v>24</v>
      </c>
      <c r="C96" t="s">
        <v>46</v>
      </c>
      <c r="D96" t="s">
        <v>55</v>
      </c>
      <c r="E96" t="s">
        <v>48</v>
      </c>
      <c r="F96">
        <v>506</v>
      </c>
      <c r="G96" t="s">
        <v>49</v>
      </c>
      <c r="H96">
        <v>29</v>
      </c>
      <c r="I96">
        <v>1</v>
      </c>
      <c r="J96" t="s">
        <v>58</v>
      </c>
      <c r="K96">
        <v>1725</v>
      </c>
      <c r="L96">
        <v>2</v>
      </c>
      <c r="M96" t="s">
        <v>51</v>
      </c>
      <c r="N96">
        <v>3</v>
      </c>
      <c r="O96">
        <v>1</v>
      </c>
      <c r="P96" t="s">
        <v>52</v>
      </c>
      <c r="Q96">
        <v>1</v>
      </c>
      <c r="R96" t="s">
        <v>53</v>
      </c>
      <c r="S96">
        <v>39044</v>
      </c>
      <c r="T96" t="s">
        <v>72</v>
      </c>
      <c r="U96">
        <v>244.02</v>
      </c>
      <c r="V96">
        <v>1</v>
      </c>
      <c r="W96" t="s">
        <v>55</v>
      </c>
      <c r="X96">
        <v>13</v>
      </c>
      <c r="Y96">
        <v>3</v>
      </c>
      <c r="Z96">
        <v>2</v>
      </c>
      <c r="AA96">
        <v>3</v>
      </c>
      <c r="AB96">
        <v>6</v>
      </c>
      <c r="AC96">
        <v>2</v>
      </c>
      <c r="AD96">
        <v>4</v>
      </c>
      <c r="AE96">
        <v>6</v>
      </c>
      <c r="AF96">
        <v>2</v>
      </c>
      <c r="AG96">
        <v>1</v>
      </c>
      <c r="AH96">
        <v>2</v>
      </c>
      <c r="AI96">
        <f t="shared" si="7"/>
        <v>0</v>
      </c>
      <c r="AJ96" t="str">
        <f t="shared" si="8"/>
        <v>6-10 yrs</v>
      </c>
      <c r="AK96" t="str">
        <f t="shared" si="9"/>
        <v>Recent</v>
      </c>
      <c r="AL96">
        <f t="shared" si="10"/>
        <v>1</v>
      </c>
      <c r="AM96" t="str">
        <f t="shared" si="11"/>
        <v>Low Risk</v>
      </c>
      <c r="AN96" s="6">
        <f t="shared" si="12"/>
        <v>-0.24509767547413763</v>
      </c>
      <c r="AO96" s="7">
        <f t="shared" si="13"/>
        <v>468528</v>
      </c>
    </row>
    <row r="97" spans="1:41" x14ac:dyDescent="0.3">
      <c r="A97" t="s">
        <v>166</v>
      </c>
      <c r="B97">
        <v>24</v>
      </c>
      <c r="C97" t="s">
        <v>46</v>
      </c>
      <c r="D97" t="s">
        <v>55</v>
      </c>
      <c r="E97" t="s">
        <v>62</v>
      </c>
      <c r="F97">
        <v>897</v>
      </c>
      <c r="G97" t="s">
        <v>80</v>
      </c>
      <c r="H97">
        <v>10</v>
      </c>
      <c r="I97">
        <v>3</v>
      </c>
      <c r="J97" t="s">
        <v>58</v>
      </c>
      <c r="K97">
        <v>1746</v>
      </c>
      <c r="L97">
        <v>1</v>
      </c>
      <c r="M97" t="s">
        <v>51</v>
      </c>
      <c r="N97">
        <v>3</v>
      </c>
      <c r="O97">
        <v>1</v>
      </c>
      <c r="P97" t="s">
        <v>80</v>
      </c>
      <c r="Q97">
        <v>4</v>
      </c>
      <c r="R97" t="s">
        <v>113</v>
      </c>
      <c r="S97">
        <v>52214</v>
      </c>
      <c r="T97" t="s">
        <v>64</v>
      </c>
      <c r="U97">
        <v>326.33999999999997</v>
      </c>
      <c r="V97">
        <v>0</v>
      </c>
      <c r="W97" t="s">
        <v>55</v>
      </c>
      <c r="X97">
        <v>14</v>
      </c>
      <c r="Y97">
        <v>3</v>
      </c>
      <c r="Z97">
        <v>4</v>
      </c>
      <c r="AA97">
        <v>1</v>
      </c>
      <c r="AB97">
        <v>3</v>
      </c>
      <c r="AC97">
        <v>2</v>
      </c>
      <c r="AD97">
        <v>3</v>
      </c>
      <c r="AE97">
        <v>2</v>
      </c>
      <c r="AF97">
        <v>2</v>
      </c>
      <c r="AG97">
        <v>2</v>
      </c>
      <c r="AH97">
        <v>1</v>
      </c>
      <c r="AI97">
        <f t="shared" si="7"/>
        <v>0</v>
      </c>
      <c r="AJ97" t="str">
        <f t="shared" si="8"/>
        <v>2-3 yrs</v>
      </c>
      <c r="AK97" t="str">
        <f t="shared" si="9"/>
        <v>Recent</v>
      </c>
      <c r="AL97">
        <f t="shared" si="10"/>
        <v>0</v>
      </c>
      <c r="AM97" t="str">
        <f t="shared" si="11"/>
        <v>Minimal Risk</v>
      </c>
      <c r="AN97" s="6">
        <f t="shared" si="12"/>
        <v>2.8968162232016655E-2</v>
      </c>
      <c r="AO97" s="7">
        <f t="shared" si="13"/>
        <v>626568</v>
      </c>
    </row>
    <row r="98" spans="1:41" x14ac:dyDescent="0.3">
      <c r="A98" t="s">
        <v>167</v>
      </c>
      <c r="B98">
        <v>24</v>
      </c>
      <c r="C98" t="s">
        <v>46</v>
      </c>
      <c r="D98" t="s">
        <v>55</v>
      </c>
      <c r="E98" t="s">
        <v>48</v>
      </c>
      <c r="F98">
        <v>771</v>
      </c>
      <c r="G98" t="s">
        <v>49</v>
      </c>
      <c r="H98">
        <v>1</v>
      </c>
      <c r="I98">
        <v>2</v>
      </c>
      <c r="J98" t="s">
        <v>50</v>
      </c>
      <c r="K98">
        <v>1981</v>
      </c>
      <c r="L98">
        <v>2</v>
      </c>
      <c r="M98" t="s">
        <v>51</v>
      </c>
      <c r="N98">
        <v>2</v>
      </c>
      <c r="O98">
        <v>2</v>
      </c>
      <c r="P98" t="s">
        <v>168</v>
      </c>
      <c r="Q98">
        <v>3</v>
      </c>
      <c r="R98" t="s">
        <v>53</v>
      </c>
      <c r="S98">
        <v>62228</v>
      </c>
      <c r="T98" t="s">
        <v>64</v>
      </c>
      <c r="U98">
        <v>388.92</v>
      </c>
      <c r="V98">
        <v>1</v>
      </c>
      <c r="W98" t="s">
        <v>55</v>
      </c>
      <c r="X98">
        <v>12</v>
      </c>
      <c r="Y98">
        <v>3</v>
      </c>
      <c r="Z98">
        <v>2</v>
      </c>
      <c r="AA98">
        <v>0</v>
      </c>
      <c r="AB98">
        <v>4</v>
      </c>
      <c r="AC98">
        <v>2</v>
      </c>
      <c r="AD98">
        <v>2</v>
      </c>
      <c r="AE98">
        <v>4</v>
      </c>
      <c r="AF98">
        <v>3</v>
      </c>
      <c r="AG98">
        <v>1</v>
      </c>
      <c r="AH98">
        <v>2</v>
      </c>
      <c r="AI98">
        <f t="shared" si="7"/>
        <v>0</v>
      </c>
      <c r="AJ98" t="str">
        <f t="shared" si="8"/>
        <v>4-5 yrs</v>
      </c>
      <c r="AK98" t="str">
        <f t="shared" si="9"/>
        <v>Recent</v>
      </c>
      <c r="AL98">
        <f t="shared" si="10"/>
        <v>1</v>
      </c>
      <c r="AM98" t="str">
        <f t="shared" si="11"/>
        <v>Low Risk</v>
      </c>
      <c r="AN98" s="6">
        <f t="shared" si="12"/>
        <v>0.29132821856731217</v>
      </c>
      <c r="AO98" s="7">
        <f t="shared" si="13"/>
        <v>746736</v>
      </c>
    </row>
    <row r="99" spans="1:41" x14ac:dyDescent="0.3">
      <c r="A99" t="s">
        <v>169</v>
      </c>
      <c r="B99">
        <v>25</v>
      </c>
      <c r="C99" t="s">
        <v>46</v>
      </c>
      <c r="D99" t="s">
        <v>47</v>
      </c>
      <c r="E99" t="s">
        <v>48</v>
      </c>
      <c r="F99">
        <v>240</v>
      </c>
      <c r="G99" t="s">
        <v>57</v>
      </c>
      <c r="H99">
        <v>5</v>
      </c>
      <c r="I99">
        <v>3</v>
      </c>
      <c r="J99" t="s">
        <v>63</v>
      </c>
      <c r="K99">
        <v>142</v>
      </c>
      <c r="L99">
        <v>3</v>
      </c>
      <c r="M99" t="s">
        <v>51</v>
      </c>
      <c r="N99">
        <v>2</v>
      </c>
      <c r="O99">
        <v>2</v>
      </c>
      <c r="P99" t="s">
        <v>145</v>
      </c>
      <c r="Q99">
        <v>3</v>
      </c>
      <c r="R99" t="s">
        <v>53</v>
      </c>
      <c r="S99">
        <v>49984</v>
      </c>
      <c r="T99" t="s">
        <v>72</v>
      </c>
      <c r="U99">
        <v>312.39999999999998</v>
      </c>
      <c r="V99">
        <v>1</v>
      </c>
      <c r="W99" t="s">
        <v>47</v>
      </c>
      <c r="X99">
        <v>11</v>
      </c>
      <c r="Y99">
        <v>3</v>
      </c>
      <c r="Z99">
        <v>4</v>
      </c>
      <c r="AA99">
        <v>0</v>
      </c>
      <c r="AB99">
        <v>6</v>
      </c>
      <c r="AC99">
        <v>1</v>
      </c>
      <c r="AD99">
        <v>3</v>
      </c>
      <c r="AE99">
        <v>6</v>
      </c>
      <c r="AF99">
        <v>4</v>
      </c>
      <c r="AG99">
        <v>0</v>
      </c>
      <c r="AH99">
        <v>3</v>
      </c>
      <c r="AI99">
        <f t="shared" si="7"/>
        <v>1</v>
      </c>
      <c r="AJ99" t="str">
        <f t="shared" si="8"/>
        <v>6-10 yrs</v>
      </c>
      <c r="AK99" t="str">
        <f t="shared" si="9"/>
        <v>Recent</v>
      </c>
      <c r="AL99">
        <f t="shared" si="10"/>
        <v>1</v>
      </c>
      <c r="AM99" t="str">
        <f t="shared" si="11"/>
        <v>Low Risk</v>
      </c>
      <c r="AN99" s="6">
        <f t="shared" si="12"/>
        <v>1.8876247887865617E-2</v>
      </c>
      <c r="AO99" s="7">
        <f t="shared" si="13"/>
        <v>599808</v>
      </c>
    </row>
    <row r="100" spans="1:41" x14ac:dyDescent="0.3">
      <c r="A100" t="s">
        <v>170</v>
      </c>
      <c r="B100">
        <v>25</v>
      </c>
      <c r="C100" t="s">
        <v>46</v>
      </c>
      <c r="D100" t="s">
        <v>55</v>
      </c>
      <c r="E100" t="s">
        <v>48</v>
      </c>
      <c r="F100">
        <v>1280</v>
      </c>
      <c r="G100" t="s">
        <v>49</v>
      </c>
      <c r="H100">
        <v>7</v>
      </c>
      <c r="I100">
        <v>1</v>
      </c>
      <c r="J100" t="s">
        <v>58</v>
      </c>
      <c r="K100">
        <v>143</v>
      </c>
      <c r="L100">
        <v>4</v>
      </c>
      <c r="M100" t="s">
        <v>51</v>
      </c>
      <c r="N100">
        <v>2</v>
      </c>
      <c r="O100">
        <v>1</v>
      </c>
      <c r="P100" t="s">
        <v>67</v>
      </c>
      <c r="Q100">
        <v>4</v>
      </c>
      <c r="R100" t="s">
        <v>113</v>
      </c>
      <c r="S100">
        <v>41774</v>
      </c>
      <c r="T100" t="s">
        <v>72</v>
      </c>
      <c r="U100">
        <v>261.08999999999997</v>
      </c>
      <c r="V100">
        <v>1</v>
      </c>
      <c r="W100" t="s">
        <v>55</v>
      </c>
      <c r="X100">
        <v>11</v>
      </c>
      <c r="Y100">
        <v>3</v>
      </c>
      <c r="Z100">
        <v>3</v>
      </c>
      <c r="AA100">
        <v>2</v>
      </c>
      <c r="AB100">
        <v>2</v>
      </c>
      <c r="AC100">
        <v>2</v>
      </c>
      <c r="AD100">
        <v>3</v>
      </c>
      <c r="AE100">
        <v>2</v>
      </c>
      <c r="AF100">
        <v>2</v>
      </c>
      <c r="AG100">
        <v>2</v>
      </c>
      <c r="AH100">
        <v>1</v>
      </c>
      <c r="AI100">
        <f t="shared" si="7"/>
        <v>0</v>
      </c>
      <c r="AJ100" t="str">
        <f t="shared" si="8"/>
        <v>2-3 yrs</v>
      </c>
      <c r="AK100" t="str">
        <f t="shared" si="9"/>
        <v>Recent</v>
      </c>
      <c r="AL100">
        <f t="shared" si="10"/>
        <v>0</v>
      </c>
      <c r="AM100" t="str">
        <f t="shared" si="11"/>
        <v>Minimal Risk</v>
      </c>
      <c r="AN100" s="6">
        <f t="shared" si="12"/>
        <v>-0.1622766168075491</v>
      </c>
      <c r="AO100" s="7">
        <f t="shared" si="13"/>
        <v>501288</v>
      </c>
    </row>
    <row r="101" spans="1:41" x14ac:dyDescent="0.3">
      <c r="A101" t="s">
        <v>171</v>
      </c>
      <c r="B101">
        <v>25</v>
      </c>
      <c r="C101" t="s">
        <v>46</v>
      </c>
      <c r="D101" t="s">
        <v>55</v>
      </c>
      <c r="E101" t="s">
        <v>48</v>
      </c>
      <c r="F101">
        <v>959</v>
      </c>
      <c r="G101" t="s">
        <v>57</v>
      </c>
      <c r="H101">
        <v>28</v>
      </c>
      <c r="I101">
        <v>3</v>
      </c>
      <c r="J101" t="s">
        <v>50</v>
      </c>
      <c r="K101">
        <v>183</v>
      </c>
      <c r="L101">
        <v>1</v>
      </c>
      <c r="M101" t="s">
        <v>51</v>
      </c>
      <c r="N101">
        <v>2</v>
      </c>
      <c r="O101">
        <v>2</v>
      </c>
      <c r="P101" t="s">
        <v>145</v>
      </c>
      <c r="Q101">
        <v>3</v>
      </c>
      <c r="R101" t="s">
        <v>113</v>
      </c>
      <c r="S101">
        <v>3568</v>
      </c>
      <c r="T101" t="s">
        <v>54</v>
      </c>
      <c r="U101">
        <v>22.3</v>
      </c>
      <c r="V101">
        <v>2</v>
      </c>
      <c r="W101" t="s">
        <v>55</v>
      </c>
      <c r="X101">
        <v>18</v>
      </c>
      <c r="Y101">
        <v>3</v>
      </c>
      <c r="Z101">
        <v>4</v>
      </c>
      <c r="AA101">
        <v>0</v>
      </c>
      <c r="AB101">
        <v>6</v>
      </c>
      <c r="AC101">
        <v>3</v>
      </c>
      <c r="AD101">
        <v>3</v>
      </c>
      <c r="AE101">
        <v>2</v>
      </c>
      <c r="AF101">
        <v>2</v>
      </c>
      <c r="AG101">
        <v>2</v>
      </c>
      <c r="AH101">
        <v>2</v>
      </c>
      <c r="AI101">
        <f t="shared" si="7"/>
        <v>0</v>
      </c>
      <c r="AJ101" t="str">
        <f t="shared" si="8"/>
        <v>2-3 yrs</v>
      </c>
      <c r="AK101" t="str">
        <f t="shared" si="9"/>
        <v>Recent</v>
      </c>
      <c r="AL101">
        <f t="shared" si="10"/>
        <v>0</v>
      </c>
      <c r="AM101" t="str">
        <f t="shared" si="11"/>
        <v>Minimal Risk</v>
      </c>
      <c r="AN101" s="6">
        <f t="shared" si="12"/>
        <v>-0.92726971726024521</v>
      </c>
      <c r="AO101" s="7">
        <f t="shared" si="13"/>
        <v>42816</v>
      </c>
    </row>
    <row r="102" spans="1:41" x14ac:dyDescent="0.3">
      <c r="A102" t="s">
        <v>172</v>
      </c>
      <c r="B102">
        <v>25</v>
      </c>
      <c r="C102" t="s">
        <v>46</v>
      </c>
      <c r="D102" t="s">
        <v>55</v>
      </c>
      <c r="E102" t="s">
        <v>48</v>
      </c>
      <c r="F102">
        <v>685</v>
      </c>
      <c r="G102" t="s">
        <v>49</v>
      </c>
      <c r="H102">
        <v>1</v>
      </c>
      <c r="I102">
        <v>3</v>
      </c>
      <c r="J102" t="s">
        <v>50</v>
      </c>
      <c r="K102">
        <v>350</v>
      </c>
      <c r="L102">
        <v>1</v>
      </c>
      <c r="M102" t="s">
        <v>59</v>
      </c>
      <c r="N102">
        <v>3</v>
      </c>
      <c r="O102">
        <v>2</v>
      </c>
      <c r="P102" t="s">
        <v>120</v>
      </c>
      <c r="Q102">
        <v>3</v>
      </c>
      <c r="R102" t="s">
        <v>113</v>
      </c>
      <c r="S102">
        <v>63592</v>
      </c>
      <c r="T102" t="s">
        <v>64</v>
      </c>
      <c r="U102">
        <v>397.45</v>
      </c>
      <c r="V102">
        <v>0</v>
      </c>
      <c r="W102" t="s">
        <v>55</v>
      </c>
      <c r="X102">
        <v>12</v>
      </c>
      <c r="Y102">
        <v>3</v>
      </c>
      <c r="Z102">
        <v>4</v>
      </c>
      <c r="AA102">
        <v>2</v>
      </c>
      <c r="AB102">
        <v>5</v>
      </c>
      <c r="AC102">
        <v>3</v>
      </c>
      <c r="AD102">
        <v>3</v>
      </c>
      <c r="AE102">
        <v>4</v>
      </c>
      <c r="AF102">
        <v>2</v>
      </c>
      <c r="AG102">
        <v>1</v>
      </c>
      <c r="AH102">
        <v>2</v>
      </c>
      <c r="AI102">
        <f t="shared" si="7"/>
        <v>0</v>
      </c>
      <c r="AJ102" t="str">
        <f t="shared" si="8"/>
        <v>4-5 yrs</v>
      </c>
      <c r="AK102" t="str">
        <f t="shared" si="9"/>
        <v>Recent</v>
      </c>
      <c r="AL102">
        <f t="shared" si="10"/>
        <v>0</v>
      </c>
      <c r="AM102" t="str">
        <f t="shared" si="11"/>
        <v>Minimal Risk</v>
      </c>
      <c r="AN102" s="6">
        <f t="shared" si="12"/>
        <v>0.43563648666430904</v>
      </c>
      <c r="AO102" s="7">
        <f t="shared" si="13"/>
        <v>763104</v>
      </c>
    </row>
    <row r="103" spans="1:41" x14ac:dyDescent="0.3">
      <c r="A103" t="s">
        <v>173</v>
      </c>
      <c r="B103">
        <v>25</v>
      </c>
      <c r="C103" t="s">
        <v>46</v>
      </c>
      <c r="D103" t="s">
        <v>55</v>
      </c>
      <c r="E103" t="s">
        <v>66</v>
      </c>
      <c r="F103">
        <v>675</v>
      </c>
      <c r="G103" t="s">
        <v>49</v>
      </c>
      <c r="H103">
        <v>5</v>
      </c>
      <c r="I103">
        <v>2</v>
      </c>
      <c r="J103" t="s">
        <v>50</v>
      </c>
      <c r="K103">
        <v>369</v>
      </c>
      <c r="L103">
        <v>2</v>
      </c>
      <c r="M103" t="s">
        <v>51</v>
      </c>
      <c r="N103">
        <v>4</v>
      </c>
      <c r="O103">
        <v>2</v>
      </c>
      <c r="P103" t="s">
        <v>168</v>
      </c>
      <c r="Q103">
        <v>1</v>
      </c>
      <c r="R103" t="s">
        <v>53</v>
      </c>
      <c r="S103">
        <v>68563</v>
      </c>
      <c r="T103" t="s">
        <v>64</v>
      </c>
      <c r="U103">
        <v>428.52</v>
      </c>
      <c r="V103">
        <v>1</v>
      </c>
      <c r="W103" t="s">
        <v>55</v>
      </c>
      <c r="X103">
        <v>12</v>
      </c>
      <c r="Y103">
        <v>3</v>
      </c>
      <c r="Z103">
        <v>4</v>
      </c>
      <c r="AA103">
        <v>2</v>
      </c>
      <c r="AB103">
        <v>6</v>
      </c>
      <c r="AC103">
        <v>2</v>
      </c>
      <c r="AD103">
        <v>3</v>
      </c>
      <c r="AE103">
        <v>6</v>
      </c>
      <c r="AF103">
        <v>3</v>
      </c>
      <c r="AG103">
        <v>1</v>
      </c>
      <c r="AH103">
        <v>5</v>
      </c>
      <c r="AI103">
        <f t="shared" si="7"/>
        <v>0</v>
      </c>
      <c r="AJ103" t="str">
        <f t="shared" si="8"/>
        <v>6-10 yrs</v>
      </c>
      <c r="AK103" t="str">
        <f t="shared" si="9"/>
        <v>Recent</v>
      </c>
      <c r="AL103">
        <f t="shared" si="10"/>
        <v>1</v>
      </c>
      <c r="AM103" t="str">
        <f t="shared" si="11"/>
        <v>Low Risk</v>
      </c>
      <c r="AN103" s="6">
        <f t="shared" si="12"/>
        <v>0.42278936571367592</v>
      </c>
      <c r="AO103" s="7">
        <f t="shared" si="13"/>
        <v>822756</v>
      </c>
    </row>
    <row r="104" spans="1:41" x14ac:dyDescent="0.3">
      <c r="A104" t="s">
        <v>174</v>
      </c>
      <c r="B104">
        <v>25</v>
      </c>
      <c r="C104" t="s">
        <v>46</v>
      </c>
      <c r="D104" t="s">
        <v>55</v>
      </c>
      <c r="E104" t="s">
        <v>48</v>
      </c>
      <c r="F104">
        <v>891</v>
      </c>
      <c r="G104" t="s">
        <v>57</v>
      </c>
      <c r="H104">
        <v>4</v>
      </c>
      <c r="I104">
        <v>2</v>
      </c>
      <c r="J104" t="s">
        <v>50</v>
      </c>
      <c r="K104">
        <v>527</v>
      </c>
      <c r="L104">
        <v>2</v>
      </c>
      <c r="M104" t="s">
        <v>59</v>
      </c>
      <c r="N104">
        <v>2</v>
      </c>
      <c r="O104">
        <v>2</v>
      </c>
      <c r="P104" t="s">
        <v>145</v>
      </c>
      <c r="Q104">
        <v>4</v>
      </c>
      <c r="R104" t="s">
        <v>53</v>
      </c>
      <c r="S104">
        <v>3695</v>
      </c>
      <c r="T104" t="s">
        <v>54</v>
      </c>
      <c r="U104">
        <v>23.09</v>
      </c>
      <c r="V104">
        <v>1</v>
      </c>
      <c r="W104" t="s">
        <v>47</v>
      </c>
      <c r="X104">
        <v>11</v>
      </c>
      <c r="Y104">
        <v>3</v>
      </c>
      <c r="Z104">
        <v>2</v>
      </c>
      <c r="AA104">
        <v>0</v>
      </c>
      <c r="AB104">
        <v>5</v>
      </c>
      <c r="AC104">
        <v>3</v>
      </c>
      <c r="AD104">
        <v>3</v>
      </c>
      <c r="AE104">
        <v>5</v>
      </c>
      <c r="AF104">
        <v>4</v>
      </c>
      <c r="AG104">
        <v>1</v>
      </c>
      <c r="AH104">
        <v>3</v>
      </c>
      <c r="AI104">
        <f t="shared" si="7"/>
        <v>0</v>
      </c>
      <c r="AJ104" t="str">
        <f t="shared" si="8"/>
        <v>4-5 yrs</v>
      </c>
      <c r="AK104" t="str">
        <f t="shared" si="9"/>
        <v>Recent</v>
      </c>
      <c r="AL104">
        <f t="shared" si="10"/>
        <v>1</v>
      </c>
      <c r="AM104" t="str">
        <f t="shared" si="11"/>
        <v>Low Risk</v>
      </c>
      <c r="AN104" s="6">
        <f t="shared" si="12"/>
        <v>-0.92468094318290528</v>
      </c>
      <c r="AO104" s="7">
        <f t="shared" si="13"/>
        <v>44340</v>
      </c>
    </row>
    <row r="105" spans="1:41" x14ac:dyDescent="0.3">
      <c r="A105" t="s">
        <v>175</v>
      </c>
      <c r="B105">
        <v>25</v>
      </c>
      <c r="C105" t="s">
        <v>46</v>
      </c>
      <c r="D105" t="s">
        <v>47</v>
      </c>
      <c r="E105" t="s">
        <v>48</v>
      </c>
      <c r="F105">
        <v>688</v>
      </c>
      <c r="G105" t="s">
        <v>49</v>
      </c>
      <c r="H105">
        <v>3</v>
      </c>
      <c r="I105">
        <v>3</v>
      </c>
      <c r="J105" t="s">
        <v>58</v>
      </c>
      <c r="K105">
        <v>538</v>
      </c>
      <c r="L105">
        <v>1</v>
      </c>
      <c r="M105" t="s">
        <v>51</v>
      </c>
      <c r="N105">
        <v>3</v>
      </c>
      <c r="O105">
        <v>1</v>
      </c>
      <c r="P105" t="s">
        <v>52</v>
      </c>
      <c r="Q105">
        <v>1</v>
      </c>
      <c r="R105" t="s">
        <v>113</v>
      </c>
      <c r="S105">
        <v>49190</v>
      </c>
      <c r="T105" t="s">
        <v>72</v>
      </c>
      <c r="U105">
        <v>307.44</v>
      </c>
      <c r="V105">
        <v>5</v>
      </c>
      <c r="W105" t="s">
        <v>55</v>
      </c>
      <c r="X105">
        <v>13</v>
      </c>
      <c r="Y105">
        <v>3</v>
      </c>
      <c r="Z105">
        <v>3</v>
      </c>
      <c r="AA105">
        <v>1</v>
      </c>
      <c r="AB105">
        <v>6</v>
      </c>
      <c r="AC105">
        <v>5</v>
      </c>
      <c r="AD105">
        <v>3</v>
      </c>
      <c r="AE105">
        <v>2</v>
      </c>
      <c r="AF105">
        <v>2</v>
      </c>
      <c r="AG105">
        <v>0</v>
      </c>
      <c r="AH105">
        <v>2</v>
      </c>
      <c r="AI105">
        <f t="shared" si="7"/>
        <v>1</v>
      </c>
      <c r="AJ105" t="str">
        <f t="shared" si="8"/>
        <v>2-3 yrs</v>
      </c>
      <c r="AK105" t="str">
        <f t="shared" si="9"/>
        <v>Recent</v>
      </c>
      <c r="AL105">
        <f t="shared" si="10"/>
        <v>1</v>
      </c>
      <c r="AM105" t="str">
        <f t="shared" si="11"/>
        <v>Low Risk</v>
      </c>
      <c r="AN105" s="6">
        <f t="shared" si="12"/>
        <v>-4.8928251628235588E-2</v>
      </c>
      <c r="AO105" s="7">
        <f t="shared" si="13"/>
        <v>590280</v>
      </c>
    </row>
    <row r="106" spans="1:41" x14ac:dyDescent="0.3">
      <c r="A106" t="s">
        <v>176</v>
      </c>
      <c r="B106">
        <v>25</v>
      </c>
      <c r="C106" t="s">
        <v>46</v>
      </c>
      <c r="D106" t="s">
        <v>55</v>
      </c>
      <c r="E106" t="s">
        <v>48</v>
      </c>
      <c r="F106">
        <v>622</v>
      </c>
      <c r="G106" t="s">
        <v>57</v>
      </c>
      <c r="H106">
        <v>13</v>
      </c>
      <c r="I106">
        <v>1</v>
      </c>
      <c r="J106" t="s">
        <v>58</v>
      </c>
      <c r="K106">
        <v>645</v>
      </c>
      <c r="L106">
        <v>2</v>
      </c>
      <c r="M106" t="s">
        <v>51</v>
      </c>
      <c r="N106">
        <v>3</v>
      </c>
      <c r="O106">
        <v>1</v>
      </c>
      <c r="P106" t="s">
        <v>60</v>
      </c>
      <c r="Q106">
        <v>3</v>
      </c>
      <c r="R106" t="s">
        <v>113</v>
      </c>
      <c r="S106">
        <v>6258</v>
      </c>
      <c r="T106" t="s">
        <v>54</v>
      </c>
      <c r="U106">
        <v>39.11</v>
      </c>
      <c r="V106">
        <v>1</v>
      </c>
      <c r="W106" t="s">
        <v>55</v>
      </c>
      <c r="X106">
        <v>11</v>
      </c>
      <c r="Y106">
        <v>3</v>
      </c>
      <c r="Z106">
        <v>3</v>
      </c>
      <c r="AA106">
        <v>0</v>
      </c>
      <c r="AB106">
        <v>7</v>
      </c>
      <c r="AC106">
        <v>1</v>
      </c>
      <c r="AD106">
        <v>3</v>
      </c>
      <c r="AE106">
        <v>7</v>
      </c>
      <c r="AF106">
        <v>4</v>
      </c>
      <c r="AG106">
        <v>0</v>
      </c>
      <c r="AH106">
        <v>6</v>
      </c>
      <c r="AI106">
        <f t="shared" si="7"/>
        <v>0</v>
      </c>
      <c r="AJ106" t="str">
        <f t="shared" si="8"/>
        <v>6-10 yrs</v>
      </c>
      <c r="AK106" t="str">
        <f t="shared" si="9"/>
        <v>Recent</v>
      </c>
      <c r="AL106">
        <f t="shared" si="10"/>
        <v>0</v>
      </c>
      <c r="AM106" t="str">
        <f t="shared" si="11"/>
        <v>Minimal Risk</v>
      </c>
      <c r="AN106" s="6">
        <f t="shared" si="12"/>
        <v>-0.87313184106678221</v>
      </c>
      <c r="AO106" s="7">
        <f t="shared" si="13"/>
        <v>75096</v>
      </c>
    </row>
    <row r="107" spans="1:41" x14ac:dyDescent="0.3">
      <c r="A107" t="s">
        <v>177</v>
      </c>
      <c r="B107">
        <v>25</v>
      </c>
      <c r="C107" t="s">
        <v>46</v>
      </c>
      <c r="D107" t="s">
        <v>55</v>
      </c>
      <c r="E107" t="s">
        <v>48</v>
      </c>
      <c r="F107">
        <v>810</v>
      </c>
      <c r="G107" t="s">
        <v>57</v>
      </c>
      <c r="H107">
        <v>8</v>
      </c>
      <c r="I107">
        <v>3</v>
      </c>
      <c r="J107" t="s">
        <v>50</v>
      </c>
      <c r="K107">
        <v>707</v>
      </c>
      <c r="L107">
        <v>4</v>
      </c>
      <c r="M107" t="s">
        <v>51</v>
      </c>
      <c r="N107">
        <v>4</v>
      </c>
      <c r="O107">
        <v>2</v>
      </c>
      <c r="P107" t="s">
        <v>145</v>
      </c>
      <c r="Q107">
        <v>2</v>
      </c>
      <c r="R107" t="s">
        <v>113</v>
      </c>
      <c r="S107">
        <v>88538</v>
      </c>
      <c r="T107" t="s">
        <v>70</v>
      </c>
      <c r="U107">
        <v>553.36</v>
      </c>
      <c r="V107">
        <v>0</v>
      </c>
      <c r="W107" t="s">
        <v>55</v>
      </c>
      <c r="X107">
        <v>22</v>
      </c>
      <c r="Y107">
        <v>4</v>
      </c>
      <c r="Z107">
        <v>3</v>
      </c>
      <c r="AA107">
        <v>1</v>
      </c>
      <c r="AB107">
        <v>4</v>
      </c>
      <c r="AC107">
        <v>4</v>
      </c>
      <c r="AD107">
        <v>3</v>
      </c>
      <c r="AE107">
        <v>3</v>
      </c>
      <c r="AF107">
        <v>2</v>
      </c>
      <c r="AG107">
        <v>1</v>
      </c>
      <c r="AH107">
        <v>2</v>
      </c>
      <c r="AI107">
        <f t="shared" si="7"/>
        <v>0</v>
      </c>
      <c r="AJ107" t="str">
        <f t="shared" si="8"/>
        <v>2-3 yrs</v>
      </c>
      <c r="AK107" t="str">
        <f t="shared" si="9"/>
        <v>Recent</v>
      </c>
      <c r="AL107">
        <f t="shared" si="10"/>
        <v>1</v>
      </c>
      <c r="AM107" t="str">
        <f t="shared" si="11"/>
        <v>Low Risk</v>
      </c>
      <c r="AN107" s="6">
        <f t="shared" si="12"/>
        <v>0.80476282881513772</v>
      </c>
      <c r="AO107" s="7">
        <f t="shared" si="13"/>
        <v>1062456</v>
      </c>
    </row>
    <row r="108" spans="1:41" x14ac:dyDescent="0.3">
      <c r="A108" t="s">
        <v>178</v>
      </c>
      <c r="B108">
        <v>25</v>
      </c>
      <c r="C108" t="s">
        <v>46</v>
      </c>
      <c r="D108" t="s">
        <v>55</v>
      </c>
      <c r="E108" t="s">
        <v>48</v>
      </c>
      <c r="F108">
        <v>883</v>
      </c>
      <c r="G108" t="s">
        <v>57</v>
      </c>
      <c r="H108">
        <v>26</v>
      </c>
      <c r="I108">
        <v>1</v>
      </c>
      <c r="J108" t="s">
        <v>58</v>
      </c>
      <c r="K108">
        <v>781</v>
      </c>
      <c r="L108">
        <v>3</v>
      </c>
      <c r="M108" t="s">
        <v>59</v>
      </c>
      <c r="N108">
        <v>3</v>
      </c>
      <c r="O108">
        <v>2</v>
      </c>
      <c r="P108" t="s">
        <v>145</v>
      </c>
      <c r="Q108">
        <v>4</v>
      </c>
      <c r="R108" t="s">
        <v>53</v>
      </c>
      <c r="S108">
        <v>40504</v>
      </c>
      <c r="T108" t="s">
        <v>72</v>
      </c>
      <c r="U108">
        <v>253.15</v>
      </c>
      <c r="V108">
        <v>1</v>
      </c>
      <c r="W108" t="s">
        <v>55</v>
      </c>
      <c r="X108">
        <v>23</v>
      </c>
      <c r="Y108">
        <v>4</v>
      </c>
      <c r="Z108">
        <v>2</v>
      </c>
      <c r="AA108">
        <v>0</v>
      </c>
      <c r="AB108">
        <v>6</v>
      </c>
      <c r="AC108">
        <v>5</v>
      </c>
      <c r="AD108">
        <v>2</v>
      </c>
      <c r="AE108">
        <v>6</v>
      </c>
      <c r="AF108">
        <v>5</v>
      </c>
      <c r="AG108">
        <v>1</v>
      </c>
      <c r="AH108">
        <v>4</v>
      </c>
      <c r="AI108">
        <f t="shared" si="7"/>
        <v>0</v>
      </c>
      <c r="AJ108" t="str">
        <f t="shared" si="8"/>
        <v>6-10 yrs</v>
      </c>
      <c r="AK108" t="str">
        <f t="shared" si="9"/>
        <v>Recent</v>
      </c>
      <c r="AL108">
        <f t="shared" si="10"/>
        <v>1</v>
      </c>
      <c r="AM108" t="str">
        <f t="shared" si="11"/>
        <v>Low Risk</v>
      </c>
      <c r="AN108" s="6">
        <f t="shared" si="12"/>
        <v>-0.17436452575924077</v>
      </c>
      <c r="AO108" s="7">
        <f t="shared" si="13"/>
        <v>486048</v>
      </c>
    </row>
    <row r="109" spans="1:41" x14ac:dyDescent="0.3">
      <c r="A109" t="s">
        <v>179</v>
      </c>
      <c r="B109">
        <v>25</v>
      </c>
      <c r="C109" t="s">
        <v>46</v>
      </c>
      <c r="D109" t="s">
        <v>55</v>
      </c>
      <c r="E109" t="s">
        <v>48</v>
      </c>
      <c r="F109">
        <v>180</v>
      </c>
      <c r="G109" t="s">
        <v>49</v>
      </c>
      <c r="H109">
        <v>2</v>
      </c>
      <c r="I109">
        <v>1</v>
      </c>
      <c r="J109" t="s">
        <v>58</v>
      </c>
      <c r="K109">
        <v>854</v>
      </c>
      <c r="L109">
        <v>1</v>
      </c>
      <c r="M109" t="s">
        <v>51</v>
      </c>
      <c r="N109">
        <v>4</v>
      </c>
      <c r="O109">
        <v>1</v>
      </c>
      <c r="P109" t="s">
        <v>67</v>
      </c>
      <c r="Q109">
        <v>1</v>
      </c>
      <c r="R109" t="s">
        <v>53</v>
      </c>
      <c r="S109">
        <v>34159</v>
      </c>
      <c r="T109" t="s">
        <v>72</v>
      </c>
      <c r="U109">
        <v>213.49</v>
      </c>
      <c r="V109">
        <v>7</v>
      </c>
      <c r="W109" t="s">
        <v>55</v>
      </c>
      <c r="X109">
        <v>13</v>
      </c>
      <c r="Y109">
        <v>3</v>
      </c>
      <c r="Z109">
        <v>3</v>
      </c>
      <c r="AA109">
        <v>0</v>
      </c>
      <c r="AB109">
        <v>6</v>
      </c>
      <c r="AC109">
        <v>3</v>
      </c>
      <c r="AD109">
        <v>2</v>
      </c>
      <c r="AE109">
        <v>4</v>
      </c>
      <c r="AF109">
        <v>3</v>
      </c>
      <c r="AG109">
        <v>0</v>
      </c>
      <c r="AH109">
        <v>1</v>
      </c>
      <c r="AI109">
        <f t="shared" si="7"/>
        <v>0</v>
      </c>
      <c r="AJ109" t="str">
        <f t="shared" si="8"/>
        <v>4-5 yrs</v>
      </c>
      <c r="AK109" t="str">
        <f t="shared" si="9"/>
        <v>Recent</v>
      </c>
      <c r="AL109">
        <f t="shared" si="10"/>
        <v>2</v>
      </c>
      <c r="AM109" t="str">
        <f t="shared" si="11"/>
        <v>Medium Risk</v>
      </c>
      <c r="AN109" s="6">
        <f t="shared" si="12"/>
        <v>-0.31498556407164907</v>
      </c>
      <c r="AO109" s="7">
        <f t="shared" si="13"/>
        <v>409908</v>
      </c>
    </row>
    <row r="110" spans="1:41" x14ac:dyDescent="0.3">
      <c r="A110" t="s">
        <v>180</v>
      </c>
      <c r="B110">
        <v>25</v>
      </c>
      <c r="C110" t="s">
        <v>46</v>
      </c>
      <c r="D110" t="s">
        <v>55</v>
      </c>
      <c r="E110" t="s">
        <v>48</v>
      </c>
      <c r="F110">
        <v>141</v>
      </c>
      <c r="G110" t="s">
        <v>57</v>
      </c>
      <c r="H110">
        <v>3</v>
      </c>
      <c r="I110">
        <v>1</v>
      </c>
      <c r="J110" t="s">
        <v>82</v>
      </c>
      <c r="K110">
        <v>879</v>
      </c>
      <c r="L110">
        <v>3</v>
      </c>
      <c r="M110" t="s">
        <v>51</v>
      </c>
      <c r="N110">
        <v>3</v>
      </c>
      <c r="O110">
        <v>2</v>
      </c>
      <c r="P110" t="s">
        <v>145</v>
      </c>
      <c r="Q110">
        <v>1</v>
      </c>
      <c r="R110" t="s">
        <v>113</v>
      </c>
      <c r="S110">
        <v>14986</v>
      </c>
      <c r="T110" t="s">
        <v>54</v>
      </c>
      <c r="U110">
        <v>93.66</v>
      </c>
      <c r="V110">
        <v>1</v>
      </c>
      <c r="W110" t="s">
        <v>47</v>
      </c>
      <c r="X110">
        <v>18</v>
      </c>
      <c r="Y110">
        <v>3</v>
      </c>
      <c r="Z110">
        <v>4</v>
      </c>
      <c r="AA110">
        <v>0</v>
      </c>
      <c r="AB110">
        <v>5</v>
      </c>
      <c r="AC110">
        <v>3</v>
      </c>
      <c r="AD110">
        <v>3</v>
      </c>
      <c r="AE110">
        <v>5</v>
      </c>
      <c r="AF110">
        <v>3</v>
      </c>
      <c r="AG110">
        <v>0</v>
      </c>
      <c r="AH110">
        <v>3</v>
      </c>
      <c r="AI110">
        <f t="shared" si="7"/>
        <v>0</v>
      </c>
      <c r="AJ110" t="str">
        <f t="shared" si="8"/>
        <v>4-5 yrs</v>
      </c>
      <c r="AK110" t="str">
        <f t="shared" si="9"/>
        <v>Recent</v>
      </c>
      <c r="AL110">
        <f t="shared" si="10"/>
        <v>2</v>
      </c>
      <c r="AM110" t="str">
        <f t="shared" si="11"/>
        <v>Medium Risk</v>
      </c>
      <c r="AN110" s="6">
        <f t="shared" si="12"/>
        <v>-0.69452465887388859</v>
      </c>
      <c r="AO110" s="7">
        <f t="shared" si="13"/>
        <v>179832</v>
      </c>
    </row>
    <row r="111" spans="1:41" x14ac:dyDescent="0.3">
      <c r="A111" t="s">
        <v>181</v>
      </c>
      <c r="B111">
        <v>25</v>
      </c>
      <c r="C111" t="s">
        <v>46</v>
      </c>
      <c r="D111" t="s">
        <v>55</v>
      </c>
      <c r="E111" t="s">
        <v>48</v>
      </c>
      <c r="F111">
        <v>583</v>
      </c>
      <c r="G111" t="s">
        <v>57</v>
      </c>
      <c r="H111">
        <v>4</v>
      </c>
      <c r="I111">
        <v>1</v>
      </c>
      <c r="J111" t="s">
        <v>63</v>
      </c>
      <c r="K111">
        <v>885</v>
      </c>
      <c r="L111">
        <v>3</v>
      </c>
      <c r="M111" t="s">
        <v>51</v>
      </c>
      <c r="N111">
        <v>2</v>
      </c>
      <c r="O111">
        <v>2</v>
      </c>
      <c r="P111" t="s">
        <v>145</v>
      </c>
      <c r="Q111">
        <v>1</v>
      </c>
      <c r="R111" t="s">
        <v>113</v>
      </c>
      <c r="S111">
        <v>62858</v>
      </c>
      <c r="T111" t="s">
        <v>64</v>
      </c>
      <c r="U111">
        <v>392.86</v>
      </c>
      <c r="V111">
        <v>1</v>
      </c>
      <c r="W111" t="s">
        <v>55</v>
      </c>
      <c r="X111">
        <v>12</v>
      </c>
      <c r="Y111">
        <v>3</v>
      </c>
      <c r="Z111">
        <v>1</v>
      </c>
      <c r="AA111">
        <v>0</v>
      </c>
      <c r="AB111">
        <v>5</v>
      </c>
      <c r="AC111">
        <v>1</v>
      </c>
      <c r="AD111">
        <v>4</v>
      </c>
      <c r="AE111">
        <v>5</v>
      </c>
      <c r="AF111">
        <v>2</v>
      </c>
      <c r="AG111">
        <v>0</v>
      </c>
      <c r="AH111">
        <v>3</v>
      </c>
      <c r="AI111">
        <f t="shared" si="7"/>
        <v>0</v>
      </c>
      <c r="AJ111" t="str">
        <f t="shared" si="8"/>
        <v>4-5 yrs</v>
      </c>
      <c r="AK111" t="str">
        <f t="shared" si="9"/>
        <v>Recent</v>
      </c>
      <c r="AL111">
        <f t="shared" si="10"/>
        <v>1</v>
      </c>
      <c r="AM111" t="str">
        <f t="shared" si="11"/>
        <v>Low Risk</v>
      </c>
      <c r="AN111" s="6">
        <f t="shared" si="12"/>
        <v>0.2813004799482926</v>
      </c>
      <c r="AO111" s="7">
        <f t="shared" si="13"/>
        <v>754296</v>
      </c>
    </row>
    <row r="112" spans="1:41" x14ac:dyDescent="0.3">
      <c r="A112" t="s">
        <v>182</v>
      </c>
      <c r="B112">
        <v>25</v>
      </c>
      <c r="C112" t="s">
        <v>46</v>
      </c>
      <c r="D112" t="s">
        <v>47</v>
      </c>
      <c r="E112" t="s">
        <v>48</v>
      </c>
      <c r="F112">
        <v>867</v>
      </c>
      <c r="G112" t="s">
        <v>57</v>
      </c>
      <c r="H112">
        <v>19</v>
      </c>
      <c r="I112">
        <v>2</v>
      </c>
      <c r="J112" t="s">
        <v>63</v>
      </c>
      <c r="K112">
        <v>952</v>
      </c>
      <c r="L112">
        <v>3</v>
      </c>
      <c r="M112" t="s">
        <v>51</v>
      </c>
      <c r="N112">
        <v>2</v>
      </c>
      <c r="O112">
        <v>1</v>
      </c>
      <c r="P112" t="s">
        <v>60</v>
      </c>
      <c r="Q112">
        <v>2</v>
      </c>
      <c r="R112" t="s">
        <v>113</v>
      </c>
      <c r="S112">
        <v>13666</v>
      </c>
      <c r="T112" t="s">
        <v>54</v>
      </c>
      <c r="U112">
        <v>85.41</v>
      </c>
      <c r="V112">
        <v>1</v>
      </c>
      <c r="W112" t="s">
        <v>47</v>
      </c>
      <c r="X112">
        <v>18</v>
      </c>
      <c r="Y112">
        <v>3</v>
      </c>
      <c r="Z112">
        <v>3</v>
      </c>
      <c r="AA112">
        <v>3</v>
      </c>
      <c r="AB112">
        <v>1</v>
      </c>
      <c r="AC112">
        <v>2</v>
      </c>
      <c r="AD112">
        <v>3</v>
      </c>
      <c r="AE112">
        <v>1</v>
      </c>
      <c r="AF112">
        <v>0</v>
      </c>
      <c r="AG112">
        <v>0</v>
      </c>
      <c r="AH112">
        <v>0</v>
      </c>
      <c r="AI112">
        <f t="shared" si="7"/>
        <v>1</v>
      </c>
      <c r="AJ112" t="str">
        <f t="shared" si="8"/>
        <v>0-1 yr</v>
      </c>
      <c r="AK112" t="str">
        <f t="shared" si="9"/>
        <v>Recent</v>
      </c>
      <c r="AL112">
        <f t="shared" si="10"/>
        <v>2</v>
      </c>
      <c r="AM112" t="str">
        <f t="shared" si="11"/>
        <v>Medium Risk</v>
      </c>
      <c r="AN112" s="6">
        <f t="shared" si="12"/>
        <v>-0.72294978268115151</v>
      </c>
      <c r="AO112" s="7">
        <f t="shared" si="13"/>
        <v>163992</v>
      </c>
    </row>
    <row r="113" spans="1:41" x14ac:dyDescent="0.3">
      <c r="A113" t="s">
        <v>183</v>
      </c>
      <c r="B113">
        <v>25</v>
      </c>
      <c r="C113" t="s">
        <v>46</v>
      </c>
      <c r="D113" t="s">
        <v>47</v>
      </c>
      <c r="E113" t="s">
        <v>48</v>
      </c>
      <c r="F113">
        <v>1219</v>
      </c>
      <c r="G113" t="s">
        <v>49</v>
      </c>
      <c r="H113">
        <v>4</v>
      </c>
      <c r="I113">
        <v>1</v>
      </c>
      <c r="J113" t="s">
        <v>77</v>
      </c>
      <c r="K113">
        <v>1106</v>
      </c>
      <c r="L113">
        <v>4</v>
      </c>
      <c r="M113" t="s">
        <v>51</v>
      </c>
      <c r="N113">
        <v>3</v>
      </c>
      <c r="O113">
        <v>1</v>
      </c>
      <c r="P113" t="s">
        <v>52</v>
      </c>
      <c r="Q113">
        <v>4</v>
      </c>
      <c r="R113" t="s">
        <v>113</v>
      </c>
      <c r="S113">
        <v>39660</v>
      </c>
      <c r="T113" t="s">
        <v>72</v>
      </c>
      <c r="U113">
        <v>247.88</v>
      </c>
      <c r="V113">
        <v>1</v>
      </c>
      <c r="W113" t="s">
        <v>47</v>
      </c>
      <c r="X113">
        <v>15</v>
      </c>
      <c r="Y113">
        <v>3</v>
      </c>
      <c r="Z113">
        <v>2</v>
      </c>
      <c r="AA113">
        <v>1</v>
      </c>
      <c r="AB113">
        <v>7</v>
      </c>
      <c r="AC113">
        <v>3</v>
      </c>
      <c r="AD113">
        <v>4</v>
      </c>
      <c r="AE113">
        <v>7</v>
      </c>
      <c r="AF113">
        <v>7</v>
      </c>
      <c r="AG113">
        <v>5</v>
      </c>
      <c r="AH113">
        <v>6</v>
      </c>
      <c r="AI113">
        <f t="shared" si="7"/>
        <v>1</v>
      </c>
      <c r="AJ113" t="str">
        <f t="shared" si="8"/>
        <v>6-10 yrs</v>
      </c>
      <c r="AK113" t="str">
        <f t="shared" si="9"/>
        <v>Overdue</v>
      </c>
      <c r="AL113">
        <f t="shared" si="10"/>
        <v>2</v>
      </c>
      <c r="AM113" t="str">
        <f t="shared" si="11"/>
        <v>Medium Risk</v>
      </c>
      <c r="AN113" s="6">
        <f t="shared" si="12"/>
        <v>-0.2331875271310393</v>
      </c>
      <c r="AO113" s="7">
        <f t="shared" si="13"/>
        <v>475920</v>
      </c>
    </row>
    <row r="114" spans="1:41" x14ac:dyDescent="0.3">
      <c r="A114" t="s">
        <v>184</v>
      </c>
      <c r="B114">
        <v>25</v>
      </c>
      <c r="C114" t="s">
        <v>46</v>
      </c>
      <c r="D114" t="s">
        <v>55</v>
      </c>
      <c r="E114" t="s">
        <v>48</v>
      </c>
      <c r="F114">
        <v>1356</v>
      </c>
      <c r="G114" t="s">
        <v>57</v>
      </c>
      <c r="H114">
        <v>10</v>
      </c>
      <c r="I114">
        <v>4</v>
      </c>
      <c r="J114" t="s">
        <v>50</v>
      </c>
      <c r="K114">
        <v>1240</v>
      </c>
      <c r="L114">
        <v>3</v>
      </c>
      <c r="M114" t="s">
        <v>51</v>
      </c>
      <c r="N114">
        <v>3</v>
      </c>
      <c r="O114">
        <v>2</v>
      </c>
      <c r="P114" t="s">
        <v>145</v>
      </c>
      <c r="Q114">
        <v>4</v>
      </c>
      <c r="R114" t="s">
        <v>53</v>
      </c>
      <c r="S114">
        <v>4561</v>
      </c>
      <c r="T114" t="s">
        <v>54</v>
      </c>
      <c r="U114">
        <v>28.51</v>
      </c>
      <c r="V114">
        <v>0</v>
      </c>
      <c r="W114" t="s">
        <v>55</v>
      </c>
      <c r="X114">
        <v>14</v>
      </c>
      <c r="Y114">
        <v>3</v>
      </c>
      <c r="Z114">
        <v>2</v>
      </c>
      <c r="AA114">
        <v>0</v>
      </c>
      <c r="AB114">
        <v>5</v>
      </c>
      <c r="AC114">
        <v>4</v>
      </c>
      <c r="AD114">
        <v>3</v>
      </c>
      <c r="AE114">
        <v>4</v>
      </c>
      <c r="AF114">
        <v>3</v>
      </c>
      <c r="AG114">
        <v>1</v>
      </c>
      <c r="AH114">
        <v>1</v>
      </c>
      <c r="AI114">
        <f t="shared" si="7"/>
        <v>0</v>
      </c>
      <c r="AJ114" t="str">
        <f t="shared" si="8"/>
        <v>4-5 yrs</v>
      </c>
      <c r="AK114" t="str">
        <f t="shared" si="9"/>
        <v>Recent</v>
      </c>
      <c r="AL114">
        <f t="shared" si="10"/>
        <v>0</v>
      </c>
      <c r="AM114" t="str">
        <f t="shared" si="11"/>
        <v>Minimal Risk</v>
      </c>
      <c r="AN114" s="6">
        <f t="shared" si="12"/>
        <v>-0.90702835774214641</v>
      </c>
      <c r="AO114" s="7">
        <f t="shared" si="13"/>
        <v>54732</v>
      </c>
    </row>
    <row r="115" spans="1:41" x14ac:dyDescent="0.3">
      <c r="A115" t="s">
        <v>185</v>
      </c>
      <c r="B115">
        <v>25</v>
      </c>
      <c r="C115" t="s">
        <v>46</v>
      </c>
      <c r="D115" t="s">
        <v>47</v>
      </c>
      <c r="E115" t="s">
        <v>62</v>
      </c>
      <c r="F115">
        <v>599</v>
      </c>
      <c r="G115" t="s">
        <v>57</v>
      </c>
      <c r="H115">
        <v>24</v>
      </c>
      <c r="I115">
        <v>1</v>
      </c>
      <c r="J115" t="s">
        <v>50</v>
      </c>
      <c r="K115">
        <v>1273</v>
      </c>
      <c r="L115">
        <v>3</v>
      </c>
      <c r="M115" t="s">
        <v>51</v>
      </c>
      <c r="N115">
        <v>1</v>
      </c>
      <c r="O115">
        <v>1</v>
      </c>
      <c r="P115" t="s">
        <v>60</v>
      </c>
      <c r="Q115">
        <v>4</v>
      </c>
      <c r="R115" t="s">
        <v>53</v>
      </c>
      <c r="S115">
        <v>27854</v>
      </c>
      <c r="T115" t="s">
        <v>72</v>
      </c>
      <c r="U115">
        <v>174.09</v>
      </c>
      <c r="V115">
        <v>1</v>
      </c>
      <c r="W115" t="s">
        <v>47</v>
      </c>
      <c r="X115">
        <v>14</v>
      </c>
      <c r="Y115">
        <v>3</v>
      </c>
      <c r="Z115">
        <v>4</v>
      </c>
      <c r="AA115">
        <v>0</v>
      </c>
      <c r="AB115">
        <v>1</v>
      </c>
      <c r="AC115">
        <v>4</v>
      </c>
      <c r="AD115">
        <v>3</v>
      </c>
      <c r="AE115">
        <v>1</v>
      </c>
      <c r="AF115">
        <v>0</v>
      </c>
      <c r="AG115">
        <v>1</v>
      </c>
      <c r="AH115">
        <v>0</v>
      </c>
      <c r="AI115">
        <f t="shared" si="7"/>
        <v>1</v>
      </c>
      <c r="AJ115" t="str">
        <f t="shared" si="8"/>
        <v>0-1 yr</v>
      </c>
      <c r="AK115" t="str">
        <f t="shared" si="9"/>
        <v>Recent</v>
      </c>
      <c r="AL115">
        <f t="shared" si="10"/>
        <v>1</v>
      </c>
      <c r="AM115" t="str">
        <f t="shared" si="11"/>
        <v>Low Risk</v>
      </c>
      <c r="AN115" s="6">
        <f t="shared" si="12"/>
        <v>-0.43531708230651212</v>
      </c>
      <c r="AO115" s="7">
        <f t="shared" si="13"/>
        <v>334248</v>
      </c>
    </row>
    <row r="116" spans="1:41" x14ac:dyDescent="0.3">
      <c r="A116" t="s">
        <v>186</v>
      </c>
      <c r="B116">
        <v>25</v>
      </c>
      <c r="C116" t="s">
        <v>46</v>
      </c>
      <c r="D116" t="s">
        <v>55</v>
      </c>
      <c r="E116" t="s">
        <v>48</v>
      </c>
      <c r="F116">
        <v>266</v>
      </c>
      <c r="G116" t="s">
        <v>49</v>
      </c>
      <c r="H116">
        <v>1</v>
      </c>
      <c r="I116">
        <v>3</v>
      </c>
      <c r="J116" t="s">
        <v>58</v>
      </c>
      <c r="K116">
        <v>1303</v>
      </c>
      <c r="L116">
        <v>4</v>
      </c>
      <c r="M116" t="s">
        <v>59</v>
      </c>
      <c r="N116">
        <v>3</v>
      </c>
      <c r="O116">
        <v>1</v>
      </c>
      <c r="P116" t="s">
        <v>67</v>
      </c>
      <c r="Q116">
        <v>2</v>
      </c>
      <c r="R116" t="s">
        <v>53</v>
      </c>
      <c r="S116">
        <v>65505</v>
      </c>
      <c r="T116" t="s">
        <v>64</v>
      </c>
      <c r="U116">
        <v>409.41</v>
      </c>
      <c r="V116">
        <v>1</v>
      </c>
      <c r="W116" t="s">
        <v>55</v>
      </c>
      <c r="X116">
        <v>18</v>
      </c>
      <c r="Y116">
        <v>3</v>
      </c>
      <c r="Z116">
        <v>4</v>
      </c>
      <c r="AA116">
        <v>0</v>
      </c>
      <c r="AB116">
        <v>2</v>
      </c>
      <c r="AC116">
        <v>3</v>
      </c>
      <c r="AD116">
        <v>2</v>
      </c>
      <c r="AE116">
        <v>2</v>
      </c>
      <c r="AF116">
        <v>2</v>
      </c>
      <c r="AG116">
        <v>2</v>
      </c>
      <c r="AH116">
        <v>1</v>
      </c>
      <c r="AI116">
        <f t="shared" si="7"/>
        <v>0</v>
      </c>
      <c r="AJ116" t="str">
        <f t="shared" si="8"/>
        <v>2-3 yrs</v>
      </c>
      <c r="AK116" t="str">
        <f t="shared" si="9"/>
        <v>Recent</v>
      </c>
      <c r="AL116">
        <f t="shared" si="10"/>
        <v>2</v>
      </c>
      <c r="AM116" t="str">
        <f t="shared" si="11"/>
        <v>Medium Risk</v>
      </c>
      <c r="AN116" s="6">
        <f t="shared" si="12"/>
        <v>0.31361780571698894</v>
      </c>
      <c r="AO116" s="7">
        <f t="shared" si="13"/>
        <v>786060</v>
      </c>
    </row>
    <row r="117" spans="1:41" x14ac:dyDescent="0.3">
      <c r="A117" t="s">
        <v>187</v>
      </c>
      <c r="B117">
        <v>25</v>
      </c>
      <c r="C117" t="s">
        <v>46</v>
      </c>
      <c r="D117" t="s">
        <v>55</v>
      </c>
      <c r="E117" t="s">
        <v>48</v>
      </c>
      <c r="F117">
        <v>882</v>
      </c>
      <c r="G117" t="s">
        <v>49</v>
      </c>
      <c r="H117">
        <v>19</v>
      </c>
      <c r="I117">
        <v>1</v>
      </c>
      <c r="J117" t="s">
        <v>58</v>
      </c>
      <c r="K117">
        <v>1358</v>
      </c>
      <c r="L117">
        <v>4</v>
      </c>
      <c r="M117" t="s">
        <v>51</v>
      </c>
      <c r="N117">
        <v>3</v>
      </c>
      <c r="O117">
        <v>1</v>
      </c>
      <c r="P117" t="s">
        <v>52</v>
      </c>
      <c r="Q117">
        <v>4</v>
      </c>
      <c r="R117" t="s">
        <v>113</v>
      </c>
      <c r="S117">
        <v>53251</v>
      </c>
      <c r="T117" t="s">
        <v>64</v>
      </c>
      <c r="U117">
        <v>332.82</v>
      </c>
      <c r="V117">
        <v>3</v>
      </c>
      <c r="W117" t="s">
        <v>55</v>
      </c>
      <c r="X117">
        <v>11</v>
      </c>
      <c r="Y117">
        <v>3</v>
      </c>
      <c r="Z117">
        <v>3</v>
      </c>
      <c r="AA117">
        <v>3</v>
      </c>
      <c r="AB117">
        <v>7</v>
      </c>
      <c r="AC117">
        <v>6</v>
      </c>
      <c r="AD117">
        <v>2</v>
      </c>
      <c r="AE117">
        <v>3</v>
      </c>
      <c r="AF117">
        <v>2</v>
      </c>
      <c r="AG117">
        <v>1</v>
      </c>
      <c r="AH117">
        <v>2</v>
      </c>
      <c r="AI117">
        <f t="shared" si="7"/>
        <v>0</v>
      </c>
      <c r="AJ117" t="str">
        <f t="shared" si="8"/>
        <v>2-3 yrs</v>
      </c>
      <c r="AK117" t="str">
        <f t="shared" si="9"/>
        <v>Recent</v>
      </c>
      <c r="AL117">
        <f t="shared" si="10"/>
        <v>1</v>
      </c>
      <c r="AM117" t="str">
        <f t="shared" si="11"/>
        <v>Low Risk</v>
      </c>
      <c r="AN117" s="6">
        <f t="shared" si="12"/>
        <v>2.9589788016768176E-2</v>
      </c>
      <c r="AO117" s="7">
        <f t="shared" si="13"/>
        <v>639012</v>
      </c>
    </row>
    <row r="118" spans="1:41" x14ac:dyDescent="0.3">
      <c r="A118" t="s">
        <v>188</v>
      </c>
      <c r="B118">
        <v>25</v>
      </c>
      <c r="C118" t="s">
        <v>46</v>
      </c>
      <c r="D118" t="s">
        <v>55</v>
      </c>
      <c r="E118" t="s">
        <v>48</v>
      </c>
      <c r="F118">
        <v>1372</v>
      </c>
      <c r="G118" t="s">
        <v>57</v>
      </c>
      <c r="H118">
        <v>18</v>
      </c>
      <c r="I118">
        <v>1</v>
      </c>
      <c r="J118" t="s">
        <v>50</v>
      </c>
      <c r="K118">
        <v>1399</v>
      </c>
      <c r="L118">
        <v>1</v>
      </c>
      <c r="M118" t="s">
        <v>51</v>
      </c>
      <c r="N118">
        <v>4</v>
      </c>
      <c r="O118">
        <v>2</v>
      </c>
      <c r="P118" t="s">
        <v>145</v>
      </c>
      <c r="Q118">
        <v>3</v>
      </c>
      <c r="R118" t="s">
        <v>113</v>
      </c>
      <c r="S118">
        <v>23662</v>
      </c>
      <c r="T118" t="s">
        <v>54</v>
      </c>
      <c r="U118">
        <v>147.88999999999999</v>
      </c>
      <c r="V118">
        <v>2</v>
      </c>
      <c r="W118" t="s">
        <v>55</v>
      </c>
      <c r="X118">
        <v>11</v>
      </c>
      <c r="Y118">
        <v>3</v>
      </c>
      <c r="Z118">
        <v>2</v>
      </c>
      <c r="AA118">
        <v>0</v>
      </c>
      <c r="AB118">
        <v>6</v>
      </c>
      <c r="AC118">
        <v>3</v>
      </c>
      <c r="AD118">
        <v>2</v>
      </c>
      <c r="AE118">
        <v>3</v>
      </c>
      <c r="AF118">
        <v>2</v>
      </c>
      <c r="AG118">
        <v>1</v>
      </c>
      <c r="AH118">
        <v>2</v>
      </c>
      <c r="AI118">
        <f t="shared" si="7"/>
        <v>0</v>
      </c>
      <c r="AJ118" t="str">
        <f t="shared" si="8"/>
        <v>2-3 yrs</v>
      </c>
      <c r="AK118" t="str">
        <f t="shared" si="9"/>
        <v>Recent</v>
      </c>
      <c r="AL118">
        <f t="shared" si="10"/>
        <v>1</v>
      </c>
      <c r="AM118" t="str">
        <f t="shared" si="11"/>
        <v>Low Risk</v>
      </c>
      <c r="AN118" s="6">
        <f t="shared" si="12"/>
        <v>-0.51767265970065068</v>
      </c>
      <c r="AO118" s="7">
        <f t="shared" si="13"/>
        <v>283944</v>
      </c>
    </row>
    <row r="119" spans="1:41" x14ac:dyDescent="0.3">
      <c r="A119" t="s">
        <v>189</v>
      </c>
      <c r="B119">
        <v>25</v>
      </c>
      <c r="C119" t="s">
        <v>46</v>
      </c>
      <c r="D119" t="s">
        <v>55</v>
      </c>
      <c r="E119" t="s">
        <v>48</v>
      </c>
      <c r="F119">
        <v>949</v>
      </c>
      <c r="G119" t="s">
        <v>49</v>
      </c>
      <c r="H119">
        <v>1</v>
      </c>
      <c r="I119">
        <v>3</v>
      </c>
      <c r="J119" t="s">
        <v>77</v>
      </c>
      <c r="K119">
        <v>1415</v>
      </c>
      <c r="L119">
        <v>1</v>
      </c>
      <c r="M119" t="s">
        <v>51</v>
      </c>
      <c r="N119">
        <v>3</v>
      </c>
      <c r="O119">
        <v>1</v>
      </c>
      <c r="P119" t="s">
        <v>52</v>
      </c>
      <c r="Q119">
        <v>4</v>
      </c>
      <c r="R119" t="s">
        <v>113</v>
      </c>
      <c r="S119">
        <v>9392</v>
      </c>
      <c r="T119" t="s">
        <v>54</v>
      </c>
      <c r="U119">
        <v>58.7</v>
      </c>
      <c r="V119">
        <v>4</v>
      </c>
      <c r="W119" t="s">
        <v>55</v>
      </c>
      <c r="X119">
        <v>11</v>
      </c>
      <c r="Y119">
        <v>3</v>
      </c>
      <c r="Z119">
        <v>2</v>
      </c>
      <c r="AA119">
        <v>1</v>
      </c>
      <c r="AB119">
        <v>7</v>
      </c>
      <c r="AC119">
        <v>2</v>
      </c>
      <c r="AD119">
        <v>2</v>
      </c>
      <c r="AE119">
        <v>3</v>
      </c>
      <c r="AF119">
        <v>2</v>
      </c>
      <c r="AG119">
        <v>0</v>
      </c>
      <c r="AH119">
        <v>2</v>
      </c>
      <c r="AI119">
        <f t="shared" si="7"/>
        <v>0</v>
      </c>
      <c r="AJ119" t="str">
        <f t="shared" si="8"/>
        <v>2-3 yrs</v>
      </c>
      <c r="AK119" t="str">
        <f t="shared" si="9"/>
        <v>Recent</v>
      </c>
      <c r="AL119">
        <f t="shared" si="10"/>
        <v>1</v>
      </c>
      <c r="AM119" t="str">
        <f t="shared" si="11"/>
        <v>Low Risk</v>
      </c>
      <c r="AN119" s="6">
        <f t="shared" si="12"/>
        <v>-0.81840890708055269</v>
      </c>
      <c r="AO119" s="7">
        <f t="shared" si="13"/>
        <v>112704</v>
      </c>
    </row>
    <row r="120" spans="1:41" x14ac:dyDescent="0.3">
      <c r="A120" t="s">
        <v>190</v>
      </c>
      <c r="B120">
        <v>25</v>
      </c>
      <c r="C120" t="s">
        <v>46</v>
      </c>
      <c r="D120" t="s">
        <v>47</v>
      </c>
      <c r="E120" t="s">
        <v>48</v>
      </c>
      <c r="F120">
        <v>383</v>
      </c>
      <c r="G120" t="s">
        <v>57</v>
      </c>
      <c r="H120">
        <v>9</v>
      </c>
      <c r="I120">
        <v>2</v>
      </c>
      <c r="J120" t="s">
        <v>50</v>
      </c>
      <c r="K120">
        <v>1439</v>
      </c>
      <c r="L120">
        <v>1</v>
      </c>
      <c r="M120" t="s">
        <v>51</v>
      </c>
      <c r="N120">
        <v>2</v>
      </c>
      <c r="O120">
        <v>1</v>
      </c>
      <c r="P120" t="s">
        <v>60</v>
      </c>
      <c r="Q120">
        <v>1</v>
      </c>
      <c r="R120" t="s">
        <v>113</v>
      </c>
      <c r="S120">
        <v>31535</v>
      </c>
      <c r="T120" t="s">
        <v>72</v>
      </c>
      <c r="U120">
        <v>197.09</v>
      </c>
      <c r="V120">
        <v>3</v>
      </c>
      <c r="W120" t="s">
        <v>55</v>
      </c>
      <c r="X120">
        <v>12</v>
      </c>
      <c r="Y120">
        <v>3</v>
      </c>
      <c r="Z120">
        <v>1</v>
      </c>
      <c r="AA120">
        <v>0</v>
      </c>
      <c r="AB120">
        <v>6</v>
      </c>
      <c r="AC120">
        <v>2</v>
      </c>
      <c r="AD120">
        <v>3</v>
      </c>
      <c r="AE120">
        <v>3</v>
      </c>
      <c r="AF120">
        <v>2</v>
      </c>
      <c r="AG120">
        <v>2</v>
      </c>
      <c r="AH120">
        <v>2</v>
      </c>
      <c r="AI120">
        <f t="shared" si="7"/>
        <v>1</v>
      </c>
      <c r="AJ120" t="str">
        <f t="shared" si="8"/>
        <v>2-3 yrs</v>
      </c>
      <c r="AK120" t="str">
        <f t="shared" si="9"/>
        <v>Recent</v>
      </c>
      <c r="AL120">
        <f t="shared" si="10"/>
        <v>1</v>
      </c>
      <c r="AM120" t="str">
        <f t="shared" si="11"/>
        <v>Low Risk</v>
      </c>
      <c r="AN120" s="6">
        <f t="shared" si="12"/>
        <v>-0.36069233110274501</v>
      </c>
      <c r="AO120" s="7">
        <f t="shared" si="13"/>
        <v>378420</v>
      </c>
    </row>
    <row r="121" spans="1:41" x14ac:dyDescent="0.3">
      <c r="A121" t="s">
        <v>191</v>
      </c>
      <c r="B121">
        <v>25</v>
      </c>
      <c r="C121" t="s">
        <v>46</v>
      </c>
      <c r="D121" t="s">
        <v>55</v>
      </c>
      <c r="E121" t="s">
        <v>62</v>
      </c>
      <c r="F121">
        <v>772</v>
      </c>
      <c r="G121" t="s">
        <v>49</v>
      </c>
      <c r="H121">
        <v>2</v>
      </c>
      <c r="I121">
        <v>1</v>
      </c>
      <c r="J121" t="s">
        <v>50</v>
      </c>
      <c r="K121">
        <v>1653</v>
      </c>
      <c r="L121">
        <v>4</v>
      </c>
      <c r="M121" t="s">
        <v>51</v>
      </c>
      <c r="N121">
        <v>4</v>
      </c>
      <c r="O121">
        <v>2</v>
      </c>
      <c r="P121" t="s">
        <v>120</v>
      </c>
      <c r="Q121">
        <v>3</v>
      </c>
      <c r="R121" t="s">
        <v>53</v>
      </c>
      <c r="S121">
        <v>79603</v>
      </c>
      <c r="T121" t="s">
        <v>64</v>
      </c>
      <c r="U121">
        <v>497.52</v>
      </c>
      <c r="V121">
        <v>1</v>
      </c>
      <c r="W121" t="s">
        <v>55</v>
      </c>
      <c r="X121">
        <v>17</v>
      </c>
      <c r="Y121">
        <v>3</v>
      </c>
      <c r="Z121">
        <v>3</v>
      </c>
      <c r="AA121">
        <v>2</v>
      </c>
      <c r="AB121">
        <v>7</v>
      </c>
      <c r="AC121">
        <v>6</v>
      </c>
      <c r="AD121">
        <v>3</v>
      </c>
      <c r="AE121">
        <v>7</v>
      </c>
      <c r="AF121">
        <v>7</v>
      </c>
      <c r="AG121">
        <v>0</v>
      </c>
      <c r="AH121">
        <v>7</v>
      </c>
      <c r="AI121">
        <f t="shared" si="7"/>
        <v>0</v>
      </c>
      <c r="AJ121" t="str">
        <f t="shared" si="8"/>
        <v>6-10 yrs</v>
      </c>
      <c r="AK121" t="str">
        <f t="shared" si="9"/>
        <v>Recent</v>
      </c>
      <c r="AL121">
        <f t="shared" si="10"/>
        <v>0</v>
      </c>
      <c r="AM121" t="str">
        <f t="shared" si="11"/>
        <v>Minimal Risk</v>
      </c>
      <c r="AN121" s="6">
        <f t="shared" si="12"/>
        <v>0.7970966670011792</v>
      </c>
      <c r="AO121" s="7">
        <f t="shared" si="13"/>
        <v>955236</v>
      </c>
    </row>
    <row r="122" spans="1:41" x14ac:dyDescent="0.3">
      <c r="A122" t="s">
        <v>192</v>
      </c>
      <c r="B122">
        <v>25</v>
      </c>
      <c r="C122" t="s">
        <v>46</v>
      </c>
      <c r="D122" t="s">
        <v>55</v>
      </c>
      <c r="E122" t="s">
        <v>48</v>
      </c>
      <c r="F122">
        <v>309</v>
      </c>
      <c r="G122" t="s">
        <v>80</v>
      </c>
      <c r="H122">
        <v>2</v>
      </c>
      <c r="I122">
        <v>3</v>
      </c>
      <c r="J122" t="s">
        <v>80</v>
      </c>
      <c r="K122">
        <v>1987</v>
      </c>
      <c r="L122">
        <v>3</v>
      </c>
      <c r="M122" t="s">
        <v>59</v>
      </c>
      <c r="N122">
        <v>3</v>
      </c>
      <c r="O122">
        <v>1</v>
      </c>
      <c r="P122" t="s">
        <v>80</v>
      </c>
      <c r="Q122">
        <v>2</v>
      </c>
      <c r="R122" t="s">
        <v>113</v>
      </c>
      <c r="S122">
        <v>53256</v>
      </c>
      <c r="T122" t="s">
        <v>64</v>
      </c>
      <c r="U122">
        <v>332.85</v>
      </c>
      <c r="V122">
        <v>4</v>
      </c>
      <c r="W122" t="s">
        <v>55</v>
      </c>
      <c r="X122">
        <v>14</v>
      </c>
      <c r="Y122">
        <v>3</v>
      </c>
      <c r="Z122">
        <v>3</v>
      </c>
      <c r="AA122">
        <v>0</v>
      </c>
      <c r="AB122">
        <v>6</v>
      </c>
      <c r="AC122">
        <v>3</v>
      </c>
      <c r="AD122">
        <v>3</v>
      </c>
      <c r="AE122">
        <v>2</v>
      </c>
      <c r="AF122">
        <v>0</v>
      </c>
      <c r="AG122">
        <v>1</v>
      </c>
      <c r="AH122">
        <v>2</v>
      </c>
      <c r="AI122">
        <f t="shared" si="7"/>
        <v>0</v>
      </c>
      <c r="AJ122" t="str">
        <f t="shared" si="8"/>
        <v>2-3 yrs</v>
      </c>
      <c r="AK122" t="str">
        <f t="shared" si="9"/>
        <v>Recent</v>
      </c>
      <c r="AL122">
        <f t="shared" si="10"/>
        <v>1</v>
      </c>
      <c r="AM122" t="str">
        <f t="shared" si="11"/>
        <v>Low Risk</v>
      </c>
      <c r="AN122" s="6">
        <f t="shared" si="12"/>
        <v>4.950259409024934E-2</v>
      </c>
      <c r="AO122" s="7">
        <f t="shared" si="13"/>
        <v>639072</v>
      </c>
    </row>
    <row r="123" spans="1:41" x14ac:dyDescent="0.3">
      <c r="A123" t="s">
        <v>193</v>
      </c>
      <c r="B123">
        <v>25</v>
      </c>
      <c r="C123" t="s">
        <v>46</v>
      </c>
      <c r="D123" t="s">
        <v>55</v>
      </c>
      <c r="E123" t="s">
        <v>48</v>
      </c>
      <c r="F123">
        <v>977</v>
      </c>
      <c r="G123" t="s">
        <v>49</v>
      </c>
      <c r="H123">
        <v>2</v>
      </c>
      <c r="I123">
        <v>1</v>
      </c>
      <c r="J123" t="s">
        <v>82</v>
      </c>
      <c r="K123">
        <v>1992</v>
      </c>
      <c r="L123">
        <v>4</v>
      </c>
      <c r="M123" t="s">
        <v>51</v>
      </c>
      <c r="N123">
        <v>3</v>
      </c>
      <c r="O123">
        <v>1</v>
      </c>
      <c r="P123" t="s">
        <v>52</v>
      </c>
      <c r="Q123">
        <v>3</v>
      </c>
      <c r="R123" t="s">
        <v>53</v>
      </c>
      <c r="S123">
        <v>90135</v>
      </c>
      <c r="T123" t="s">
        <v>70</v>
      </c>
      <c r="U123">
        <v>563.34</v>
      </c>
      <c r="V123">
        <v>6</v>
      </c>
      <c r="W123" t="s">
        <v>47</v>
      </c>
      <c r="X123">
        <v>19</v>
      </c>
      <c r="Y123">
        <v>3</v>
      </c>
      <c r="Z123">
        <v>3</v>
      </c>
      <c r="AA123">
        <v>1</v>
      </c>
      <c r="AB123">
        <v>7</v>
      </c>
      <c r="AC123">
        <v>2</v>
      </c>
      <c r="AD123">
        <v>2</v>
      </c>
      <c r="AE123">
        <v>2</v>
      </c>
      <c r="AF123">
        <v>2</v>
      </c>
      <c r="AG123">
        <v>0</v>
      </c>
      <c r="AH123">
        <v>2</v>
      </c>
      <c r="AI123">
        <f t="shared" si="7"/>
        <v>0</v>
      </c>
      <c r="AJ123" t="str">
        <f t="shared" si="8"/>
        <v>2-3 yrs</v>
      </c>
      <c r="AK123" t="str">
        <f t="shared" si="9"/>
        <v>Recent</v>
      </c>
      <c r="AL123">
        <f t="shared" si="10"/>
        <v>2</v>
      </c>
      <c r="AM123" t="str">
        <f t="shared" si="11"/>
        <v>Medium Risk</v>
      </c>
      <c r="AN123" s="6">
        <f t="shared" si="12"/>
        <v>0.7427292547161819</v>
      </c>
      <c r="AO123" s="7">
        <f t="shared" si="13"/>
        <v>1081620</v>
      </c>
    </row>
    <row r="124" spans="1:41" x14ac:dyDescent="0.3">
      <c r="A124" t="s">
        <v>194</v>
      </c>
      <c r="B124">
        <v>25</v>
      </c>
      <c r="C124" t="s">
        <v>46</v>
      </c>
      <c r="D124" t="s">
        <v>55</v>
      </c>
      <c r="E124" t="s">
        <v>48</v>
      </c>
      <c r="F124">
        <v>1382</v>
      </c>
      <c r="G124" t="s">
        <v>57</v>
      </c>
      <c r="H124">
        <v>8</v>
      </c>
      <c r="I124">
        <v>2</v>
      </c>
      <c r="J124" t="s">
        <v>82</v>
      </c>
      <c r="K124">
        <v>2018</v>
      </c>
      <c r="L124">
        <v>1</v>
      </c>
      <c r="M124" t="s">
        <v>59</v>
      </c>
      <c r="N124">
        <v>3</v>
      </c>
      <c r="O124">
        <v>2</v>
      </c>
      <c r="P124" t="s">
        <v>145</v>
      </c>
      <c r="Q124">
        <v>3</v>
      </c>
      <c r="R124" t="s">
        <v>53</v>
      </c>
      <c r="S124">
        <v>36222</v>
      </c>
      <c r="T124" t="s">
        <v>72</v>
      </c>
      <c r="U124">
        <v>226.39</v>
      </c>
      <c r="V124">
        <v>0</v>
      </c>
      <c r="W124" t="s">
        <v>47</v>
      </c>
      <c r="X124">
        <v>22</v>
      </c>
      <c r="Y124">
        <v>4</v>
      </c>
      <c r="Z124">
        <v>2</v>
      </c>
      <c r="AA124">
        <v>1</v>
      </c>
      <c r="AB124">
        <v>6</v>
      </c>
      <c r="AC124">
        <v>3</v>
      </c>
      <c r="AD124">
        <v>2</v>
      </c>
      <c r="AE124">
        <v>5</v>
      </c>
      <c r="AF124">
        <v>3</v>
      </c>
      <c r="AG124">
        <v>0</v>
      </c>
      <c r="AH124">
        <v>4</v>
      </c>
      <c r="AI124">
        <f t="shared" si="7"/>
        <v>0</v>
      </c>
      <c r="AJ124" t="str">
        <f t="shared" si="8"/>
        <v>4-5 yrs</v>
      </c>
      <c r="AK124" t="str">
        <f t="shared" si="9"/>
        <v>Recent</v>
      </c>
      <c r="AL124">
        <f t="shared" si="10"/>
        <v>2</v>
      </c>
      <c r="AM124" t="str">
        <f t="shared" si="11"/>
        <v>Medium Risk</v>
      </c>
      <c r="AN124" s="6">
        <f t="shared" si="12"/>
        <v>-0.26164901866608781</v>
      </c>
      <c r="AO124" s="7">
        <f t="shared" si="13"/>
        <v>434664</v>
      </c>
    </row>
    <row r="125" spans="1:41" x14ac:dyDescent="0.3">
      <c r="A125" t="s">
        <v>195</v>
      </c>
      <c r="B125">
        <v>26</v>
      </c>
      <c r="C125" t="s">
        <v>196</v>
      </c>
      <c r="D125" t="s">
        <v>47</v>
      </c>
      <c r="E125" t="s">
        <v>48</v>
      </c>
      <c r="F125">
        <v>1357</v>
      </c>
      <c r="G125" t="s">
        <v>49</v>
      </c>
      <c r="H125">
        <v>25</v>
      </c>
      <c r="I125">
        <v>3</v>
      </c>
      <c r="J125" t="s">
        <v>50</v>
      </c>
      <c r="K125">
        <v>55</v>
      </c>
      <c r="L125">
        <v>1</v>
      </c>
      <c r="M125" t="s">
        <v>51</v>
      </c>
      <c r="N125">
        <v>1</v>
      </c>
      <c r="O125">
        <v>1</v>
      </c>
      <c r="P125" t="s">
        <v>52</v>
      </c>
      <c r="Q125">
        <v>3</v>
      </c>
      <c r="R125" t="s">
        <v>53</v>
      </c>
      <c r="S125">
        <v>78373</v>
      </c>
      <c r="T125" t="s">
        <v>64</v>
      </c>
      <c r="U125">
        <v>489.83</v>
      </c>
      <c r="V125">
        <v>1</v>
      </c>
      <c r="W125" t="s">
        <v>55</v>
      </c>
      <c r="X125">
        <v>12</v>
      </c>
      <c r="Y125">
        <v>3</v>
      </c>
      <c r="Z125">
        <v>3</v>
      </c>
      <c r="AA125">
        <v>0</v>
      </c>
      <c r="AB125">
        <v>1</v>
      </c>
      <c r="AC125">
        <v>2</v>
      </c>
      <c r="AD125">
        <v>2</v>
      </c>
      <c r="AE125">
        <v>1</v>
      </c>
      <c r="AF125">
        <v>0</v>
      </c>
      <c r="AG125">
        <v>0</v>
      </c>
      <c r="AH125">
        <v>1</v>
      </c>
      <c r="AI125">
        <f t="shared" si="7"/>
        <v>1</v>
      </c>
      <c r="AJ125" t="str">
        <f t="shared" si="8"/>
        <v>0-1 yr</v>
      </c>
      <c r="AK125" t="str">
        <f t="shared" si="9"/>
        <v>Recent</v>
      </c>
      <c r="AL125">
        <f t="shared" si="10"/>
        <v>1</v>
      </c>
      <c r="AM125" t="str">
        <f t="shared" si="11"/>
        <v>Low Risk</v>
      </c>
      <c r="AN125" s="6">
        <f t="shared" si="12"/>
        <v>0.51531502612604785</v>
      </c>
      <c r="AO125" s="7">
        <f t="shared" si="13"/>
        <v>940476</v>
      </c>
    </row>
    <row r="126" spans="1:41" x14ac:dyDescent="0.3">
      <c r="A126" t="s">
        <v>197</v>
      </c>
      <c r="B126">
        <v>26</v>
      </c>
      <c r="C126" t="s">
        <v>196</v>
      </c>
      <c r="D126" t="s">
        <v>55</v>
      </c>
      <c r="E126" t="s">
        <v>48</v>
      </c>
      <c r="F126">
        <v>1443</v>
      </c>
      <c r="G126" t="s">
        <v>57</v>
      </c>
      <c r="H126">
        <v>23</v>
      </c>
      <c r="I126">
        <v>3</v>
      </c>
      <c r="J126" t="s">
        <v>63</v>
      </c>
      <c r="K126">
        <v>72</v>
      </c>
      <c r="L126">
        <v>3</v>
      </c>
      <c r="M126" t="s">
        <v>59</v>
      </c>
      <c r="N126">
        <v>2</v>
      </c>
      <c r="O126">
        <v>2</v>
      </c>
      <c r="P126" t="s">
        <v>145</v>
      </c>
      <c r="Q126">
        <v>4</v>
      </c>
      <c r="R126" t="s">
        <v>113</v>
      </c>
      <c r="S126">
        <v>80575</v>
      </c>
      <c r="T126" t="s">
        <v>64</v>
      </c>
      <c r="U126">
        <v>503.59</v>
      </c>
      <c r="V126">
        <v>7</v>
      </c>
      <c r="W126" t="s">
        <v>47</v>
      </c>
      <c r="X126">
        <v>19</v>
      </c>
      <c r="Y126">
        <v>3</v>
      </c>
      <c r="Z126">
        <v>3</v>
      </c>
      <c r="AA126">
        <v>1</v>
      </c>
      <c r="AB126">
        <v>5</v>
      </c>
      <c r="AC126">
        <v>2</v>
      </c>
      <c r="AD126">
        <v>2</v>
      </c>
      <c r="AE126">
        <v>2</v>
      </c>
      <c r="AF126">
        <v>2</v>
      </c>
      <c r="AG126">
        <v>0</v>
      </c>
      <c r="AH126">
        <v>0</v>
      </c>
      <c r="AI126">
        <f t="shared" si="7"/>
        <v>0</v>
      </c>
      <c r="AJ126" t="str">
        <f t="shared" si="8"/>
        <v>2-3 yrs</v>
      </c>
      <c r="AK126" t="str">
        <f t="shared" si="9"/>
        <v>Recent</v>
      </c>
      <c r="AL126">
        <f t="shared" si="10"/>
        <v>2</v>
      </c>
      <c r="AM126" t="str">
        <f t="shared" si="11"/>
        <v>Medium Risk</v>
      </c>
      <c r="AN126" s="6">
        <f t="shared" si="12"/>
        <v>0.64244465576113896</v>
      </c>
      <c r="AO126" s="7">
        <f t="shared" si="13"/>
        <v>966900</v>
      </c>
    </row>
    <row r="127" spans="1:41" x14ac:dyDescent="0.3">
      <c r="A127" t="s">
        <v>198</v>
      </c>
      <c r="B127">
        <v>26</v>
      </c>
      <c r="C127" t="s">
        <v>196</v>
      </c>
      <c r="D127" t="s">
        <v>55</v>
      </c>
      <c r="E127" t="s">
        <v>48</v>
      </c>
      <c r="F127">
        <v>841</v>
      </c>
      <c r="G127" t="s">
        <v>49</v>
      </c>
      <c r="H127">
        <v>6</v>
      </c>
      <c r="I127">
        <v>3</v>
      </c>
      <c r="J127" t="s">
        <v>82</v>
      </c>
      <c r="K127">
        <v>164</v>
      </c>
      <c r="L127">
        <v>3</v>
      </c>
      <c r="M127" t="s">
        <v>59</v>
      </c>
      <c r="N127">
        <v>2</v>
      </c>
      <c r="O127">
        <v>1</v>
      </c>
      <c r="P127" t="s">
        <v>67</v>
      </c>
      <c r="Q127">
        <v>2</v>
      </c>
      <c r="R127" t="s">
        <v>113</v>
      </c>
      <c r="S127">
        <v>97354</v>
      </c>
      <c r="T127" t="s">
        <v>70</v>
      </c>
      <c r="U127">
        <v>608.46</v>
      </c>
      <c r="V127">
        <v>1</v>
      </c>
      <c r="W127" t="s">
        <v>55</v>
      </c>
      <c r="X127">
        <v>19</v>
      </c>
      <c r="Y127">
        <v>3</v>
      </c>
      <c r="Z127">
        <v>3</v>
      </c>
      <c r="AA127">
        <v>0</v>
      </c>
      <c r="AB127">
        <v>5</v>
      </c>
      <c r="AC127">
        <v>3</v>
      </c>
      <c r="AD127">
        <v>2</v>
      </c>
      <c r="AE127">
        <v>5</v>
      </c>
      <c r="AF127">
        <v>4</v>
      </c>
      <c r="AG127">
        <v>4</v>
      </c>
      <c r="AH127">
        <v>3</v>
      </c>
      <c r="AI127">
        <f t="shared" si="7"/>
        <v>0</v>
      </c>
      <c r="AJ127" t="str">
        <f t="shared" si="8"/>
        <v>4-5 yrs</v>
      </c>
      <c r="AK127" t="str">
        <f t="shared" si="9"/>
        <v>Overdue</v>
      </c>
      <c r="AL127">
        <f t="shared" si="10"/>
        <v>3</v>
      </c>
      <c r="AM127" t="str">
        <f t="shared" si="11"/>
        <v>High Risk</v>
      </c>
      <c r="AN127" s="6">
        <f t="shared" si="12"/>
        <v>0.95230818804322948</v>
      </c>
      <c r="AO127" s="7">
        <f t="shared" si="13"/>
        <v>1168248</v>
      </c>
    </row>
    <row r="128" spans="1:41" x14ac:dyDescent="0.3">
      <c r="A128" t="s">
        <v>199</v>
      </c>
      <c r="B128">
        <v>26</v>
      </c>
      <c r="C128" t="s">
        <v>196</v>
      </c>
      <c r="D128" t="s">
        <v>55</v>
      </c>
      <c r="E128" t="s">
        <v>48</v>
      </c>
      <c r="F128">
        <v>1355</v>
      </c>
      <c r="G128" t="s">
        <v>80</v>
      </c>
      <c r="H128">
        <v>25</v>
      </c>
      <c r="I128">
        <v>1</v>
      </c>
      <c r="J128" t="s">
        <v>50</v>
      </c>
      <c r="K128">
        <v>177</v>
      </c>
      <c r="L128">
        <v>3</v>
      </c>
      <c r="M128" t="s">
        <v>59</v>
      </c>
      <c r="N128">
        <v>3</v>
      </c>
      <c r="O128">
        <v>1</v>
      </c>
      <c r="P128" t="s">
        <v>80</v>
      </c>
      <c r="Q128">
        <v>3</v>
      </c>
      <c r="R128" t="s">
        <v>113</v>
      </c>
      <c r="S128">
        <v>85651</v>
      </c>
      <c r="T128" t="s">
        <v>70</v>
      </c>
      <c r="U128">
        <v>535.32000000000005</v>
      </c>
      <c r="V128">
        <v>1</v>
      </c>
      <c r="W128" t="s">
        <v>55</v>
      </c>
      <c r="X128">
        <v>23</v>
      </c>
      <c r="Y128">
        <v>4</v>
      </c>
      <c r="Z128">
        <v>4</v>
      </c>
      <c r="AA128">
        <v>1</v>
      </c>
      <c r="AB128">
        <v>8</v>
      </c>
      <c r="AC128">
        <v>3</v>
      </c>
      <c r="AD128">
        <v>3</v>
      </c>
      <c r="AE128">
        <v>8</v>
      </c>
      <c r="AF128">
        <v>7</v>
      </c>
      <c r="AG128">
        <v>5</v>
      </c>
      <c r="AH128">
        <v>7</v>
      </c>
      <c r="AI128">
        <f t="shared" si="7"/>
        <v>0</v>
      </c>
      <c r="AJ128" t="str">
        <f t="shared" si="8"/>
        <v>6-10 yrs</v>
      </c>
      <c r="AK128" t="str">
        <f t="shared" si="9"/>
        <v>Overdue</v>
      </c>
      <c r="AL128">
        <f t="shared" si="10"/>
        <v>1</v>
      </c>
      <c r="AM128" t="str">
        <f t="shared" si="11"/>
        <v>Low Risk</v>
      </c>
      <c r="AN128" s="6">
        <f t="shared" si="12"/>
        <v>0.68790270929893249</v>
      </c>
      <c r="AO128" s="7">
        <f t="shared" si="13"/>
        <v>1027812</v>
      </c>
    </row>
    <row r="129" spans="1:41" x14ac:dyDescent="0.3">
      <c r="A129" t="s">
        <v>200</v>
      </c>
      <c r="B129">
        <v>26</v>
      </c>
      <c r="C129" t="s">
        <v>196</v>
      </c>
      <c r="D129" t="s">
        <v>55</v>
      </c>
      <c r="E129" t="s">
        <v>62</v>
      </c>
      <c r="F129">
        <v>1479</v>
      </c>
      <c r="G129" t="s">
        <v>49</v>
      </c>
      <c r="H129">
        <v>1</v>
      </c>
      <c r="I129">
        <v>3</v>
      </c>
      <c r="J129" t="s">
        <v>50</v>
      </c>
      <c r="K129">
        <v>384</v>
      </c>
      <c r="L129">
        <v>3</v>
      </c>
      <c r="M129" t="s">
        <v>59</v>
      </c>
      <c r="N129">
        <v>3</v>
      </c>
      <c r="O129">
        <v>2</v>
      </c>
      <c r="P129" t="s">
        <v>120</v>
      </c>
      <c r="Q129">
        <v>2</v>
      </c>
      <c r="R129" t="s">
        <v>53</v>
      </c>
      <c r="S129">
        <v>64335</v>
      </c>
      <c r="T129" t="s">
        <v>64</v>
      </c>
      <c r="U129">
        <v>402.09</v>
      </c>
      <c r="V129">
        <v>1</v>
      </c>
      <c r="W129" t="s">
        <v>55</v>
      </c>
      <c r="X129">
        <v>20</v>
      </c>
      <c r="Y129">
        <v>4</v>
      </c>
      <c r="Z129">
        <v>1</v>
      </c>
      <c r="AA129">
        <v>1</v>
      </c>
      <c r="AB129">
        <v>6</v>
      </c>
      <c r="AC129">
        <v>6</v>
      </c>
      <c r="AD129">
        <v>1</v>
      </c>
      <c r="AE129">
        <v>6</v>
      </c>
      <c r="AF129">
        <v>5</v>
      </c>
      <c r="AG129">
        <v>1</v>
      </c>
      <c r="AH129">
        <v>4</v>
      </c>
      <c r="AI129">
        <f t="shared" si="7"/>
        <v>0</v>
      </c>
      <c r="AJ129" t="str">
        <f t="shared" si="8"/>
        <v>6-10 yrs</v>
      </c>
      <c r="AK129" t="str">
        <f t="shared" si="9"/>
        <v>Recent</v>
      </c>
      <c r="AL129">
        <f t="shared" si="10"/>
        <v>2</v>
      </c>
      <c r="AM129" t="str">
        <f t="shared" si="11"/>
        <v>Medium Risk</v>
      </c>
      <c r="AN129" s="6">
        <f t="shared" si="12"/>
        <v>0.45241026181828409</v>
      </c>
      <c r="AO129" s="7">
        <f t="shared" si="13"/>
        <v>772020</v>
      </c>
    </row>
    <row r="130" spans="1:41" x14ac:dyDescent="0.3">
      <c r="A130" t="s">
        <v>201</v>
      </c>
      <c r="B130">
        <v>26</v>
      </c>
      <c r="C130" t="s">
        <v>196</v>
      </c>
      <c r="D130" t="s">
        <v>55</v>
      </c>
      <c r="E130" t="s">
        <v>62</v>
      </c>
      <c r="F130">
        <v>496</v>
      </c>
      <c r="G130" t="s">
        <v>49</v>
      </c>
      <c r="H130">
        <v>11</v>
      </c>
      <c r="I130">
        <v>2</v>
      </c>
      <c r="J130" t="s">
        <v>58</v>
      </c>
      <c r="K130">
        <v>390</v>
      </c>
      <c r="L130">
        <v>1</v>
      </c>
      <c r="M130" t="s">
        <v>51</v>
      </c>
      <c r="N130">
        <v>3</v>
      </c>
      <c r="O130">
        <v>2</v>
      </c>
      <c r="P130" t="s">
        <v>168</v>
      </c>
      <c r="Q130">
        <v>1</v>
      </c>
      <c r="R130" t="s">
        <v>113</v>
      </c>
      <c r="S130">
        <v>11965</v>
      </c>
      <c r="T130" t="s">
        <v>54</v>
      </c>
      <c r="U130">
        <v>74.78</v>
      </c>
      <c r="V130">
        <v>1</v>
      </c>
      <c r="W130" t="s">
        <v>47</v>
      </c>
      <c r="X130">
        <v>13</v>
      </c>
      <c r="Y130">
        <v>3</v>
      </c>
      <c r="Z130">
        <v>3</v>
      </c>
      <c r="AA130">
        <v>1</v>
      </c>
      <c r="AB130">
        <v>5</v>
      </c>
      <c r="AC130">
        <v>3</v>
      </c>
      <c r="AD130">
        <v>3</v>
      </c>
      <c r="AE130">
        <v>5</v>
      </c>
      <c r="AF130">
        <v>3</v>
      </c>
      <c r="AG130">
        <v>3</v>
      </c>
      <c r="AH130">
        <v>3</v>
      </c>
      <c r="AI130">
        <f t="shared" ref="AI130:AI193" si="14">IF(D130="Yes",1,0)</f>
        <v>0</v>
      </c>
      <c r="AJ130" t="str">
        <f t="shared" ref="AJ130:AJ193" si="15">IF(AE130&lt;=1,"0-1 yr",IF(AE130&lt;=3,"2-3 yrs",IF(AE130&lt;=5,"4-5 yrs",IF(AE130&lt;=10,"6-10 yrs","10+ yrs"))))</f>
        <v>4-5 yrs</v>
      </c>
      <c r="AK130" t="str">
        <f t="shared" ref="AK130:AK193" si="16">IF(AG130&gt;=3,"Overdue","Recent")</f>
        <v>Overdue</v>
      </c>
      <c r="AL130">
        <f t="shared" ref="AL130:AL193" si="17">IF(W130="Yes",1,0)+IF(AD130&lt;=2,1,0)+IF(Q130&lt;=2,1,0)+IF(AG130&gt;=3,1,0)</f>
        <v>3</v>
      </c>
      <c r="AM130" t="str">
        <f t="shared" ref="AM130:AM193" si="18">IF(AL130&gt;=3,"High Risk",IF(AL130=2,"Medium Risk",IF(AL130=1,"Low Risk","Minimal Risk")))</f>
        <v>High Risk</v>
      </c>
      <c r="AN130" s="6">
        <f t="shared" ref="AN130:AN193" si="19">IFERROR((S130-AVERAGEIF(P$2:P$1479,P130,S$2:S$1479))/AVERAGEIF(P$2:P$1479,P130,S$2:S$1479),0)</f>
        <v>-0.7517075571260865</v>
      </c>
      <c r="AO130" s="7">
        <f t="shared" ref="AO130:AO193" si="20">S130*12</f>
        <v>143580</v>
      </c>
    </row>
    <row r="131" spans="1:41" x14ac:dyDescent="0.3">
      <c r="A131" t="s">
        <v>202</v>
      </c>
      <c r="B131">
        <v>26</v>
      </c>
      <c r="C131" t="s">
        <v>196</v>
      </c>
      <c r="D131" t="s">
        <v>47</v>
      </c>
      <c r="E131" t="s">
        <v>48</v>
      </c>
      <c r="F131">
        <v>1449</v>
      </c>
      <c r="G131" t="s">
        <v>49</v>
      </c>
      <c r="H131">
        <v>16</v>
      </c>
      <c r="I131">
        <v>4</v>
      </c>
      <c r="J131" t="s">
        <v>58</v>
      </c>
      <c r="K131">
        <v>394</v>
      </c>
      <c r="L131">
        <v>1</v>
      </c>
      <c r="M131" t="s">
        <v>51</v>
      </c>
      <c r="N131">
        <v>3</v>
      </c>
      <c r="O131">
        <v>1</v>
      </c>
      <c r="P131" t="s">
        <v>52</v>
      </c>
      <c r="Q131">
        <v>2</v>
      </c>
      <c r="R131" t="s">
        <v>53</v>
      </c>
      <c r="S131">
        <v>25538</v>
      </c>
      <c r="T131" t="s">
        <v>72</v>
      </c>
      <c r="U131">
        <v>159.61000000000001</v>
      </c>
      <c r="V131">
        <v>2</v>
      </c>
      <c r="W131" t="s">
        <v>47</v>
      </c>
      <c r="X131">
        <v>13</v>
      </c>
      <c r="Y131">
        <v>3</v>
      </c>
      <c r="Z131">
        <v>4</v>
      </c>
      <c r="AA131">
        <v>1</v>
      </c>
      <c r="AB131">
        <v>5</v>
      </c>
      <c r="AC131">
        <v>2</v>
      </c>
      <c r="AD131">
        <v>3</v>
      </c>
      <c r="AE131">
        <v>3</v>
      </c>
      <c r="AF131">
        <v>2</v>
      </c>
      <c r="AG131">
        <v>0</v>
      </c>
      <c r="AH131">
        <v>2</v>
      </c>
      <c r="AI131">
        <f t="shared" si="14"/>
        <v>1</v>
      </c>
      <c r="AJ131" t="str">
        <f t="shared" si="15"/>
        <v>2-3 yrs</v>
      </c>
      <c r="AK131" t="str">
        <f t="shared" si="16"/>
        <v>Recent</v>
      </c>
      <c r="AL131">
        <f t="shared" si="17"/>
        <v>2</v>
      </c>
      <c r="AM131" t="str">
        <f t="shared" si="18"/>
        <v>Medium Risk</v>
      </c>
      <c r="AN131" s="6">
        <f t="shared" si="19"/>
        <v>-0.50623154482784871</v>
      </c>
      <c r="AO131" s="7">
        <f t="shared" si="20"/>
        <v>306456</v>
      </c>
    </row>
    <row r="132" spans="1:41" x14ac:dyDescent="0.3">
      <c r="A132" t="s">
        <v>203</v>
      </c>
      <c r="B132">
        <v>26</v>
      </c>
      <c r="C132" t="s">
        <v>196</v>
      </c>
      <c r="D132" t="s">
        <v>47</v>
      </c>
      <c r="E132" t="s">
        <v>48</v>
      </c>
      <c r="F132">
        <v>950</v>
      </c>
      <c r="G132" t="s">
        <v>57</v>
      </c>
      <c r="H132">
        <v>4</v>
      </c>
      <c r="I132">
        <v>4</v>
      </c>
      <c r="J132" t="s">
        <v>63</v>
      </c>
      <c r="K132">
        <v>401</v>
      </c>
      <c r="L132">
        <v>4</v>
      </c>
      <c r="M132" t="s">
        <v>51</v>
      </c>
      <c r="N132">
        <v>2</v>
      </c>
      <c r="O132">
        <v>2</v>
      </c>
      <c r="P132" t="s">
        <v>145</v>
      </c>
      <c r="Q132">
        <v>4</v>
      </c>
      <c r="R132" t="s">
        <v>53</v>
      </c>
      <c r="S132">
        <v>71592</v>
      </c>
      <c r="T132" t="s">
        <v>64</v>
      </c>
      <c r="U132">
        <v>447.45</v>
      </c>
      <c r="V132">
        <v>1</v>
      </c>
      <c r="W132" t="s">
        <v>47</v>
      </c>
      <c r="X132">
        <v>12</v>
      </c>
      <c r="Y132">
        <v>3</v>
      </c>
      <c r="Z132">
        <v>2</v>
      </c>
      <c r="AA132">
        <v>0</v>
      </c>
      <c r="AB132">
        <v>8</v>
      </c>
      <c r="AC132">
        <v>0</v>
      </c>
      <c r="AD132">
        <v>3</v>
      </c>
      <c r="AE132">
        <v>8</v>
      </c>
      <c r="AF132">
        <v>7</v>
      </c>
      <c r="AG132">
        <v>7</v>
      </c>
      <c r="AH132">
        <v>4</v>
      </c>
      <c r="AI132">
        <f t="shared" si="14"/>
        <v>1</v>
      </c>
      <c r="AJ132" t="str">
        <f t="shared" si="15"/>
        <v>6-10 yrs</v>
      </c>
      <c r="AK132" t="str">
        <f t="shared" si="16"/>
        <v>Overdue</v>
      </c>
      <c r="AL132">
        <f t="shared" si="17"/>
        <v>2</v>
      </c>
      <c r="AM132" t="str">
        <f t="shared" si="18"/>
        <v>Medium Risk</v>
      </c>
      <c r="AN132" s="6">
        <f t="shared" si="19"/>
        <v>0.45933475389700856</v>
      </c>
      <c r="AO132" s="7">
        <f t="shared" si="20"/>
        <v>859104</v>
      </c>
    </row>
    <row r="133" spans="1:41" x14ac:dyDescent="0.3">
      <c r="A133" t="s">
        <v>204</v>
      </c>
      <c r="B133">
        <v>26</v>
      </c>
      <c r="C133" t="s">
        <v>196</v>
      </c>
      <c r="D133" t="s">
        <v>55</v>
      </c>
      <c r="E133" t="s">
        <v>48</v>
      </c>
      <c r="F133">
        <v>933</v>
      </c>
      <c r="G133" t="s">
        <v>57</v>
      </c>
      <c r="H133">
        <v>1</v>
      </c>
      <c r="I133">
        <v>3</v>
      </c>
      <c r="J133" t="s">
        <v>50</v>
      </c>
      <c r="K133">
        <v>476</v>
      </c>
      <c r="L133">
        <v>3</v>
      </c>
      <c r="M133" t="s">
        <v>51</v>
      </c>
      <c r="N133">
        <v>3</v>
      </c>
      <c r="O133">
        <v>2</v>
      </c>
      <c r="P133" t="s">
        <v>145</v>
      </c>
      <c r="Q133">
        <v>3</v>
      </c>
      <c r="R133" t="s">
        <v>113</v>
      </c>
      <c r="S133">
        <v>99018</v>
      </c>
      <c r="T133" t="s">
        <v>70</v>
      </c>
      <c r="U133">
        <v>618.86</v>
      </c>
      <c r="V133">
        <v>1</v>
      </c>
      <c r="W133" t="s">
        <v>55</v>
      </c>
      <c r="X133">
        <v>17</v>
      </c>
      <c r="Y133">
        <v>3</v>
      </c>
      <c r="Z133">
        <v>2</v>
      </c>
      <c r="AA133">
        <v>1</v>
      </c>
      <c r="AB133">
        <v>8</v>
      </c>
      <c r="AC133">
        <v>3</v>
      </c>
      <c r="AD133">
        <v>3</v>
      </c>
      <c r="AE133">
        <v>8</v>
      </c>
      <c r="AF133">
        <v>7</v>
      </c>
      <c r="AG133">
        <v>7</v>
      </c>
      <c r="AH133">
        <v>7</v>
      </c>
      <c r="AI133">
        <f t="shared" si="14"/>
        <v>0</v>
      </c>
      <c r="AJ133" t="str">
        <f t="shared" si="15"/>
        <v>6-10 yrs</v>
      </c>
      <c r="AK133" t="str">
        <f t="shared" si="16"/>
        <v>Overdue</v>
      </c>
      <c r="AL133">
        <f t="shared" si="17"/>
        <v>1</v>
      </c>
      <c r="AM133" t="str">
        <f t="shared" si="18"/>
        <v>Low Risk</v>
      </c>
      <c r="AN133" s="6">
        <f t="shared" si="19"/>
        <v>1.0183876503153144</v>
      </c>
      <c r="AO133" s="7">
        <f t="shared" si="20"/>
        <v>1188216</v>
      </c>
    </row>
    <row r="134" spans="1:41" x14ac:dyDescent="0.3">
      <c r="A134" t="s">
        <v>205</v>
      </c>
      <c r="B134">
        <v>26</v>
      </c>
      <c r="C134" t="s">
        <v>196</v>
      </c>
      <c r="D134" t="s">
        <v>47</v>
      </c>
      <c r="E134" t="s">
        <v>62</v>
      </c>
      <c r="F134">
        <v>575</v>
      </c>
      <c r="G134" t="s">
        <v>49</v>
      </c>
      <c r="H134">
        <v>3</v>
      </c>
      <c r="I134">
        <v>1</v>
      </c>
      <c r="J134" t="s">
        <v>77</v>
      </c>
      <c r="K134">
        <v>510</v>
      </c>
      <c r="L134">
        <v>3</v>
      </c>
      <c r="M134" t="s">
        <v>51</v>
      </c>
      <c r="N134">
        <v>3</v>
      </c>
      <c r="O134">
        <v>1</v>
      </c>
      <c r="P134" t="s">
        <v>67</v>
      </c>
      <c r="Q134">
        <v>1</v>
      </c>
      <c r="R134" t="s">
        <v>53</v>
      </c>
      <c r="S134">
        <v>9110</v>
      </c>
      <c r="T134" t="s">
        <v>54</v>
      </c>
      <c r="U134">
        <v>56.94</v>
      </c>
      <c r="V134">
        <v>0</v>
      </c>
      <c r="W134" t="s">
        <v>55</v>
      </c>
      <c r="X134">
        <v>22</v>
      </c>
      <c r="Y134">
        <v>4</v>
      </c>
      <c r="Z134">
        <v>3</v>
      </c>
      <c r="AA134">
        <v>0</v>
      </c>
      <c r="AB134">
        <v>7</v>
      </c>
      <c r="AC134">
        <v>2</v>
      </c>
      <c r="AD134">
        <v>3</v>
      </c>
      <c r="AE134">
        <v>6</v>
      </c>
      <c r="AF134">
        <v>4</v>
      </c>
      <c r="AG134">
        <v>0</v>
      </c>
      <c r="AH134">
        <v>4</v>
      </c>
      <c r="AI134">
        <f t="shared" si="14"/>
        <v>1</v>
      </c>
      <c r="AJ134" t="str">
        <f t="shared" si="15"/>
        <v>6-10 yrs</v>
      </c>
      <c r="AK134" t="str">
        <f t="shared" si="16"/>
        <v>Recent</v>
      </c>
      <c r="AL134">
        <f t="shared" si="17"/>
        <v>1</v>
      </c>
      <c r="AM134" t="str">
        <f t="shared" si="18"/>
        <v>Low Risk</v>
      </c>
      <c r="AN134" s="6">
        <f t="shared" si="19"/>
        <v>-0.81731076696310556</v>
      </c>
      <c r="AO134" s="7">
        <f t="shared" si="20"/>
        <v>109320</v>
      </c>
    </row>
    <row r="135" spans="1:41" x14ac:dyDescent="0.3">
      <c r="A135" t="s">
        <v>206</v>
      </c>
      <c r="B135">
        <v>26</v>
      </c>
      <c r="C135" t="s">
        <v>196</v>
      </c>
      <c r="D135" t="s">
        <v>55</v>
      </c>
      <c r="E135" t="s">
        <v>48</v>
      </c>
      <c r="F135">
        <v>1349</v>
      </c>
      <c r="G135" t="s">
        <v>49</v>
      </c>
      <c r="H135">
        <v>23</v>
      </c>
      <c r="I135">
        <v>3</v>
      </c>
      <c r="J135" t="s">
        <v>50</v>
      </c>
      <c r="K135">
        <v>560</v>
      </c>
      <c r="L135">
        <v>1</v>
      </c>
      <c r="M135" t="s">
        <v>59</v>
      </c>
      <c r="N135">
        <v>3</v>
      </c>
      <c r="O135">
        <v>1</v>
      </c>
      <c r="P135" t="s">
        <v>67</v>
      </c>
      <c r="Q135">
        <v>4</v>
      </c>
      <c r="R135" t="s">
        <v>53</v>
      </c>
      <c r="S135">
        <v>80309</v>
      </c>
      <c r="T135" t="s">
        <v>64</v>
      </c>
      <c r="U135">
        <v>501.93</v>
      </c>
      <c r="V135">
        <v>1</v>
      </c>
      <c r="W135" t="s">
        <v>55</v>
      </c>
      <c r="X135">
        <v>22</v>
      </c>
      <c r="Y135">
        <v>4</v>
      </c>
      <c r="Z135">
        <v>2</v>
      </c>
      <c r="AA135">
        <v>2</v>
      </c>
      <c r="AB135">
        <v>3</v>
      </c>
      <c r="AC135">
        <v>3</v>
      </c>
      <c r="AD135">
        <v>1</v>
      </c>
      <c r="AE135">
        <v>3</v>
      </c>
      <c r="AF135">
        <v>2</v>
      </c>
      <c r="AG135">
        <v>0</v>
      </c>
      <c r="AH135">
        <v>2</v>
      </c>
      <c r="AI135">
        <f t="shared" si="14"/>
        <v>0</v>
      </c>
      <c r="AJ135" t="str">
        <f t="shared" si="15"/>
        <v>2-3 yrs</v>
      </c>
      <c r="AK135" t="str">
        <f t="shared" si="16"/>
        <v>Recent</v>
      </c>
      <c r="AL135">
        <f t="shared" si="17"/>
        <v>1</v>
      </c>
      <c r="AM135" t="str">
        <f t="shared" si="18"/>
        <v>Low Risk</v>
      </c>
      <c r="AN135" s="6">
        <f t="shared" si="19"/>
        <v>0.61049282282765693</v>
      </c>
      <c r="AO135" s="7">
        <f t="shared" si="20"/>
        <v>963708</v>
      </c>
    </row>
    <row r="136" spans="1:41" x14ac:dyDescent="0.3">
      <c r="A136" t="s">
        <v>207</v>
      </c>
      <c r="B136">
        <v>26</v>
      </c>
      <c r="C136" t="s">
        <v>196</v>
      </c>
      <c r="D136" t="s">
        <v>47</v>
      </c>
      <c r="E136" t="s">
        <v>62</v>
      </c>
      <c r="F136">
        <v>426</v>
      </c>
      <c r="G136" t="s">
        <v>80</v>
      </c>
      <c r="H136">
        <v>17</v>
      </c>
      <c r="I136">
        <v>4</v>
      </c>
      <c r="J136" t="s">
        <v>50</v>
      </c>
      <c r="K136">
        <v>608</v>
      </c>
      <c r="L136">
        <v>2</v>
      </c>
      <c r="M136" t="s">
        <v>59</v>
      </c>
      <c r="N136">
        <v>3</v>
      </c>
      <c r="O136">
        <v>1</v>
      </c>
      <c r="P136" t="s">
        <v>80</v>
      </c>
      <c r="Q136">
        <v>3</v>
      </c>
      <c r="R136" t="s">
        <v>53</v>
      </c>
      <c r="S136">
        <v>28266</v>
      </c>
      <c r="T136" t="s">
        <v>72</v>
      </c>
      <c r="U136">
        <v>176.66</v>
      </c>
      <c r="V136">
        <v>0</v>
      </c>
      <c r="W136" t="s">
        <v>47</v>
      </c>
      <c r="X136">
        <v>11</v>
      </c>
      <c r="Y136">
        <v>3</v>
      </c>
      <c r="Z136">
        <v>2</v>
      </c>
      <c r="AA136">
        <v>1</v>
      </c>
      <c r="AB136">
        <v>8</v>
      </c>
      <c r="AC136">
        <v>2</v>
      </c>
      <c r="AD136">
        <v>2</v>
      </c>
      <c r="AE136">
        <v>7</v>
      </c>
      <c r="AF136">
        <v>7</v>
      </c>
      <c r="AG136">
        <v>1</v>
      </c>
      <c r="AH136">
        <v>0</v>
      </c>
      <c r="AI136">
        <f t="shared" si="14"/>
        <v>1</v>
      </c>
      <c r="AJ136" t="str">
        <f t="shared" si="15"/>
        <v>6-10 yrs</v>
      </c>
      <c r="AK136" t="str">
        <f t="shared" si="16"/>
        <v>Recent</v>
      </c>
      <c r="AL136">
        <f t="shared" si="17"/>
        <v>2</v>
      </c>
      <c r="AM136" t="str">
        <f t="shared" si="18"/>
        <v>Medium Risk</v>
      </c>
      <c r="AN136" s="6">
        <f t="shared" si="19"/>
        <v>-0.44296904903569573</v>
      </c>
      <c r="AO136" s="7">
        <f t="shared" si="20"/>
        <v>339192</v>
      </c>
    </row>
    <row r="137" spans="1:41" x14ac:dyDescent="0.3">
      <c r="A137" t="s">
        <v>208</v>
      </c>
      <c r="B137">
        <v>26</v>
      </c>
      <c r="C137" t="s">
        <v>196</v>
      </c>
      <c r="D137" t="s">
        <v>55</v>
      </c>
      <c r="E137" t="s">
        <v>48</v>
      </c>
      <c r="F137">
        <v>775</v>
      </c>
      <c r="G137" t="s">
        <v>57</v>
      </c>
      <c r="H137">
        <v>29</v>
      </c>
      <c r="I137">
        <v>2</v>
      </c>
      <c r="J137" t="s">
        <v>58</v>
      </c>
      <c r="K137">
        <v>618</v>
      </c>
      <c r="L137">
        <v>1</v>
      </c>
      <c r="M137" t="s">
        <v>51</v>
      </c>
      <c r="N137">
        <v>3</v>
      </c>
      <c r="O137">
        <v>2</v>
      </c>
      <c r="P137" t="s">
        <v>145</v>
      </c>
      <c r="Q137">
        <v>3</v>
      </c>
      <c r="R137" t="s">
        <v>53</v>
      </c>
      <c r="S137">
        <v>53992</v>
      </c>
      <c r="T137" t="s">
        <v>64</v>
      </c>
      <c r="U137">
        <v>337.45</v>
      </c>
      <c r="V137">
        <v>5</v>
      </c>
      <c r="W137" t="s">
        <v>55</v>
      </c>
      <c r="X137">
        <v>12</v>
      </c>
      <c r="Y137">
        <v>3</v>
      </c>
      <c r="Z137">
        <v>1</v>
      </c>
      <c r="AA137">
        <v>2</v>
      </c>
      <c r="AB137">
        <v>8</v>
      </c>
      <c r="AC137">
        <v>5</v>
      </c>
      <c r="AD137">
        <v>3</v>
      </c>
      <c r="AE137">
        <v>0</v>
      </c>
      <c r="AF137">
        <v>0</v>
      </c>
      <c r="AG137">
        <v>0</v>
      </c>
      <c r="AH137">
        <v>0</v>
      </c>
      <c r="AI137">
        <f t="shared" si="14"/>
        <v>0</v>
      </c>
      <c r="AJ137" t="str">
        <f t="shared" si="15"/>
        <v>0-1 yr</v>
      </c>
      <c r="AK137" t="str">
        <f t="shared" si="16"/>
        <v>Recent</v>
      </c>
      <c r="AL137">
        <f t="shared" si="17"/>
        <v>0</v>
      </c>
      <c r="AM137" t="str">
        <f t="shared" si="18"/>
        <v>Minimal Risk</v>
      </c>
      <c r="AN137" s="6">
        <f t="shared" si="19"/>
        <v>0.10057551168297135</v>
      </c>
      <c r="AO137" s="7">
        <f t="shared" si="20"/>
        <v>647904</v>
      </c>
    </row>
    <row r="138" spans="1:41" x14ac:dyDescent="0.3">
      <c r="A138" t="s">
        <v>209</v>
      </c>
      <c r="B138">
        <v>26</v>
      </c>
      <c r="C138" t="s">
        <v>196</v>
      </c>
      <c r="D138" t="s">
        <v>47</v>
      </c>
      <c r="E138" t="s">
        <v>48</v>
      </c>
      <c r="F138">
        <v>471</v>
      </c>
      <c r="G138" t="s">
        <v>49</v>
      </c>
      <c r="H138">
        <v>24</v>
      </c>
      <c r="I138">
        <v>3</v>
      </c>
      <c r="J138" t="s">
        <v>77</v>
      </c>
      <c r="K138">
        <v>622</v>
      </c>
      <c r="L138">
        <v>3</v>
      </c>
      <c r="M138" t="s">
        <v>51</v>
      </c>
      <c r="N138">
        <v>1</v>
      </c>
      <c r="O138">
        <v>1</v>
      </c>
      <c r="P138" t="s">
        <v>52</v>
      </c>
      <c r="Q138">
        <v>4</v>
      </c>
      <c r="R138" t="s">
        <v>53</v>
      </c>
      <c r="S138">
        <v>83948</v>
      </c>
      <c r="T138" t="s">
        <v>70</v>
      </c>
      <c r="U138">
        <v>524.66999999999996</v>
      </c>
      <c r="V138">
        <v>1</v>
      </c>
      <c r="W138" t="s">
        <v>47</v>
      </c>
      <c r="X138">
        <v>18</v>
      </c>
      <c r="Y138">
        <v>3</v>
      </c>
      <c r="Z138">
        <v>2</v>
      </c>
      <c r="AA138">
        <v>0</v>
      </c>
      <c r="AB138">
        <v>1</v>
      </c>
      <c r="AC138">
        <v>3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f t="shared" si="14"/>
        <v>1</v>
      </c>
      <c r="AJ138" t="str">
        <f t="shared" si="15"/>
        <v>0-1 yr</v>
      </c>
      <c r="AK138" t="str">
        <f t="shared" si="16"/>
        <v>Recent</v>
      </c>
      <c r="AL138">
        <f t="shared" si="17"/>
        <v>2</v>
      </c>
      <c r="AM138" t="str">
        <f t="shared" si="18"/>
        <v>Medium Risk</v>
      </c>
      <c r="AN138" s="6">
        <f t="shared" si="19"/>
        <v>0.62310573556236792</v>
      </c>
      <c r="AO138" s="7">
        <f t="shared" si="20"/>
        <v>1007376</v>
      </c>
    </row>
    <row r="139" spans="1:41" x14ac:dyDescent="0.3">
      <c r="A139" t="s">
        <v>210</v>
      </c>
      <c r="B139">
        <v>26</v>
      </c>
      <c r="C139" t="s">
        <v>196</v>
      </c>
      <c r="D139" t="s">
        <v>55</v>
      </c>
      <c r="E139" t="s">
        <v>48</v>
      </c>
      <c r="F139">
        <v>703</v>
      </c>
      <c r="G139" t="s">
        <v>57</v>
      </c>
      <c r="H139">
        <v>28</v>
      </c>
      <c r="I139">
        <v>2</v>
      </c>
      <c r="J139" t="s">
        <v>63</v>
      </c>
      <c r="K139">
        <v>641</v>
      </c>
      <c r="L139">
        <v>1</v>
      </c>
      <c r="M139" t="s">
        <v>51</v>
      </c>
      <c r="N139">
        <v>3</v>
      </c>
      <c r="O139">
        <v>2</v>
      </c>
      <c r="P139" t="s">
        <v>145</v>
      </c>
      <c r="Q139">
        <v>2</v>
      </c>
      <c r="R139" t="s">
        <v>113</v>
      </c>
      <c r="S139">
        <v>99806</v>
      </c>
      <c r="T139" t="s">
        <v>70</v>
      </c>
      <c r="U139">
        <v>623.79</v>
      </c>
      <c r="V139">
        <v>1</v>
      </c>
      <c r="W139" t="s">
        <v>55</v>
      </c>
      <c r="X139">
        <v>20</v>
      </c>
      <c r="Y139">
        <v>4</v>
      </c>
      <c r="Z139">
        <v>4</v>
      </c>
      <c r="AA139">
        <v>2</v>
      </c>
      <c r="AB139">
        <v>6</v>
      </c>
      <c r="AC139">
        <v>5</v>
      </c>
      <c r="AD139">
        <v>4</v>
      </c>
      <c r="AE139">
        <v>5</v>
      </c>
      <c r="AF139">
        <v>3</v>
      </c>
      <c r="AG139">
        <v>1</v>
      </c>
      <c r="AH139">
        <v>4</v>
      </c>
      <c r="AI139">
        <f t="shared" si="14"/>
        <v>0</v>
      </c>
      <c r="AJ139" t="str">
        <f t="shared" si="15"/>
        <v>4-5 yrs</v>
      </c>
      <c r="AK139" t="str">
        <f t="shared" si="16"/>
        <v>Recent</v>
      </c>
      <c r="AL139">
        <f t="shared" si="17"/>
        <v>1</v>
      </c>
      <c r="AM139" t="str">
        <f t="shared" si="18"/>
        <v>Low Risk</v>
      </c>
      <c r="AN139" s="6">
        <f t="shared" si="19"/>
        <v>1.0344502800235338</v>
      </c>
      <c r="AO139" s="7">
        <f t="shared" si="20"/>
        <v>1197672</v>
      </c>
    </row>
    <row r="140" spans="1:41" x14ac:dyDescent="0.3">
      <c r="A140" t="s">
        <v>211</v>
      </c>
      <c r="B140">
        <v>26</v>
      </c>
      <c r="C140" t="s">
        <v>196</v>
      </c>
      <c r="D140" t="s">
        <v>55</v>
      </c>
      <c r="E140" t="s">
        <v>48</v>
      </c>
      <c r="F140">
        <v>991</v>
      </c>
      <c r="G140" t="s">
        <v>49</v>
      </c>
      <c r="H140">
        <v>6</v>
      </c>
      <c r="I140">
        <v>3</v>
      </c>
      <c r="J140" t="s">
        <v>50</v>
      </c>
      <c r="K140">
        <v>686</v>
      </c>
      <c r="L140">
        <v>3</v>
      </c>
      <c r="M140" t="s">
        <v>59</v>
      </c>
      <c r="N140">
        <v>3</v>
      </c>
      <c r="O140">
        <v>1</v>
      </c>
      <c r="P140" t="s">
        <v>52</v>
      </c>
      <c r="Q140">
        <v>4</v>
      </c>
      <c r="R140" t="s">
        <v>113</v>
      </c>
      <c r="S140">
        <v>7910</v>
      </c>
      <c r="T140" t="s">
        <v>54</v>
      </c>
      <c r="U140">
        <v>49.44</v>
      </c>
      <c r="V140">
        <v>1</v>
      </c>
      <c r="W140" t="s">
        <v>47</v>
      </c>
      <c r="X140">
        <v>13</v>
      </c>
      <c r="Y140">
        <v>3</v>
      </c>
      <c r="Z140">
        <v>3</v>
      </c>
      <c r="AA140">
        <v>1</v>
      </c>
      <c r="AB140">
        <v>3</v>
      </c>
      <c r="AC140">
        <v>2</v>
      </c>
      <c r="AD140">
        <v>3</v>
      </c>
      <c r="AE140">
        <v>3</v>
      </c>
      <c r="AF140">
        <v>2</v>
      </c>
      <c r="AG140">
        <v>0</v>
      </c>
      <c r="AH140">
        <v>2</v>
      </c>
      <c r="AI140">
        <f t="shared" si="14"/>
        <v>0</v>
      </c>
      <c r="AJ140" t="str">
        <f t="shared" si="15"/>
        <v>2-3 yrs</v>
      </c>
      <c r="AK140" t="str">
        <f t="shared" si="16"/>
        <v>Recent</v>
      </c>
      <c r="AL140">
        <f t="shared" si="17"/>
        <v>1</v>
      </c>
      <c r="AM140" t="str">
        <f t="shared" si="18"/>
        <v>Low Risk</v>
      </c>
      <c r="AN140" s="6">
        <f t="shared" si="19"/>
        <v>-0.84706286786703278</v>
      </c>
      <c r="AO140" s="7">
        <f t="shared" si="20"/>
        <v>94920</v>
      </c>
    </row>
    <row r="141" spans="1:41" x14ac:dyDescent="0.3">
      <c r="A141" t="s">
        <v>212</v>
      </c>
      <c r="B141">
        <v>26</v>
      </c>
      <c r="C141" t="s">
        <v>196</v>
      </c>
      <c r="D141" t="s">
        <v>47</v>
      </c>
      <c r="E141" t="s">
        <v>48</v>
      </c>
      <c r="F141">
        <v>1146</v>
      </c>
      <c r="G141" t="s">
        <v>57</v>
      </c>
      <c r="H141">
        <v>8</v>
      </c>
      <c r="I141">
        <v>3</v>
      </c>
      <c r="J141" t="s">
        <v>77</v>
      </c>
      <c r="K141">
        <v>796</v>
      </c>
      <c r="L141">
        <v>4</v>
      </c>
      <c r="M141" t="s">
        <v>51</v>
      </c>
      <c r="N141">
        <v>2</v>
      </c>
      <c r="O141">
        <v>2</v>
      </c>
      <c r="P141" t="s">
        <v>145</v>
      </c>
      <c r="Q141">
        <v>1</v>
      </c>
      <c r="R141" t="s">
        <v>53</v>
      </c>
      <c r="S141">
        <v>1206</v>
      </c>
      <c r="T141" t="s">
        <v>54</v>
      </c>
      <c r="U141">
        <v>7.54</v>
      </c>
      <c r="V141">
        <v>6</v>
      </c>
      <c r="W141" t="s">
        <v>55</v>
      </c>
      <c r="X141">
        <v>17</v>
      </c>
      <c r="Y141">
        <v>3</v>
      </c>
      <c r="Z141">
        <v>3</v>
      </c>
      <c r="AA141">
        <v>0</v>
      </c>
      <c r="AB141">
        <v>6</v>
      </c>
      <c r="AC141">
        <v>2</v>
      </c>
      <c r="AD141">
        <v>2</v>
      </c>
      <c r="AE141">
        <v>4</v>
      </c>
      <c r="AF141">
        <v>3</v>
      </c>
      <c r="AG141">
        <v>1</v>
      </c>
      <c r="AH141">
        <v>2</v>
      </c>
      <c r="AI141">
        <f t="shared" si="14"/>
        <v>1</v>
      </c>
      <c r="AJ141" t="str">
        <f t="shared" si="15"/>
        <v>4-5 yrs</v>
      </c>
      <c r="AK141" t="str">
        <f t="shared" si="16"/>
        <v>Recent</v>
      </c>
      <c r="AL141">
        <f t="shared" si="17"/>
        <v>2</v>
      </c>
      <c r="AM141" t="str">
        <f t="shared" si="18"/>
        <v>Medium Risk</v>
      </c>
      <c r="AN141" s="6">
        <f t="shared" si="19"/>
        <v>-0.97541683828919723</v>
      </c>
      <c r="AO141" s="7">
        <f t="shared" si="20"/>
        <v>14472</v>
      </c>
    </row>
    <row r="142" spans="1:41" x14ac:dyDescent="0.3">
      <c r="A142" t="s">
        <v>213</v>
      </c>
      <c r="B142">
        <v>26</v>
      </c>
      <c r="C142" t="s">
        <v>196</v>
      </c>
      <c r="D142" t="s">
        <v>47</v>
      </c>
      <c r="E142" t="s">
        <v>62</v>
      </c>
      <c r="F142">
        <v>887</v>
      </c>
      <c r="G142" t="s">
        <v>49</v>
      </c>
      <c r="H142">
        <v>5</v>
      </c>
      <c r="I142">
        <v>2</v>
      </c>
      <c r="J142" t="s">
        <v>58</v>
      </c>
      <c r="K142">
        <v>848</v>
      </c>
      <c r="L142">
        <v>3</v>
      </c>
      <c r="M142" t="s">
        <v>59</v>
      </c>
      <c r="N142">
        <v>2</v>
      </c>
      <c r="O142">
        <v>1</v>
      </c>
      <c r="P142" t="s">
        <v>67</v>
      </c>
      <c r="Q142">
        <v>3</v>
      </c>
      <c r="R142" t="s">
        <v>113</v>
      </c>
      <c r="S142">
        <v>88054</v>
      </c>
      <c r="T142" t="s">
        <v>70</v>
      </c>
      <c r="U142">
        <v>550.34</v>
      </c>
      <c r="V142">
        <v>1</v>
      </c>
      <c r="W142" t="s">
        <v>47</v>
      </c>
      <c r="X142">
        <v>14</v>
      </c>
      <c r="Y142">
        <v>3</v>
      </c>
      <c r="Z142">
        <v>1</v>
      </c>
      <c r="AA142">
        <v>1</v>
      </c>
      <c r="AB142">
        <v>8</v>
      </c>
      <c r="AC142">
        <v>2</v>
      </c>
      <c r="AD142">
        <v>3</v>
      </c>
      <c r="AE142">
        <v>8</v>
      </c>
      <c r="AF142">
        <v>7</v>
      </c>
      <c r="AG142">
        <v>1</v>
      </c>
      <c r="AH142">
        <v>7</v>
      </c>
      <c r="AI142">
        <f t="shared" si="14"/>
        <v>1</v>
      </c>
      <c r="AJ142" t="str">
        <f t="shared" si="15"/>
        <v>6-10 yrs</v>
      </c>
      <c r="AK142" t="str">
        <f t="shared" si="16"/>
        <v>Recent</v>
      </c>
      <c r="AL142">
        <f t="shared" si="17"/>
        <v>1</v>
      </c>
      <c r="AM142" t="str">
        <f t="shared" si="18"/>
        <v>Low Risk</v>
      </c>
      <c r="AN142" s="6">
        <f t="shared" si="19"/>
        <v>0.76580875146330429</v>
      </c>
      <c r="AO142" s="7">
        <f t="shared" si="20"/>
        <v>1056648</v>
      </c>
    </row>
    <row r="143" spans="1:41" x14ac:dyDescent="0.3">
      <c r="A143" t="s">
        <v>214</v>
      </c>
      <c r="B143">
        <v>26</v>
      </c>
      <c r="C143" t="s">
        <v>196</v>
      </c>
      <c r="D143" t="s">
        <v>55</v>
      </c>
      <c r="E143" t="s">
        <v>62</v>
      </c>
      <c r="F143">
        <v>1283</v>
      </c>
      <c r="G143" t="s">
        <v>57</v>
      </c>
      <c r="H143">
        <v>1</v>
      </c>
      <c r="I143">
        <v>3</v>
      </c>
      <c r="J143" t="s">
        <v>58</v>
      </c>
      <c r="K143">
        <v>956</v>
      </c>
      <c r="L143">
        <v>3</v>
      </c>
      <c r="M143" t="s">
        <v>51</v>
      </c>
      <c r="N143">
        <v>2</v>
      </c>
      <c r="O143">
        <v>2</v>
      </c>
      <c r="P143" t="s">
        <v>145</v>
      </c>
      <c r="Q143">
        <v>1</v>
      </c>
      <c r="R143" t="s">
        <v>53</v>
      </c>
      <c r="S143">
        <v>88897</v>
      </c>
      <c r="T143" t="s">
        <v>70</v>
      </c>
      <c r="U143">
        <v>555.61</v>
      </c>
      <c r="V143">
        <v>1</v>
      </c>
      <c r="W143" t="s">
        <v>55</v>
      </c>
      <c r="X143">
        <v>12</v>
      </c>
      <c r="Y143">
        <v>3</v>
      </c>
      <c r="Z143">
        <v>2</v>
      </c>
      <c r="AA143">
        <v>0</v>
      </c>
      <c r="AB143">
        <v>7</v>
      </c>
      <c r="AC143">
        <v>2</v>
      </c>
      <c r="AD143">
        <v>3</v>
      </c>
      <c r="AE143">
        <v>7</v>
      </c>
      <c r="AF143">
        <v>7</v>
      </c>
      <c r="AG143">
        <v>0</v>
      </c>
      <c r="AH143">
        <v>7</v>
      </c>
      <c r="AI143">
        <f t="shared" si="14"/>
        <v>0</v>
      </c>
      <c r="AJ143" t="str">
        <f t="shared" si="15"/>
        <v>6-10 yrs</v>
      </c>
      <c r="AK143" t="str">
        <f t="shared" si="16"/>
        <v>Recent</v>
      </c>
      <c r="AL143">
        <f t="shared" si="17"/>
        <v>1</v>
      </c>
      <c r="AM143" t="str">
        <f t="shared" si="18"/>
        <v>Low Risk</v>
      </c>
      <c r="AN143" s="6">
        <f t="shared" si="19"/>
        <v>0.81208070199438998</v>
      </c>
      <c r="AO143" s="7">
        <f t="shared" si="20"/>
        <v>1066764</v>
      </c>
    </row>
    <row r="144" spans="1:41" x14ac:dyDescent="0.3">
      <c r="A144" t="s">
        <v>215</v>
      </c>
      <c r="B144">
        <v>26</v>
      </c>
      <c r="C144" t="s">
        <v>196</v>
      </c>
      <c r="D144" t="s">
        <v>55</v>
      </c>
      <c r="E144" t="s">
        <v>48</v>
      </c>
      <c r="F144">
        <v>1066</v>
      </c>
      <c r="G144" t="s">
        <v>49</v>
      </c>
      <c r="H144">
        <v>2</v>
      </c>
      <c r="I144">
        <v>2</v>
      </c>
      <c r="J144" t="s">
        <v>58</v>
      </c>
      <c r="K144">
        <v>1018</v>
      </c>
      <c r="L144">
        <v>4</v>
      </c>
      <c r="M144" t="s">
        <v>51</v>
      </c>
      <c r="N144">
        <v>4</v>
      </c>
      <c r="O144">
        <v>2</v>
      </c>
      <c r="P144" t="s">
        <v>120</v>
      </c>
      <c r="Q144">
        <v>4</v>
      </c>
      <c r="R144" t="s">
        <v>113</v>
      </c>
      <c r="S144">
        <v>24419</v>
      </c>
      <c r="T144" t="s">
        <v>54</v>
      </c>
      <c r="U144">
        <v>152.62</v>
      </c>
      <c r="V144">
        <v>1</v>
      </c>
      <c r="W144" t="s">
        <v>55</v>
      </c>
      <c r="X144">
        <v>12</v>
      </c>
      <c r="Y144">
        <v>3</v>
      </c>
      <c r="Z144">
        <v>2</v>
      </c>
      <c r="AA144">
        <v>0</v>
      </c>
      <c r="AB144">
        <v>8</v>
      </c>
      <c r="AC144">
        <v>2</v>
      </c>
      <c r="AD144">
        <v>3</v>
      </c>
      <c r="AE144">
        <v>8</v>
      </c>
      <c r="AF144">
        <v>7</v>
      </c>
      <c r="AG144">
        <v>1</v>
      </c>
      <c r="AH144">
        <v>3</v>
      </c>
      <c r="AI144">
        <f t="shared" si="14"/>
        <v>0</v>
      </c>
      <c r="AJ144" t="str">
        <f t="shared" si="15"/>
        <v>6-10 yrs</v>
      </c>
      <c r="AK144" t="str">
        <f t="shared" si="16"/>
        <v>Recent</v>
      </c>
      <c r="AL144">
        <f t="shared" si="17"/>
        <v>0</v>
      </c>
      <c r="AM144" t="str">
        <f t="shared" si="18"/>
        <v>Minimal Risk</v>
      </c>
      <c r="AN144" s="6">
        <f t="shared" si="19"/>
        <v>-0.44872299396377274</v>
      </c>
      <c r="AO144" s="7">
        <f t="shared" si="20"/>
        <v>293028</v>
      </c>
    </row>
    <row r="145" spans="1:41" x14ac:dyDescent="0.3">
      <c r="A145" t="s">
        <v>216</v>
      </c>
      <c r="B145">
        <v>26</v>
      </c>
      <c r="C145" t="s">
        <v>196</v>
      </c>
      <c r="D145" t="s">
        <v>47</v>
      </c>
      <c r="E145" t="s">
        <v>66</v>
      </c>
      <c r="F145">
        <v>265</v>
      </c>
      <c r="G145" t="s">
        <v>57</v>
      </c>
      <c r="H145">
        <v>29</v>
      </c>
      <c r="I145">
        <v>2</v>
      </c>
      <c r="J145" t="s">
        <v>58</v>
      </c>
      <c r="K145">
        <v>1037</v>
      </c>
      <c r="L145">
        <v>2</v>
      </c>
      <c r="M145" t="s">
        <v>51</v>
      </c>
      <c r="N145">
        <v>1</v>
      </c>
      <c r="O145">
        <v>2</v>
      </c>
      <c r="P145" t="s">
        <v>145</v>
      </c>
      <c r="Q145">
        <v>1</v>
      </c>
      <c r="R145" t="s">
        <v>53</v>
      </c>
      <c r="S145">
        <v>51636</v>
      </c>
      <c r="T145" t="s">
        <v>64</v>
      </c>
      <c r="U145">
        <v>322.73</v>
      </c>
      <c r="V145">
        <v>8</v>
      </c>
      <c r="W145" t="s">
        <v>55</v>
      </c>
      <c r="X145">
        <v>18</v>
      </c>
      <c r="Y145">
        <v>3</v>
      </c>
      <c r="Z145">
        <v>4</v>
      </c>
      <c r="AA145">
        <v>0</v>
      </c>
      <c r="AB145">
        <v>7</v>
      </c>
      <c r="AC145">
        <v>6</v>
      </c>
      <c r="AD145">
        <v>3</v>
      </c>
      <c r="AE145">
        <v>2</v>
      </c>
      <c r="AF145">
        <v>2</v>
      </c>
      <c r="AG145">
        <v>2</v>
      </c>
      <c r="AH145">
        <v>2</v>
      </c>
      <c r="AI145">
        <f t="shared" si="14"/>
        <v>1</v>
      </c>
      <c r="AJ145" t="str">
        <f t="shared" si="15"/>
        <v>2-3 yrs</v>
      </c>
      <c r="AK145" t="str">
        <f t="shared" si="16"/>
        <v>Recent</v>
      </c>
      <c r="AL145">
        <f t="shared" si="17"/>
        <v>1</v>
      </c>
      <c r="AM145" t="str">
        <f t="shared" si="18"/>
        <v>Low Risk</v>
      </c>
      <c r="AN145" s="6">
        <f t="shared" si="19"/>
        <v>5.2550694941137746E-2</v>
      </c>
      <c r="AO145" s="7">
        <f t="shared" si="20"/>
        <v>619632</v>
      </c>
    </row>
    <row r="146" spans="1:41" x14ac:dyDescent="0.3">
      <c r="A146" t="s">
        <v>217</v>
      </c>
      <c r="B146">
        <v>26</v>
      </c>
      <c r="C146" t="s">
        <v>196</v>
      </c>
      <c r="D146" t="s">
        <v>47</v>
      </c>
      <c r="E146" t="s">
        <v>62</v>
      </c>
      <c r="F146">
        <v>342</v>
      </c>
      <c r="G146" t="s">
        <v>49</v>
      </c>
      <c r="H146">
        <v>2</v>
      </c>
      <c r="I146">
        <v>3</v>
      </c>
      <c r="J146" t="s">
        <v>50</v>
      </c>
      <c r="K146">
        <v>1053</v>
      </c>
      <c r="L146">
        <v>1</v>
      </c>
      <c r="M146" t="s">
        <v>51</v>
      </c>
      <c r="N146">
        <v>3</v>
      </c>
      <c r="O146">
        <v>1</v>
      </c>
      <c r="P146" t="s">
        <v>67</v>
      </c>
      <c r="Q146">
        <v>1</v>
      </c>
      <c r="R146" t="s">
        <v>113</v>
      </c>
      <c r="S146">
        <v>51015</v>
      </c>
      <c r="T146" t="s">
        <v>64</v>
      </c>
      <c r="U146">
        <v>318.83999999999997</v>
      </c>
      <c r="V146">
        <v>6</v>
      </c>
      <c r="W146" t="s">
        <v>47</v>
      </c>
      <c r="X146">
        <v>14</v>
      </c>
      <c r="Y146">
        <v>3</v>
      </c>
      <c r="Z146">
        <v>2</v>
      </c>
      <c r="AA146">
        <v>1</v>
      </c>
      <c r="AB146">
        <v>6</v>
      </c>
      <c r="AC146">
        <v>2</v>
      </c>
      <c r="AD146">
        <v>3</v>
      </c>
      <c r="AE146">
        <v>3</v>
      </c>
      <c r="AF146">
        <v>2</v>
      </c>
      <c r="AG146">
        <v>1</v>
      </c>
      <c r="AH146">
        <v>2</v>
      </c>
      <c r="AI146">
        <f t="shared" si="14"/>
        <v>1</v>
      </c>
      <c r="AJ146" t="str">
        <f t="shared" si="15"/>
        <v>2-3 yrs</v>
      </c>
      <c r="AK146" t="str">
        <f t="shared" si="16"/>
        <v>Recent</v>
      </c>
      <c r="AL146">
        <f t="shared" si="17"/>
        <v>2</v>
      </c>
      <c r="AM146" t="str">
        <f t="shared" si="18"/>
        <v>Medium Risk</v>
      </c>
      <c r="AN146" s="6">
        <f t="shared" si="19"/>
        <v>2.3039651303750734E-2</v>
      </c>
      <c r="AO146" s="7">
        <f t="shared" si="20"/>
        <v>612180</v>
      </c>
    </row>
    <row r="147" spans="1:41" x14ac:dyDescent="0.3">
      <c r="A147" t="s">
        <v>218</v>
      </c>
      <c r="B147">
        <v>26</v>
      </c>
      <c r="C147" t="s">
        <v>196</v>
      </c>
      <c r="D147" t="s">
        <v>55</v>
      </c>
      <c r="E147" t="s">
        <v>62</v>
      </c>
      <c r="F147">
        <v>921</v>
      </c>
      <c r="G147" t="s">
        <v>49</v>
      </c>
      <c r="H147">
        <v>1</v>
      </c>
      <c r="I147">
        <v>1</v>
      </c>
      <c r="J147" t="s">
        <v>58</v>
      </c>
      <c r="K147">
        <v>1068</v>
      </c>
      <c r="L147">
        <v>1</v>
      </c>
      <c r="M147" t="s">
        <v>59</v>
      </c>
      <c r="N147">
        <v>2</v>
      </c>
      <c r="O147">
        <v>1</v>
      </c>
      <c r="P147" t="s">
        <v>67</v>
      </c>
      <c r="Q147">
        <v>3</v>
      </c>
      <c r="R147" t="s">
        <v>53</v>
      </c>
      <c r="S147">
        <v>55268</v>
      </c>
      <c r="T147" t="s">
        <v>64</v>
      </c>
      <c r="U147">
        <v>345.42</v>
      </c>
      <c r="V147">
        <v>1</v>
      </c>
      <c r="W147" t="s">
        <v>55</v>
      </c>
      <c r="X147">
        <v>13</v>
      </c>
      <c r="Y147">
        <v>3</v>
      </c>
      <c r="Z147">
        <v>3</v>
      </c>
      <c r="AA147">
        <v>2</v>
      </c>
      <c r="AB147">
        <v>5</v>
      </c>
      <c r="AC147">
        <v>5</v>
      </c>
      <c r="AD147">
        <v>3</v>
      </c>
      <c r="AE147">
        <v>5</v>
      </c>
      <c r="AF147">
        <v>3</v>
      </c>
      <c r="AG147">
        <v>1</v>
      </c>
      <c r="AH147">
        <v>3</v>
      </c>
      <c r="AI147">
        <f t="shared" si="14"/>
        <v>0</v>
      </c>
      <c r="AJ147" t="str">
        <f t="shared" si="15"/>
        <v>4-5 yrs</v>
      </c>
      <c r="AK147" t="str">
        <f t="shared" si="16"/>
        <v>Recent</v>
      </c>
      <c r="AL147">
        <f t="shared" si="17"/>
        <v>0</v>
      </c>
      <c r="AM147" t="str">
        <f t="shared" si="18"/>
        <v>Minimal Risk</v>
      </c>
      <c r="AN147" s="6">
        <f t="shared" si="19"/>
        <v>0.10832804955906489</v>
      </c>
      <c r="AO147" s="7">
        <f t="shared" si="20"/>
        <v>663216</v>
      </c>
    </row>
    <row r="148" spans="1:41" x14ac:dyDescent="0.3">
      <c r="A148" t="s">
        <v>219</v>
      </c>
      <c r="B148">
        <v>26</v>
      </c>
      <c r="C148" t="s">
        <v>196</v>
      </c>
      <c r="D148" t="s">
        <v>55</v>
      </c>
      <c r="E148" t="s">
        <v>48</v>
      </c>
      <c r="F148">
        <v>192</v>
      </c>
      <c r="G148" t="s">
        <v>49</v>
      </c>
      <c r="H148">
        <v>1</v>
      </c>
      <c r="I148">
        <v>2</v>
      </c>
      <c r="J148" t="s">
        <v>58</v>
      </c>
      <c r="K148">
        <v>1083</v>
      </c>
      <c r="L148">
        <v>1</v>
      </c>
      <c r="M148" t="s">
        <v>51</v>
      </c>
      <c r="N148">
        <v>2</v>
      </c>
      <c r="O148">
        <v>1</v>
      </c>
      <c r="P148" t="s">
        <v>52</v>
      </c>
      <c r="Q148">
        <v>1</v>
      </c>
      <c r="R148" t="s">
        <v>113</v>
      </c>
      <c r="S148">
        <v>88939</v>
      </c>
      <c r="T148" t="s">
        <v>70</v>
      </c>
      <c r="U148">
        <v>555.87</v>
      </c>
      <c r="V148">
        <v>1</v>
      </c>
      <c r="W148" t="s">
        <v>55</v>
      </c>
      <c r="X148">
        <v>16</v>
      </c>
      <c r="Y148">
        <v>3</v>
      </c>
      <c r="Z148">
        <v>1</v>
      </c>
      <c r="AA148">
        <v>2</v>
      </c>
      <c r="AB148">
        <v>6</v>
      </c>
      <c r="AC148">
        <v>2</v>
      </c>
      <c r="AD148">
        <v>3</v>
      </c>
      <c r="AE148">
        <v>5</v>
      </c>
      <c r="AF148">
        <v>3</v>
      </c>
      <c r="AG148">
        <v>1</v>
      </c>
      <c r="AH148">
        <v>3</v>
      </c>
      <c r="AI148">
        <f t="shared" si="14"/>
        <v>0</v>
      </c>
      <c r="AJ148" t="str">
        <f t="shared" si="15"/>
        <v>4-5 yrs</v>
      </c>
      <c r="AK148" t="str">
        <f t="shared" si="16"/>
        <v>Recent</v>
      </c>
      <c r="AL148">
        <f t="shared" si="17"/>
        <v>1</v>
      </c>
      <c r="AM148" t="str">
        <f t="shared" si="18"/>
        <v>Low Risk</v>
      </c>
      <c r="AN148" s="6">
        <f t="shared" si="19"/>
        <v>0.71960500566042596</v>
      </c>
      <c r="AO148" s="7">
        <f t="shared" si="20"/>
        <v>1067268</v>
      </c>
    </row>
    <row r="149" spans="1:41" x14ac:dyDescent="0.3">
      <c r="A149" t="s">
        <v>220</v>
      </c>
      <c r="B149">
        <v>26</v>
      </c>
      <c r="C149" t="s">
        <v>196</v>
      </c>
      <c r="D149" t="s">
        <v>47</v>
      </c>
      <c r="E149" t="s">
        <v>48</v>
      </c>
      <c r="F149">
        <v>1330</v>
      </c>
      <c r="G149" t="s">
        <v>49</v>
      </c>
      <c r="H149">
        <v>21</v>
      </c>
      <c r="I149">
        <v>3</v>
      </c>
      <c r="J149" t="s">
        <v>58</v>
      </c>
      <c r="K149">
        <v>1107</v>
      </c>
      <c r="L149">
        <v>1</v>
      </c>
      <c r="M149" t="s">
        <v>51</v>
      </c>
      <c r="N149">
        <v>3</v>
      </c>
      <c r="O149">
        <v>1</v>
      </c>
      <c r="P149" t="s">
        <v>52</v>
      </c>
      <c r="Q149">
        <v>3</v>
      </c>
      <c r="R149" t="s">
        <v>53</v>
      </c>
      <c r="S149">
        <v>19141</v>
      </c>
      <c r="T149" t="s">
        <v>54</v>
      </c>
      <c r="U149">
        <v>119.63</v>
      </c>
      <c r="V149">
        <v>1</v>
      </c>
      <c r="W149" t="s">
        <v>55</v>
      </c>
      <c r="X149">
        <v>20</v>
      </c>
      <c r="Y149">
        <v>4</v>
      </c>
      <c r="Z149">
        <v>3</v>
      </c>
      <c r="AA149">
        <v>1</v>
      </c>
      <c r="AB149">
        <v>1</v>
      </c>
      <c r="AC149">
        <v>0</v>
      </c>
      <c r="AD149">
        <v>2</v>
      </c>
      <c r="AE149">
        <v>1</v>
      </c>
      <c r="AF149">
        <v>1</v>
      </c>
      <c r="AG149">
        <v>0</v>
      </c>
      <c r="AH149">
        <v>0</v>
      </c>
      <c r="AI149">
        <f t="shared" si="14"/>
        <v>1</v>
      </c>
      <c r="AJ149" t="str">
        <f t="shared" si="15"/>
        <v>0-1 yr</v>
      </c>
      <c r="AK149" t="str">
        <f t="shared" si="16"/>
        <v>Recent</v>
      </c>
      <c r="AL149">
        <f t="shared" si="17"/>
        <v>1</v>
      </c>
      <c r="AM149" t="str">
        <f t="shared" si="18"/>
        <v>Low Risk</v>
      </c>
      <c r="AN149" s="6">
        <f t="shared" si="19"/>
        <v>-0.6299153418259007</v>
      </c>
      <c r="AO149" s="7">
        <f t="shared" si="20"/>
        <v>229692</v>
      </c>
    </row>
    <row r="150" spans="1:41" x14ac:dyDescent="0.3">
      <c r="A150" t="s">
        <v>221</v>
      </c>
      <c r="B150">
        <v>26</v>
      </c>
      <c r="C150" t="s">
        <v>196</v>
      </c>
      <c r="D150" t="s">
        <v>55</v>
      </c>
      <c r="E150" t="s">
        <v>48</v>
      </c>
      <c r="F150">
        <v>1384</v>
      </c>
      <c r="G150" t="s">
        <v>49</v>
      </c>
      <c r="H150">
        <v>3</v>
      </c>
      <c r="I150">
        <v>4</v>
      </c>
      <c r="J150" t="s">
        <v>58</v>
      </c>
      <c r="K150">
        <v>1177</v>
      </c>
      <c r="L150">
        <v>1</v>
      </c>
      <c r="M150" t="s">
        <v>51</v>
      </c>
      <c r="N150">
        <v>4</v>
      </c>
      <c r="O150">
        <v>1</v>
      </c>
      <c r="P150" t="s">
        <v>52</v>
      </c>
      <c r="Q150">
        <v>4</v>
      </c>
      <c r="R150" t="s">
        <v>113</v>
      </c>
      <c r="S150">
        <v>81356</v>
      </c>
      <c r="T150" t="s">
        <v>64</v>
      </c>
      <c r="U150">
        <v>508.48</v>
      </c>
      <c r="V150">
        <v>1</v>
      </c>
      <c r="W150" t="s">
        <v>55</v>
      </c>
      <c r="X150">
        <v>22</v>
      </c>
      <c r="Y150">
        <v>4</v>
      </c>
      <c r="Z150">
        <v>2</v>
      </c>
      <c r="AA150">
        <v>1</v>
      </c>
      <c r="AB150">
        <v>8</v>
      </c>
      <c r="AC150">
        <v>2</v>
      </c>
      <c r="AD150">
        <v>3</v>
      </c>
      <c r="AE150">
        <v>8</v>
      </c>
      <c r="AF150">
        <v>7</v>
      </c>
      <c r="AG150">
        <v>0</v>
      </c>
      <c r="AH150">
        <v>7</v>
      </c>
      <c r="AI150">
        <f t="shared" si="14"/>
        <v>0</v>
      </c>
      <c r="AJ150" t="str">
        <f t="shared" si="15"/>
        <v>6-10 yrs</v>
      </c>
      <c r="AK150" t="str">
        <f t="shared" si="16"/>
        <v>Recent</v>
      </c>
      <c r="AL150">
        <f t="shared" si="17"/>
        <v>0</v>
      </c>
      <c r="AM150" t="str">
        <f t="shared" si="18"/>
        <v>Minimal Risk</v>
      </c>
      <c r="AN150" s="6">
        <f t="shared" si="19"/>
        <v>0.57299030617062952</v>
      </c>
      <c r="AO150" s="7">
        <f t="shared" si="20"/>
        <v>976272</v>
      </c>
    </row>
    <row r="151" spans="1:41" x14ac:dyDescent="0.3">
      <c r="A151" t="s">
        <v>222</v>
      </c>
      <c r="B151">
        <v>26</v>
      </c>
      <c r="C151" t="s">
        <v>196</v>
      </c>
      <c r="D151" t="s">
        <v>55</v>
      </c>
      <c r="E151" t="s">
        <v>48</v>
      </c>
      <c r="F151">
        <v>583</v>
      </c>
      <c r="G151" t="s">
        <v>49</v>
      </c>
      <c r="H151">
        <v>4</v>
      </c>
      <c r="I151">
        <v>2</v>
      </c>
      <c r="J151" t="s">
        <v>50</v>
      </c>
      <c r="K151">
        <v>1275</v>
      </c>
      <c r="L151">
        <v>3</v>
      </c>
      <c r="M151" t="s">
        <v>51</v>
      </c>
      <c r="N151">
        <v>3</v>
      </c>
      <c r="O151">
        <v>1</v>
      </c>
      <c r="P151" t="s">
        <v>67</v>
      </c>
      <c r="Q151">
        <v>4</v>
      </c>
      <c r="R151" t="s">
        <v>53</v>
      </c>
      <c r="S151">
        <v>72910</v>
      </c>
      <c r="T151" t="s">
        <v>64</v>
      </c>
      <c r="U151">
        <v>455.69</v>
      </c>
      <c r="V151">
        <v>1</v>
      </c>
      <c r="W151" t="s">
        <v>47</v>
      </c>
      <c r="X151">
        <v>20</v>
      </c>
      <c r="Y151">
        <v>4</v>
      </c>
      <c r="Z151">
        <v>2</v>
      </c>
      <c r="AA151">
        <v>0</v>
      </c>
      <c r="AB151">
        <v>8</v>
      </c>
      <c r="AC151">
        <v>2</v>
      </c>
      <c r="AD151">
        <v>2</v>
      </c>
      <c r="AE151">
        <v>8</v>
      </c>
      <c r="AF151">
        <v>5</v>
      </c>
      <c r="AG151">
        <v>2</v>
      </c>
      <c r="AH151">
        <v>2</v>
      </c>
      <c r="AI151">
        <f t="shared" si="14"/>
        <v>0</v>
      </c>
      <c r="AJ151" t="str">
        <f t="shared" si="15"/>
        <v>6-10 yrs</v>
      </c>
      <c r="AK151" t="str">
        <f t="shared" si="16"/>
        <v>Recent</v>
      </c>
      <c r="AL151">
        <f t="shared" si="17"/>
        <v>2</v>
      </c>
      <c r="AM151" t="str">
        <f t="shared" si="18"/>
        <v>Medium Risk</v>
      </c>
      <c r="AN151" s="6">
        <f t="shared" si="19"/>
        <v>0.46211547538089709</v>
      </c>
      <c r="AO151" s="7">
        <f t="shared" si="20"/>
        <v>874920</v>
      </c>
    </row>
    <row r="152" spans="1:41" x14ac:dyDescent="0.3">
      <c r="A152" t="s">
        <v>223</v>
      </c>
      <c r="B152">
        <v>26</v>
      </c>
      <c r="C152" t="s">
        <v>196</v>
      </c>
      <c r="D152" t="s">
        <v>55</v>
      </c>
      <c r="E152" t="s">
        <v>48</v>
      </c>
      <c r="F152">
        <v>683</v>
      </c>
      <c r="G152" t="s">
        <v>49</v>
      </c>
      <c r="H152">
        <v>2</v>
      </c>
      <c r="I152">
        <v>1</v>
      </c>
      <c r="J152" t="s">
        <v>58</v>
      </c>
      <c r="K152">
        <v>1407</v>
      </c>
      <c r="L152">
        <v>1</v>
      </c>
      <c r="M152" t="s">
        <v>51</v>
      </c>
      <c r="N152">
        <v>2</v>
      </c>
      <c r="O152">
        <v>1</v>
      </c>
      <c r="P152" t="s">
        <v>67</v>
      </c>
      <c r="Q152">
        <v>4</v>
      </c>
      <c r="R152" t="s">
        <v>53</v>
      </c>
      <c r="S152">
        <v>57044</v>
      </c>
      <c r="T152" t="s">
        <v>64</v>
      </c>
      <c r="U152">
        <v>356.52</v>
      </c>
      <c r="V152">
        <v>0</v>
      </c>
      <c r="W152" t="s">
        <v>55</v>
      </c>
      <c r="X152">
        <v>12</v>
      </c>
      <c r="Y152">
        <v>3</v>
      </c>
      <c r="Z152">
        <v>4</v>
      </c>
      <c r="AA152">
        <v>0</v>
      </c>
      <c r="AB152">
        <v>5</v>
      </c>
      <c r="AC152">
        <v>2</v>
      </c>
      <c r="AD152">
        <v>3</v>
      </c>
      <c r="AE152">
        <v>4</v>
      </c>
      <c r="AF152">
        <v>3</v>
      </c>
      <c r="AG152">
        <v>1</v>
      </c>
      <c r="AH152">
        <v>1</v>
      </c>
      <c r="AI152">
        <f t="shared" si="14"/>
        <v>0</v>
      </c>
      <c r="AJ152" t="str">
        <f t="shared" si="15"/>
        <v>4-5 yrs</v>
      </c>
      <c r="AK152" t="str">
        <f t="shared" si="16"/>
        <v>Recent</v>
      </c>
      <c r="AL152">
        <f t="shared" si="17"/>
        <v>0</v>
      </c>
      <c r="AM152" t="str">
        <f t="shared" si="18"/>
        <v>Minimal Risk</v>
      </c>
      <c r="AN152" s="6">
        <f t="shared" si="19"/>
        <v>0.14394342583497319</v>
      </c>
      <c r="AO152" s="7">
        <f t="shared" si="20"/>
        <v>684528</v>
      </c>
    </row>
    <row r="153" spans="1:41" x14ac:dyDescent="0.3">
      <c r="A153" t="s">
        <v>224</v>
      </c>
      <c r="B153">
        <v>26</v>
      </c>
      <c r="C153" t="s">
        <v>196</v>
      </c>
      <c r="D153" t="s">
        <v>55</v>
      </c>
      <c r="E153" t="s">
        <v>48</v>
      </c>
      <c r="F153">
        <v>652</v>
      </c>
      <c r="G153" t="s">
        <v>49</v>
      </c>
      <c r="H153">
        <v>7</v>
      </c>
      <c r="I153">
        <v>3</v>
      </c>
      <c r="J153" t="s">
        <v>82</v>
      </c>
      <c r="K153">
        <v>1417</v>
      </c>
      <c r="L153">
        <v>3</v>
      </c>
      <c r="M153" t="s">
        <v>51</v>
      </c>
      <c r="N153">
        <v>4</v>
      </c>
      <c r="O153">
        <v>1</v>
      </c>
      <c r="P153" t="s">
        <v>52</v>
      </c>
      <c r="Q153">
        <v>1</v>
      </c>
      <c r="R153" t="s">
        <v>53</v>
      </c>
      <c r="S153">
        <v>68214</v>
      </c>
      <c r="T153" t="s">
        <v>64</v>
      </c>
      <c r="U153">
        <v>426.34</v>
      </c>
      <c r="V153">
        <v>0</v>
      </c>
      <c r="W153" t="s">
        <v>55</v>
      </c>
      <c r="X153">
        <v>12</v>
      </c>
      <c r="Y153">
        <v>3</v>
      </c>
      <c r="Z153">
        <v>4</v>
      </c>
      <c r="AA153">
        <v>0</v>
      </c>
      <c r="AB153">
        <v>8</v>
      </c>
      <c r="AC153">
        <v>2</v>
      </c>
      <c r="AD153">
        <v>3</v>
      </c>
      <c r="AE153">
        <v>7</v>
      </c>
      <c r="AF153">
        <v>7</v>
      </c>
      <c r="AG153">
        <v>0</v>
      </c>
      <c r="AH153">
        <v>7</v>
      </c>
      <c r="AI153">
        <f t="shared" si="14"/>
        <v>0</v>
      </c>
      <c r="AJ153" t="str">
        <f t="shared" si="15"/>
        <v>6-10 yrs</v>
      </c>
      <c r="AK153" t="str">
        <f t="shared" si="16"/>
        <v>Recent</v>
      </c>
      <c r="AL153">
        <f t="shared" si="17"/>
        <v>1</v>
      </c>
      <c r="AM153" t="str">
        <f t="shared" si="18"/>
        <v>Low Risk</v>
      </c>
      <c r="AN153" s="6">
        <f t="shared" si="19"/>
        <v>0.31889425174693103</v>
      </c>
      <c r="AO153" s="7">
        <f t="shared" si="20"/>
        <v>818568</v>
      </c>
    </row>
    <row r="154" spans="1:41" x14ac:dyDescent="0.3">
      <c r="A154" t="s">
        <v>225</v>
      </c>
      <c r="B154">
        <v>26</v>
      </c>
      <c r="C154" t="s">
        <v>196</v>
      </c>
      <c r="D154" t="s">
        <v>55</v>
      </c>
      <c r="E154" t="s">
        <v>48</v>
      </c>
      <c r="F154">
        <v>474</v>
      </c>
      <c r="G154" t="s">
        <v>49</v>
      </c>
      <c r="H154">
        <v>3</v>
      </c>
      <c r="I154">
        <v>3</v>
      </c>
      <c r="J154" t="s">
        <v>50</v>
      </c>
      <c r="K154">
        <v>1581</v>
      </c>
      <c r="L154">
        <v>1</v>
      </c>
      <c r="M154" t="s">
        <v>59</v>
      </c>
      <c r="N154">
        <v>3</v>
      </c>
      <c r="O154">
        <v>1</v>
      </c>
      <c r="P154" t="s">
        <v>67</v>
      </c>
      <c r="Q154">
        <v>4</v>
      </c>
      <c r="R154" t="s">
        <v>113</v>
      </c>
      <c r="S154">
        <v>34827</v>
      </c>
      <c r="T154" t="s">
        <v>72</v>
      </c>
      <c r="U154">
        <v>217.67</v>
      </c>
      <c r="V154">
        <v>1</v>
      </c>
      <c r="W154" t="s">
        <v>55</v>
      </c>
      <c r="X154">
        <v>21</v>
      </c>
      <c r="Y154">
        <v>4</v>
      </c>
      <c r="Z154">
        <v>1</v>
      </c>
      <c r="AA154">
        <v>0</v>
      </c>
      <c r="AB154">
        <v>1</v>
      </c>
      <c r="AC154">
        <v>5</v>
      </c>
      <c r="AD154">
        <v>3</v>
      </c>
      <c r="AE154">
        <v>1</v>
      </c>
      <c r="AF154">
        <v>0</v>
      </c>
      <c r="AG154">
        <v>0</v>
      </c>
      <c r="AH154">
        <v>0</v>
      </c>
      <c r="AI154">
        <f t="shared" si="14"/>
        <v>0</v>
      </c>
      <c r="AJ154" t="str">
        <f t="shared" si="15"/>
        <v>0-1 yr</v>
      </c>
      <c r="AK154" t="str">
        <f t="shared" si="16"/>
        <v>Recent</v>
      </c>
      <c r="AL154">
        <f t="shared" si="17"/>
        <v>0</v>
      </c>
      <c r="AM154" t="str">
        <f t="shared" si="18"/>
        <v>Minimal Risk</v>
      </c>
      <c r="AN154" s="6">
        <f t="shared" si="19"/>
        <v>-0.30158969056246737</v>
      </c>
      <c r="AO154" s="7">
        <f t="shared" si="20"/>
        <v>417924</v>
      </c>
    </row>
    <row r="155" spans="1:41" x14ac:dyDescent="0.3">
      <c r="A155" t="s">
        <v>226</v>
      </c>
      <c r="B155">
        <v>26</v>
      </c>
      <c r="C155" t="s">
        <v>196</v>
      </c>
      <c r="D155" t="s">
        <v>55</v>
      </c>
      <c r="E155" t="s">
        <v>66</v>
      </c>
      <c r="F155">
        <v>786</v>
      </c>
      <c r="G155" t="s">
        <v>49</v>
      </c>
      <c r="H155">
        <v>7</v>
      </c>
      <c r="I155">
        <v>3</v>
      </c>
      <c r="J155" t="s">
        <v>58</v>
      </c>
      <c r="K155">
        <v>1693</v>
      </c>
      <c r="L155">
        <v>4</v>
      </c>
      <c r="M155" t="s">
        <v>51</v>
      </c>
      <c r="N155">
        <v>3</v>
      </c>
      <c r="O155">
        <v>1</v>
      </c>
      <c r="P155" t="s">
        <v>52</v>
      </c>
      <c r="Q155">
        <v>4</v>
      </c>
      <c r="R155" t="s">
        <v>53</v>
      </c>
      <c r="S155">
        <v>56820</v>
      </c>
      <c r="T155" t="s">
        <v>64</v>
      </c>
      <c r="U155">
        <v>355.12</v>
      </c>
      <c r="V155">
        <v>1</v>
      </c>
      <c r="W155" t="s">
        <v>55</v>
      </c>
      <c r="X155">
        <v>20</v>
      </c>
      <c r="Y155">
        <v>4</v>
      </c>
      <c r="Z155">
        <v>3</v>
      </c>
      <c r="AA155">
        <v>0</v>
      </c>
      <c r="AB155">
        <v>7</v>
      </c>
      <c r="AC155">
        <v>5</v>
      </c>
      <c r="AD155">
        <v>3</v>
      </c>
      <c r="AE155">
        <v>7</v>
      </c>
      <c r="AF155">
        <v>7</v>
      </c>
      <c r="AG155">
        <v>5</v>
      </c>
      <c r="AH155">
        <v>7</v>
      </c>
      <c r="AI155">
        <f t="shared" si="14"/>
        <v>0</v>
      </c>
      <c r="AJ155" t="str">
        <f t="shared" si="15"/>
        <v>6-10 yrs</v>
      </c>
      <c r="AK155" t="str">
        <f t="shared" si="16"/>
        <v>Overdue</v>
      </c>
      <c r="AL155">
        <f t="shared" si="17"/>
        <v>1</v>
      </c>
      <c r="AM155" t="str">
        <f t="shared" si="18"/>
        <v>Low Risk</v>
      </c>
      <c r="AN155" s="6">
        <f t="shared" si="19"/>
        <v>9.859517671241419E-2</v>
      </c>
      <c r="AO155" s="7">
        <f t="shared" si="20"/>
        <v>681840</v>
      </c>
    </row>
    <row r="156" spans="1:41" x14ac:dyDescent="0.3">
      <c r="A156" t="s">
        <v>227</v>
      </c>
      <c r="B156">
        <v>26</v>
      </c>
      <c r="C156" t="s">
        <v>196</v>
      </c>
      <c r="D156" t="s">
        <v>55</v>
      </c>
      <c r="E156" t="s">
        <v>48</v>
      </c>
      <c r="F156">
        <v>390</v>
      </c>
      <c r="G156" t="s">
        <v>49</v>
      </c>
      <c r="H156">
        <v>17</v>
      </c>
      <c r="I156">
        <v>4</v>
      </c>
      <c r="J156" t="s">
        <v>58</v>
      </c>
      <c r="K156">
        <v>1718</v>
      </c>
      <c r="L156">
        <v>4</v>
      </c>
      <c r="M156" t="s">
        <v>51</v>
      </c>
      <c r="N156">
        <v>1</v>
      </c>
      <c r="O156">
        <v>1</v>
      </c>
      <c r="P156" t="s">
        <v>52</v>
      </c>
      <c r="Q156">
        <v>3</v>
      </c>
      <c r="R156" t="s">
        <v>113</v>
      </c>
      <c r="S156">
        <v>63623</v>
      </c>
      <c r="T156" t="s">
        <v>64</v>
      </c>
      <c r="U156">
        <v>397.64</v>
      </c>
      <c r="V156">
        <v>1</v>
      </c>
      <c r="W156" t="s">
        <v>55</v>
      </c>
      <c r="X156">
        <v>15</v>
      </c>
      <c r="Y156">
        <v>3</v>
      </c>
      <c r="Z156">
        <v>3</v>
      </c>
      <c r="AA156">
        <v>3</v>
      </c>
      <c r="AB156">
        <v>3</v>
      </c>
      <c r="AC156">
        <v>3</v>
      </c>
      <c r="AD156">
        <v>4</v>
      </c>
      <c r="AE156">
        <v>3</v>
      </c>
      <c r="AF156">
        <v>2</v>
      </c>
      <c r="AG156">
        <v>0</v>
      </c>
      <c r="AH156">
        <v>2</v>
      </c>
      <c r="AI156">
        <f t="shared" si="14"/>
        <v>0</v>
      </c>
      <c r="AJ156" t="str">
        <f t="shared" si="15"/>
        <v>2-3 yrs</v>
      </c>
      <c r="AK156" t="str">
        <f t="shared" si="16"/>
        <v>Recent</v>
      </c>
      <c r="AL156">
        <f t="shared" si="17"/>
        <v>0</v>
      </c>
      <c r="AM156" t="str">
        <f t="shared" si="18"/>
        <v>Minimal Risk</v>
      </c>
      <c r="AN156" s="6">
        <f t="shared" si="19"/>
        <v>0.23012884420932644</v>
      </c>
      <c r="AO156" s="7">
        <f t="shared" si="20"/>
        <v>763476</v>
      </c>
    </row>
    <row r="157" spans="1:41" x14ac:dyDescent="0.3">
      <c r="A157" t="s">
        <v>228</v>
      </c>
      <c r="B157">
        <v>26</v>
      </c>
      <c r="C157" t="s">
        <v>196</v>
      </c>
      <c r="D157" t="s">
        <v>47</v>
      </c>
      <c r="E157" t="s">
        <v>48</v>
      </c>
      <c r="F157">
        <v>920</v>
      </c>
      <c r="G157" t="s">
        <v>80</v>
      </c>
      <c r="H157">
        <v>20</v>
      </c>
      <c r="I157">
        <v>2</v>
      </c>
      <c r="J157" t="s">
        <v>58</v>
      </c>
      <c r="K157">
        <v>1818</v>
      </c>
      <c r="L157">
        <v>4</v>
      </c>
      <c r="M157" t="s">
        <v>59</v>
      </c>
      <c r="N157">
        <v>3</v>
      </c>
      <c r="O157">
        <v>1</v>
      </c>
      <c r="P157" t="s">
        <v>80</v>
      </c>
      <c r="Q157">
        <v>2</v>
      </c>
      <c r="R157" t="s">
        <v>113</v>
      </c>
      <c r="S157">
        <v>82734</v>
      </c>
      <c r="T157" t="s">
        <v>64</v>
      </c>
      <c r="U157">
        <v>517.09</v>
      </c>
      <c r="V157">
        <v>0</v>
      </c>
      <c r="W157" t="s">
        <v>47</v>
      </c>
      <c r="X157">
        <v>11</v>
      </c>
      <c r="Y157">
        <v>3</v>
      </c>
      <c r="Z157">
        <v>3</v>
      </c>
      <c r="AA157">
        <v>0</v>
      </c>
      <c r="AB157">
        <v>6</v>
      </c>
      <c r="AC157">
        <v>3</v>
      </c>
      <c r="AD157">
        <v>3</v>
      </c>
      <c r="AE157">
        <v>5</v>
      </c>
      <c r="AF157">
        <v>1</v>
      </c>
      <c r="AG157">
        <v>1</v>
      </c>
      <c r="AH157">
        <v>4</v>
      </c>
      <c r="AI157">
        <f t="shared" si="14"/>
        <v>1</v>
      </c>
      <c r="AJ157" t="str">
        <f t="shared" si="15"/>
        <v>4-5 yrs</v>
      </c>
      <c r="AK157" t="str">
        <f t="shared" si="16"/>
        <v>Recent</v>
      </c>
      <c r="AL157">
        <f t="shared" si="17"/>
        <v>2</v>
      </c>
      <c r="AM157" t="str">
        <f t="shared" si="18"/>
        <v>Medium Risk</v>
      </c>
      <c r="AN157" s="6">
        <f t="shared" si="19"/>
        <v>0.63041812414493559</v>
      </c>
      <c r="AO157" s="7">
        <f t="shared" si="20"/>
        <v>992808</v>
      </c>
    </row>
    <row r="158" spans="1:41" x14ac:dyDescent="0.3">
      <c r="A158" t="s">
        <v>229</v>
      </c>
      <c r="B158">
        <v>26</v>
      </c>
      <c r="C158" t="s">
        <v>196</v>
      </c>
      <c r="D158" t="s">
        <v>55</v>
      </c>
      <c r="E158" t="s">
        <v>48</v>
      </c>
      <c r="F158">
        <v>572</v>
      </c>
      <c r="G158" t="s">
        <v>57</v>
      </c>
      <c r="H158">
        <v>10</v>
      </c>
      <c r="I158">
        <v>3</v>
      </c>
      <c r="J158" t="s">
        <v>58</v>
      </c>
      <c r="K158">
        <v>1836</v>
      </c>
      <c r="L158">
        <v>3</v>
      </c>
      <c r="M158" t="s">
        <v>51</v>
      </c>
      <c r="N158">
        <v>3</v>
      </c>
      <c r="O158">
        <v>2</v>
      </c>
      <c r="P158" t="s">
        <v>145</v>
      </c>
      <c r="Q158">
        <v>4</v>
      </c>
      <c r="R158" t="s">
        <v>53</v>
      </c>
      <c r="S158">
        <v>76450</v>
      </c>
      <c r="T158" t="s">
        <v>64</v>
      </c>
      <c r="U158">
        <v>477.81</v>
      </c>
      <c r="V158">
        <v>1</v>
      </c>
      <c r="W158" t="s">
        <v>55</v>
      </c>
      <c r="X158">
        <v>13</v>
      </c>
      <c r="Y158">
        <v>3</v>
      </c>
      <c r="Z158">
        <v>1</v>
      </c>
      <c r="AA158">
        <v>0</v>
      </c>
      <c r="AB158">
        <v>5</v>
      </c>
      <c r="AC158">
        <v>4</v>
      </c>
      <c r="AD158">
        <v>3</v>
      </c>
      <c r="AE158">
        <v>5</v>
      </c>
      <c r="AF158">
        <v>3</v>
      </c>
      <c r="AG158">
        <v>1</v>
      </c>
      <c r="AH158">
        <v>2</v>
      </c>
      <c r="AI158">
        <f t="shared" si="14"/>
        <v>0</v>
      </c>
      <c r="AJ158" t="str">
        <f t="shared" si="15"/>
        <v>4-5 yrs</v>
      </c>
      <c r="AK158" t="str">
        <f t="shared" si="16"/>
        <v>Recent</v>
      </c>
      <c r="AL158">
        <f t="shared" si="17"/>
        <v>0</v>
      </c>
      <c r="AM158" t="str">
        <f t="shared" si="18"/>
        <v>Minimal Risk</v>
      </c>
      <c r="AN158" s="6">
        <f t="shared" si="19"/>
        <v>0.55836045836722403</v>
      </c>
      <c r="AO158" s="7">
        <f t="shared" si="20"/>
        <v>917400</v>
      </c>
    </row>
    <row r="159" spans="1:41" x14ac:dyDescent="0.3">
      <c r="A159" t="s">
        <v>230</v>
      </c>
      <c r="B159">
        <v>26</v>
      </c>
      <c r="C159" t="s">
        <v>196</v>
      </c>
      <c r="D159" t="s">
        <v>55</v>
      </c>
      <c r="E159" t="s">
        <v>48</v>
      </c>
      <c r="F159">
        <v>482</v>
      </c>
      <c r="G159" t="s">
        <v>49</v>
      </c>
      <c r="H159">
        <v>1</v>
      </c>
      <c r="I159">
        <v>2</v>
      </c>
      <c r="J159" t="s">
        <v>50</v>
      </c>
      <c r="K159">
        <v>1893</v>
      </c>
      <c r="L159">
        <v>2</v>
      </c>
      <c r="M159" t="s">
        <v>59</v>
      </c>
      <c r="N159">
        <v>2</v>
      </c>
      <c r="O159">
        <v>1</v>
      </c>
      <c r="P159" t="s">
        <v>67</v>
      </c>
      <c r="Q159">
        <v>3</v>
      </c>
      <c r="R159" t="s">
        <v>113</v>
      </c>
      <c r="S159">
        <v>94426</v>
      </c>
      <c r="T159" t="s">
        <v>70</v>
      </c>
      <c r="U159">
        <v>590.16</v>
      </c>
      <c r="V159">
        <v>1</v>
      </c>
      <c r="W159" t="s">
        <v>47</v>
      </c>
      <c r="X159">
        <v>13</v>
      </c>
      <c r="Y159">
        <v>3</v>
      </c>
      <c r="Z159">
        <v>3</v>
      </c>
      <c r="AA159">
        <v>1</v>
      </c>
      <c r="AB159">
        <v>1</v>
      </c>
      <c r="AC159">
        <v>3</v>
      </c>
      <c r="AD159">
        <v>2</v>
      </c>
      <c r="AE159">
        <v>1</v>
      </c>
      <c r="AF159">
        <v>0</v>
      </c>
      <c r="AG159">
        <v>1</v>
      </c>
      <c r="AH159">
        <v>0</v>
      </c>
      <c r="AI159">
        <f t="shared" si="14"/>
        <v>0</v>
      </c>
      <c r="AJ159" t="str">
        <f t="shared" si="15"/>
        <v>0-1 yr</v>
      </c>
      <c r="AK159" t="str">
        <f t="shared" si="16"/>
        <v>Recent</v>
      </c>
      <c r="AL159">
        <f t="shared" si="17"/>
        <v>2</v>
      </c>
      <c r="AM159" t="str">
        <f t="shared" si="18"/>
        <v>Medium Risk</v>
      </c>
      <c r="AN159" s="6">
        <f t="shared" si="19"/>
        <v>0.89359094607484013</v>
      </c>
      <c r="AO159" s="7">
        <f t="shared" si="20"/>
        <v>1133112</v>
      </c>
    </row>
    <row r="160" spans="1:41" x14ac:dyDescent="0.3">
      <c r="A160" t="s">
        <v>231</v>
      </c>
      <c r="B160">
        <v>26</v>
      </c>
      <c r="C160" t="s">
        <v>196</v>
      </c>
      <c r="D160" t="s">
        <v>55</v>
      </c>
      <c r="E160" t="s">
        <v>62</v>
      </c>
      <c r="F160">
        <v>1096</v>
      </c>
      <c r="G160" t="s">
        <v>49</v>
      </c>
      <c r="H160">
        <v>6</v>
      </c>
      <c r="I160">
        <v>3</v>
      </c>
      <c r="J160" t="s">
        <v>82</v>
      </c>
      <c r="K160">
        <v>1918</v>
      </c>
      <c r="L160">
        <v>3</v>
      </c>
      <c r="M160" t="s">
        <v>51</v>
      </c>
      <c r="N160">
        <v>4</v>
      </c>
      <c r="O160">
        <v>1</v>
      </c>
      <c r="P160" t="s">
        <v>52</v>
      </c>
      <c r="Q160">
        <v>4</v>
      </c>
      <c r="R160" t="s">
        <v>113</v>
      </c>
      <c r="S160">
        <v>23299</v>
      </c>
      <c r="T160" t="s">
        <v>54</v>
      </c>
      <c r="U160">
        <v>145.62</v>
      </c>
      <c r="V160">
        <v>0</v>
      </c>
      <c r="W160" t="s">
        <v>55</v>
      </c>
      <c r="X160">
        <v>18</v>
      </c>
      <c r="Y160">
        <v>3</v>
      </c>
      <c r="Z160">
        <v>1</v>
      </c>
      <c r="AA160">
        <v>1</v>
      </c>
      <c r="AB160">
        <v>8</v>
      </c>
      <c r="AC160">
        <v>3</v>
      </c>
      <c r="AD160">
        <v>3</v>
      </c>
      <c r="AE160">
        <v>7</v>
      </c>
      <c r="AF160">
        <v>7</v>
      </c>
      <c r="AG160">
        <v>7</v>
      </c>
      <c r="AH160">
        <v>7</v>
      </c>
      <c r="AI160">
        <f t="shared" si="14"/>
        <v>0</v>
      </c>
      <c r="AJ160" t="str">
        <f t="shared" si="15"/>
        <v>6-10 yrs</v>
      </c>
      <c r="AK160" t="str">
        <f t="shared" si="16"/>
        <v>Overdue</v>
      </c>
      <c r="AL160">
        <f t="shared" si="17"/>
        <v>1</v>
      </c>
      <c r="AM160" t="str">
        <f t="shared" si="18"/>
        <v>Low Risk</v>
      </c>
      <c r="AN160" s="6">
        <f t="shared" si="19"/>
        <v>-0.54952184050998698</v>
      </c>
      <c r="AO160" s="7">
        <f t="shared" si="20"/>
        <v>279588</v>
      </c>
    </row>
    <row r="161" spans="1:41" x14ac:dyDescent="0.3">
      <c r="A161" t="s">
        <v>232</v>
      </c>
      <c r="B161">
        <v>26</v>
      </c>
      <c r="C161" t="s">
        <v>196</v>
      </c>
      <c r="D161" t="s">
        <v>55</v>
      </c>
      <c r="E161" t="s">
        <v>48</v>
      </c>
      <c r="F161">
        <v>157</v>
      </c>
      <c r="G161" t="s">
        <v>49</v>
      </c>
      <c r="H161">
        <v>1</v>
      </c>
      <c r="I161">
        <v>3</v>
      </c>
      <c r="J161" t="s">
        <v>58</v>
      </c>
      <c r="K161">
        <v>1952</v>
      </c>
      <c r="L161">
        <v>3</v>
      </c>
      <c r="M161" t="s">
        <v>51</v>
      </c>
      <c r="N161">
        <v>3</v>
      </c>
      <c r="O161">
        <v>1</v>
      </c>
      <c r="P161" t="s">
        <v>52</v>
      </c>
      <c r="Q161">
        <v>1</v>
      </c>
      <c r="R161" t="s">
        <v>53</v>
      </c>
      <c r="S161">
        <v>44585</v>
      </c>
      <c r="T161" t="s">
        <v>72</v>
      </c>
      <c r="U161">
        <v>278.66000000000003</v>
      </c>
      <c r="V161">
        <v>0</v>
      </c>
      <c r="W161" t="s">
        <v>55</v>
      </c>
      <c r="X161">
        <v>13</v>
      </c>
      <c r="Y161">
        <v>3</v>
      </c>
      <c r="Z161">
        <v>4</v>
      </c>
      <c r="AA161">
        <v>0</v>
      </c>
      <c r="AB161">
        <v>8</v>
      </c>
      <c r="AC161">
        <v>6</v>
      </c>
      <c r="AD161">
        <v>2</v>
      </c>
      <c r="AE161">
        <v>7</v>
      </c>
      <c r="AF161">
        <v>7</v>
      </c>
      <c r="AG161">
        <v>7</v>
      </c>
      <c r="AH161">
        <v>6</v>
      </c>
      <c r="AI161">
        <f t="shared" si="14"/>
        <v>0</v>
      </c>
      <c r="AJ161" t="str">
        <f t="shared" si="15"/>
        <v>6-10 yrs</v>
      </c>
      <c r="AK161" t="str">
        <f t="shared" si="16"/>
        <v>Overdue</v>
      </c>
      <c r="AL161">
        <f t="shared" si="17"/>
        <v>3</v>
      </c>
      <c r="AM161" t="str">
        <f t="shared" si="18"/>
        <v>High Risk</v>
      </c>
      <c r="AN161" s="6">
        <f t="shared" si="19"/>
        <v>-0.13796434435545607</v>
      </c>
      <c r="AO161" s="7">
        <f t="shared" si="20"/>
        <v>535020</v>
      </c>
    </row>
    <row r="162" spans="1:41" x14ac:dyDescent="0.3">
      <c r="A162" t="s">
        <v>233</v>
      </c>
      <c r="B162">
        <v>26</v>
      </c>
      <c r="C162" t="s">
        <v>196</v>
      </c>
      <c r="D162" t="s">
        <v>55</v>
      </c>
      <c r="E162" t="s">
        <v>48</v>
      </c>
      <c r="F162">
        <v>1167</v>
      </c>
      <c r="G162" t="s">
        <v>57</v>
      </c>
      <c r="H162">
        <v>5</v>
      </c>
      <c r="I162">
        <v>3</v>
      </c>
      <c r="J162" t="s">
        <v>82</v>
      </c>
      <c r="K162">
        <v>2060</v>
      </c>
      <c r="L162">
        <v>4</v>
      </c>
      <c r="M162" t="s">
        <v>59</v>
      </c>
      <c r="N162">
        <v>2</v>
      </c>
      <c r="O162">
        <v>1</v>
      </c>
      <c r="P162" t="s">
        <v>60</v>
      </c>
      <c r="Q162">
        <v>3</v>
      </c>
      <c r="R162" t="s">
        <v>53</v>
      </c>
      <c r="S162">
        <v>65044</v>
      </c>
      <c r="T162" t="s">
        <v>64</v>
      </c>
      <c r="U162">
        <v>406.52</v>
      </c>
      <c r="V162">
        <v>0</v>
      </c>
      <c r="W162" t="s">
        <v>55</v>
      </c>
      <c r="X162">
        <v>18</v>
      </c>
      <c r="Y162">
        <v>3</v>
      </c>
      <c r="Z162">
        <v>4</v>
      </c>
      <c r="AA162">
        <v>0</v>
      </c>
      <c r="AB162">
        <v>5</v>
      </c>
      <c r="AC162">
        <v>2</v>
      </c>
      <c r="AD162">
        <v>3</v>
      </c>
      <c r="AE162">
        <v>4</v>
      </c>
      <c r="AF162">
        <v>2</v>
      </c>
      <c r="AG162">
        <v>0</v>
      </c>
      <c r="AH162">
        <v>0</v>
      </c>
      <c r="AI162">
        <f t="shared" si="14"/>
        <v>0</v>
      </c>
      <c r="AJ162" t="str">
        <f t="shared" si="15"/>
        <v>4-5 yrs</v>
      </c>
      <c r="AK162" t="str">
        <f t="shared" si="16"/>
        <v>Recent</v>
      </c>
      <c r="AL162">
        <f t="shared" si="17"/>
        <v>0</v>
      </c>
      <c r="AM162" t="str">
        <f t="shared" si="18"/>
        <v>Minimal Risk</v>
      </c>
      <c r="AN162" s="6">
        <f t="shared" si="19"/>
        <v>0.31863415302847797</v>
      </c>
      <c r="AO162" s="7">
        <f t="shared" si="20"/>
        <v>780528</v>
      </c>
    </row>
    <row r="163" spans="1:41" x14ac:dyDescent="0.3">
      <c r="A163" t="s">
        <v>233</v>
      </c>
      <c r="B163">
        <v>26</v>
      </c>
      <c r="C163" t="s">
        <v>196</v>
      </c>
      <c r="D163" t="s">
        <v>55</v>
      </c>
      <c r="E163" t="s">
        <v>48</v>
      </c>
      <c r="F163">
        <v>1167</v>
      </c>
      <c r="G163" t="s">
        <v>57</v>
      </c>
      <c r="H163">
        <v>5</v>
      </c>
      <c r="I163">
        <v>3</v>
      </c>
      <c r="J163" t="s">
        <v>82</v>
      </c>
      <c r="K163">
        <v>2060</v>
      </c>
      <c r="L163">
        <v>4</v>
      </c>
      <c r="M163" t="s">
        <v>59</v>
      </c>
      <c r="N163">
        <v>2</v>
      </c>
      <c r="O163">
        <v>1</v>
      </c>
      <c r="P163" t="s">
        <v>60</v>
      </c>
      <c r="Q163">
        <v>3</v>
      </c>
      <c r="R163" t="s">
        <v>53</v>
      </c>
      <c r="S163">
        <v>43557</v>
      </c>
      <c r="T163" t="s">
        <v>72</v>
      </c>
      <c r="U163">
        <v>272.23</v>
      </c>
      <c r="V163">
        <v>0</v>
      </c>
      <c r="W163" t="s">
        <v>55</v>
      </c>
      <c r="X163">
        <v>18</v>
      </c>
      <c r="Y163">
        <v>3</v>
      </c>
      <c r="Z163">
        <v>4</v>
      </c>
      <c r="AA163">
        <v>0</v>
      </c>
      <c r="AB163">
        <v>5</v>
      </c>
      <c r="AC163">
        <v>2</v>
      </c>
      <c r="AD163">
        <v>3</v>
      </c>
      <c r="AE163">
        <v>4</v>
      </c>
      <c r="AF163">
        <v>2</v>
      </c>
      <c r="AG163">
        <v>0</v>
      </c>
      <c r="AH163">
        <v>5</v>
      </c>
      <c r="AI163">
        <f t="shared" si="14"/>
        <v>0</v>
      </c>
      <c r="AJ163" t="str">
        <f t="shared" si="15"/>
        <v>4-5 yrs</v>
      </c>
      <c r="AK163" t="str">
        <f t="shared" si="16"/>
        <v>Recent</v>
      </c>
      <c r="AL163">
        <f t="shared" si="17"/>
        <v>0</v>
      </c>
      <c r="AM163" t="str">
        <f t="shared" si="18"/>
        <v>Minimal Risk</v>
      </c>
      <c r="AN163" s="6">
        <f t="shared" si="19"/>
        <v>-0.11697085352282433</v>
      </c>
      <c r="AO163" s="7">
        <f t="shared" si="20"/>
        <v>522684</v>
      </c>
    </row>
    <row r="164" spans="1:41" x14ac:dyDescent="0.3">
      <c r="A164" t="s">
        <v>234</v>
      </c>
      <c r="B164">
        <v>27</v>
      </c>
      <c r="C164" t="s">
        <v>196</v>
      </c>
      <c r="D164" t="s">
        <v>55</v>
      </c>
      <c r="E164" t="s">
        <v>48</v>
      </c>
      <c r="F164">
        <v>591</v>
      </c>
      <c r="G164" t="s">
        <v>49</v>
      </c>
      <c r="H164">
        <v>2</v>
      </c>
      <c r="I164">
        <v>1</v>
      </c>
      <c r="J164" t="s">
        <v>58</v>
      </c>
      <c r="K164">
        <v>7</v>
      </c>
      <c r="L164">
        <v>1</v>
      </c>
      <c r="M164" t="s">
        <v>51</v>
      </c>
      <c r="N164">
        <v>3</v>
      </c>
      <c r="O164">
        <v>1</v>
      </c>
      <c r="P164" t="s">
        <v>52</v>
      </c>
      <c r="Q164">
        <v>2</v>
      </c>
      <c r="R164" t="s">
        <v>113</v>
      </c>
      <c r="S164">
        <v>50080</v>
      </c>
      <c r="T164" t="s">
        <v>64</v>
      </c>
      <c r="U164">
        <v>313</v>
      </c>
      <c r="V164">
        <v>9</v>
      </c>
      <c r="W164" t="s">
        <v>55</v>
      </c>
      <c r="X164">
        <v>12</v>
      </c>
      <c r="Y164">
        <v>3</v>
      </c>
      <c r="Z164">
        <v>4</v>
      </c>
      <c r="AA164">
        <v>1</v>
      </c>
      <c r="AB164">
        <v>6</v>
      </c>
      <c r="AC164">
        <v>3</v>
      </c>
      <c r="AD164">
        <v>3</v>
      </c>
      <c r="AE164">
        <v>2</v>
      </c>
      <c r="AF164">
        <v>2</v>
      </c>
      <c r="AG164">
        <v>2</v>
      </c>
      <c r="AH164">
        <v>2</v>
      </c>
      <c r="AI164">
        <f t="shared" si="14"/>
        <v>0</v>
      </c>
      <c r="AJ164" t="str">
        <f t="shared" si="15"/>
        <v>2-3 yrs</v>
      </c>
      <c r="AK164" t="str">
        <f t="shared" si="16"/>
        <v>Recent</v>
      </c>
      <c r="AL164">
        <f t="shared" si="17"/>
        <v>1</v>
      </c>
      <c r="AM164" t="str">
        <f t="shared" si="18"/>
        <v>Low Risk</v>
      </c>
      <c r="AN164" s="6">
        <f t="shared" si="19"/>
        <v>-3.1720407431226637E-2</v>
      </c>
      <c r="AO164" s="7">
        <f t="shared" si="20"/>
        <v>600960</v>
      </c>
    </row>
    <row r="165" spans="1:41" x14ac:dyDescent="0.3">
      <c r="A165" t="s">
        <v>235</v>
      </c>
      <c r="B165">
        <v>27</v>
      </c>
      <c r="C165" t="s">
        <v>196</v>
      </c>
      <c r="D165" t="s">
        <v>55</v>
      </c>
      <c r="E165" t="s">
        <v>48</v>
      </c>
      <c r="F165">
        <v>1240</v>
      </c>
      <c r="G165" t="s">
        <v>49</v>
      </c>
      <c r="H165">
        <v>2</v>
      </c>
      <c r="I165">
        <v>4</v>
      </c>
      <c r="J165" t="s">
        <v>50</v>
      </c>
      <c r="K165">
        <v>54</v>
      </c>
      <c r="L165">
        <v>4</v>
      </c>
      <c r="M165" t="s">
        <v>59</v>
      </c>
      <c r="N165">
        <v>3</v>
      </c>
      <c r="O165">
        <v>1</v>
      </c>
      <c r="P165" t="s">
        <v>52</v>
      </c>
      <c r="Q165">
        <v>1</v>
      </c>
      <c r="R165" t="s">
        <v>53</v>
      </c>
      <c r="S165">
        <v>3693</v>
      </c>
      <c r="T165" t="s">
        <v>54</v>
      </c>
      <c r="U165">
        <v>23.08</v>
      </c>
      <c r="V165">
        <v>1</v>
      </c>
      <c r="W165" t="s">
        <v>55</v>
      </c>
      <c r="X165">
        <v>13</v>
      </c>
      <c r="Y165">
        <v>3</v>
      </c>
      <c r="Z165">
        <v>4</v>
      </c>
      <c r="AA165">
        <v>1</v>
      </c>
      <c r="AB165">
        <v>1</v>
      </c>
      <c r="AC165">
        <v>6</v>
      </c>
      <c r="AD165">
        <v>3</v>
      </c>
      <c r="AE165">
        <v>1</v>
      </c>
      <c r="AF165">
        <v>0</v>
      </c>
      <c r="AG165">
        <v>0</v>
      </c>
      <c r="AH165">
        <v>0</v>
      </c>
      <c r="AI165">
        <f t="shared" si="14"/>
        <v>0</v>
      </c>
      <c r="AJ165" t="str">
        <f t="shared" si="15"/>
        <v>0-1 yr</v>
      </c>
      <c r="AK165" t="str">
        <f t="shared" si="16"/>
        <v>Recent</v>
      </c>
      <c r="AL165">
        <f t="shared" si="17"/>
        <v>1</v>
      </c>
      <c r="AM165" t="str">
        <f t="shared" si="18"/>
        <v>Low Risk</v>
      </c>
      <c r="AN165" s="6">
        <f t="shared" si="19"/>
        <v>-0.92859711391061339</v>
      </c>
      <c r="AO165" s="7">
        <f t="shared" si="20"/>
        <v>44316</v>
      </c>
    </row>
    <row r="166" spans="1:41" x14ac:dyDescent="0.3">
      <c r="A166" t="s">
        <v>236</v>
      </c>
      <c r="B166">
        <v>27</v>
      </c>
      <c r="C166" t="s">
        <v>196</v>
      </c>
      <c r="D166" t="s">
        <v>55</v>
      </c>
      <c r="E166" t="s">
        <v>62</v>
      </c>
      <c r="F166">
        <v>994</v>
      </c>
      <c r="G166" t="s">
        <v>57</v>
      </c>
      <c r="H166">
        <v>8</v>
      </c>
      <c r="I166">
        <v>3</v>
      </c>
      <c r="J166" t="s">
        <v>50</v>
      </c>
      <c r="K166">
        <v>56</v>
      </c>
      <c r="L166">
        <v>4</v>
      </c>
      <c r="M166" t="s">
        <v>51</v>
      </c>
      <c r="N166">
        <v>3</v>
      </c>
      <c r="O166">
        <v>3</v>
      </c>
      <c r="P166" t="s">
        <v>145</v>
      </c>
      <c r="Q166">
        <v>3</v>
      </c>
      <c r="R166" t="s">
        <v>53</v>
      </c>
      <c r="S166">
        <v>96003</v>
      </c>
      <c r="T166" t="s">
        <v>70</v>
      </c>
      <c r="U166">
        <v>600.02</v>
      </c>
      <c r="V166">
        <v>1</v>
      </c>
      <c r="W166" t="s">
        <v>55</v>
      </c>
      <c r="X166">
        <v>15</v>
      </c>
      <c r="Y166">
        <v>3</v>
      </c>
      <c r="Z166">
        <v>4</v>
      </c>
      <c r="AA166">
        <v>0</v>
      </c>
      <c r="AB166">
        <v>9</v>
      </c>
      <c r="AC166">
        <v>0</v>
      </c>
      <c r="AD166">
        <v>3</v>
      </c>
      <c r="AE166">
        <v>9</v>
      </c>
      <c r="AF166">
        <v>8</v>
      </c>
      <c r="AG166">
        <v>1</v>
      </c>
      <c r="AH166">
        <v>7</v>
      </c>
      <c r="AI166">
        <f t="shared" si="14"/>
        <v>0</v>
      </c>
      <c r="AJ166" t="str">
        <f t="shared" si="15"/>
        <v>6-10 yrs</v>
      </c>
      <c r="AK166" t="str">
        <f t="shared" si="16"/>
        <v>Recent</v>
      </c>
      <c r="AL166">
        <f t="shared" si="17"/>
        <v>0</v>
      </c>
      <c r="AM166" t="str">
        <f t="shared" si="18"/>
        <v>Minimal Risk</v>
      </c>
      <c r="AN166" s="6">
        <f t="shared" si="19"/>
        <v>0.95692974603830749</v>
      </c>
      <c r="AO166" s="7">
        <f t="shared" si="20"/>
        <v>1152036</v>
      </c>
    </row>
    <row r="167" spans="1:41" x14ac:dyDescent="0.3">
      <c r="A167" t="s">
        <v>237</v>
      </c>
      <c r="B167">
        <v>27</v>
      </c>
      <c r="C167" t="s">
        <v>196</v>
      </c>
      <c r="D167" t="s">
        <v>55</v>
      </c>
      <c r="E167" t="s">
        <v>66</v>
      </c>
      <c r="F167">
        <v>691</v>
      </c>
      <c r="G167" t="s">
        <v>49</v>
      </c>
      <c r="H167">
        <v>9</v>
      </c>
      <c r="I167">
        <v>3</v>
      </c>
      <c r="J167" t="s">
        <v>58</v>
      </c>
      <c r="K167">
        <v>218</v>
      </c>
      <c r="L167">
        <v>4</v>
      </c>
      <c r="M167" t="s">
        <v>51</v>
      </c>
      <c r="N167">
        <v>3</v>
      </c>
      <c r="O167">
        <v>1</v>
      </c>
      <c r="P167" t="s">
        <v>67</v>
      </c>
      <c r="Q167">
        <v>2</v>
      </c>
      <c r="R167" t="s">
        <v>53</v>
      </c>
      <c r="S167">
        <v>96259</v>
      </c>
      <c r="T167" t="s">
        <v>70</v>
      </c>
      <c r="U167">
        <v>601.62</v>
      </c>
      <c r="V167">
        <v>6</v>
      </c>
      <c r="W167" t="s">
        <v>55</v>
      </c>
      <c r="X167">
        <v>18</v>
      </c>
      <c r="Y167">
        <v>3</v>
      </c>
      <c r="Z167">
        <v>4</v>
      </c>
      <c r="AA167">
        <v>1</v>
      </c>
      <c r="AB167">
        <v>6</v>
      </c>
      <c r="AC167">
        <v>1</v>
      </c>
      <c r="AD167">
        <v>1</v>
      </c>
      <c r="AE167">
        <v>2</v>
      </c>
      <c r="AF167">
        <v>2</v>
      </c>
      <c r="AG167">
        <v>2</v>
      </c>
      <c r="AH167">
        <v>2</v>
      </c>
      <c r="AI167">
        <f t="shared" si="14"/>
        <v>0</v>
      </c>
      <c r="AJ167" t="str">
        <f t="shared" si="15"/>
        <v>2-3 yrs</v>
      </c>
      <c r="AK167" t="str">
        <f t="shared" si="16"/>
        <v>Recent</v>
      </c>
      <c r="AL167">
        <f t="shared" si="17"/>
        <v>2</v>
      </c>
      <c r="AM167" t="str">
        <f t="shared" si="18"/>
        <v>Medium Risk</v>
      </c>
      <c r="AN167" s="6">
        <f t="shared" si="19"/>
        <v>0.93034938341365758</v>
      </c>
      <c r="AO167" s="7">
        <f t="shared" si="20"/>
        <v>1155108</v>
      </c>
    </row>
    <row r="168" spans="1:41" x14ac:dyDescent="0.3">
      <c r="A168" t="s">
        <v>238</v>
      </c>
      <c r="B168">
        <v>27</v>
      </c>
      <c r="C168" t="s">
        <v>196</v>
      </c>
      <c r="D168" t="s">
        <v>55</v>
      </c>
      <c r="E168" t="s">
        <v>66</v>
      </c>
      <c r="F168">
        <v>1450</v>
      </c>
      <c r="G168" t="s">
        <v>49</v>
      </c>
      <c r="H168">
        <v>3</v>
      </c>
      <c r="I168">
        <v>3</v>
      </c>
      <c r="J168" t="s">
        <v>58</v>
      </c>
      <c r="K168">
        <v>224</v>
      </c>
      <c r="L168">
        <v>3</v>
      </c>
      <c r="M168" t="s">
        <v>51</v>
      </c>
      <c r="N168">
        <v>2</v>
      </c>
      <c r="O168">
        <v>1</v>
      </c>
      <c r="P168" t="s">
        <v>67</v>
      </c>
      <c r="Q168">
        <v>3</v>
      </c>
      <c r="R168" t="s">
        <v>53</v>
      </c>
      <c r="S168">
        <v>70163</v>
      </c>
      <c r="T168" t="s">
        <v>64</v>
      </c>
      <c r="U168">
        <v>438.52</v>
      </c>
      <c r="V168">
        <v>1</v>
      </c>
      <c r="W168" t="s">
        <v>47</v>
      </c>
      <c r="X168">
        <v>15</v>
      </c>
      <c r="Y168">
        <v>3</v>
      </c>
      <c r="Z168">
        <v>4</v>
      </c>
      <c r="AA168">
        <v>1</v>
      </c>
      <c r="AB168">
        <v>1</v>
      </c>
      <c r="AC168">
        <v>2</v>
      </c>
      <c r="AD168">
        <v>2</v>
      </c>
      <c r="AE168">
        <v>1</v>
      </c>
      <c r="AF168">
        <v>1</v>
      </c>
      <c r="AG168">
        <v>0</v>
      </c>
      <c r="AH168">
        <v>1</v>
      </c>
      <c r="AI168">
        <f t="shared" si="14"/>
        <v>0</v>
      </c>
      <c r="AJ168" t="str">
        <f t="shared" si="15"/>
        <v>0-1 yr</v>
      </c>
      <c r="AK168" t="str">
        <f t="shared" si="16"/>
        <v>Recent</v>
      </c>
      <c r="AL168">
        <f t="shared" si="17"/>
        <v>2</v>
      </c>
      <c r="AM168" t="str">
        <f t="shared" si="18"/>
        <v>Medium Risk</v>
      </c>
      <c r="AN168" s="6">
        <f t="shared" si="19"/>
        <v>0.40702795362981598</v>
      </c>
      <c r="AO168" s="7">
        <f t="shared" si="20"/>
        <v>841956</v>
      </c>
    </row>
    <row r="169" spans="1:41" x14ac:dyDescent="0.3">
      <c r="A169" t="s">
        <v>239</v>
      </c>
      <c r="B169">
        <v>27</v>
      </c>
      <c r="C169" t="s">
        <v>196</v>
      </c>
      <c r="D169" t="s">
        <v>55</v>
      </c>
      <c r="E169" t="s">
        <v>48</v>
      </c>
      <c r="F169">
        <v>1157</v>
      </c>
      <c r="G169" t="s">
        <v>49</v>
      </c>
      <c r="H169">
        <v>17</v>
      </c>
      <c r="I169">
        <v>3</v>
      </c>
      <c r="J169" t="s">
        <v>77</v>
      </c>
      <c r="K169">
        <v>233</v>
      </c>
      <c r="L169">
        <v>3</v>
      </c>
      <c r="M169" t="s">
        <v>51</v>
      </c>
      <c r="N169">
        <v>3</v>
      </c>
      <c r="O169">
        <v>1</v>
      </c>
      <c r="P169" t="s">
        <v>67</v>
      </c>
      <c r="Q169">
        <v>2</v>
      </c>
      <c r="R169" t="s">
        <v>113</v>
      </c>
      <c r="S169">
        <v>26939</v>
      </c>
      <c r="T169" t="s">
        <v>72</v>
      </c>
      <c r="U169">
        <v>168.37</v>
      </c>
      <c r="V169">
        <v>0</v>
      </c>
      <c r="W169" t="s">
        <v>47</v>
      </c>
      <c r="X169">
        <v>16</v>
      </c>
      <c r="Y169">
        <v>3</v>
      </c>
      <c r="Z169">
        <v>4</v>
      </c>
      <c r="AA169">
        <v>1</v>
      </c>
      <c r="AB169">
        <v>6</v>
      </c>
      <c r="AC169">
        <v>3</v>
      </c>
      <c r="AD169">
        <v>2</v>
      </c>
      <c r="AE169">
        <v>5</v>
      </c>
      <c r="AF169">
        <v>2</v>
      </c>
      <c r="AG169">
        <v>1</v>
      </c>
      <c r="AH169">
        <v>1</v>
      </c>
      <c r="AI169">
        <f t="shared" si="14"/>
        <v>0</v>
      </c>
      <c r="AJ169" t="str">
        <f t="shared" si="15"/>
        <v>4-5 yrs</v>
      </c>
      <c r="AK169" t="str">
        <f t="shared" si="16"/>
        <v>Recent</v>
      </c>
      <c r="AL169">
        <f t="shared" si="17"/>
        <v>3</v>
      </c>
      <c r="AM169" t="str">
        <f t="shared" si="18"/>
        <v>High Risk</v>
      </c>
      <c r="AN169" s="6">
        <f t="shared" si="19"/>
        <v>-0.45977329870681682</v>
      </c>
      <c r="AO169" s="7">
        <f t="shared" si="20"/>
        <v>323268</v>
      </c>
    </row>
    <row r="170" spans="1:41" x14ac:dyDescent="0.3">
      <c r="A170" t="s">
        <v>240</v>
      </c>
      <c r="B170">
        <v>27</v>
      </c>
      <c r="C170" t="s">
        <v>196</v>
      </c>
      <c r="D170" t="s">
        <v>55</v>
      </c>
      <c r="E170" t="s">
        <v>48</v>
      </c>
      <c r="F170">
        <v>894</v>
      </c>
      <c r="G170" t="s">
        <v>49</v>
      </c>
      <c r="H170">
        <v>9</v>
      </c>
      <c r="I170">
        <v>3</v>
      </c>
      <c r="J170" t="s">
        <v>58</v>
      </c>
      <c r="K170">
        <v>260</v>
      </c>
      <c r="L170">
        <v>4</v>
      </c>
      <c r="M170" t="s">
        <v>59</v>
      </c>
      <c r="N170">
        <v>3</v>
      </c>
      <c r="O170">
        <v>1</v>
      </c>
      <c r="P170" t="s">
        <v>67</v>
      </c>
      <c r="Q170">
        <v>2</v>
      </c>
      <c r="R170" t="s">
        <v>53</v>
      </c>
      <c r="S170">
        <v>49925</v>
      </c>
      <c r="T170" t="s">
        <v>72</v>
      </c>
      <c r="U170">
        <v>312.02999999999997</v>
      </c>
      <c r="V170">
        <v>1</v>
      </c>
      <c r="W170" t="s">
        <v>55</v>
      </c>
      <c r="X170">
        <v>16</v>
      </c>
      <c r="Y170">
        <v>3</v>
      </c>
      <c r="Z170">
        <v>4</v>
      </c>
      <c r="AA170">
        <v>0</v>
      </c>
      <c r="AB170">
        <v>7</v>
      </c>
      <c r="AC170">
        <v>2</v>
      </c>
      <c r="AD170">
        <v>2</v>
      </c>
      <c r="AE170">
        <v>7</v>
      </c>
      <c r="AF170">
        <v>7</v>
      </c>
      <c r="AG170">
        <v>0</v>
      </c>
      <c r="AH170">
        <v>3</v>
      </c>
      <c r="AI170">
        <f t="shared" si="14"/>
        <v>0</v>
      </c>
      <c r="AJ170" t="str">
        <f t="shared" si="15"/>
        <v>6-10 yrs</v>
      </c>
      <c r="AK170" t="str">
        <f t="shared" si="16"/>
        <v>Recent</v>
      </c>
      <c r="AL170">
        <f t="shared" si="17"/>
        <v>2</v>
      </c>
      <c r="AM170" t="str">
        <f t="shared" si="18"/>
        <v>Medium Risk</v>
      </c>
      <c r="AN170" s="6">
        <f t="shared" si="19"/>
        <v>1.1811151884691827E-3</v>
      </c>
      <c r="AO170" s="7">
        <f t="shared" si="20"/>
        <v>599100</v>
      </c>
    </row>
    <row r="171" spans="1:41" x14ac:dyDescent="0.3">
      <c r="A171" t="s">
        <v>241</v>
      </c>
      <c r="B171">
        <v>27</v>
      </c>
      <c r="C171" t="s">
        <v>196</v>
      </c>
      <c r="D171" t="s">
        <v>55</v>
      </c>
      <c r="E171" t="s">
        <v>62</v>
      </c>
      <c r="F171">
        <v>472</v>
      </c>
      <c r="G171" t="s">
        <v>49</v>
      </c>
      <c r="H171">
        <v>1</v>
      </c>
      <c r="I171">
        <v>1</v>
      </c>
      <c r="J171" t="s">
        <v>77</v>
      </c>
      <c r="K171">
        <v>274</v>
      </c>
      <c r="L171">
        <v>3</v>
      </c>
      <c r="M171" t="s">
        <v>51</v>
      </c>
      <c r="N171">
        <v>2</v>
      </c>
      <c r="O171">
        <v>2</v>
      </c>
      <c r="P171" t="s">
        <v>120</v>
      </c>
      <c r="Q171">
        <v>1</v>
      </c>
      <c r="R171" t="s">
        <v>113</v>
      </c>
      <c r="S171">
        <v>43941</v>
      </c>
      <c r="T171" t="s">
        <v>72</v>
      </c>
      <c r="U171">
        <v>274.63</v>
      </c>
      <c r="V171">
        <v>5</v>
      </c>
      <c r="W171" t="s">
        <v>55</v>
      </c>
      <c r="X171">
        <v>19</v>
      </c>
      <c r="Y171">
        <v>3</v>
      </c>
      <c r="Z171">
        <v>3</v>
      </c>
      <c r="AA171">
        <v>1</v>
      </c>
      <c r="AB171">
        <v>6</v>
      </c>
      <c r="AC171">
        <v>1</v>
      </c>
      <c r="AD171">
        <v>3</v>
      </c>
      <c r="AE171">
        <v>2</v>
      </c>
      <c r="AF171">
        <v>2</v>
      </c>
      <c r="AG171">
        <v>2</v>
      </c>
      <c r="AH171">
        <v>0</v>
      </c>
      <c r="AI171">
        <f t="shared" si="14"/>
        <v>0</v>
      </c>
      <c r="AJ171" t="str">
        <f t="shared" si="15"/>
        <v>2-3 yrs</v>
      </c>
      <c r="AK171" t="str">
        <f t="shared" si="16"/>
        <v>Recent</v>
      </c>
      <c r="AL171">
        <f t="shared" si="17"/>
        <v>1</v>
      </c>
      <c r="AM171" t="str">
        <f t="shared" si="18"/>
        <v>Low Risk</v>
      </c>
      <c r="AN171" s="6">
        <f t="shared" si="19"/>
        <v>-7.9993889087243246E-3</v>
      </c>
      <c r="AO171" s="7">
        <f t="shared" si="20"/>
        <v>527292</v>
      </c>
    </row>
    <row r="172" spans="1:41" x14ac:dyDescent="0.3">
      <c r="A172" t="s">
        <v>242</v>
      </c>
      <c r="B172">
        <v>27</v>
      </c>
      <c r="C172" t="s">
        <v>196</v>
      </c>
      <c r="D172" t="s">
        <v>55</v>
      </c>
      <c r="E172" t="s">
        <v>62</v>
      </c>
      <c r="F172">
        <v>1242</v>
      </c>
      <c r="G172" t="s">
        <v>57</v>
      </c>
      <c r="H172">
        <v>20</v>
      </c>
      <c r="I172">
        <v>3</v>
      </c>
      <c r="J172" t="s">
        <v>50</v>
      </c>
      <c r="K172">
        <v>293</v>
      </c>
      <c r="L172">
        <v>4</v>
      </c>
      <c r="M172" t="s">
        <v>59</v>
      </c>
      <c r="N172">
        <v>3</v>
      </c>
      <c r="O172">
        <v>2</v>
      </c>
      <c r="P172" t="s">
        <v>145</v>
      </c>
      <c r="Q172">
        <v>3</v>
      </c>
      <c r="R172" t="s">
        <v>53</v>
      </c>
      <c r="S172">
        <v>22834</v>
      </c>
      <c r="T172" t="s">
        <v>54</v>
      </c>
      <c r="U172">
        <v>142.71</v>
      </c>
      <c r="V172">
        <v>1</v>
      </c>
      <c r="W172" t="s">
        <v>55</v>
      </c>
      <c r="X172">
        <v>14</v>
      </c>
      <c r="Y172">
        <v>3</v>
      </c>
      <c r="Z172">
        <v>4</v>
      </c>
      <c r="AA172">
        <v>0</v>
      </c>
      <c r="AB172">
        <v>7</v>
      </c>
      <c r="AC172">
        <v>2</v>
      </c>
      <c r="AD172">
        <v>3</v>
      </c>
      <c r="AE172">
        <v>7</v>
      </c>
      <c r="AF172">
        <v>7</v>
      </c>
      <c r="AG172">
        <v>0</v>
      </c>
      <c r="AH172">
        <v>7</v>
      </c>
      <c r="AI172">
        <f t="shared" si="14"/>
        <v>0</v>
      </c>
      <c r="AJ172" t="str">
        <f t="shared" si="15"/>
        <v>6-10 yrs</v>
      </c>
      <c r="AK172" t="str">
        <f t="shared" si="16"/>
        <v>Recent</v>
      </c>
      <c r="AL172">
        <f t="shared" si="17"/>
        <v>0</v>
      </c>
      <c r="AM172" t="str">
        <f t="shared" si="18"/>
        <v>Minimal Risk</v>
      </c>
      <c r="AN172" s="6">
        <f t="shared" si="19"/>
        <v>-0.53455065132299284</v>
      </c>
      <c r="AO172" s="7">
        <f t="shared" si="20"/>
        <v>274008</v>
      </c>
    </row>
    <row r="173" spans="1:41" x14ac:dyDescent="0.3">
      <c r="A173" t="s">
        <v>243</v>
      </c>
      <c r="B173">
        <v>27</v>
      </c>
      <c r="C173" t="s">
        <v>196</v>
      </c>
      <c r="D173" t="s">
        <v>55</v>
      </c>
      <c r="E173" t="s">
        <v>48</v>
      </c>
      <c r="F173">
        <v>1220</v>
      </c>
      <c r="G173" t="s">
        <v>49</v>
      </c>
      <c r="H173">
        <v>5</v>
      </c>
      <c r="I173">
        <v>3</v>
      </c>
      <c r="J173" t="s">
        <v>50</v>
      </c>
      <c r="K173">
        <v>434</v>
      </c>
      <c r="L173">
        <v>3</v>
      </c>
      <c r="M173" t="s">
        <v>59</v>
      </c>
      <c r="N173">
        <v>3</v>
      </c>
      <c r="O173">
        <v>1</v>
      </c>
      <c r="P173" t="s">
        <v>67</v>
      </c>
      <c r="Q173">
        <v>2</v>
      </c>
      <c r="R173" t="s">
        <v>53</v>
      </c>
      <c r="S173">
        <v>19047</v>
      </c>
      <c r="T173" t="s">
        <v>54</v>
      </c>
      <c r="U173">
        <v>119.04</v>
      </c>
      <c r="V173">
        <v>1</v>
      </c>
      <c r="W173" t="s">
        <v>47</v>
      </c>
      <c r="X173">
        <v>12</v>
      </c>
      <c r="Y173">
        <v>3</v>
      </c>
      <c r="Z173">
        <v>2</v>
      </c>
      <c r="AA173">
        <v>0</v>
      </c>
      <c r="AB173">
        <v>4</v>
      </c>
      <c r="AC173">
        <v>2</v>
      </c>
      <c r="AD173">
        <v>2</v>
      </c>
      <c r="AE173">
        <v>4</v>
      </c>
      <c r="AF173">
        <v>3</v>
      </c>
      <c r="AG173">
        <v>1</v>
      </c>
      <c r="AH173">
        <v>2</v>
      </c>
      <c r="AI173">
        <f t="shared" si="14"/>
        <v>0</v>
      </c>
      <c r="AJ173" t="str">
        <f t="shared" si="15"/>
        <v>4-5 yrs</v>
      </c>
      <c r="AK173" t="str">
        <f t="shared" si="16"/>
        <v>Recent</v>
      </c>
      <c r="AL173">
        <f t="shared" si="17"/>
        <v>3</v>
      </c>
      <c r="AM173" t="str">
        <f t="shared" si="18"/>
        <v>High Risk</v>
      </c>
      <c r="AN173" s="6">
        <f t="shared" si="19"/>
        <v>-0.6180371216625985</v>
      </c>
      <c r="AO173" s="7">
        <f t="shared" si="20"/>
        <v>228564</v>
      </c>
    </row>
    <row r="174" spans="1:41" x14ac:dyDescent="0.3">
      <c r="A174" t="s">
        <v>244</v>
      </c>
      <c r="B174">
        <v>27</v>
      </c>
      <c r="C174" t="s">
        <v>196</v>
      </c>
      <c r="D174" t="s">
        <v>55</v>
      </c>
      <c r="E174" t="s">
        <v>48</v>
      </c>
      <c r="F174">
        <v>1377</v>
      </c>
      <c r="G174" t="s">
        <v>57</v>
      </c>
      <c r="H174">
        <v>2</v>
      </c>
      <c r="I174">
        <v>3</v>
      </c>
      <c r="J174" t="s">
        <v>50</v>
      </c>
      <c r="K174">
        <v>437</v>
      </c>
      <c r="L174">
        <v>4</v>
      </c>
      <c r="M174" t="s">
        <v>51</v>
      </c>
      <c r="N174">
        <v>3</v>
      </c>
      <c r="O174">
        <v>2</v>
      </c>
      <c r="P174" t="s">
        <v>145</v>
      </c>
      <c r="Q174">
        <v>3</v>
      </c>
      <c r="R174" t="s">
        <v>53</v>
      </c>
      <c r="S174">
        <v>27105</v>
      </c>
      <c r="T174" t="s">
        <v>72</v>
      </c>
      <c r="U174">
        <v>169.41</v>
      </c>
      <c r="V174">
        <v>1</v>
      </c>
      <c r="W174" t="s">
        <v>47</v>
      </c>
      <c r="X174">
        <v>11</v>
      </c>
      <c r="Y174">
        <v>3</v>
      </c>
      <c r="Z174">
        <v>1</v>
      </c>
      <c r="AA174">
        <v>0</v>
      </c>
      <c r="AB174">
        <v>5</v>
      </c>
      <c r="AC174">
        <v>3</v>
      </c>
      <c r="AD174">
        <v>3</v>
      </c>
      <c r="AE174">
        <v>5</v>
      </c>
      <c r="AF174">
        <v>4</v>
      </c>
      <c r="AG174">
        <v>0</v>
      </c>
      <c r="AH174">
        <v>4</v>
      </c>
      <c r="AI174">
        <f t="shared" si="14"/>
        <v>0</v>
      </c>
      <c r="AJ174" t="str">
        <f t="shared" si="15"/>
        <v>4-5 yrs</v>
      </c>
      <c r="AK174" t="str">
        <f t="shared" si="16"/>
        <v>Recent</v>
      </c>
      <c r="AL174">
        <f t="shared" si="17"/>
        <v>1</v>
      </c>
      <c r="AM174" t="str">
        <f t="shared" si="18"/>
        <v>Low Risk</v>
      </c>
      <c r="AN174" s="6">
        <f t="shared" si="19"/>
        <v>-0.44749038294252969</v>
      </c>
      <c r="AO174" s="7">
        <f t="shared" si="20"/>
        <v>325260</v>
      </c>
    </row>
    <row r="175" spans="1:41" x14ac:dyDescent="0.3">
      <c r="A175" t="s">
        <v>245</v>
      </c>
      <c r="B175">
        <v>27</v>
      </c>
      <c r="C175" t="s">
        <v>196</v>
      </c>
      <c r="D175" t="s">
        <v>55</v>
      </c>
      <c r="E175" t="s">
        <v>66</v>
      </c>
      <c r="F175">
        <v>210</v>
      </c>
      <c r="G175" t="s">
        <v>57</v>
      </c>
      <c r="H175">
        <v>1</v>
      </c>
      <c r="I175">
        <v>1</v>
      </c>
      <c r="J175" t="s">
        <v>63</v>
      </c>
      <c r="K175">
        <v>449</v>
      </c>
      <c r="L175">
        <v>3</v>
      </c>
      <c r="M175" t="s">
        <v>51</v>
      </c>
      <c r="N175">
        <v>3</v>
      </c>
      <c r="O175">
        <v>2</v>
      </c>
      <c r="P175" t="s">
        <v>145</v>
      </c>
      <c r="Q175">
        <v>2</v>
      </c>
      <c r="R175" t="s">
        <v>113</v>
      </c>
      <c r="S175">
        <v>76766</v>
      </c>
      <c r="T175" t="s">
        <v>64</v>
      </c>
      <c r="U175">
        <v>479.79</v>
      </c>
      <c r="V175">
        <v>0</v>
      </c>
      <c r="W175" t="s">
        <v>47</v>
      </c>
      <c r="X175">
        <v>13</v>
      </c>
      <c r="Y175">
        <v>3</v>
      </c>
      <c r="Z175">
        <v>4</v>
      </c>
      <c r="AA175">
        <v>1</v>
      </c>
      <c r="AB175">
        <v>6</v>
      </c>
      <c r="AC175">
        <v>0</v>
      </c>
      <c r="AD175">
        <v>3</v>
      </c>
      <c r="AE175">
        <v>5</v>
      </c>
      <c r="AF175">
        <v>4</v>
      </c>
      <c r="AG175">
        <v>1</v>
      </c>
      <c r="AH175">
        <v>4</v>
      </c>
      <c r="AI175">
        <f t="shared" si="14"/>
        <v>0</v>
      </c>
      <c r="AJ175" t="str">
        <f t="shared" si="15"/>
        <v>4-5 yrs</v>
      </c>
      <c r="AK175" t="str">
        <f t="shared" si="16"/>
        <v>Recent</v>
      </c>
      <c r="AL175">
        <f t="shared" si="17"/>
        <v>2</v>
      </c>
      <c r="AM175" t="str">
        <f t="shared" si="18"/>
        <v>Medium Risk</v>
      </c>
      <c r="AN175" s="6">
        <f t="shared" si="19"/>
        <v>0.56480181748879421</v>
      </c>
      <c r="AO175" s="7">
        <f t="shared" si="20"/>
        <v>921192</v>
      </c>
    </row>
    <row r="176" spans="1:41" x14ac:dyDescent="0.3">
      <c r="A176" t="s">
        <v>246</v>
      </c>
      <c r="B176">
        <v>27</v>
      </c>
      <c r="C176" t="s">
        <v>196</v>
      </c>
      <c r="D176" t="s">
        <v>55</v>
      </c>
      <c r="E176" t="s">
        <v>48</v>
      </c>
      <c r="F176">
        <v>1130</v>
      </c>
      <c r="G176" t="s">
        <v>57</v>
      </c>
      <c r="H176">
        <v>8</v>
      </c>
      <c r="I176">
        <v>4</v>
      </c>
      <c r="J176" t="s">
        <v>63</v>
      </c>
      <c r="K176">
        <v>458</v>
      </c>
      <c r="L176">
        <v>2</v>
      </c>
      <c r="M176" t="s">
        <v>59</v>
      </c>
      <c r="N176">
        <v>3</v>
      </c>
      <c r="O176">
        <v>2</v>
      </c>
      <c r="P176" t="s">
        <v>145</v>
      </c>
      <c r="Q176">
        <v>2</v>
      </c>
      <c r="R176" t="s">
        <v>113</v>
      </c>
      <c r="S176">
        <v>16707</v>
      </c>
      <c r="T176" t="s">
        <v>54</v>
      </c>
      <c r="U176">
        <v>104.42</v>
      </c>
      <c r="V176">
        <v>1</v>
      </c>
      <c r="W176" t="s">
        <v>55</v>
      </c>
      <c r="X176">
        <v>18</v>
      </c>
      <c r="Y176">
        <v>3</v>
      </c>
      <c r="Z176">
        <v>1</v>
      </c>
      <c r="AA176">
        <v>1</v>
      </c>
      <c r="AB176">
        <v>8</v>
      </c>
      <c r="AC176">
        <v>3</v>
      </c>
      <c r="AD176">
        <v>3</v>
      </c>
      <c r="AE176">
        <v>8</v>
      </c>
      <c r="AF176">
        <v>7</v>
      </c>
      <c r="AG176">
        <v>0</v>
      </c>
      <c r="AH176">
        <v>7</v>
      </c>
      <c r="AI176">
        <f t="shared" si="14"/>
        <v>0</v>
      </c>
      <c r="AJ176" t="str">
        <f t="shared" si="15"/>
        <v>6-10 yrs</v>
      </c>
      <c r="AK176" t="str">
        <f t="shared" si="16"/>
        <v>Recent</v>
      </c>
      <c r="AL176">
        <f t="shared" si="17"/>
        <v>1</v>
      </c>
      <c r="AM176" t="str">
        <f t="shared" si="18"/>
        <v>Low Risk</v>
      </c>
      <c r="AN176" s="6">
        <f t="shared" si="19"/>
        <v>-0.65944371251875455</v>
      </c>
      <c r="AO176" s="7">
        <f t="shared" si="20"/>
        <v>200484</v>
      </c>
    </row>
    <row r="177" spans="1:41" x14ac:dyDescent="0.3">
      <c r="A177" t="s">
        <v>247</v>
      </c>
      <c r="B177">
        <v>27</v>
      </c>
      <c r="C177" t="s">
        <v>196</v>
      </c>
      <c r="D177" t="s">
        <v>55</v>
      </c>
      <c r="E177" t="s">
        <v>48</v>
      </c>
      <c r="F177">
        <v>1469</v>
      </c>
      <c r="G177" t="s">
        <v>49</v>
      </c>
      <c r="H177">
        <v>1</v>
      </c>
      <c r="I177">
        <v>2</v>
      </c>
      <c r="J177" t="s">
        <v>58</v>
      </c>
      <c r="K177">
        <v>497</v>
      </c>
      <c r="L177">
        <v>4</v>
      </c>
      <c r="M177" t="s">
        <v>51</v>
      </c>
      <c r="N177">
        <v>3</v>
      </c>
      <c r="O177">
        <v>1</v>
      </c>
      <c r="P177" t="s">
        <v>52</v>
      </c>
      <c r="Q177">
        <v>2</v>
      </c>
      <c r="R177" t="s">
        <v>53</v>
      </c>
      <c r="S177">
        <v>22976</v>
      </c>
      <c r="T177" t="s">
        <v>54</v>
      </c>
      <c r="U177">
        <v>143.6</v>
      </c>
      <c r="V177">
        <v>1</v>
      </c>
      <c r="W177" t="s">
        <v>55</v>
      </c>
      <c r="X177">
        <v>11</v>
      </c>
      <c r="Y177">
        <v>3</v>
      </c>
      <c r="Z177">
        <v>2</v>
      </c>
      <c r="AA177">
        <v>1</v>
      </c>
      <c r="AB177">
        <v>5</v>
      </c>
      <c r="AC177">
        <v>2</v>
      </c>
      <c r="AD177">
        <v>3</v>
      </c>
      <c r="AE177">
        <v>5</v>
      </c>
      <c r="AF177">
        <v>2</v>
      </c>
      <c r="AG177">
        <v>0</v>
      </c>
      <c r="AH177">
        <v>4</v>
      </c>
      <c r="AI177">
        <f t="shared" si="14"/>
        <v>0</v>
      </c>
      <c r="AJ177" t="str">
        <f t="shared" si="15"/>
        <v>4-5 yrs</v>
      </c>
      <c r="AK177" t="str">
        <f t="shared" si="16"/>
        <v>Recent</v>
      </c>
      <c r="AL177">
        <f t="shared" si="17"/>
        <v>1</v>
      </c>
      <c r="AM177" t="str">
        <f t="shared" si="18"/>
        <v>Low Risk</v>
      </c>
      <c r="AN177" s="6">
        <f t="shared" si="19"/>
        <v>-0.55576693452755321</v>
      </c>
      <c r="AO177" s="7">
        <f t="shared" si="20"/>
        <v>275712</v>
      </c>
    </row>
    <row r="178" spans="1:41" x14ac:dyDescent="0.3">
      <c r="A178" t="s">
        <v>248</v>
      </c>
      <c r="B178">
        <v>27</v>
      </c>
      <c r="C178" t="s">
        <v>196</v>
      </c>
      <c r="D178" t="s">
        <v>55</v>
      </c>
      <c r="E178" t="s">
        <v>48</v>
      </c>
      <c r="F178">
        <v>798</v>
      </c>
      <c r="G178" t="s">
        <v>49</v>
      </c>
      <c r="H178">
        <v>6</v>
      </c>
      <c r="I178">
        <v>4</v>
      </c>
      <c r="J178" t="s">
        <v>58</v>
      </c>
      <c r="K178">
        <v>655</v>
      </c>
      <c r="L178">
        <v>1</v>
      </c>
      <c r="M178" t="s">
        <v>59</v>
      </c>
      <c r="N178">
        <v>2</v>
      </c>
      <c r="O178">
        <v>1</v>
      </c>
      <c r="P178" t="s">
        <v>67</v>
      </c>
      <c r="Q178">
        <v>3</v>
      </c>
      <c r="R178" t="s">
        <v>53</v>
      </c>
      <c r="S178">
        <v>45262</v>
      </c>
      <c r="T178" t="s">
        <v>72</v>
      </c>
      <c r="U178">
        <v>282.89</v>
      </c>
      <c r="V178">
        <v>0</v>
      </c>
      <c r="W178" t="s">
        <v>55</v>
      </c>
      <c r="X178">
        <v>12</v>
      </c>
      <c r="Y178">
        <v>3</v>
      </c>
      <c r="Z178">
        <v>3</v>
      </c>
      <c r="AA178">
        <v>2</v>
      </c>
      <c r="AB178">
        <v>6</v>
      </c>
      <c r="AC178">
        <v>5</v>
      </c>
      <c r="AD178">
        <v>2</v>
      </c>
      <c r="AE178">
        <v>5</v>
      </c>
      <c r="AF178">
        <v>3</v>
      </c>
      <c r="AG178">
        <v>0</v>
      </c>
      <c r="AH178">
        <v>3</v>
      </c>
      <c r="AI178">
        <f t="shared" si="14"/>
        <v>0</v>
      </c>
      <c r="AJ178" t="str">
        <f t="shared" si="15"/>
        <v>4-5 yrs</v>
      </c>
      <c r="AK178" t="str">
        <f t="shared" si="16"/>
        <v>Recent</v>
      </c>
      <c r="AL178">
        <f t="shared" si="17"/>
        <v>1</v>
      </c>
      <c r="AM178" t="str">
        <f t="shared" si="18"/>
        <v>Low Risk</v>
      </c>
      <c r="AN178" s="6">
        <f t="shared" si="19"/>
        <v>-9.2329301238648132E-2</v>
      </c>
      <c r="AO178" s="7">
        <f t="shared" si="20"/>
        <v>543144</v>
      </c>
    </row>
    <row r="179" spans="1:41" x14ac:dyDescent="0.3">
      <c r="A179" t="s">
        <v>249</v>
      </c>
      <c r="B179">
        <v>27</v>
      </c>
      <c r="C179" t="s">
        <v>196</v>
      </c>
      <c r="D179" t="s">
        <v>47</v>
      </c>
      <c r="E179" t="s">
        <v>48</v>
      </c>
      <c r="F179">
        <v>1420</v>
      </c>
      <c r="G179" t="s">
        <v>57</v>
      </c>
      <c r="H179">
        <v>2</v>
      </c>
      <c r="I179">
        <v>1</v>
      </c>
      <c r="J179" t="s">
        <v>63</v>
      </c>
      <c r="K179">
        <v>667</v>
      </c>
      <c r="L179">
        <v>3</v>
      </c>
      <c r="M179" t="s">
        <v>51</v>
      </c>
      <c r="N179">
        <v>3</v>
      </c>
      <c r="O179">
        <v>1</v>
      </c>
      <c r="P179" t="s">
        <v>60</v>
      </c>
      <c r="Q179">
        <v>1</v>
      </c>
      <c r="R179" t="s">
        <v>53</v>
      </c>
      <c r="S179">
        <v>24776</v>
      </c>
      <c r="T179" t="s">
        <v>54</v>
      </c>
      <c r="U179">
        <v>154.85</v>
      </c>
      <c r="V179">
        <v>0</v>
      </c>
      <c r="W179" t="s">
        <v>55</v>
      </c>
      <c r="X179">
        <v>11</v>
      </c>
      <c r="Y179">
        <v>3</v>
      </c>
      <c r="Z179">
        <v>2</v>
      </c>
      <c r="AA179">
        <v>1</v>
      </c>
      <c r="AB179">
        <v>5</v>
      </c>
      <c r="AC179">
        <v>3</v>
      </c>
      <c r="AD179">
        <v>3</v>
      </c>
      <c r="AE179">
        <v>4</v>
      </c>
      <c r="AF179">
        <v>3</v>
      </c>
      <c r="AG179">
        <v>0</v>
      </c>
      <c r="AH179">
        <v>2</v>
      </c>
      <c r="AI179">
        <f t="shared" si="14"/>
        <v>1</v>
      </c>
      <c r="AJ179" t="str">
        <f t="shared" si="15"/>
        <v>4-5 yrs</v>
      </c>
      <c r="AK179" t="str">
        <f t="shared" si="16"/>
        <v>Recent</v>
      </c>
      <c r="AL179">
        <f t="shared" si="17"/>
        <v>1</v>
      </c>
      <c r="AM179" t="str">
        <f t="shared" si="18"/>
        <v>Low Risk</v>
      </c>
      <c r="AN179" s="6">
        <f t="shared" si="19"/>
        <v>-0.49771724101479659</v>
      </c>
      <c r="AO179" s="7">
        <f t="shared" si="20"/>
        <v>297312</v>
      </c>
    </row>
    <row r="180" spans="1:41" x14ac:dyDescent="0.3">
      <c r="A180" t="s">
        <v>250</v>
      </c>
      <c r="B180">
        <v>27</v>
      </c>
      <c r="C180" t="s">
        <v>196</v>
      </c>
      <c r="D180" t="s">
        <v>55</v>
      </c>
      <c r="E180" t="s">
        <v>48</v>
      </c>
      <c r="F180">
        <v>1115</v>
      </c>
      <c r="G180" t="s">
        <v>49</v>
      </c>
      <c r="H180">
        <v>3</v>
      </c>
      <c r="I180">
        <v>4</v>
      </c>
      <c r="J180" t="s">
        <v>58</v>
      </c>
      <c r="K180">
        <v>700</v>
      </c>
      <c r="L180">
        <v>1</v>
      </c>
      <c r="M180" t="s">
        <v>51</v>
      </c>
      <c r="N180">
        <v>2</v>
      </c>
      <c r="O180">
        <v>1</v>
      </c>
      <c r="P180" t="s">
        <v>67</v>
      </c>
      <c r="Q180">
        <v>4</v>
      </c>
      <c r="R180" t="s">
        <v>53</v>
      </c>
      <c r="S180">
        <v>31080</v>
      </c>
      <c r="T180" t="s">
        <v>72</v>
      </c>
      <c r="U180">
        <v>194.25</v>
      </c>
      <c r="V180">
        <v>0</v>
      </c>
      <c r="W180" t="s">
        <v>55</v>
      </c>
      <c r="X180">
        <v>13</v>
      </c>
      <c r="Y180">
        <v>3</v>
      </c>
      <c r="Z180">
        <v>4</v>
      </c>
      <c r="AA180">
        <v>0</v>
      </c>
      <c r="AB180">
        <v>5</v>
      </c>
      <c r="AC180">
        <v>0</v>
      </c>
      <c r="AD180">
        <v>3</v>
      </c>
      <c r="AE180">
        <v>4</v>
      </c>
      <c r="AF180">
        <v>2</v>
      </c>
      <c r="AG180">
        <v>1</v>
      </c>
      <c r="AH180">
        <v>1</v>
      </c>
      <c r="AI180">
        <f t="shared" si="14"/>
        <v>0</v>
      </c>
      <c r="AJ180" t="str">
        <f t="shared" si="15"/>
        <v>4-5 yrs</v>
      </c>
      <c r="AK180" t="str">
        <f t="shared" si="16"/>
        <v>Recent</v>
      </c>
      <c r="AL180">
        <f t="shared" si="17"/>
        <v>0</v>
      </c>
      <c r="AM180" t="str">
        <f t="shared" si="18"/>
        <v>Minimal Risk</v>
      </c>
      <c r="AN180" s="6">
        <f t="shared" si="19"/>
        <v>-0.37673091517160495</v>
      </c>
      <c r="AO180" s="7">
        <f t="shared" si="20"/>
        <v>372960</v>
      </c>
    </row>
    <row r="181" spans="1:41" x14ac:dyDescent="0.3">
      <c r="A181" t="s">
        <v>251</v>
      </c>
      <c r="B181">
        <v>27</v>
      </c>
      <c r="C181" t="s">
        <v>196</v>
      </c>
      <c r="D181" t="s">
        <v>55</v>
      </c>
      <c r="E181" t="s">
        <v>62</v>
      </c>
      <c r="F181">
        <v>1410</v>
      </c>
      <c r="G181" t="s">
        <v>57</v>
      </c>
      <c r="H181">
        <v>3</v>
      </c>
      <c r="I181">
        <v>1</v>
      </c>
      <c r="J181" t="s">
        <v>58</v>
      </c>
      <c r="K181">
        <v>714</v>
      </c>
      <c r="L181">
        <v>4</v>
      </c>
      <c r="M181" t="s">
        <v>59</v>
      </c>
      <c r="N181">
        <v>4</v>
      </c>
      <c r="O181">
        <v>2</v>
      </c>
      <c r="P181" t="s">
        <v>145</v>
      </c>
      <c r="Q181">
        <v>4</v>
      </c>
      <c r="R181" t="s">
        <v>53</v>
      </c>
      <c r="S181">
        <v>67842</v>
      </c>
      <c r="T181" t="s">
        <v>64</v>
      </c>
      <c r="U181">
        <v>424.01</v>
      </c>
      <c r="V181">
        <v>1</v>
      </c>
      <c r="W181" t="s">
        <v>47</v>
      </c>
      <c r="X181">
        <v>20</v>
      </c>
      <c r="Y181">
        <v>4</v>
      </c>
      <c r="Z181">
        <v>2</v>
      </c>
      <c r="AA181">
        <v>2</v>
      </c>
      <c r="AB181">
        <v>6</v>
      </c>
      <c r="AC181">
        <v>3</v>
      </c>
      <c r="AD181">
        <v>3</v>
      </c>
      <c r="AE181">
        <v>6</v>
      </c>
      <c r="AF181">
        <v>5</v>
      </c>
      <c r="AG181">
        <v>0</v>
      </c>
      <c r="AH181">
        <v>4</v>
      </c>
      <c r="AI181">
        <f t="shared" si="14"/>
        <v>0</v>
      </c>
      <c r="AJ181" t="str">
        <f t="shared" si="15"/>
        <v>6-10 yrs</v>
      </c>
      <c r="AK181" t="str">
        <f t="shared" si="16"/>
        <v>Recent</v>
      </c>
      <c r="AL181">
        <f t="shared" si="17"/>
        <v>1</v>
      </c>
      <c r="AM181" t="str">
        <f t="shared" si="18"/>
        <v>Low Risk</v>
      </c>
      <c r="AN181" s="6">
        <f t="shared" si="19"/>
        <v>0.38289457444799496</v>
      </c>
      <c r="AO181" s="7">
        <f t="shared" si="20"/>
        <v>814104</v>
      </c>
    </row>
    <row r="182" spans="1:41" x14ac:dyDescent="0.3">
      <c r="A182" t="s">
        <v>252</v>
      </c>
      <c r="B182">
        <v>27</v>
      </c>
      <c r="C182" t="s">
        <v>196</v>
      </c>
      <c r="D182" t="s">
        <v>55</v>
      </c>
      <c r="E182" t="s">
        <v>48</v>
      </c>
      <c r="F182">
        <v>608</v>
      </c>
      <c r="G182" t="s">
        <v>49</v>
      </c>
      <c r="H182">
        <v>1</v>
      </c>
      <c r="I182">
        <v>2</v>
      </c>
      <c r="J182" t="s">
        <v>50</v>
      </c>
      <c r="K182">
        <v>725</v>
      </c>
      <c r="L182">
        <v>3</v>
      </c>
      <c r="M182" t="s">
        <v>59</v>
      </c>
      <c r="N182">
        <v>3</v>
      </c>
      <c r="O182">
        <v>3</v>
      </c>
      <c r="P182" t="s">
        <v>120</v>
      </c>
      <c r="Q182">
        <v>1</v>
      </c>
      <c r="R182" t="s">
        <v>113</v>
      </c>
      <c r="S182">
        <v>62373</v>
      </c>
      <c r="T182" t="s">
        <v>64</v>
      </c>
      <c r="U182">
        <v>389.83</v>
      </c>
      <c r="V182">
        <v>1</v>
      </c>
      <c r="W182" t="s">
        <v>55</v>
      </c>
      <c r="X182">
        <v>11</v>
      </c>
      <c r="Y182">
        <v>3</v>
      </c>
      <c r="Z182">
        <v>4</v>
      </c>
      <c r="AA182">
        <v>0</v>
      </c>
      <c r="AB182">
        <v>9</v>
      </c>
      <c r="AC182">
        <v>3</v>
      </c>
      <c r="AD182">
        <v>3</v>
      </c>
      <c r="AE182">
        <v>9</v>
      </c>
      <c r="AF182">
        <v>7</v>
      </c>
      <c r="AG182">
        <v>0</v>
      </c>
      <c r="AH182">
        <v>7</v>
      </c>
      <c r="AI182">
        <f t="shared" si="14"/>
        <v>0</v>
      </c>
      <c r="AJ182" t="str">
        <f t="shared" si="15"/>
        <v>6-10 yrs</v>
      </c>
      <c r="AK182" t="str">
        <f t="shared" si="16"/>
        <v>Recent</v>
      </c>
      <c r="AL182">
        <f t="shared" si="17"/>
        <v>1</v>
      </c>
      <c r="AM182" t="str">
        <f t="shared" si="18"/>
        <v>Low Risk</v>
      </c>
      <c r="AN182" s="6">
        <f t="shared" si="19"/>
        <v>0.40811665905637418</v>
      </c>
      <c r="AO182" s="7">
        <f t="shared" si="20"/>
        <v>748476</v>
      </c>
    </row>
    <row r="183" spans="1:41" x14ac:dyDescent="0.3">
      <c r="A183" t="s">
        <v>253</v>
      </c>
      <c r="B183">
        <v>27</v>
      </c>
      <c r="C183" t="s">
        <v>196</v>
      </c>
      <c r="D183" t="s">
        <v>55</v>
      </c>
      <c r="E183" t="s">
        <v>62</v>
      </c>
      <c r="F183">
        <v>294</v>
      </c>
      <c r="G183" t="s">
        <v>49</v>
      </c>
      <c r="H183">
        <v>10</v>
      </c>
      <c r="I183">
        <v>2</v>
      </c>
      <c r="J183" t="s">
        <v>50</v>
      </c>
      <c r="K183">
        <v>733</v>
      </c>
      <c r="L183">
        <v>4</v>
      </c>
      <c r="M183" t="s">
        <v>51</v>
      </c>
      <c r="N183">
        <v>3</v>
      </c>
      <c r="O183">
        <v>3</v>
      </c>
      <c r="P183" t="s">
        <v>120</v>
      </c>
      <c r="Q183">
        <v>1</v>
      </c>
      <c r="R183" t="s">
        <v>53</v>
      </c>
      <c r="S183">
        <v>7776</v>
      </c>
      <c r="T183" t="s">
        <v>54</v>
      </c>
      <c r="U183">
        <v>48.6</v>
      </c>
      <c r="V183">
        <v>1</v>
      </c>
      <c r="W183" t="s">
        <v>55</v>
      </c>
      <c r="X183">
        <v>21</v>
      </c>
      <c r="Y183">
        <v>4</v>
      </c>
      <c r="Z183">
        <v>3</v>
      </c>
      <c r="AA183">
        <v>2</v>
      </c>
      <c r="AB183">
        <v>9</v>
      </c>
      <c r="AC183">
        <v>4</v>
      </c>
      <c r="AD183">
        <v>2</v>
      </c>
      <c r="AE183">
        <v>9</v>
      </c>
      <c r="AF183">
        <v>7</v>
      </c>
      <c r="AG183">
        <v>1</v>
      </c>
      <c r="AH183">
        <v>7</v>
      </c>
      <c r="AI183">
        <f t="shared" si="14"/>
        <v>0</v>
      </c>
      <c r="AJ183" t="str">
        <f t="shared" si="15"/>
        <v>6-10 yrs</v>
      </c>
      <c r="AK183" t="str">
        <f t="shared" si="16"/>
        <v>Recent</v>
      </c>
      <c r="AL183">
        <f t="shared" si="17"/>
        <v>2</v>
      </c>
      <c r="AM183" t="str">
        <f t="shared" si="18"/>
        <v>Medium Risk</v>
      </c>
      <c r="AN183" s="6">
        <f t="shared" si="19"/>
        <v>-0.8244510422647241</v>
      </c>
      <c r="AO183" s="7">
        <f t="shared" si="20"/>
        <v>93312</v>
      </c>
    </row>
    <row r="184" spans="1:41" x14ac:dyDescent="0.3">
      <c r="A184" t="s">
        <v>254</v>
      </c>
      <c r="B184">
        <v>27</v>
      </c>
      <c r="C184" t="s">
        <v>196</v>
      </c>
      <c r="D184" t="s">
        <v>55</v>
      </c>
      <c r="E184" t="s">
        <v>48</v>
      </c>
      <c r="F184">
        <v>975</v>
      </c>
      <c r="G184" t="s">
        <v>49</v>
      </c>
      <c r="H184">
        <v>7</v>
      </c>
      <c r="I184">
        <v>3</v>
      </c>
      <c r="J184" t="s">
        <v>58</v>
      </c>
      <c r="K184">
        <v>764</v>
      </c>
      <c r="L184">
        <v>4</v>
      </c>
      <c r="M184" t="s">
        <v>59</v>
      </c>
      <c r="N184">
        <v>2</v>
      </c>
      <c r="O184">
        <v>2</v>
      </c>
      <c r="P184" t="s">
        <v>168</v>
      </c>
      <c r="Q184">
        <v>1</v>
      </c>
      <c r="R184" t="s">
        <v>53</v>
      </c>
      <c r="S184">
        <v>93787</v>
      </c>
      <c r="T184" t="s">
        <v>70</v>
      </c>
      <c r="U184">
        <v>586.16999999999996</v>
      </c>
      <c r="V184">
        <v>8</v>
      </c>
      <c r="W184" t="s">
        <v>55</v>
      </c>
      <c r="X184">
        <v>19</v>
      </c>
      <c r="Y184">
        <v>3</v>
      </c>
      <c r="Z184">
        <v>1</v>
      </c>
      <c r="AA184">
        <v>0</v>
      </c>
      <c r="AB184">
        <v>9</v>
      </c>
      <c r="AC184">
        <v>2</v>
      </c>
      <c r="AD184">
        <v>1</v>
      </c>
      <c r="AE184">
        <v>7</v>
      </c>
      <c r="AF184">
        <v>6</v>
      </c>
      <c r="AG184">
        <v>0</v>
      </c>
      <c r="AH184">
        <v>7</v>
      </c>
      <c r="AI184">
        <f t="shared" si="14"/>
        <v>0</v>
      </c>
      <c r="AJ184" t="str">
        <f t="shared" si="15"/>
        <v>6-10 yrs</v>
      </c>
      <c r="AK184" t="str">
        <f t="shared" si="16"/>
        <v>Recent</v>
      </c>
      <c r="AL184">
        <f t="shared" si="17"/>
        <v>2</v>
      </c>
      <c r="AM184" t="str">
        <f t="shared" si="18"/>
        <v>Medium Risk</v>
      </c>
      <c r="AN184" s="6">
        <f t="shared" si="19"/>
        <v>0.94622677307277281</v>
      </c>
      <c r="AO184" s="7">
        <f t="shared" si="20"/>
        <v>1125444</v>
      </c>
    </row>
    <row r="185" spans="1:41" x14ac:dyDescent="0.3">
      <c r="A185" t="s">
        <v>255</v>
      </c>
      <c r="B185">
        <v>27</v>
      </c>
      <c r="C185" t="s">
        <v>196</v>
      </c>
      <c r="D185" t="s">
        <v>55</v>
      </c>
      <c r="E185" t="s">
        <v>62</v>
      </c>
      <c r="F185">
        <v>829</v>
      </c>
      <c r="G185" t="s">
        <v>57</v>
      </c>
      <c r="H185">
        <v>8</v>
      </c>
      <c r="I185">
        <v>1</v>
      </c>
      <c r="J185" t="s">
        <v>63</v>
      </c>
      <c r="K185">
        <v>800</v>
      </c>
      <c r="L185">
        <v>3</v>
      </c>
      <c r="M185" t="s">
        <v>51</v>
      </c>
      <c r="N185">
        <v>3</v>
      </c>
      <c r="O185">
        <v>2</v>
      </c>
      <c r="P185" t="s">
        <v>145</v>
      </c>
      <c r="Q185">
        <v>4</v>
      </c>
      <c r="R185" t="s">
        <v>113</v>
      </c>
      <c r="S185">
        <v>56016</v>
      </c>
      <c r="T185" t="s">
        <v>64</v>
      </c>
      <c r="U185">
        <v>350.1</v>
      </c>
      <c r="V185">
        <v>0</v>
      </c>
      <c r="W185" t="s">
        <v>55</v>
      </c>
      <c r="X185">
        <v>19</v>
      </c>
      <c r="Y185">
        <v>3</v>
      </c>
      <c r="Z185">
        <v>2</v>
      </c>
      <c r="AA185">
        <v>1</v>
      </c>
      <c r="AB185">
        <v>5</v>
      </c>
      <c r="AC185">
        <v>3</v>
      </c>
      <c r="AD185">
        <v>3</v>
      </c>
      <c r="AE185">
        <v>4</v>
      </c>
      <c r="AF185">
        <v>2</v>
      </c>
      <c r="AG185">
        <v>1</v>
      </c>
      <c r="AH185">
        <v>1</v>
      </c>
      <c r="AI185">
        <f t="shared" si="14"/>
        <v>0</v>
      </c>
      <c r="AJ185" t="str">
        <f t="shared" si="15"/>
        <v>4-5 yrs</v>
      </c>
      <c r="AK185" t="str">
        <f t="shared" si="16"/>
        <v>Recent</v>
      </c>
      <c r="AL185">
        <f t="shared" si="17"/>
        <v>0</v>
      </c>
      <c r="AM185" t="str">
        <f t="shared" si="18"/>
        <v>Minimal Risk</v>
      </c>
      <c r="AN185" s="6">
        <f t="shared" si="19"/>
        <v>0.14183282453758564</v>
      </c>
      <c r="AO185" s="7">
        <f t="shared" si="20"/>
        <v>672192</v>
      </c>
    </row>
    <row r="186" spans="1:41" x14ac:dyDescent="0.3">
      <c r="A186" t="s">
        <v>256</v>
      </c>
      <c r="B186">
        <v>27</v>
      </c>
      <c r="C186" t="s">
        <v>196</v>
      </c>
      <c r="D186" t="s">
        <v>55</v>
      </c>
      <c r="E186" t="s">
        <v>48</v>
      </c>
      <c r="F186">
        <v>269</v>
      </c>
      <c r="G186" t="s">
        <v>49</v>
      </c>
      <c r="H186">
        <v>5</v>
      </c>
      <c r="I186">
        <v>1</v>
      </c>
      <c r="J186" t="s">
        <v>77</v>
      </c>
      <c r="K186">
        <v>844</v>
      </c>
      <c r="L186">
        <v>3</v>
      </c>
      <c r="M186" t="s">
        <v>51</v>
      </c>
      <c r="N186">
        <v>2</v>
      </c>
      <c r="O186">
        <v>3</v>
      </c>
      <c r="P186" t="s">
        <v>257</v>
      </c>
      <c r="Q186">
        <v>4</v>
      </c>
      <c r="R186" t="s">
        <v>53</v>
      </c>
      <c r="S186">
        <v>10474</v>
      </c>
      <c r="T186" t="s">
        <v>54</v>
      </c>
      <c r="U186">
        <v>65.459999999999994</v>
      </c>
      <c r="V186">
        <v>1</v>
      </c>
      <c r="W186" t="s">
        <v>47</v>
      </c>
      <c r="X186">
        <v>16</v>
      </c>
      <c r="Y186">
        <v>3</v>
      </c>
      <c r="Z186">
        <v>2</v>
      </c>
      <c r="AA186">
        <v>1</v>
      </c>
      <c r="AB186">
        <v>9</v>
      </c>
      <c r="AC186">
        <v>3</v>
      </c>
      <c r="AD186">
        <v>3</v>
      </c>
      <c r="AE186">
        <v>9</v>
      </c>
      <c r="AF186">
        <v>8</v>
      </c>
      <c r="AG186">
        <v>0</v>
      </c>
      <c r="AH186">
        <v>8</v>
      </c>
      <c r="AI186">
        <f t="shared" si="14"/>
        <v>0</v>
      </c>
      <c r="AJ186" t="str">
        <f t="shared" si="15"/>
        <v>6-10 yrs</v>
      </c>
      <c r="AK186" t="str">
        <f t="shared" si="16"/>
        <v>Recent</v>
      </c>
      <c r="AL186">
        <f t="shared" si="17"/>
        <v>1</v>
      </c>
      <c r="AM186" t="str">
        <f t="shared" si="18"/>
        <v>Low Risk</v>
      </c>
      <c r="AN186" s="6">
        <f t="shared" si="19"/>
        <v>-0.7932616604894196</v>
      </c>
      <c r="AO186" s="7">
        <f t="shared" si="20"/>
        <v>125688</v>
      </c>
    </row>
    <row r="187" spans="1:41" x14ac:dyDescent="0.3">
      <c r="A187" t="s">
        <v>258</v>
      </c>
      <c r="B187">
        <v>27</v>
      </c>
      <c r="C187" t="s">
        <v>196</v>
      </c>
      <c r="D187" t="s">
        <v>55</v>
      </c>
      <c r="E187" t="s">
        <v>66</v>
      </c>
      <c r="F187">
        <v>443</v>
      </c>
      <c r="G187" t="s">
        <v>49</v>
      </c>
      <c r="H187">
        <v>3</v>
      </c>
      <c r="I187">
        <v>3</v>
      </c>
      <c r="J187" t="s">
        <v>58</v>
      </c>
      <c r="K187">
        <v>850</v>
      </c>
      <c r="L187">
        <v>4</v>
      </c>
      <c r="M187" t="s">
        <v>51</v>
      </c>
      <c r="N187">
        <v>3</v>
      </c>
      <c r="O187">
        <v>1</v>
      </c>
      <c r="P187" t="s">
        <v>67</v>
      </c>
      <c r="Q187">
        <v>4</v>
      </c>
      <c r="R187" t="s">
        <v>113</v>
      </c>
      <c r="S187">
        <v>59053</v>
      </c>
      <c r="T187" t="s">
        <v>64</v>
      </c>
      <c r="U187">
        <v>369.08</v>
      </c>
      <c r="V187">
        <v>1</v>
      </c>
      <c r="W187" t="s">
        <v>55</v>
      </c>
      <c r="X187">
        <v>11</v>
      </c>
      <c r="Y187">
        <v>3</v>
      </c>
      <c r="Z187">
        <v>3</v>
      </c>
      <c r="AA187">
        <v>3</v>
      </c>
      <c r="AB187">
        <v>0</v>
      </c>
      <c r="AC187">
        <v>6</v>
      </c>
      <c r="AD187">
        <v>2</v>
      </c>
      <c r="AE187">
        <v>0</v>
      </c>
      <c r="AF187">
        <v>0</v>
      </c>
      <c r="AG187">
        <v>0</v>
      </c>
      <c r="AH187">
        <v>0</v>
      </c>
      <c r="AI187">
        <f t="shared" si="14"/>
        <v>0</v>
      </c>
      <c r="AJ187" t="str">
        <f t="shared" si="15"/>
        <v>0-1 yr</v>
      </c>
      <c r="AK187" t="str">
        <f t="shared" si="16"/>
        <v>Recent</v>
      </c>
      <c r="AL187">
        <f t="shared" si="17"/>
        <v>1</v>
      </c>
      <c r="AM187" t="str">
        <f t="shared" si="18"/>
        <v>Low Risk</v>
      </c>
      <c r="AN187" s="6">
        <f t="shared" si="19"/>
        <v>0.18423131487680863</v>
      </c>
      <c r="AO187" s="7">
        <f t="shared" si="20"/>
        <v>708636</v>
      </c>
    </row>
    <row r="188" spans="1:41" x14ac:dyDescent="0.3">
      <c r="A188" t="s">
        <v>259</v>
      </c>
      <c r="B188">
        <v>27</v>
      </c>
      <c r="C188" t="s">
        <v>196</v>
      </c>
      <c r="D188" t="s">
        <v>55</v>
      </c>
      <c r="E188" t="s">
        <v>48</v>
      </c>
      <c r="F188">
        <v>618</v>
      </c>
      <c r="G188" t="s">
        <v>49</v>
      </c>
      <c r="H188">
        <v>4</v>
      </c>
      <c r="I188">
        <v>3</v>
      </c>
      <c r="J188" t="s">
        <v>50</v>
      </c>
      <c r="K188">
        <v>933</v>
      </c>
      <c r="L188">
        <v>2</v>
      </c>
      <c r="M188" t="s">
        <v>59</v>
      </c>
      <c r="N188">
        <v>3</v>
      </c>
      <c r="O188">
        <v>1</v>
      </c>
      <c r="P188" t="s">
        <v>67</v>
      </c>
      <c r="Q188">
        <v>3</v>
      </c>
      <c r="R188" t="s">
        <v>53</v>
      </c>
      <c r="S188">
        <v>22959</v>
      </c>
      <c r="T188" t="s">
        <v>54</v>
      </c>
      <c r="U188">
        <v>143.49</v>
      </c>
      <c r="V188">
        <v>1</v>
      </c>
      <c r="W188" t="s">
        <v>55</v>
      </c>
      <c r="X188">
        <v>19</v>
      </c>
      <c r="Y188">
        <v>3</v>
      </c>
      <c r="Z188">
        <v>3</v>
      </c>
      <c r="AA188">
        <v>0</v>
      </c>
      <c r="AB188">
        <v>1</v>
      </c>
      <c r="AC188">
        <v>2</v>
      </c>
      <c r="AD188">
        <v>3</v>
      </c>
      <c r="AE188">
        <v>1</v>
      </c>
      <c r="AF188">
        <v>1</v>
      </c>
      <c r="AG188">
        <v>0</v>
      </c>
      <c r="AH188">
        <v>0</v>
      </c>
      <c r="AI188">
        <f t="shared" si="14"/>
        <v>0</v>
      </c>
      <c r="AJ188" t="str">
        <f t="shared" si="15"/>
        <v>0-1 yr</v>
      </c>
      <c r="AK188" t="str">
        <f t="shared" si="16"/>
        <v>Recent</v>
      </c>
      <c r="AL188">
        <f t="shared" si="17"/>
        <v>0</v>
      </c>
      <c r="AM188" t="str">
        <f t="shared" si="18"/>
        <v>Minimal Risk</v>
      </c>
      <c r="AN188" s="6">
        <f t="shared" si="19"/>
        <v>-0.53958703608188152</v>
      </c>
      <c r="AO188" s="7">
        <f t="shared" si="20"/>
        <v>275508</v>
      </c>
    </row>
    <row r="189" spans="1:41" x14ac:dyDescent="0.3">
      <c r="A189" t="s">
        <v>260</v>
      </c>
      <c r="B189">
        <v>27</v>
      </c>
      <c r="C189" t="s">
        <v>196</v>
      </c>
      <c r="D189" t="s">
        <v>55</v>
      </c>
      <c r="E189" t="s">
        <v>48</v>
      </c>
      <c r="F189">
        <v>1134</v>
      </c>
      <c r="G189" t="s">
        <v>49</v>
      </c>
      <c r="H189">
        <v>16</v>
      </c>
      <c r="I189">
        <v>4</v>
      </c>
      <c r="J189" t="s">
        <v>77</v>
      </c>
      <c r="K189">
        <v>1001</v>
      </c>
      <c r="L189">
        <v>3</v>
      </c>
      <c r="M189" t="s">
        <v>59</v>
      </c>
      <c r="N189">
        <v>3</v>
      </c>
      <c r="O189">
        <v>1</v>
      </c>
      <c r="P189" t="s">
        <v>52</v>
      </c>
      <c r="Q189">
        <v>2</v>
      </c>
      <c r="R189" t="s">
        <v>113</v>
      </c>
      <c r="S189">
        <v>6530</v>
      </c>
      <c r="T189" t="s">
        <v>54</v>
      </c>
      <c r="U189">
        <v>40.81</v>
      </c>
      <c r="V189">
        <v>9</v>
      </c>
      <c r="W189" t="s">
        <v>55</v>
      </c>
      <c r="X189">
        <v>14</v>
      </c>
      <c r="Y189">
        <v>3</v>
      </c>
      <c r="Z189">
        <v>2</v>
      </c>
      <c r="AA189">
        <v>1</v>
      </c>
      <c r="AB189">
        <v>4</v>
      </c>
      <c r="AC189">
        <v>2</v>
      </c>
      <c r="AD189">
        <v>3</v>
      </c>
      <c r="AE189">
        <v>2</v>
      </c>
      <c r="AF189">
        <v>2</v>
      </c>
      <c r="AG189">
        <v>2</v>
      </c>
      <c r="AH189">
        <v>2</v>
      </c>
      <c r="AI189">
        <f t="shared" si="14"/>
        <v>0</v>
      </c>
      <c r="AJ189" t="str">
        <f t="shared" si="15"/>
        <v>2-3 yrs</v>
      </c>
      <c r="AK189" t="str">
        <f t="shared" si="16"/>
        <v>Recent</v>
      </c>
      <c r="AL189">
        <f t="shared" si="17"/>
        <v>1</v>
      </c>
      <c r="AM189" t="str">
        <f t="shared" si="18"/>
        <v>Low Risk</v>
      </c>
      <c r="AN189" s="6">
        <f t="shared" si="19"/>
        <v>-0.87374469370059726</v>
      </c>
      <c r="AO189" s="7">
        <f t="shared" si="20"/>
        <v>78360</v>
      </c>
    </row>
    <row r="190" spans="1:41" x14ac:dyDescent="0.3">
      <c r="A190" t="s">
        <v>261</v>
      </c>
      <c r="B190">
        <v>27</v>
      </c>
      <c r="C190" t="s">
        <v>196</v>
      </c>
      <c r="D190" t="s">
        <v>55</v>
      </c>
      <c r="E190" t="s">
        <v>48</v>
      </c>
      <c r="F190">
        <v>1055</v>
      </c>
      <c r="G190" t="s">
        <v>49</v>
      </c>
      <c r="H190">
        <v>2</v>
      </c>
      <c r="I190">
        <v>4</v>
      </c>
      <c r="J190" t="s">
        <v>50</v>
      </c>
      <c r="K190">
        <v>1027</v>
      </c>
      <c r="L190">
        <v>1</v>
      </c>
      <c r="M190" t="s">
        <v>59</v>
      </c>
      <c r="N190">
        <v>3</v>
      </c>
      <c r="O190">
        <v>2</v>
      </c>
      <c r="P190" t="s">
        <v>120</v>
      </c>
      <c r="Q190">
        <v>4</v>
      </c>
      <c r="R190" t="s">
        <v>113</v>
      </c>
      <c r="S190">
        <v>95856</v>
      </c>
      <c r="T190" t="s">
        <v>70</v>
      </c>
      <c r="U190">
        <v>599.1</v>
      </c>
      <c r="V190">
        <v>0</v>
      </c>
      <c r="W190" t="s">
        <v>55</v>
      </c>
      <c r="X190">
        <v>18</v>
      </c>
      <c r="Y190">
        <v>3</v>
      </c>
      <c r="Z190">
        <v>2</v>
      </c>
      <c r="AA190">
        <v>1</v>
      </c>
      <c r="AB190">
        <v>4</v>
      </c>
      <c r="AC190">
        <v>2</v>
      </c>
      <c r="AD190">
        <v>3</v>
      </c>
      <c r="AE190">
        <v>3</v>
      </c>
      <c r="AF190">
        <v>2</v>
      </c>
      <c r="AG190">
        <v>2</v>
      </c>
      <c r="AH190">
        <v>2</v>
      </c>
      <c r="AI190">
        <f t="shared" si="14"/>
        <v>0</v>
      </c>
      <c r="AJ190" t="str">
        <f t="shared" si="15"/>
        <v>2-3 yrs</v>
      </c>
      <c r="AK190" t="str">
        <f t="shared" si="16"/>
        <v>Recent</v>
      </c>
      <c r="AL190">
        <f t="shared" si="17"/>
        <v>0</v>
      </c>
      <c r="AM190" t="str">
        <f t="shared" si="18"/>
        <v>Minimal Risk</v>
      </c>
      <c r="AN190" s="6">
        <f t="shared" si="19"/>
        <v>1.1640201765268274</v>
      </c>
      <c r="AO190" s="7">
        <f t="shared" si="20"/>
        <v>1150272</v>
      </c>
    </row>
    <row r="191" spans="1:41" x14ac:dyDescent="0.3">
      <c r="A191" t="s">
        <v>262</v>
      </c>
      <c r="B191">
        <v>27</v>
      </c>
      <c r="C191" t="s">
        <v>196</v>
      </c>
      <c r="D191" t="s">
        <v>55</v>
      </c>
      <c r="E191" t="s">
        <v>66</v>
      </c>
      <c r="F191">
        <v>1277</v>
      </c>
      <c r="G191" t="s">
        <v>49</v>
      </c>
      <c r="H191">
        <v>8</v>
      </c>
      <c r="I191">
        <v>5</v>
      </c>
      <c r="J191" t="s">
        <v>50</v>
      </c>
      <c r="K191">
        <v>1094</v>
      </c>
      <c r="L191">
        <v>1</v>
      </c>
      <c r="M191" t="s">
        <v>51</v>
      </c>
      <c r="N191">
        <v>1</v>
      </c>
      <c r="O191">
        <v>1</v>
      </c>
      <c r="P191" t="s">
        <v>52</v>
      </c>
      <c r="Q191">
        <v>3</v>
      </c>
      <c r="R191" t="s">
        <v>113</v>
      </c>
      <c r="S191">
        <v>4748</v>
      </c>
      <c r="T191" t="s">
        <v>54</v>
      </c>
      <c r="U191">
        <v>29.68</v>
      </c>
      <c r="V191">
        <v>1</v>
      </c>
      <c r="W191" t="s">
        <v>55</v>
      </c>
      <c r="X191">
        <v>19</v>
      </c>
      <c r="Y191">
        <v>3</v>
      </c>
      <c r="Z191">
        <v>4</v>
      </c>
      <c r="AA191">
        <v>3</v>
      </c>
      <c r="AB191">
        <v>3</v>
      </c>
      <c r="AC191">
        <v>4</v>
      </c>
      <c r="AD191">
        <v>3</v>
      </c>
      <c r="AE191">
        <v>3</v>
      </c>
      <c r="AF191">
        <v>2</v>
      </c>
      <c r="AG191">
        <v>1</v>
      </c>
      <c r="AH191">
        <v>2</v>
      </c>
      <c r="AI191">
        <f t="shared" si="14"/>
        <v>0</v>
      </c>
      <c r="AJ191" t="str">
        <f t="shared" si="15"/>
        <v>2-3 yrs</v>
      </c>
      <c r="AK191" t="str">
        <f t="shared" si="16"/>
        <v>Recent</v>
      </c>
      <c r="AL191">
        <f t="shared" si="17"/>
        <v>0</v>
      </c>
      <c r="AM191" t="str">
        <f t="shared" si="18"/>
        <v>Minimal Risk</v>
      </c>
      <c r="AN191" s="6">
        <f t="shared" si="19"/>
        <v>-0.90819905140741741</v>
      </c>
      <c r="AO191" s="7">
        <f t="shared" si="20"/>
        <v>56976</v>
      </c>
    </row>
    <row r="192" spans="1:41" x14ac:dyDescent="0.3">
      <c r="A192" t="s">
        <v>263</v>
      </c>
      <c r="B192">
        <v>27</v>
      </c>
      <c r="C192" t="s">
        <v>196</v>
      </c>
      <c r="D192" t="s">
        <v>55</v>
      </c>
      <c r="E192" t="s">
        <v>48</v>
      </c>
      <c r="F192">
        <v>199</v>
      </c>
      <c r="G192" t="s">
        <v>49</v>
      </c>
      <c r="H192">
        <v>6</v>
      </c>
      <c r="I192">
        <v>3</v>
      </c>
      <c r="J192" t="s">
        <v>50</v>
      </c>
      <c r="K192">
        <v>1162</v>
      </c>
      <c r="L192">
        <v>4</v>
      </c>
      <c r="M192" t="s">
        <v>51</v>
      </c>
      <c r="N192">
        <v>2</v>
      </c>
      <c r="O192">
        <v>1</v>
      </c>
      <c r="P192" t="s">
        <v>67</v>
      </c>
      <c r="Q192">
        <v>3</v>
      </c>
      <c r="R192" t="s">
        <v>113</v>
      </c>
      <c r="S192">
        <v>98504</v>
      </c>
      <c r="T192" t="s">
        <v>70</v>
      </c>
      <c r="U192">
        <v>615.65</v>
      </c>
      <c r="V192">
        <v>1</v>
      </c>
      <c r="W192" t="s">
        <v>55</v>
      </c>
      <c r="X192">
        <v>13</v>
      </c>
      <c r="Y192">
        <v>3</v>
      </c>
      <c r="Z192">
        <v>3</v>
      </c>
      <c r="AA192">
        <v>1</v>
      </c>
      <c r="AB192">
        <v>4</v>
      </c>
      <c r="AC192">
        <v>0</v>
      </c>
      <c r="AD192">
        <v>3</v>
      </c>
      <c r="AE192">
        <v>4</v>
      </c>
      <c r="AF192">
        <v>2</v>
      </c>
      <c r="AG192">
        <v>2</v>
      </c>
      <c r="AH192">
        <v>2</v>
      </c>
      <c r="AI192">
        <f t="shared" si="14"/>
        <v>0</v>
      </c>
      <c r="AJ192" t="str">
        <f t="shared" si="15"/>
        <v>4-5 yrs</v>
      </c>
      <c r="AK192" t="str">
        <f t="shared" si="16"/>
        <v>Recent</v>
      </c>
      <c r="AL192">
        <f t="shared" si="17"/>
        <v>0</v>
      </c>
      <c r="AM192" t="str">
        <f t="shared" si="18"/>
        <v>Minimal Risk</v>
      </c>
      <c r="AN192" s="6">
        <f t="shared" si="19"/>
        <v>0.97536994632999441</v>
      </c>
      <c r="AO192" s="7">
        <f t="shared" si="20"/>
        <v>1182048</v>
      </c>
    </row>
    <row r="193" spans="1:41" x14ac:dyDescent="0.3">
      <c r="A193" t="s">
        <v>264</v>
      </c>
      <c r="B193">
        <v>27</v>
      </c>
      <c r="C193" t="s">
        <v>196</v>
      </c>
      <c r="D193" t="s">
        <v>55</v>
      </c>
      <c r="E193" t="s">
        <v>48</v>
      </c>
      <c r="F193">
        <v>1103</v>
      </c>
      <c r="G193" t="s">
        <v>49</v>
      </c>
      <c r="H193">
        <v>14</v>
      </c>
      <c r="I193">
        <v>3</v>
      </c>
      <c r="J193" t="s">
        <v>50</v>
      </c>
      <c r="K193">
        <v>1244</v>
      </c>
      <c r="L193">
        <v>1</v>
      </c>
      <c r="M193" t="s">
        <v>51</v>
      </c>
      <c r="N193">
        <v>3</v>
      </c>
      <c r="O193">
        <v>1</v>
      </c>
      <c r="P193" t="s">
        <v>67</v>
      </c>
      <c r="Q193">
        <v>1</v>
      </c>
      <c r="R193" t="s">
        <v>113</v>
      </c>
      <c r="S193">
        <v>99098</v>
      </c>
      <c r="T193" t="s">
        <v>70</v>
      </c>
      <c r="U193">
        <v>619.36</v>
      </c>
      <c r="V193">
        <v>1</v>
      </c>
      <c r="W193" t="s">
        <v>47</v>
      </c>
      <c r="X193">
        <v>14</v>
      </c>
      <c r="Y193">
        <v>3</v>
      </c>
      <c r="Z193">
        <v>4</v>
      </c>
      <c r="AA193">
        <v>2</v>
      </c>
      <c r="AB193">
        <v>9</v>
      </c>
      <c r="AC193">
        <v>3</v>
      </c>
      <c r="AD193">
        <v>2</v>
      </c>
      <c r="AE193">
        <v>9</v>
      </c>
      <c r="AF193">
        <v>7</v>
      </c>
      <c r="AG193">
        <v>6</v>
      </c>
      <c r="AH193">
        <v>8</v>
      </c>
      <c r="AI193">
        <f t="shared" si="14"/>
        <v>0</v>
      </c>
      <c r="AJ193" t="str">
        <f t="shared" si="15"/>
        <v>6-10 yrs</v>
      </c>
      <c r="AK193" t="str">
        <f t="shared" si="16"/>
        <v>Overdue</v>
      </c>
      <c r="AL193">
        <f t="shared" si="17"/>
        <v>4</v>
      </c>
      <c r="AM193" t="str">
        <f t="shared" si="18"/>
        <v>High Risk</v>
      </c>
      <c r="AN193" s="6">
        <f t="shared" si="19"/>
        <v>0.98728184582767986</v>
      </c>
      <c r="AO193" s="7">
        <f t="shared" si="20"/>
        <v>1189176</v>
      </c>
    </row>
    <row r="194" spans="1:41" x14ac:dyDescent="0.3">
      <c r="A194" t="s">
        <v>265</v>
      </c>
      <c r="B194">
        <v>27</v>
      </c>
      <c r="C194" t="s">
        <v>196</v>
      </c>
      <c r="D194" t="s">
        <v>55</v>
      </c>
      <c r="E194" t="s">
        <v>48</v>
      </c>
      <c r="F194">
        <v>1167</v>
      </c>
      <c r="G194" t="s">
        <v>49</v>
      </c>
      <c r="H194">
        <v>4</v>
      </c>
      <c r="I194">
        <v>2</v>
      </c>
      <c r="J194" t="s">
        <v>50</v>
      </c>
      <c r="K194">
        <v>1259</v>
      </c>
      <c r="L194">
        <v>1</v>
      </c>
      <c r="M194" t="s">
        <v>51</v>
      </c>
      <c r="N194">
        <v>3</v>
      </c>
      <c r="O194">
        <v>1</v>
      </c>
      <c r="P194" t="s">
        <v>67</v>
      </c>
      <c r="Q194">
        <v>3</v>
      </c>
      <c r="R194" t="s">
        <v>53</v>
      </c>
      <c r="S194">
        <v>14545</v>
      </c>
      <c r="T194" t="s">
        <v>54</v>
      </c>
      <c r="U194">
        <v>90.91</v>
      </c>
      <c r="V194">
        <v>1</v>
      </c>
      <c r="W194" t="s">
        <v>55</v>
      </c>
      <c r="X194">
        <v>11</v>
      </c>
      <c r="Y194">
        <v>3</v>
      </c>
      <c r="Z194">
        <v>2</v>
      </c>
      <c r="AA194">
        <v>3</v>
      </c>
      <c r="AB194">
        <v>5</v>
      </c>
      <c r="AC194">
        <v>2</v>
      </c>
      <c r="AD194">
        <v>3</v>
      </c>
      <c r="AE194">
        <v>5</v>
      </c>
      <c r="AF194">
        <v>3</v>
      </c>
      <c r="AG194">
        <v>0</v>
      </c>
      <c r="AH194">
        <v>3</v>
      </c>
      <c r="AI194">
        <f t="shared" ref="AI194:AI257" si="21">IF(D194="Yes",1,0)</f>
        <v>0</v>
      </c>
      <c r="AJ194" t="str">
        <f t="shared" ref="AJ194:AJ257" si="22">IF(AE194&lt;=1,"0-1 yr",IF(AE194&lt;=3,"2-3 yrs",IF(AE194&lt;=5,"4-5 yrs",IF(AE194&lt;=10,"6-10 yrs","10+ yrs"))))</f>
        <v>4-5 yrs</v>
      </c>
      <c r="AK194" t="str">
        <f t="shared" ref="AK194:AK257" si="23">IF(AG194&gt;=3,"Overdue","Recent")</f>
        <v>Recent</v>
      </c>
      <c r="AL194">
        <f t="shared" ref="AL194:AL257" si="24">IF(W194="Yes",1,0)+IF(AD194&lt;=2,1,0)+IF(Q194&lt;=2,1,0)+IF(AG194&gt;=3,1,0)</f>
        <v>0</v>
      </c>
      <c r="AM194" t="str">
        <f t="shared" ref="AM194:AM257" si="25">IF(AL194&gt;=3,"High Risk",IF(AL194=2,"Medium Risk",IF(AL194=1,"Low Risk","Minimal Risk")))</f>
        <v>Minimal Risk</v>
      </c>
      <c r="AN194" s="6">
        <f t="shared" ref="AN194:AN257" si="26">IFERROR((S194-AVERAGEIF(P$2:P$1479,P194,S$2:S$1479))/AVERAGEIF(P$2:P$1479,P194,S$2:S$1479),0)</f>
        <v>-0.70831889192956865</v>
      </c>
      <c r="AO194" s="7">
        <f t="shared" ref="AO194:AO257" si="27">S194*12</f>
        <v>174540</v>
      </c>
    </row>
    <row r="195" spans="1:41" x14ac:dyDescent="0.3">
      <c r="A195" t="s">
        <v>266</v>
      </c>
      <c r="B195">
        <v>27</v>
      </c>
      <c r="C195" t="s">
        <v>196</v>
      </c>
      <c r="D195" t="s">
        <v>55</v>
      </c>
      <c r="E195" t="s">
        <v>48</v>
      </c>
      <c r="F195">
        <v>1291</v>
      </c>
      <c r="G195" t="s">
        <v>57</v>
      </c>
      <c r="H195">
        <v>11</v>
      </c>
      <c r="I195">
        <v>3</v>
      </c>
      <c r="J195" t="s">
        <v>58</v>
      </c>
      <c r="K195">
        <v>1364</v>
      </c>
      <c r="L195">
        <v>3</v>
      </c>
      <c r="M195" t="s">
        <v>59</v>
      </c>
      <c r="N195">
        <v>4</v>
      </c>
      <c r="O195">
        <v>1</v>
      </c>
      <c r="P195" t="s">
        <v>60</v>
      </c>
      <c r="Q195">
        <v>4</v>
      </c>
      <c r="R195" t="s">
        <v>113</v>
      </c>
      <c r="S195">
        <v>67199</v>
      </c>
      <c r="T195" t="s">
        <v>64</v>
      </c>
      <c r="U195">
        <v>419.99</v>
      </c>
      <c r="V195">
        <v>8</v>
      </c>
      <c r="W195" t="s">
        <v>55</v>
      </c>
      <c r="X195">
        <v>14</v>
      </c>
      <c r="Y195">
        <v>3</v>
      </c>
      <c r="Z195">
        <v>2</v>
      </c>
      <c r="AA195">
        <v>1</v>
      </c>
      <c r="AB195">
        <v>5</v>
      </c>
      <c r="AC195">
        <v>4</v>
      </c>
      <c r="AD195">
        <v>3</v>
      </c>
      <c r="AE195">
        <v>1</v>
      </c>
      <c r="AF195">
        <v>0</v>
      </c>
      <c r="AG195">
        <v>0</v>
      </c>
      <c r="AH195">
        <v>0</v>
      </c>
      <c r="AI195">
        <f t="shared" si="21"/>
        <v>0</v>
      </c>
      <c r="AJ195" t="str">
        <f t="shared" si="22"/>
        <v>0-1 yr</v>
      </c>
      <c r="AK195" t="str">
        <f t="shared" si="23"/>
        <v>Recent</v>
      </c>
      <c r="AL195">
        <f t="shared" si="24"/>
        <v>0</v>
      </c>
      <c r="AM195" t="str">
        <f t="shared" si="25"/>
        <v>Minimal Risk</v>
      </c>
      <c r="AN195" s="6">
        <f t="shared" si="26"/>
        <v>0.36232237330669531</v>
      </c>
      <c r="AO195" s="7">
        <f t="shared" si="27"/>
        <v>806388</v>
      </c>
    </row>
    <row r="196" spans="1:41" x14ac:dyDescent="0.3">
      <c r="A196" t="s">
        <v>267</v>
      </c>
      <c r="B196">
        <v>27</v>
      </c>
      <c r="C196" t="s">
        <v>196</v>
      </c>
      <c r="D196" t="s">
        <v>55</v>
      </c>
      <c r="E196" t="s">
        <v>62</v>
      </c>
      <c r="F196">
        <v>793</v>
      </c>
      <c r="G196" t="s">
        <v>57</v>
      </c>
      <c r="H196">
        <v>2</v>
      </c>
      <c r="I196">
        <v>1</v>
      </c>
      <c r="J196" t="s">
        <v>50</v>
      </c>
      <c r="K196">
        <v>1371</v>
      </c>
      <c r="L196">
        <v>4</v>
      </c>
      <c r="M196" t="s">
        <v>51</v>
      </c>
      <c r="N196">
        <v>1</v>
      </c>
      <c r="O196">
        <v>2</v>
      </c>
      <c r="P196" t="s">
        <v>145</v>
      </c>
      <c r="Q196">
        <v>4</v>
      </c>
      <c r="R196" t="s">
        <v>53</v>
      </c>
      <c r="S196">
        <v>35766</v>
      </c>
      <c r="T196" t="s">
        <v>72</v>
      </c>
      <c r="U196">
        <v>223.54</v>
      </c>
      <c r="V196">
        <v>3</v>
      </c>
      <c r="W196" t="s">
        <v>55</v>
      </c>
      <c r="X196">
        <v>20</v>
      </c>
      <c r="Y196">
        <v>4</v>
      </c>
      <c r="Z196">
        <v>2</v>
      </c>
      <c r="AA196">
        <v>0</v>
      </c>
      <c r="AB196">
        <v>8</v>
      </c>
      <c r="AC196">
        <v>3</v>
      </c>
      <c r="AD196">
        <v>3</v>
      </c>
      <c r="AE196">
        <v>6</v>
      </c>
      <c r="AF196">
        <v>2</v>
      </c>
      <c r="AG196">
        <v>0</v>
      </c>
      <c r="AH196">
        <v>0</v>
      </c>
      <c r="AI196">
        <f t="shared" si="21"/>
        <v>0</v>
      </c>
      <c r="AJ196" t="str">
        <f t="shared" si="22"/>
        <v>6-10 yrs</v>
      </c>
      <c r="AK196" t="str">
        <f t="shared" si="23"/>
        <v>Recent</v>
      </c>
      <c r="AL196">
        <f t="shared" si="24"/>
        <v>0</v>
      </c>
      <c r="AM196" t="str">
        <f t="shared" si="25"/>
        <v>Minimal Risk</v>
      </c>
      <c r="AN196" s="6">
        <f t="shared" si="26"/>
        <v>-0.27094414448708781</v>
      </c>
      <c r="AO196" s="7">
        <f t="shared" si="27"/>
        <v>429192</v>
      </c>
    </row>
    <row r="197" spans="1:41" x14ac:dyDescent="0.3">
      <c r="A197" t="s">
        <v>268</v>
      </c>
      <c r="B197">
        <v>27</v>
      </c>
      <c r="C197" t="s">
        <v>196</v>
      </c>
      <c r="D197" t="s">
        <v>55</v>
      </c>
      <c r="E197" t="s">
        <v>48</v>
      </c>
      <c r="F197">
        <v>205</v>
      </c>
      <c r="G197" t="s">
        <v>57</v>
      </c>
      <c r="H197">
        <v>10</v>
      </c>
      <c r="I197">
        <v>3</v>
      </c>
      <c r="J197" t="s">
        <v>63</v>
      </c>
      <c r="K197">
        <v>1403</v>
      </c>
      <c r="L197">
        <v>4</v>
      </c>
      <c r="M197" t="s">
        <v>59</v>
      </c>
      <c r="N197">
        <v>2</v>
      </c>
      <c r="O197">
        <v>2</v>
      </c>
      <c r="P197" t="s">
        <v>145</v>
      </c>
      <c r="Q197">
        <v>4</v>
      </c>
      <c r="R197" t="s">
        <v>113</v>
      </c>
      <c r="S197">
        <v>74530</v>
      </c>
      <c r="T197" t="s">
        <v>64</v>
      </c>
      <c r="U197">
        <v>465.81</v>
      </c>
      <c r="V197">
        <v>1</v>
      </c>
      <c r="W197" t="s">
        <v>47</v>
      </c>
      <c r="X197">
        <v>11</v>
      </c>
      <c r="Y197">
        <v>3</v>
      </c>
      <c r="Z197">
        <v>4</v>
      </c>
      <c r="AA197">
        <v>0</v>
      </c>
      <c r="AB197">
        <v>6</v>
      </c>
      <c r="AC197">
        <v>3</v>
      </c>
      <c r="AD197">
        <v>3</v>
      </c>
      <c r="AE197">
        <v>6</v>
      </c>
      <c r="AF197">
        <v>2</v>
      </c>
      <c r="AG197">
        <v>4</v>
      </c>
      <c r="AH197">
        <v>4</v>
      </c>
      <c r="AI197">
        <f t="shared" si="21"/>
        <v>0</v>
      </c>
      <c r="AJ197" t="str">
        <f t="shared" si="22"/>
        <v>6-10 yrs</v>
      </c>
      <c r="AK197" t="str">
        <f t="shared" si="23"/>
        <v>Overdue</v>
      </c>
      <c r="AL197">
        <f t="shared" si="24"/>
        <v>2</v>
      </c>
      <c r="AM197" t="str">
        <f t="shared" si="25"/>
        <v>Medium Risk</v>
      </c>
      <c r="AN197" s="6">
        <f t="shared" si="26"/>
        <v>0.51922308648932902</v>
      </c>
      <c r="AO197" s="7">
        <f t="shared" si="27"/>
        <v>894360</v>
      </c>
    </row>
    <row r="198" spans="1:41" x14ac:dyDescent="0.3">
      <c r="A198" t="s">
        <v>269</v>
      </c>
      <c r="B198">
        <v>27</v>
      </c>
      <c r="C198" t="s">
        <v>196</v>
      </c>
      <c r="D198" t="s">
        <v>47</v>
      </c>
      <c r="E198" t="s">
        <v>48</v>
      </c>
      <c r="F198">
        <v>135</v>
      </c>
      <c r="G198" t="s">
        <v>49</v>
      </c>
      <c r="H198">
        <v>17</v>
      </c>
      <c r="I198">
        <v>4</v>
      </c>
      <c r="J198" t="s">
        <v>50</v>
      </c>
      <c r="K198">
        <v>1405</v>
      </c>
      <c r="L198">
        <v>4</v>
      </c>
      <c r="M198" t="s">
        <v>59</v>
      </c>
      <c r="N198">
        <v>3</v>
      </c>
      <c r="O198">
        <v>1</v>
      </c>
      <c r="P198" t="s">
        <v>67</v>
      </c>
      <c r="Q198">
        <v>3</v>
      </c>
      <c r="R198" t="s">
        <v>53</v>
      </c>
      <c r="S198">
        <v>94557</v>
      </c>
      <c r="T198" t="s">
        <v>70</v>
      </c>
      <c r="U198">
        <v>590.98</v>
      </c>
      <c r="V198">
        <v>1</v>
      </c>
      <c r="W198" t="s">
        <v>47</v>
      </c>
      <c r="X198">
        <v>13</v>
      </c>
      <c r="Y198">
        <v>3</v>
      </c>
      <c r="Z198">
        <v>4</v>
      </c>
      <c r="AA198">
        <v>0</v>
      </c>
      <c r="AB198">
        <v>8</v>
      </c>
      <c r="AC198">
        <v>2</v>
      </c>
      <c r="AD198">
        <v>3</v>
      </c>
      <c r="AE198">
        <v>8</v>
      </c>
      <c r="AF198">
        <v>2</v>
      </c>
      <c r="AG198">
        <v>7</v>
      </c>
      <c r="AH198">
        <v>7</v>
      </c>
      <c r="AI198">
        <f t="shared" si="21"/>
        <v>1</v>
      </c>
      <c r="AJ198" t="str">
        <f t="shared" si="22"/>
        <v>6-10 yrs</v>
      </c>
      <c r="AK198" t="str">
        <f t="shared" si="23"/>
        <v>Overdue</v>
      </c>
      <c r="AL198">
        <f t="shared" si="24"/>
        <v>2</v>
      </c>
      <c r="AM198" t="str">
        <f t="shared" si="25"/>
        <v>Medium Risk</v>
      </c>
      <c r="AN198" s="6">
        <f t="shared" si="26"/>
        <v>0.89621798114924545</v>
      </c>
      <c r="AO198" s="7">
        <f t="shared" si="27"/>
        <v>1134684</v>
      </c>
    </row>
    <row r="199" spans="1:41" x14ac:dyDescent="0.3">
      <c r="A199" t="s">
        <v>270</v>
      </c>
      <c r="B199">
        <v>27</v>
      </c>
      <c r="C199" t="s">
        <v>196</v>
      </c>
      <c r="D199" t="s">
        <v>55</v>
      </c>
      <c r="E199" t="s">
        <v>48</v>
      </c>
      <c r="F199">
        <v>1377</v>
      </c>
      <c r="G199" t="s">
        <v>49</v>
      </c>
      <c r="H199">
        <v>11</v>
      </c>
      <c r="I199">
        <v>1</v>
      </c>
      <c r="J199" t="s">
        <v>50</v>
      </c>
      <c r="K199">
        <v>1434</v>
      </c>
      <c r="L199">
        <v>2</v>
      </c>
      <c r="M199" t="s">
        <v>51</v>
      </c>
      <c r="N199">
        <v>3</v>
      </c>
      <c r="O199">
        <v>1</v>
      </c>
      <c r="P199" t="s">
        <v>52</v>
      </c>
      <c r="Q199">
        <v>1</v>
      </c>
      <c r="R199" t="s">
        <v>113</v>
      </c>
      <c r="S199">
        <v>62087</v>
      </c>
      <c r="T199" t="s">
        <v>64</v>
      </c>
      <c r="U199">
        <v>388.04</v>
      </c>
      <c r="V199">
        <v>0</v>
      </c>
      <c r="W199" t="s">
        <v>55</v>
      </c>
      <c r="X199">
        <v>14</v>
      </c>
      <c r="Y199">
        <v>3</v>
      </c>
      <c r="Z199">
        <v>2</v>
      </c>
      <c r="AA199">
        <v>0</v>
      </c>
      <c r="AB199">
        <v>6</v>
      </c>
      <c r="AC199">
        <v>3</v>
      </c>
      <c r="AD199">
        <v>4</v>
      </c>
      <c r="AE199">
        <v>5</v>
      </c>
      <c r="AF199">
        <v>0</v>
      </c>
      <c r="AG199">
        <v>1</v>
      </c>
      <c r="AH199">
        <v>4</v>
      </c>
      <c r="AI199">
        <f t="shared" si="21"/>
        <v>0</v>
      </c>
      <c r="AJ199" t="str">
        <f t="shared" si="22"/>
        <v>4-5 yrs</v>
      </c>
      <c r="AK199" t="str">
        <f t="shared" si="23"/>
        <v>Recent</v>
      </c>
      <c r="AL199">
        <f t="shared" si="24"/>
        <v>1</v>
      </c>
      <c r="AM199" t="str">
        <f t="shared" si="25"/>
        <v>Low Risk</v>
      </c>
      <c r="AN199" s="6">
        <f t="shared" si="26"/>
        <v>0.20043081197718512</v>
      </c>
      <c r="AO199" s="7">
        <f t="shared" si="27"/>
        <v>745044</v>
      </c>
    </row>
    <row r="200" spans="1:41" x14ac:dyDescent="0.3">
      <c r="A200" t="s">
        <v>271</v>
      </c>
      <c r="B200">
        <v>27</v>
      </c>
      <c r="C200" t="s">
        <v>196</v>
      </c>
      <c r="D200" t="s">
        <v>55</v>
      </c>
      <c r="E200" t="s">
        <v>48</v>
      </c>
      <c r="F200">
        <v>1302</v>
      </c>
      <c r="G200" t="s">
        <v>49</v>
      </c>
      <c r="H200">
        <v>19</v>
      </c>
      <c r="I200">
        <v>3</v>
      </c>
      <c r="J200" t="s">
        <v>82</v>
      </c>
      <c r="K200">
        <v>1619</v>
      </c>
      <c r="L200">
        <v>4</v>
      </c>
      <c r="M200" t="s">
        <v>51</v>
      </c>
      <c r="N200">
        <v>2</v>
      </c>
      <c r="O200">
        <v>1</v>
      </c>
      <c r="P200" t="s">
        <v>52</v>
      </c>
      <c r="Q200">
        <v>1</v>
      </c>
      <c r="R200" t="s">
        <v>53</v>
      </c>
      <c r="S200">
        <v>96839</v>
      </c>
      <c r="T200" t="s">
        <v>70</v>
      </c>
      <c r="U200">
        <v>605.24</v>
      </c>
      <c r="V200">
        <v>1</v>
      </c>
      <c r="W200" t="s">
        <v>55</v>
      </c>
      <c r="X200">
        <v>11</v>
      </c>
      <c r="Y200">
        <v>3</v>
      </c>
      <c r="Z200">
        <v>1</v>
      </c>
      <c r="AA200">
        <v>2</v>
      </c>
      <c r="AB200">
        <v>7</v>
      </c>
      <c r="AC200">
        <v>3</v>
      </c>
      <c r="AD200">
        <v>3</v>
      </c>
      <c r="AE200">
        <v>7</v>
      </c>
      <c r="AF200">
        <v>7</v>
      </c>
      <c r="AG200">
        <v>0</v>
      </c>
      <c r="AH200">
        <v>7</v>
      </c>
      <c r="AI200">
        <f t="shared" si="21"/>
        <v>0</v>
      </c>
      <c r="AJ200" t="str">
        <f t="shared" si="22"/>
        <v>6-10 yrs</v>
      </c>
      <c r="AK200" t="str">
        <f t="shared" si="23"/>
        <v>Recent</v>
      </c>
      <c r="AL200">
        <f t="shared" si="24"/>
        <v>1</v>
      </c>
      <c r="AM200" t="str">
        <f t="shared" si="25"/>
        <v>Low Risk</v>
      </c>
      <c r="AN200" s="6">
        <f t="shared" si="26"/>
        <v>0.87234879122938191</v>
      </c>
      <c r="AO200" s="7">
        <f t="shared" si="27"/>
        <v>1162068</v>
      </c>
    </row>
    <row r="201" spans="1:41" x14ac:dyDescent="0.3">
      <c r="A201" t="s">
        <v>272</v>
      </c>
      <c r="B201">
        <v>27</v>
      </c>
      <c r="C201" t="s">
        <v>196</v>
      </c>
      <c r="D201" t="s">
        <v>55</v>
      </c>
      <c r="E201" t="s">
        <v>48</v>
      </c>
      <c r="F201">
        <v>486</v>
      </c>
      <c r="G201" t="s">
        <v>49</v>
      </c>
      <c r="H201">
        <v>8</v>
      </c>
      <c r="I201">
        <v>3</v>
      </c>
      <c r="J201" t="s">
        <v>58</v>
      </c>
      <c r="K201">
        <v>1647</v>
      </c>
      <c r="L201">
        <v>2</v>
      </c>
      <c r="M201" t="s">
        <v>59</v>
      </c>
      <c r="N201">
        <v>4</v>
      </c>
      <c r="O201">
        <v>1</v>
      </c>
      <c r="P201" t="s">
        <v>67</v>
      </c>
      <c r="Q201">
        <v>3</v>
      </c>
      <c r="R201" t="s">
        <v>113</v>
      </c>
      <c r="S201">
        <v>69840</v>
      </c>
      <c r="T201" t="s">
        <v>64</v>
      </c>
      <c r="U201">
        <v>436.5</v>
      </c>
      <c r="V201">
        <v>7</v>
      </c>
      <c r="W201" t="s">
        <v>55</v>
      </c>
      <c r="X201">
        <v>17</v>
      </c>
      <c r="Y201">
        <v>3</v>
      </c>
      <c r="Z201">
        <v>1</v>
      </c>
      <c r="AA201">
        <v>0</v>
      </c>
      <c r="AB201">
        <v>5</v>
      </c>
      <c r="AC201">
        <v>0</v>
      </c>
      <c r="AD201">
        <v>3</v>
      </c>
      <c r="AE201">
        <v>3</v>
      </c>
      <c r="AF201">
        <v>2</v>
      </c>
      <c r="AG201">
        <v>0</v>
      </c>
      <c r="AH201">
        <v>2</v>
      </c>
      <c r="AI201">
        <f t="shared" si="21"/>
        <v>0</v>
      </c>
      <c r="AJ201" t="str">
        <f t="shared" si="22"/>
        <v>2-3 yrs</v>
      </c>
      <c r="AK201" t="str">
        <f t="shared" si="23"/>
        <v>Recent</v>
      </c>
      <c r="AL201">
        <f t="shared" si="24"/>
        <v>0</v>
      </c>
      <c r="AM201" t="str">
        <f t="shared" si="25"/>
        <v>Minimal Risk</v>
      </c>
      <c r="AN201" s="6">
        <f t="shared" si="26"/>
        <v>0.40055060760666378</v>
      </c>
      <c r="AO201" s="7">
        <f t="shared" si="27"/>
        <v>838080</v>
      </c>
    </row>
    <row r="202" spans="1:41" x14ac:dyDescent="0.3">
      <c r="A202" t="s">
        <v>273</v>
      </c>
      <c r="B202">
        <v>27</v>
      </c>
      <c r="C202" t="s">
        <v>196</v>
      </c>
      <c r="D202" t="s">
        <v>55</v>
      </c>
      <c r="E202" t="s">
        <v>62</v>
      </c>
      <c r="F202">
        <v>591</v>
      </c>
      <c r="G202" t="s">
        <v>49</v>
      </c>
      <c r="H202">
        <v>2</v>
      </c>
      <c r="I202">
        <v>3</v>
      </c>
      <c r="J202" t="s">
        <v>58</v>
      </c>
      <c r="K202">
        <v>1648</v>
      </c>
      <c r="L202">
        <v>4</v>
      </c>
      <c r="M202" t="s">
        <v>51</v>
      </c>
      <c r="N202">
        <v>3</v>
      </c>
      <c r="O202">
        <v>1</v>
      </c>
      <c r="P202" t="s">
        <v>67</v>
      </c>
      <c r="Q202">
        <v>4</v>
      </c>
      <c r="R202" t="s">
        <v>53</v>
      </c>
      <c r="S202">
        <v>55384</v>
      </c>
      <c r="T202" t="s">
        <v>64</v>
      </c>
      <c r="U202">
        <v>346.15</v>
      </c>
      <c r="V202">
        <v>2</v>
      </c>
      <c r="W202" t="s">
        <v>55</v>
      </c>
      <c r="X202">
        <v>13</v>
      </c>
      <c r="Y202">
        <v>3</v>
      </c>
      <c r="Z202">
        <v>3</v>
      </c>
      <c r="AA202">
        <v>0</v>
      </c>
      <c r="AB202">
        <v>6</v>
      </c>
      <c r="AC202">
        <v>0</v>
      </c>
      <c r="AD202">
        <v>2</v>
      </c>
      <c r="AE202">
        <v>4</v>
      </c>
      <c r="AF202">
        <v>2</v>
      </c>
      <c r="AG202">
        <v>1</v>
      </c>
      <c r="AH202">
        <v>2</v>
      </c>
      <c r="AI202">
        <f t="shared" si="21"/>
        <v>0</v>
      </c>
      <c r="AJ202" t="str">
        <f t="shared" si="22"/>
        <v>4-5 yrs</v>
      </c>
      <c r="AK202" t="str">
        <f t="shared" si="23"/>
        <v>Recent</v>
      </c>
      <c r="AL202">
        <f t="shared" si="24"/>
        <v>1</v>
      </c>
      <c r="AM202" t="str">
        <f t="shared" si="25"/>
        <v>Low Risk</v>
      </c>
      <c r="AN202" s="6">
        <f t="shared" si="26"/>
        <v>0.11065427909059944</v>
      </c>
      <c r="AO202" s="7">
        <f t="shared" si="27"/>
        <v>664608</v>
      </c>
    </row>
    <row r="203" spans="1:41" x14ac:dyDescent="0.3">
      <c r="A203" t="s">
        <v>274</v>
      </c>
      <c r="B203">
        <v>27</v>
      </c>
      <c r="C203" t="s">
        <v>196</v>
      </c>
      <c r="D203" t="s">
        <v>55</v>
      </c>
      <c r="E203" t="s">
        <v>48</v>
      </c>
      <c r="F203">
        <v>1054</v>
      </c>
      <c r="G203" t="s">
        <v>49</v>
      </c>
      <c r="H203">
        <v>8</v>
      </c>
      <c r="I203">
        <v>3</v>
      </c>
      <c r="J203" t="s">
        <v>58</v>
      </c>
      <c r="K203">
        <v>1751</v>
      </c>
      <c r="L203">
        <v>3</v>
      </c>
      <c r="M203" t="s">
        <v>59</v>
      </c>
      <c r="N203">
        <v>3</v>
      </c>
      <c r="O203">
        <v>1</v>
      </c>
      <c r="P203" t="s">
        <v>67</v>
      </c>
      <c r="Q203">
        <v>4</v>
      </c>
      <c r="R203" t="s">
        <v>53</v>
      </c>
      <c r="S203">
        <v>52005</v>
      </c>
      <c r="T203" t="s">
        <v>64</v>
      </c>
      <c r="U203">
        <v>325.02999999999997</v>
      </c>
      <c r="V203">
        <v>1</v>
      </c>
      <c r="W203" t="s">
        <v>55</v>
      </c>
      <c r="X203">
        <v>11</v>
      </c>
      <c r="Y203">
        <v>3</v>
      </c>
      <c r="Z203">
        <v>3</v>
      </c>
      <c r="AA203">
        <v>0</v>
      </c>
      <c r="AB203">
        <v>6</v>
      </c>
      <c r="AC203">
        <v>5</v>
      </c>
      <c r="AD203">
        <v>2</v>
      </c>
      <c r="AE203">
        <v>6</v>
      </c>
      <c r="AF203">
        <v>2</v>
      </c>
      <c r="AG203">
        <v>1</v>
      </c>
      <c r="AH203">
        <v>4</v>
      </c>
      <c r="AI203">
        <f t="shared" si="21"/>
        <v>0</v>
      </c>
      <c r="AJ203" t="str">
        <f t="shared" si="22"/>
        <v>6-10 yrs</v>
      </c>
      <c r="AK203" t="str">
        <f t="shared" si="23"/>
        <v>Recent</v>
      </c>
      <c r="AL203">
        <f t="shared" si="24"/>
        <v>1</v>
      </c>
      <c r="AM203" t="str">
        <f t="shared" si="25"/>
        <v>Low Risk</v>
      </c>
      <c r="AN203" s="6">
        <f t="shared" si="26"/>
        <v>4.2892817133226638E-2</v>
      </c>
      <c r="AO203" s="7">
        <f t="shared" si="27"/>
        <v>624060</v>
      </c>
    </row>
    <row r="204" spans="1:41" x14ac:dyDescent="0.3">
      <c r="A204" t="s">
        <v>275</v>
      </c>
      <c r="B204">
        <v>27</v>
      </c>
      <c r="C204" t="s">
        <v>196</v>
      </c>
      <c r="D204" t="s">
        <v>55</v>
      </c>
      <c r="E204" t="s">
        <v>62</v>
      </c>
      <c r="F204">
        <v>1297</v>
      </c>
      <c r="G204" t="s">
        <v>49</v>
      </c>
      <c r="H204">
        <v>5</v>
      </c>
      <c r="I204">
        <v>2</v>
      </c>
      <c r="J204" t="s">
        <v>50</v>
      </c>
      <c r="K204">
        <v>1850</v>
      </c>
      <c r="L204">
        <v>4</v>
      </c>
      <c r="M204" t="s">
        <v>59</v>
      </c>
      <c r="N204">
        <v>3</v>
      </c>
      <c r="O204">
        <v>1</v>
      </c>
      <c r="P204" t="s">
        <v>52</v>
      </c>
      <c r="Q204">
        <v>4</v>
      </c>
      <c r="R204" t="s">
        <v>53</v>
      </c>
      <c r="S204">
        <v>47576</v>
      </c>
      <c r="T204" t="s">
        <v>72</v>
      </c>
      <c r="U204">
        <v>297.35000000000002</v>
      </c>
      <c r="V204">
        <v>0</v>
      </c>
      <c r="W204" t="s">
        <v>47</v>
      </c>
      <c r="X204">
        <v>14</v>
      </c>
      <c r="Y204">
        <v>3</v>
      </c>
      <c r="Z204">
        <v>3</v>
      </c>
      <c r="AA204">
        <v>0</v>
      </c>
      <c r="AB204">
        <v>6</v>
      </c>
      <c r="AC204">
        <v>3</v>
      </c>
      <c r="AD204">
        <v>2</v>
      </c>
      <c r="AE204">
        <v>5</v>
      </c>
      <c r="AF204">
        <v>4</v>
      </c>
      <c r="AG204">
        <v>0</v>
      </c>
      <c r="AH204">
        <v>2</v>
      </c>
      <c r="AI204">
        <f t="shared" si="21"/>
        <v>0</v>
      </c>
      <c r="AJ204" t="str">
        <f t="shared" si="22"/>
        <v>4-5 yrs</v>
      </c>
      <c r="AK204" t="str">
        <f t="shared" si="23"/>
        <v>Recent</v>
      </c>
      <c r="AL204">
        <f t="shared" si="24"/>
        <v>2</v>
      </c>
      <c r="AM204" t="str">
        <f t="shared" si="25"/>
        <v>Medium Risk</v>
      </c>
      <c r="AN204" s="6">
        <f t="shared" si="26"/>
        <v>-8.0134387059665302E-2</v>
      </c>
      <c r="AO204" s="7">
        <f t="shared" si="27"/>
        <v>570912</v>
      </c>
    </row>
    <row r="205" spans="1:41" x14ac:dyDescent="0.3">
      <c r="A205" t="s">
        <v>276</v>
      </c>
      <c r="B205">
        <v>27</v>
      </c>
      <c r="C205" t="s">
        <v>196</v>
      </c>
      <c r="D205" t="s">
        <v>55</v>
      </c>
      <c r="E205" t="s">
        <v>48</v>
      </c>
      <c r="F205">
        <v>728</v>
      </c>
      <c r="G205" t="s">
        <v>57</v>
      </c>
      <c r="H205">
        <v>23</v>
      </c>
      <c r="I205">
        <v>1</v>
      </c>
      <c r="J205" t="s">
        <v>58</v>
      </c>
      <c r="K205">
        <v>1864</v>
      </c>
      <c r="L205">
        <v>2</v>
      </c>
      <c r="M205" t="s">
        <v>59</v>
      </c>
      <c r="N205">
        <v>2</v>
      </c>
      <c r="O205">
        <v>2</v>
      </c>
      <c r="P205" t="s">
        <v>60</v>
      </c>
      <c r="Q205">
        <v>3</v>
      </c>
      <c r="R205" t="s">
        <v>113</v>
      </c>
      <c r="S205">
        <v>40353</v>
      </c>
      <c r="T205" t="s">
        <v>72</v>
      </c>
      <c r="U205">
        <v>252.21</v>
      </c>
      <c r="V205">
        <v>1</v>
      </c>
      <c r="W205" t="s">
        <v>55</v>
      </c>
      <c r="X205">
        <v>21</v>
      </c>
      <c r="Y205">
        <v>4</v>
      </c>
      <c r="Z205">
        <v>4</v>
      </c>
      <c r="AA205">
        <v>1</v>
      </c>
      <c r="AB205">
        <v>9</v>
      </c>
      <c r="AC205">
        <v>5</v>
      </c>
      <c r="AD205">
        <v>3</v>
      </c>
      <c r="AE205">
        <v>9</v>
      </c>
      <c r="AF205">
        <v>8</v>
      </c>
      <c r="AG205">
        <v>5</v>
      </c>
      <c r="AH205">
        <v>8</v>
      </c>
      <c r="AI205">
        <f t="shared" si="21"/>
        <v>0</v>
      </c>
      <c r="AJ205" t="str">
        <f t="shared" si="22"/>
        <v>6-10 yrs</v>
      </c>
      <c r="AK205" t="str">
        <f t="shared" si="23"/>
        <v>Overdue</v>
      </c>
      <c r="AL205">
        <f t="shared" si="24"/>
        <v>1</v>
      </c>
      <c r="AM205" t="str">
        <f t="shared" si="25"/>
        <v>Low Risk</v>
      </c>
      <c r="AN205" s="6">
        <f t="shared" si="26"/>
        <v>-0.18192540469285143</v>
      </c>
      <c r="AO205" s="7">
        <f t="shared" si="27"/>
        <v>484236</v>
      </c>
    </row>
    <row r="206" spans="1:41" x14ac:dyDescent="0.3">
      <c r="A206" t="s">
        <v>277</v>
      </c>
      <c r="B206">
        <v>27</v>
      </c>
      <c r="C206" t="s">
        <v>196</v>
      </c>
      <c r="D206" t="s">
        <v>55</v>
      </c>
      <c r="E206" t="s">
        <v>62</v>
      </c>
      <c r="F206">
        <v>1131</v>
      </c>
      <c r="G206" t="s">
        <v>49</v>
      </c>
      <c r="H206">
        <v>15</v>
      </c>
      <c r="I206">
        <v>3</v>
      </c>
      <c r="J206" t="s">
        <v>50</v>
      </c>
      <c r="K206">
        <v>1870</v>
      </c>
      <c r="L206">
        <v>4</v>
      </c>
      <c r="M206" t="s">
        <v>59</v>
      </c>
      <c r="N206">
        <v>2</v>
      </c>
      <c r="O206">
        <v>1</v>
      </c>
      <c r="P206" t="s">
        <v>67</v>
      </c>
      <c r="Q206">
        <v>1</v>
      </c>
      <c r="R206" t="s">
        <v>113</v>
      </c>
      <c r="S206">
        <v>63003</v>
      </c>
      <c r="T206" t="s">
        <v>64</v>
      </c>
      <c r="U206">
        <v>393.77</v>
      </c>
      <c r="V206">
        <v>0</v>
      </c>
      <c r="W206" t="s">
        <v>55</v>
      </c>
      <c r="X206">
        <v>19</v>
      </c>
      <c r="Y206">
        <v>3</v>
      </c>
      <c r="Z206">
        <v>4</v>
      </c>
      <c r="AA206">
        <v>1</v>
      </c>
      <c r="AB206">
        <v>8</v>
      </c>
      <c r="AC206">
        <v>2</v>
      </c>
      <c r="AD206">
        <v>2</v>
      </c>
      <c r="AE206">
        <v>7</v>
      </c>
      <c r="AF206">
        <v>6</v>
      </c>
      <c r="AG206">
        <v>7</v>
      </c>
      <c r="AH206">
        <v>3</v>
      </c>
      <c r="AI206">
        <f t="shared" si="21"/>
        <v>0</v>
      </c>
      <c r="AJ206" t="str">
        <f t="shared" si="22"/>
        <v>6-10 yrs</v>
      </c>
      <c r="AK206" t="str">
        <f t="shared" si="23"/>
        <v>Overdue</v>
      </c>
      <c r="AL206">
        <f t="shared" si="24"/>
        <v>3</v>
      </c>
      <c r="AM206" t="str">
        <f t="shared" si="25"/>
        <v>High Risk</v>
      </c>
      <c r="AN206" s="6">
        <f t="shared" si="26"/>
        <v>0.26344344116613166</v>
      </c>
      <c r="AO206" s="7">
        <f t="shared" si="27"/>
        <v>756036</v>
      </c>
    </row>
    <row r="207" spans="1:41" x14ac:dyDescent="0.3">
      <c r="A207" t="s">
        <v>278</v>
      </c>
      <c r="B207">
        <v>27</v>
      </c>
      <c r="C207" t="s">
        <v>196</v>
      </c>
      <c r="D207" t="s">
        <v>55</v>
      </c>
      <c r="E207" t="s">
        <v>48</v>
      </c>
      <c r="F207">
        <v>511</v>
      </c>
      <c r="G207" t="s">
        <v>57</v>
      </c>
      <c r="H207">
        <v>2</v>
      </c>
      <c r="I207">
        <v>2</v>
      </c>
      <c r="J207" t="s">
        <v>58</v>
      </c>
      <c r="K207">
        <v>1898</v>
      </c>
      <c r="L207">
        <v>1</v>
      </c>
      <c r="M207" t="s">
        <v>59</v>
      </c>
      <c r="N207">
        <v>4</v>
      </c>
      <c r="O207">
        <v>2</v>
      </c>
      <c r="P207" t="s">
        <v>145</v>
      </c>
      <c r="Q207">
        <v>3</v>
      </c>
      <c r="R207" t="s">
        <v>53</v>
      </c>
      <c r="S207">
        <v>84211</v>
      </c>
      <c r="T207" t="s">
        <v>70</v>
      </c>
      <c r="U207">
        <v>526.32000000000005</v>
      </c>
      <c r="V207">
        <v>0</v>
      </c>
      <c r="W207" t="s">
        <v>55</v>
      </c>
      <c r="X207">
        <v>14</v>
      </c>
      <c r="Y207">
        <v>3</v>
      </c>
      <c r="Z207">
        <v>2</v>
      </c>
      <c r="AA207">
        <v>0</v>
      </c>
      <c r="AB207">
        <v>9</v>
      </c>
      <c r="AC207">
        <v>5</v>
      </c>
      <c r="AD207">
        <v>2</v>
      </c>
      <c r="AE207">
        <v>8</v>
      </c>
      <c r="AF207">
        <v>7</v>
      </c>
      <c r="AG207">
        <v>0</v>
      </c>
      <c r="AH207">
        <v>7</v>
      </c>
      <c r="AI207">
        <f t="shared" si="21"/>
        <v>0</v>
      </c>
      <c r="AJ207" t="str">
        <f t="shared" si="22"/>
        <v>6-10 yrs</v>
      </c>
      <c r="AK207" t="str">
        <f t="shared" si="23"/>
        <v>Recent</v>
      </c>
      <c r="AL207">
        <f t="shared" si="24"/>
        <v>1</v>
      </c>
      <c r="AM207" t="str">
        <f t="shared" si="25"/>
        <v>Low Risk</v>
      </c>
      <c r="AN207" s="6">
        <f t="shared" si="26"/>
        <v>0.71656105375490264</v>
      </c>
      <c r="AO207" s="7">
        <f t="shared" si="27"/>
        <v>1010532</v>
      </c>
    </row>
    <row r="208" spans="1:41" x14ac:dyDescent="0.3">
      <c r="A208" t="s">
        <v>279</v>
      </c>
      <c r="B208">
        <v>27</v>
      </c>
      <c r="C208" t="s">
        <v>196</v>
      </c>
      <c r="D208" t="s">
        <v>55</v>
      </c>
      <c r="E208" t="s">
        <v>48</v>
      </c>
      <c r="F208">
        <v>1354</v>
      </c>
      <c r="G208" t="s">
        <v>49</v>
      </c>
      <c r="H208">
        <v>2</v>
      </c>
      <c r="I208">
        <v>4</v>
      </c>
      <c r="J208" t="s">
        <v>77</v>
      </c>
      <c r="K208">
        <v>1931</v>
      </c>
      <c r="L208">
        <v>2</v>
      </c>
      <c r="M208" t="s">
        <v>51</v>
      </c>
      <c r="N208">
        <v>3</v>
      </c>
      <c r="O208">
        <v>1</v>
      </c>
      <c r="P208" t="s">
        <v>67</v>
      </c>
      <c r="Q208">
        <v>2</v>
      </c>
      <c r="R208" t="s">
        <v>113</v>
      </c>
      <c r="S208">
        <v>53733</v>
      </c>
      <c r="T208" t="s">
        <v>64</v>
      </c>
      <c r="U208">
        <v>335.83</v>
      </c>
      <c r="V208">
        <v>1</v>
      </c>
      <c r="W208" t="s">
        <v>55</v>
      </c>
      <c r="X208">
        <v>11</v>
      </c>
      <c r="Y208">
        <v>3</v>
      </c>
      <c r="Z208">
        <v>3</v>
      </c>
      <c r="AA208">
        <v>1</v>
      </c>
      <c r="AB208">
        <v>6</v>
      </c>
      <c r="AC208">
        <v>3</v>
      </c>
      <c r="AD208">
        <v>2</v>
      </c>
      <c r="AE208">
        <v>5</v>
      </c>
      <c r="AF208">
        <v>3</v>
      </c>
      <c r="AG208">
        <v>1</v>
      </c>
      <c r="AH208">
        <v>2</v>
      </c>
      <c r="AI208">
        <f t="shared" si="21"/>
        <v>0</v>
      </c>
      <c r="AJ208" t="str">
        <f t="shared" si="22"/>
        <v>4-5 yrs</v>
      </c>
      <c r="AK208" t="str">
        <f t="shared" si="23"/>
        <v>Recent</v>
      </c>
      <c r="AL208">
        <f t="shared" si="24"/>
        <v>2</v>
      </c>
      <c r="AM208" t="str">
        <f t="shared" si="25"/>
        <v>Medium Risk</v>
      </c>
      <c r="AN208" s="6">
        <f t="shared" si="26"/>
        <v>7.7545615671948218E-2</v>
      </c>
      <c r="AO208" s="7">
        <f t="shared" si="27"/>
        <v>644796</v>
      </c>
    </row>
    <row r="209" spans="1:41" x14ac:dyDescent="0.3">
      <c r="A209" t="s">
        <v>280</v>
      </c>
      <c r="B209">
        <v>27</v>
      </c>
      <c r="C209" t="s">
        <v>196</v>
      </c>
      <c r="D209" t="s">
        <v>47</v>
      </c>
      <c r="E209" t="s">
        <v>62</v>
      </c>
      <c r="F209">
        <v>1337</v>
      </c>
      <c r="G209" t="s">
        <v>80</v>
      </c>
      <c r="H209">
        <v>22</v>
      </c>
      <c r="I209">
        <v>3</v>
      </c>
      <c r="J209" t="s">
        <v>80</v>
      </c>
      <c r="K209">
        <v>1944</v>
      </c>
      <c r="L209">
        <v>1</v>
      </c>
      <c r="M209" t="s">
        <v>59</v>
      </c>
      <c r="N209">
        <v>2</v>
      </c>
      <c r="O209">
        <v>1</v>
      </c>
      <c r="P209" t="s">
        <v>80</v>
      </c>
      <c r="Q209">
        <v>2</v>
      </c>
      <c r="R209" t="s">
        <v>113</v>
      </c>
      <c r="S209">
        <v>66318</v>
      </c>
      <c r="T209" t="s">
        <v>64</v>
      </c>
      <c r="U209">
        <v>414.49</v>
      </c>
      <c r="V209">
        <v>1</v>
      </c>
      <c r="W209" t="s">
        <v>55</v>
      </c>
      <c r="X209">
        <v>12</v>
      </c>
      <c r="Y209">
        <v>3</v>
      </c>
      <c r="Z209">
        <v>1</v>
      </c>
      <c r="AA209">
        <v>0</v>
      </c>
      <c r="AB209">
        <v>1</v>
      </c>
      <c r="AC209">
        <v>2</v>
      </c>
      <c r="AD209">
        <v>3</v>
      </c>
      <c r="AE209">
        <v>1</v>
      </c>
      <c r="AF209">
        <v>0</v>
      </c>
      <c r="AG209">
        <v>0</v>
      </c>
      <c r="AH209">
        <v>0</v>
      </c>
      <c r="AI209">
        <f t="shared" si="21"/>
        <v>1</v>
      </c>
      <c r="AJ209" t="str">
        <f t="shared" si="22"/>
        <v>0-1 yr</v>
      </c>
      <c r="AK209" t="str">
        <f t="shared" si="23"/>
        <v>Recent</v>
      </c>
      <c r="AL209">
        <f t="shared" si="24"/>
        <v>1</v>
      </c>
      <c r="AM209" t="str">
        <f t="shared" si="25"/>
        <v>Low Risk</v>
      </c>
      <c r="AN209" s="6">
        <f t="shared" si="26"/>
        <v>0.30691214200986094</v>
      </c>
      <c r="AO209" s="7">
        <f t="shared" si="27"/>
        <v>795816</v>
      </c>
    </row>
    <row r="210" spans="1:41" x14ac:dyDescent="0.3">
      <c r="A210" t="s">
        <v>281</v>
      </c>
      <c r="B210">
        <v>27</v>
      </c>
      <c r="C210" t="s">
        <v>196</v>
      </c>
      <c r="D210" t="s">
        <v>55</v>
      </c>
      <c r="E210" t="s">
        <v>48</v>
      </c>
      <c r="F210">
        <v>954</v>
      </c>
      <c r="G210" t="s">
        <v>57</v>
      </c>
      <c r="H210">
        <v>9</v>
      </c>
      <c r="I210">
        <v>3</v>
      </c>
      <c r="J210" t="s">
        <v>63</v>
      </c>
      <c r="K210">
        <v>1965</v>
      </c>
      <c r="L210">
        <v>4</v>
      </c>
      <c r="M210" t="s">
        <v>51</v>
      </c>
      <c r="N210">
        <v>3</v>
      </c>
      <c r="O210">
        <v>2</v>
      </c>
      <c r="P210" t="s">
        <v>145</v>
      </c>
      <c r="Q210">
        <v>4</v>
      </c>
      <c r="R210" t="s">
        <v>53</v>
      </c>
      <c r="S210">
        <v>90474</v>
      </c>
      <c r="T210" t="s">
        <v>70</v>
      </c>
      <c r="U210">
        <v>565.46</v>
      </c>
      <c r="V210">
        <v>1</v>
      </c>
      <c r="W210" t="s">
        <v>55</v>
      </c>
      <c r="X210">
        <v>14</v>
      </c>
      <c r="Y210">
        <v>3</v>
      </c>
      <c r="Z210">
        <v>1</v>
      </c>
      <c r="AA210">
        <v>0</v>
      </c>
      <c r="AB210">
        <v>7</v>
      </c>
      <c r="AC210">
        <v>5</v>
      </c>
      <c r="AD210">
        <v>3</v>
      </c>
      <c r="AE210">
        <v>7</v>
      </c>
      <c r="AF210">
        <v>7</v>
      </c>
      <c r="AG210">
        <v>0</v>
      </c>
      <c r="AH210">
        <v>7</v>
      </c>
      <c r="AI210">
        <f t="shared" si="21"/>
        <v>0</v>
      </c>
      <c r="AJ210" t="str">
        <f t="shared" si="22"/>
        <v>6-10 yrs</v>
      </c>
      <c r="AK210" t="str">
        <f t="shared" si="23"/>
        <v>Recent</v>
      </c>
      <c r="AL210">
        <f t="shared" si="24"/>
        <v>0</v>
      </c>
      <c r="AM210" t="str">
        <f t="shared" si="25"/>
        <v>Minimal Risk</v>
      </c>
      <c r="AN210" s="6">
        <f t="shared" si="26"/>
        <v>0.8442263454586818</v>
      </c>
      <c r="AO210" s="7">
        <f t="shared" si="27"/>
        <v>1085688</v>
      </c>
    </row>
    <row r="211" spans="1:41" x14ac:dyDescent="0.3">
      <c r="A211" t="s">
        <v>282</v>
      </c>
      <c r="B211">
        <v>27</v>
      </c>
      <c r="C211" t="s">
        <v>196</v>
      </c>
      <c r="D211" t="s">
        <v>55</v>
      </c>
      <c r="E211" t="s">
        <v>48</v>
      </c>
      <c r="F211">
        <v>155</v>
      </c>
      <c r="G211" t="s">
        <v>49</v>
      </c>
      <c r="H211">
        <v>4</v>
      </c>
      <c r="I211">
        <v>3</v>
      </c>
      <c r="J211" t="s">
        <v>50</v>
      </c>
      <c r="K211">
        <v>2064</v>
      </c>
      <c r="L211">
        <v>2</v>
      </c>
      <c r="M211" t="s">
        <v>51</v>
      </c>
      <c r="N211">
        <v>4</v>
      </c>
      <c r="O211">
        <v>2</v>
      </c>
      <c r="P211" t="s">
        <v>120</v>
      </c>
      <c r="Q211">
        <v>2</v>
      </c>
      <c r="R211" t="s">
        <v>113</v>
      </c>
      <c r="S211">
        <v>24664</v>
      </c>
      <c r="T211" t="s">
        <v>54</v>
      </c>
      <c r="U211">
        <v>154.15</v>
      </c>
      <c r="V211">
        <v>1</v>
      </c>
      <c r="W211" t="s">
        <v>47</v>
      </c>
      <c r="X211">
        <v>20</v>
      </c>
      <c r="Y211">
        <v>4</v>
      </c>
      <c r="Z211">
        <v>2</v>
      </c>
      <c r="AA211">
        <v>1</v>
      </c>
      <c r="AB211">
        <v>6</v>
      </c>
      <c r="AC211">
        <v>0</v>
      </c>
      <c r="AD211">
        <v>3</v>
      </c>
      <c r="AE211">
        <v>6</v>
      </c>
      <c r="AF211">
        <v>2</v>
      </c>
      <c r="AG211">
        <v>0</v>
      </c>
      <c r="AH211">
        <v>3</v>
      </c>
      <c r="AI211">
        <f t="shared" si="21"/>
        <v>0</v>
      </c>
      <c r="AJ211" t="str">
        <f t="shared" si="22"/>
        <v>6-10 yrs</v>
      </c>
      <c r="AK211" t="str">
        <f t="shared" si="23"/>
        <v>Recent</v>
      </c>
      <c r="AL211">
        <f t="shared" si="24"/>
        <v>2</v>
      </c>
      <c r="AM211" t="str">
        <f t="shared" si="25"/>
        <v>Medium Risk</v>
      </c>
      <c r="AN211" s="6">
        <f t="shared" si="26"/>
        <v>-0.44319193755364639</v>
      </c>
      <c r="AO211" s="7">
        <f t="shared" si="27"/>
        <v>295968</v>
      </c>
    </row>
    <row r="212" spans="1:41" x14ac:dyDescent="0.3">
      <c r="A212" t="s">
        <v>282</v>
      </c>
      <c r="B212">
        <v>27</v>
      </c>
      <c r="C212" t="s">
        <v>196</v>
      </c>
      <c r="D212" t="s">
        <v>55</v>
      </c>
      <c r="E212" t="s">
        <v>48</v>
      </c>
      <c r="F212">
        <v>155</v>
      </c>
      <c r="G212" t="s">
        <v>49</v>
      </c>
      <c r="H212">
        <v>4</v>
      </c>
      <c r="I212">
        <v>3</v>
      </c>
      <c r="J212" t="s">
        <v>50</v>
      </c>
      <c r="K212">
        <v>2064</v>
      </c>
      <c r="L212">
        <v>2</v>
      </c>
      <c r="M212" t="s">
        <v>51</v>
      </c>
      <c r="N212">
        <v>4</v>
      </c>
      <c r="O212">
        <v>2</v>
      </c>
      <c r="P212" t="s">
        <v>120</v>
      </c>
      <c r="Q212">
        <v>2</v>
      </c>
      <c r="R212" t="s">
        <v>113</v>
      </c>
      <c r="S212">
        <v>68172</v>
      </c>
      <c r="T212" t="s">
        <v>64</v>
      </c>
      <c r="U212">
        <v>426.08</v>
      </c>
      <c r="V212">
        <v>1</v>
      </c>
      <c r="W212" t="s">
        <v>47</v>
      </c>
      <c r="X212">
        <v>20</v>
      </c>
      <c r="Y212">
        <v>4</v>
      </c>
      <c r="Z212">
        <v>2</v>
      </c>
      <c r="AA212">
        <v>1</v>
      </c>
      <c r="AB212">
        <v>6</v>
      </c>
      <c r="AC212">
        <v>0</v>
      </c>
      <c r="AD212">
        <v>3</v>
      </c>
      <c r="AE212">
        <v>6</v>
      </c>
      <c r="AF212">
        <v>2</v>
      </c>
      <c r="AG212">
        <v>0</v>
      </c>
      <c r="AH212">
        <v>3</v>
      </c>
      <c r="AI212">
        <f t="shared" si="21"/>
        <v>0</v>
      </c>
      <c r="AJ212" t="str">
        <f t="shared" si="22"/>
        <v>6-10 yrs</v>
      </c>
      <c r="AK212" t="str">
        <f t="shared" si="23"/>
        <v>Recent</v>
      </c>
      <c r="AL212">
        <f t="shared" si="24"/>
        <v>2</v>
      </c>
      <c r="AM212" t="str">
        <f t="shared" si="25"/>
        <v>Medium Risk</v>
      </c>
      <c r="AN212" s="6">
        <f t="shared" si="26"/>
        <v>0.53903337792299777</v>
      </c>
      <c r="AO212" s="7">
        <f t="shared" si="27"/>
        <v>818064</v>
      </c>
    </row>
    <row r="213" spans="1:41" x14ac:dyDescent="0.3">
      <c r="A213" t="s">
        <v>283</v>
      </c>
      <c r="B213">
        <v>28</v>
      </c>
      <c r="C213" t="s">
        <v>196</v>
      </c>
      <c r="D213" t="s">
        <v>47</v>
      </c>
      <c r="E213" t="s">
        <v>48</v>
      </c>
      <c r="F213">
        <v>103</v>
      </c>
      <c r="G213" t="s">
        <v>49</v>
      </c>
      <c r="H213">
        <v>24</v>
      </c>
      <c r="I213">
        <v>3</v>
      </c>
      <c r="J213" t="s">
        <v>50</v>
      </c>
      <c r="K213">
        <v>19</v>
      </c>
      <c r="L213">
        <v>3</v>
      </c>
      <c r="M213" t="s">
        <v>51</v>
      </c>
      <c r="N213">
        <v>2</v>
      </c>
      <c r="O213">
        <v>1</v>
      </c>
      <c r="P213" t="s">
        <v>52</v>
      </c>
      <c r="Q213">
        <v>3</v>
      </c>
      <c r="R213" t="s">
        <v>53</v>
      </c>
      <c r="S213">
        <v>86616</v>
      </c>
      <c r="T213" t="s">
        <v>70</v>
      </c>
      <c r="U213">
        <v>541.35</v>
      </c>
      <c r="V213">
        <v>5</v>
      </c>
      <c r="W213" t="s">
        <v>47</v>
      </c>
      <c r="X213">
        <v>14</v>
      </c>
      <c r="Y213">
        <v>3</v>
      </c>
      <c r="Z213">
        <v>2</v>
      </c>
      <c r="AA213">
        <v>0</v>
      </c>
      <c r="AB213">
        <v>6</v>
      </c>
      <c r="AC213">
        <v>4</v>
      </c>
      <c r="AD213">
        <v>3</v>
      </c>
      <c r="AE213">
        <v>4</v>
      </c>
      <c r="AF213">
        <v>2</v>
      </c>
      <c r="AG213">
        <v>0</v>
      </c>
      <c r="AH213">
        <v>3</v>
      </c>
      <c r="AI213">
        <f t="shared" si="21"/>
        <v>1</v>
      </c>
      <c r="AJ213" t="str">
        <f t="shared" si="22"/>
        <v>4-5 yrs</v>
      </c>
      <c r="AK213" t="str">
        <f t="shared" si="23"/>
        <v>Recent</v>
      </c>
      <c r="AL213">
        <f t="shared" si="24"/>
        <v>1</v>
      </c>
      <c r="AM213" t="str">
        <f t="shared" si="25"/>
        <v>Low Risk</v>
      </c>
      <c r="AN213" s="6">
        <f t="shared" si="26"/>
        <v>0.67469059884059257</v>
      </c>
      <c r="AO213" s="7">
        <f t="shared" si="27"/>
        <v>1039392</v>
      </c>
    </row>
    <row r="214" spans="1:41" x14ac:dyDescent="0.3">
      <c r="A214" t="s">
        <v>284</v>
      </c>
      <c r="B214">
        <v>28</v>
      </c>
      <c r="C214" t="s">
        <v>196</v>
      </c>
      <c r="D214" t="s">
        <v>47</v>
      </c>
      <c r="E214" t="s">
        <v>48</v>
      </c>
      <c r="F214">
        <v>1434</v>
      </c>
      <c r="G214" t="s">
        <v>49</v>
      </c>
      <c r="H214">
        <v>5</v>
      </c>
      <c r="I214">
        <v>4</v>
      </c>
      <c r="J214" t="s">
        <v>77</v>
      </c>
      <c r="K214">
        <v>65</v>
      </c>
      <c r="L214">
        <v>3</v>
      </c>
      <c r="M214" t="s">
        <v>51</v>
      </c>
      <c r="N214">
        <v>3</v>
      </c>
      <c r="O214">
        <v>1</v>
      </c>
      <c r="P214" t="s">
        <v>52</v>
      </c>
      <c r="Q214">
        <v>3</v>
      </c>
      <c r="R214" t="s">
        <v>53</v>
      </c>
      <c r="S214">
        <v>94264</v>
      </c>
      <c r="T214" t="s">
        <v>70</v>
      </c>
      <c r="U214">
        <v>589.15</v>
      </c>
      <c r="V214">
        <v>1</v>
      </c>
      <c r="W214" t="s">
        <v>47</v>
      </c>
      <c r="X214">
        <v>13</v>
      </c>
      <c r="Y214">
        <v>3</v>
      </c>
      <c r="Z214">
        <v>3</v>
      </c>
      <c r="AA214">
        <v>0</v>
      </c>
      <c r="AB214">
        <v>2</v>
      </c>
      <c r="AC214">
        <v>3</v>
      </c>
      <c r="AD214">
        <v>2</v>
      </c>
      <c r="AE214">
        <v>2</v>
      </c>
      <c r="AF214">
        <v>2</v>
      </c>
      <c r="AG214">
        <v>2</v>
      </c>
      <c r="AH214">
        <v>2</v>
      </c>
      <c r="AI214">
        <f t="shared" si="21"/>
        <v>1</v>
      </c>
      <c r="AJ214" t="str">
        <f t="shared" si="22"/>
        <v>2-3 yrs</v>
      </c>
      <c r="AK214" t="str">
        <f t="shared" si="23"/>
        <v>Recent</v>
      </c>
      <c r="AL214">
        <f t="shared" si="24"/>
        <v>2</v>
      </c>
      <c r="AM214" t="str">
        <f t="shared" si="25"/>
        <v>Medium Risk</v>
      </c>
      <c r="AN214" s="6">
        <f t="shared" si="26"/>
        <v>0.82256205099646273</v>
      </c>
      <c r="AO214" s="7">
        <f t="shared" si="27"/>
        <v>1131168</v>
      </c>
    </row>
    <row r="215" spans="1:41" x14ac:dyDescent="0.3">
      <c r="A215" t="s">
        <v>285</v>
      </c>
      <c r="B215">
        <v>28</v>
      </c>
      <c r="C215" t="s">
        <v>196</v>
      </c>
      <c r="D215" t="s">
        <v>55</v>
      </c>
      <c r="E215" t="s">
        <v>66</v>
      </c>
      <c r="F215">
        <v>120</v>
      </c>
      <c r="G215" t="s">
        <v>57</v>
      </c>
      <c r="H215">
        <v>4</v>
      </c>
      <c r="I215">
        <v>3</v>
      </c>
      <c r="J215" t="s">
        <v>58</v>
      </c>
      <c r="K215">
        <v>129</v>
      </c>
      <c r="L215">
        <v>2</v>
      </c>
      <c r="M215" t="s">
        <v>51</v>
      </c>
      <c r="N215">
        <v>3</v>
      </c>
      <c r="O215">
        <v>2</v>
      </c>
      <c r="P215" t="s">
        <v>145</v>
      </c>
      <c r="Q215">
        <v>3</v>
      </c>
      <c r="R215" t="s">
        <v>113</v>
      </c>
      <c r="S215">
        <v>27736</v>
      </c>
      <c r="T215" t="s">
        <v>72</v>
      </c>
      <c r="U215">
        <v>173.35</v>
      </c>
      <c r="V215">
        <v>1</v>
      </c>
      <c r="W215" t="s">
        <v>55</v>
      </c>
      <c r="X215">
        <v>15</v>
      </c>
      <c r="Y215">
        <v>3</v>
      </c>
      <c r="Z215">
        <v>2</v>
      </c>
      <c r="AA215">
        <v>0</v>
      </c>
      <c r="AB215">
        <v>5</v>
      </c>
      <c r="AC215">
        <v>3</v>
      </c>
      <c r="AD215">
        <v>4</v>
      </c>
      <c r="AE215">
        <v>5</v>
      </c>
      <c r="AF215">
        <v>4</v>
      </c>
      <c r="AG215">
        <v>0</v>
      </c>
      <c r="AH215">
        <v>4</v>
      </c>
      <c r="AI215">
        <f t="shared" si="21"/>
        <v>0</v>
      </c>
      <c r="AJ215" t="str">
        <f t="shared" si="22"/>
        <v>4-5 yrs</v>
      </c>
      <c r="AK215" t="str">
        <f t="shared" si="23"/>
        <v>Recent</v>
      </c>
      <c r="AL215">
        <f t="shared" si="24"/>
        <v>0</v>
      </c>
      <c r="AM215" t="str">
        <f t="shared" si="25"/>
        <v>Minimal Risk</v>
      </c>
      <c r="AN215" s="6">
        <f t="shared" si="26"/>
        <v>-0.43462804874724231</v>
      </c>
      <c r="AO215" s="7">
        <f t="shared" si="27"/>
        <v>332832</v>
      </c>
    </row>
    <row r="216" spans="1:41" x14ac:dyDescent="0.3">
      <c r="A216" t="s">
        <v>286</v>
      </c>
      <c r="B216">
        <v>28</v>
      </c>
      <c r="C216" t="s">
        <v>196</v>
      </c>
      <c r="D216" t="s">
        <v>55</v>
      </c>
      <c r="E216" t="s">
        <v>48</v>
      </c>
      <c r="F216">
        <v>440</v>
      </c>
      <c r="G216" t="s">
        <v>49</v>
      </c>
      <c r="H216">
        <v>21</v>
      </c>
      <c r="I216">
        <v>3</v>
      </c>
      <c r="J216" t="s">
        <v>58</v>
      </c>
      <c r="K216">
        <v>221</v>
      </c>
      <c r="L216">
        <v>3</v>
      </c>
      <c r="M216" t="s">
        <v>51</v>
      </c>
      <c r="N216">
        <v>3</v>
      </c>
      <c r="O216">
        <v>1</v>
      </c>
      <c r="P216" t="s">
        <v>67</v>
      </c>
      <c r="Q216">
        <v>4</v>
      </c>
      <c r="R216" t="s">
        <v>113</v>
      </c>
      <c r="S216">
        <v>95209</v>
      </c>
      <c r="T216" t="s">
        <v>70</v>
      </c>
      <c r="U216">
        <v>595.05999999999995</v>
      </c>
      <c r="V216">
        <v>1</v>
      </c>
      <c r="W216" t="s">
        <v>55</v>
      </c>
      <c r="X216">
        <v>11</v>
      </c>
      <c r="Y216">
        <v>3</v>
      </c>
      <c r="Z216">
        <v>3</v>
      </c>
      <c r="AA216">
        <v>1</v>
      </c>
      <c r="AB216">
        <v>5</v>
      </c>
      <c r="AC216">
        <v>2</v>
      </c>
      <c r="AD216">
        <v>1</v>
      </c>
      <c r="AE216">
        <v>5</v>
      </c>
      <c r="AF216">
        <v>2</v>
      </c>
      <c r="AG216">
        <v>0</v>
      </c>
      <c r="AH216">
        <v>2</v>
      </c>
      <c r="AI216">
        <f t="shared" si="21"/>
        <v>0</v>
      </c>
      <c r="AJ216" t="str">
        <f t="shared" si="22"/>
        <v>4-5 yrs</v>
      </c>
      <c r="AK216" t="str">
        <f t="shared" si="23"/>
        <v>Recent</v>
      </c>
      <c r="AL216">
        <f t="shared" si="24"/>
        <v>1</v>
      </c>
      <c r="AM216" t="str">
        <f t="shared" si="25"/>
        <v>Low Risk</v>
      </c>
      <c r="AN216" s="6">
        <f t="shared" si="26"/>
        <v>0.90929299541269826</v>
      </c>
      <c r="AO216" s="7">
        <f t="shared" si="27"/>
        <v>1142508</v>
      </c>
    </row>
    <row r="217" spans="1:41" x14ac:dyDescent="0.3">
      <c r="A217" t="s">
        <v>287</v>
      </c>
      <c r="B217">
        <v>28</v>
      </c>
      <c r="C217" t="s">
        <v>196</v>
      </c>
      <c r="D217" t="s">
        <v>47</v>
      </c>
      <c r="E217" t="s">
        <v>48</v>
      </c>
      <c r="F217">
        <v>529</v>
      </c>
      <c r="G217" t="s">
        <v>49</v>
      </c>
      <c r="H217">
        <v>2</v>
      </c>
      <c r="I217">
        <v>4</v>
      </c>
      <c r="J217" t="s">
        <v>50</v>
      </c>
      <c r="K217">
        <v>364</v>
      </c>
      <c r="L217">
        <v>1</v>
      </c>
      <c r="M217" t="s">
        <v>51</v>
      </c>
      <c r="N217">
        <v>3</v>
      </c>
      <c r="O217">
        <v>1</v>
      </c>
      <c r="P217" t="s">
        <v>52</v>
      </c>
      <c r="Q217">
        <v>3</v>
      </c>
      <c r="R217" t="s">
        <v>53</v>
      </c>
      <c r="S217">
        <v>1854</v>
      </c>
      <c r="T217" t="s">
        <v>54</v>
      </c>
      <c r="U217">
        <v>11.59</v>
      </c>
      <c r="V217">
        <v>2</v>
      </c>
      <c r="W217" t="s">
        <v>55</v>
      </c>
      <c r="X217">
        <v>11</v>
      </c>
      <c r="Y217">
        <v>3</v>
      </c>
      <c r="Z217">
        <v>3</v>
      </c>
      <c r="AA217">
        <v>0</v>
      </c>
      <c r="AB217">
        <v>5</v>
      </c>
      <c r="AC217">
        <v>5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f t="shared" si="21"/>
        <v>1</v>
      </c>
      <c r="AJ217" t="str">
        <f t="shared" si="22"/>
        <v>0-1 yr</v>
      </c>
      <c r="AK217" t="str">
        <f t="shared" si="23"/>
        <v>Recent</v>
      </c>
      <c r="AL217">
        <f t="shared" si="24"/>
        <v>1</v>
      </c>
      <c r="AM217" t="str">
        <f t="shared" si="25"/>
        <v>Low Risk</v>
      </c>
      <c r="AN217" s="6">
        <f t="shared" si="26"/>
        <v>-0.96415354703229816</v>
      </c>
      <c r="AO217" s="7">
        <f t="shared" si="27"/>
        <v>22248</v>
      </c>
    </row>
    <row r="218" spans="1:41" x14ac:dyDescent="0.3">
      <c r="A218" t="s">
        <v>288</v>
      </c>
      <c r="B218">
        <v>28</v>
      </c>
      <c r="C218" t="s">
        <v>196</v>
      </c>
      <c r="D218" t="s">
        <v>55</v>
      </c>
      <c r="E218" t="s">
        <v>48</v>
      </c>
      <c r="F218">
        <v>1158</v>
      </c>
      <c r="G218" t="s">
        <v>49</v>
      </c>
      <c r="H218">
        <v>9</v>
      </c>
      <c r="I218">
        <v>3</v>
      </c>
      <c r="J218" t="s">
        <v>58</v>
      </c>
      <c r="K218">
        <v>377</v>
      </c>
      <c r="L218">
        <v>4</v>
      </c>
      <c r="M218" t="s">
        <v>51</v>
      </c>
      <c r="N218">
        <v>3</v>
      </c>
      <c r="O218">
        <v>1</v>
      </c>
      <c r="P218" t="s">
        <v>67</v>
      </c>
      <c r="Q218">
        <v>4</v>
      </c>
      <c r="R218" t="s">
        <v>113</v>
      </c>
      <c r="S218">
        <v>91084</v>
      </c>
      <c r="T218" t="s">
        <v>70</v>
      </c>
      <c r="U218">
        <v>569.28</v>
      </c>
      <c r="V218">
        <v>1</v>
      </c>
      <c r="W218" t="s">
        <v>55</v>
      </c>
      <c r="X218">
        <v>23</v>
      </c>
      <c r="Y218">
        <v>4</v>
      </c>
      <c r="Z218">
        <v>4</v>
      </c>
      <c r="AA218">
        <v>1</v>
      </c>
      <c r="AB218">
        <v>5</v>
      </c>
      <c r="AC218">
        <v>3</v>
      </c>
      <c r="AD218">
        <v>2</v>
      </c>
      <c r="AE218">
        <v>5</v>
      </c>
      <c r="AF218">
        <v>2</v>
      </c>
      <c r="AG218">
        <v>0</v>
      </c>
      <c r="AH218">
        <v>4</v>
      </c>
      <c r="AI218">
        <f t="shared" si="21"/>
        <v>0</v>
      </c>
      <c r="AJ218" t="str">
        <f t="shared" si="22"/>
        <v>4-5 yrs</v>
      </c>
      <c r="AK218" t="str">
        <f t="shared" si="23"/>
        <v>Recent</v>
      </c>
      <c r="AL218">
        <f t="shared" si="24"/>
        <v>1</v>
      </c>
      <c r="AM218" t="str">
        <f t="shared" si="25"/>
        <v>Low Risk</v>
      </c>
      <c r="AN218" s="6">
        <f t="shared" si="26"/>
        <v>0.82657147112321538</v>
      </c>
      <c r="AO218" s="7">
        <f t="shared" si="27"/>
        <v>1093008</v>
      </c>
    </row>
    <row r="219" spans="1:41" x14ac:dyDescent="0.3">
      <c r="A219" t="s">
        <v>289</v>
      </c>
      <c r="B219">
        <v>28</v>
      </c>
      <c r="C219" t="s">
        <v>196</v>
      </c>
      <c r="D219" t="s">
        <v>55</v>
      </c>
      <c r="E219" t="s">
        <v>48</v>
      </c>
      <c r="F219">
        <v>1117</v>
      </c>
      <c r="G219" t="s">
        <v>49</v>
      </c>
      <c r="H219">
        <v>8</v>
      </c>
      <c r="I219">
        <v>2</v>
      </c>
      <c r="J219" t="s">
        <v>50</v>
      </c>
      <c r="K219">
        <v>395</v>
      </c>
      <c r="L219">
        <v>4</v>
      </c>
      <c r="M219" t="s">
        <v>59</v>
      </c>
      <c r="N219">
        <v>3</v>
      </c>
      <c r="O219">
        <v>1</v>
      </c>
      <c r="P219" t="s">
        <v>67</v>
      </c>
      <c r="Q219">
        <v>4</v>
      </c>
      <c r="R219" t="s">
        <v>53</v>
      </c>
      <c r="S219">
        <v>39623</v>
      </c>
      <c r="T219" t="s">
        <v>72</v>
      </c>
      <c r="U219">
        <v>247.64</v>
      </c>
      <c r="V219">
        <v>1</v>
      </c>
      <c r="W219" t="s">
        <v>55</v>
      </c>
      <c r="X219">
        <v>21</v>
      </c>
      <c r="Y219">
        <v>4</v>
      </c>
      <c r="Z219">
        <v>4</v>
      </c>
      <c r="AA219">
        <v>0</v>
      </c>
      <c r="AB219">
        <v>5</v>
      </c>
      <c r="AC219">
        <v>3</v>
      </c>
      <c r="AD219">
        <v>3</v>
      </c>
      <c r="AE219">
        <v>5</v>
      </c>
      <c r="AF219">
        <v>3</v>
      </c>
      <c r="AG219">
        <v>0</v>
      </c>
      <c r="AH219">
        <v>2</v>
      </c>
      <c r="AI219">
        <f t="shared" si="21"/>
        <v>0</v>
      </c>
      <c r="AJ219" t="str">
        <f t="shared" si="22"/>
        <v>4-5 yrs</v>
      </c>
      <c r="AK219" t="str">
        <f t="shared" si="23"/>
        <v>Recent</v>
      </c>
      <c r="AL219">
        <f t="shared" si="24"/>
        <v>0</v>
      </c>
      <c r="AM219" t="str">
        <f t="shared" si="25"/>
        <v>Minimal Risk</v>
      </c>
      <c r="AN219" s="6">
        <f t="shared" si="26"/>
        <v>-0.20541213165522856</v>
      </c>
      <c r="AO219" s="7">
        <f t="shared" si="27"/>
        <v>475476</v>
      </c>
    </row>
    <row r="220" spans="1:41" x14ac:dyDescent="0.3">
      <c r="A220" t="s">
        <v>290</v>
      </c>
      <c r="B220">
        <v>28</v>
      </c>
      <c r="C220" t="s">
        <v>196</v>
      </c>
      <c r="D220" t="s">
        <v>55</v>
      </c>
      <c r="E220" t="s">
        <v>48</v>
      </c>
      <c r="F220">
        <v>1476</v>
      </c>
      <c r="G220" t="s">
        <v>49</v>
      </c>
      <c r="H220">
        <v>16</v>
      </c>
      <c r="I220">
        <v>2</v>
      </c>
      <c r="J220" t="s">
        <v>58</v>
      </c>
      <c r="K220">
        <v>412</v>
      </c>
      <c r="L220">
        <v>2</v>
      </c>
      <c r="M220" t="s">
        <v>51</v>
      </c>
      <c r="N220">
        <v>4</v>
      </c>
      <c r="O220">
        <v>2</v>
      </c>
      <c r="P220" t="s">
        <v>168</v>
      </c>
      <c r="Q220">
        <v>1</v>
      </c>
      <c r="R220" t="s">
        <v>53</v>
      </c>
      <c r="S220">
        <v>8392</v>
      </c>
      <c r="T220" t="s">
        <v>54</v>
      </c>
      <c r="U220">
        <v>52.45</v>
      </c>
      <c r="V220">
        <v>0</v>
      </c>
      <c r="W220" t="s">
        <v>55</v>
      </c>
      <c r="X220">
        <v>19</v>
      </c>
      <c r="Y220">
        <v>3</v>
      </c>
      <c r="Z220">
        <v>3</v>
      </c>
      <c r="AA220">
        <v>0</v>
      </c>
      <c r="AB220">
        <v>9</v>
      </c>
      <c r="AC220">
        <v>2</v>
      </c>
      <c r="AD220">
        <v>3</v>
      </c>
      <c r="AE220">
        <v>8</v>
      </c>
      <c r="AF220">
        <v>3</v>
      </c>
      <c r="AG220">
        <v>0</v>
      </c>
      <c r="AH220">
        <v>7</v>
      </c>
      <c r="AI220">
        <f t="shared" si="21"/>
        <v>0</v>
      </c>
      <c r="AJ220" t="str">
        <f t="shared" si="22"/>
        <v>6-10 yrs</v>
      </c>
      <c r="AK220" t="str">
        <f t="shared" si="23"/>
        <v>Recent</v>
      </c>
      <c r="AL220">
        <f t="shared" si="24"/>
        <v>1</v>
      </c>
      <c r="AM220" t="str">
        <f t="shared" si="25"/>
        <v>Low Risk</v>
      </c>
      <c r="AN220" s="6">
        <f t="shared" si="26"/>
        <v>-0.82585288921037336</v>
      </c>
      <c r="AO220" s="7">
        <f t="shared" si="27"/>
        <v>100704</v>
      </c>
    </row>
    <row r="221" spans="1:41" x14ac:dyDescent="0.3">
      <c r="A221" t="s">
        <v>291</v>
      </c>
      <c r="B221">
        <v>28</v>
      </c>
      <c r="C221" t="s">
        <v>196</v>
      </c>
      <c r="D221" t="s">
        <v>47</v>
      </c>
      <c r="E221" t="s">
        <v>48</v>
      </c>
      <c r="F221">
        <v>1157</v>
      </c>
      <c r="G221" t="s">
        <v>49</v>
      </c>
      <c r="H221">
        <v>2</v>
      </c>
      <c r="I221">
        <v>4</v>
      </c>
      <c r="J221" t="s">
        <v>58</v>
      </c>
      <c r="K221">
        <v>440</v>
      </c>
      <c r="L221">
        <v>1</v>
      </c>
      <c r="M221" t="s">
        <v>51</v>
      </c>
      <c r="N221">
        <v>1</v>
      </c>
      <c r="O221">
        <v>1</v>
      </c>
      <c r="P221" t="s">
        <v>67</v>
      </c>
      <c r="Q221">
        <v>4</v>
      </c>
      <c r="R221" t="s">
        <v>113</v>
      </c>
      <c r="S221">
        <v>56680</v>
      </c>
      <c r="T221" t="s">
        <v>64</v>
      </c>
      <c r="U221">
        <v>354.25</v>
      </c>
      <c r="V221">
        <v>5</v>
      </c>
      <c r="W221" t="s">
        <v>47</v>
      </c>
      <c r="X221">
        <v>13</v>
      </c>
      <c r="Y221">
        <v>3</v>
      </c>
      <c r="Z221">
        <v>4</v>
      </c>
      <c r="AA221">
        <v>0</v>
      </c>
      <c r="AB221">
        <v>5</v>
      </c>
      <c r="AC221">
        <v>4</v>
      </c>
      <c r="AD221">
        <v>2</v>
      </c>
      <c r="AE221">
        <v>3</v>
      </c>
      <c r="AF221">
        <v>2</v>
      </c>
      <c r="AG221">
        <v>2</v>
      </c>
      <c r="AH221">
        <v>2</v>
      </c>
      <c r="AI221">
        <f t="shared" si="21"/>
        <v>1</v>
      </c>
      <c r="AJ221" t="str">
        <f t="shared" si="22"/>
        <v>2-3 yrs</v>
      </c>
      <c r="AK221" t="str">
        <f t="shared" si="23"/>
        <v>Recent</v>
      </c>
      <c r="AL221">
        <f t="shared" si="24"/>
        <v>2</v>
      </c>
      <c r="AM221" t="str">
        <f t="shared" si="25"/>
        <v>Medium Risk</v>
      </c>
      <c r="AN221" s="6">
        <f t="shared" si="26"/>
        <v>0.13664387799464062</v>
      </c>
      <c r="AO221" s="7">
        <f t="shared" si="27"/>
        <v>680160</v>
      </c>
    </row>
    <row r="222" spans="1:41" x14ac:dyDescent="0.3">
      <c r="A222" t="s">
        <v>292</v>
      </c>
      <c r="B222">
        <v>28</v>
      </c>
      <c r="C222" t="s">
        <v>196</v>
      </c>
      <c r="D222" t="s">
        <v>55</v>
      </c>
      <c r="E222" t="s">
        <v>48</v>
      </c>
      <c r="F222">
        <v>304</v>
      </c>
      <c r="G222" t="s">
        <v>57</v>
      </c>
      <c r="H222">
        <v>9</v>
      </c>
      <c r="I222">
        <v>4</v>
      </c>
      <c r="J222" t="s">
        <v>50</v>
      </c>
      <c r="K222">
        <v>498</v>
      </c>
      <c r="L222">
        <v>2</v>
      </c>
      <c r="M222" t="s">
        <v>51</v>
      </c>
      <c r="N222">
        <v>3</v>
      </c>
      <c r="O222">
        <v>2</v>
      </c>
      <c r="P222" t="s">
        <v>145</v>
      </c>
      <c r="Q222">
        <v>4</v>
      </c>
      <c r="R222" t="s">
        <v>53</v>
      </c>
      <c r="S222">
        <v>47717</v>
      </c>
      <c r="T222" t="s">
        <v>72</v>
      </c>
      <c r="U222">
        <v>298.23</v>
      </c>
      <c r="V222">
        <v>1</v>
      </c>
      <c r="W222" t="s">
        <v>55</v>
      </c>
      <c r="X222">
        <v>16</v>
      </c>
      <c r="Y222">
        <v>3</v>
      </c>
      <c r="Z222">
        <v>4</v>
      </c>
      <c r="AA222">
        <v>0</v>
      </c>
      <c r="AB222">
        <v>7</v>
      </c>
      <c r="AC222">
        <v>1</v>
      </c>
      <c r="AD222">
        <v>3</v>
      </c>
      <c r="AE222">
        <v>7</v>
      </c>
      <c r="AF222">
        <v>5</v>
      </c>
      <c r="AG222">
        <v>0</v>
      </c>
      <c r="AH222">
        <v>7</v>
      </c>
      <c r="AI222">
        <f t="shared" si="21"/>
        <v>0</v>
      </c>
      <c r="AJ222" t="str">
        <f t="shared" si="22"/>
        <v>6-10 yrs</v>
      </c>
      <c r="AK222" t="str">
        <f t="shared" si="23"/>
        <v>Recent</v>
      </c>
      <c r="AL222">
        <f t="shared" si="24"/>
        <v>0</v>
      </c>
      <c r="AM222" t="str">
        <f t="shared" si="25"/>
        <v>Minimal Risk</v>
      </c>
      <c r="AN222" s="6">
        <f t="shared" si="26"/>
        <v>-2.7334388595044744E-2</v>
      </c>
      <c r="AO222" s="7">
        <f t="shared" si="27"/>
        <v>572604</v>
      </c>
    </row>
    <row r="223" spans="1:41" x14ac:dyDescent="0.3">
      <c r="A223" t="s">
        <v>293</v>
      </c>
      <c r="B223">
        <v>28</v>
      </c>
      <c r="C223" t="s">
        <v>196</v>
      </c>
      <c r="D223" t="s">
        <v>55</v>
      </c>
      <c r="E223" t="s">
        <v>48</v>
      </c>
      <c r="F223">
        <v>1300</v>
      </c>
      <c r="G223" t="s">
        <v>49</v>
      </c>
      <c r="H223">
        <v>17</v>
      </c>
      <c r="I223">
        <v>2</v>
      </c>
      <c r="J223" t="s">
        <v>58</v>
      </c>
      <c r="K223">
        <v>536</v>
      </c>
      <c r="L223">
        <v>3</v>
      </c>
      <c r="M223" t="s">
        <v>51</v>
      </c>
      <c r="N223">
        <v>3</v>
      </c>
      <c r="O223">
        <v>2</v>
      </c>
      <c r="P223" t="s">
        <v>52</v>
      </c>
      <c r="Q223">
        <v>1</v>
      </c>
      <c r="R223" t="s">
        <v>53</v>
      </c>
      <c r="S223">
        <v>88092</v>
      </c>
      <c r="T223" t="s">
        <v>70</v>
      </c>
      <c r="U223">
        <v>550.58000000000004</v>
      </c>
      <c r="V223">
        <v>1</v>
      </c>
      <c r="W223" t="s">
        <v>55</v>
      </c>
      <c r="X223">
        <v>12</v>
      </c>
      <c r="Y223">
        <v>3</v>
      </c>
      <c r="Z223">
        <v>4</v>
      </c>
      <c r="AA223">
        <v>1</v>
      </c>
      <c r="AB223">
        <v>10</v>
      </c>
      <c r="AC223">
        <v>2</v>
      </c>
      <c r="AD223">
        <v>3</v>
      </c>
      <c r="AE223">
        <v>10</v>
      </c>
      <c r="AF223">
        <v>0</v>
      </c>
      <c r="AG223">
        <v>1</v>
      </c>
      <c r="AH223">
        <v>0</v>
      </c>
      <c r="AI223">
        <f t="shared" si="21"/>
        <v>0</v>
      </c>
      <c r="AJ223" t="str">
        <f t="shared" si="22"/>
        <v>6-10 yrs</v>
      </c>
      <c r="AK223" t="str">
        <f t="shared" si="23"/>
        <v>Recent</v>
      </c>
      <c r="AL223">
        <f t="shared" si="24"/>
        <v>1</v>
      </c>
      <c r="AM223" t="str">
        <f t="shared" si="25"/>
        <v>Low Risk</v>
      </c>
      <c r="AN223" s="6">
        <f t="shared" si="26"/>
        <v>0.70322855168866583</v>
      </c>
      <c r="AO223" s="7">
        <f t="shared" si="27"/>
        <v>1057104</v>
      </c>
    </row>
    <row r="224" spans="1:41" x14ac:dyDescent="0.3">
      <c r="A224" t="s">
        <v>294</v>
      </c>
      <c r="B224">
        <v>28</v>
      </c>
      <c r="C224" t="s">
        <v>196</v>
      </c>
      <c r="D224" t="s">
        <v>47</v>
      </c>
      <c r="E224" t="s">
        <v>48</v>
      </c>
      <c r="F224">
        <v>654</v>
      </c>
      <c r="G224" t="s">
        <v>49</v>
      </c>
      <c r="H224">
        <v>1</v>
      </c>
      <c r="I224">
        <v>2</v>
      </c>
      <c r="J224" t="s">
        <v>50</v>
      </c>
      <c r="K224">
        <v>741</v>
      </c>
      <c r="L224">
        <v>1</v>
      </c>
      <c r="M224" t="s">
        <v>59</v>
      </c>
      <c r="N224">
        <v>1</v>
      </c>
      <c r="O224">
        <v>1</v>
      </c>
      <c r="P224" t="s">
        <v>67</v>
      </c>
      <c r="Q224">
        <v>2</v>
      </c>
      <c r="R224" t="s">
        <v>53</v>
      </c>
      <c r="S224">
        <v>51859</v>
      </c>
      <c r="T224" t="s">
        <v>64</v>
      </c>
      <c r="U224">
        <v>324.12</v>
      </c>
      <c r="V224">
        <v>7</v>
      </c>
      <c r="W224" t="s">
        <v>47</v>
      </c>
      <c r="X224">
        <v>13</v>
      </c>
      <c r="Y224">
        <v>3</v>
      </c>
      <c r="Z224">
        <v>4</v>
      </c>
      <c r="AA224">
        <v>0</v>
      </c>
      <c r="AB224">
        <v>10</v>
      </c>
      <c r="AC224">
        <v>4</v>
      </c>
      <c r="AD224">
        <v>3</v>
      </c>
      <c r="AE224">
        <v>7</v>
      </c>
      <c r="AF224">
        <v>7</v>
      </c>
      <c r="AG224">
        <v>3</v>
      </c>
      <c r="AH224">
        <v>7</v>
      </c>
      <c r="AI224">
        <f t="shared" si="21"/>
        <v>1</v>
      </c>
      <c r="AJ224" t="str">
        <f t="shared" si="22"/>
        <v>6-10 yrs</v>
      </c>
      <c r="AK224" t="str">
        <f t="shared" si="23"/>
        <v>Overdue</v>
      </c>
      <c r="AL224">
        <f t="shared" si="24"/>
        <v>3</v>
      </c>
      <c r="AM224" t="str">
        <f t="shared" si="25"/>
        <v>High Risk</v>
      </c>
      <c r="AN224" s="6">
        <f t="shared" si="26"/>
        <v>3.9964976515950393E-2</v>
      </c>
      <c r="AO224" s="7">
        <f t="shared" si="27"/>
        <v>622308</v>
      </c>
    </row>
    <row r="225" spans="1:41" x14ac:dyDescent="0.3">
      <c r="A225" t="s">
        <v>295</v>
      </c>
      <c r="B225">
        <v>28</v>
      </c>
      <c r="C225" t="s">
        <v>196</v>
      </c>
      <c r="D225" t="s">
        <v>47</v>
      </c>
      <c r="E225" t="s">
        <v>48</v>
      </c>
      <c r="F225">
        <v>890</v>
      </c>
      <c r="G225" t="s">
        <v>49</v>
      </c>
      <c r="H225">
        <v>2</v>
      </c>
      <c r="I225">
        <v>4</v>
      </c>
      <c r="J225" t="s">
        <v>58</v>
      </c>
      <c r="K225">
        <v>828</v>
      </c>
      <c r="L225">
        <v>3</v>
      </c>
      <c r="M225" t="s">
        <v>51</v>
      </c>
      <c r="N225">
        <v>3</v>
      </c>
      <c r="O225">
        <v>1</v>
      </c>
      <c r="P225" t="s">
        <v>67</v>
      </c>
      <c r="Q225">
        <v>3</v>
      </c>
      <c r="R225" t="s">
        <v>53</v>
      </c>
      <c r="S225">
        <v>27309</v>
      </c>
      <c r="T225" t="s">
        <v>72</v>
      </c>
      <c r="U225">
        <v>170.68</v>
      </c>
      <c r="V225">
        <v>6</v>
      </c>
      <c r="W225" t="s">
        <v>55</v>
      </c>
      <c r="X225">
        <v>17</v>
      </c>
      <c r="Y225">
        <v>3</v>
      </c>
      <c r="Z225">
        <v>4</v>
      </c>
      <c r="AA225">
        <v>0</v>
      </c>
      <c r="AB225">
        <v>5</v>
      </c>
      <c r="AC225">
        <v>3</v>
      </c>
      <c r="AD225">
        <v>2</v>
      </c>
      <c r="AE225">
        <v>2</v>
      </c>
      <c r="AF225">
        <v>2</v>
      </c>
      <c r="AG225">
        <v>2</v>
      </c>
      <c r="AH225">
        <v>1</v>
      </c>
      <c r="AI225">
        <f t="shared" si="21"/>
        <v>1</v>
      </c>
      <c r="AJ225" t="str">
        <f t="shared" si="22"/>
        <v>2-3 yrs</v>
      </c>
      <c r="AK225" t="str">
        <f t="shared" si="23"/>
        <v>Recent</v>
      </c>
      <c r="AL225">
        <f t="shared" si="24"/>
        <v>1</v>
      </c>
      <c r="AM225" t="str">
        <f t="shared" si="25"/>
        <v>Low Risk</v>
      </c>
      <c r="AN225" s="6">
        <f t="shared" si="26"/>
        <v>-0.45235342864933592</v>
      </c>
      <c r="AO225" s="7">
        <f t="shared" si="27"/>
        <v>327708</v>
      </c>
    </row>
    <row r="226" spans="1:41" x14ac:dyDescent="0.3">
      <c r="A226" t="s">
        <v>296</v>
      </c>
      <c r="B226">
        <v>28</v>
      </c>
      <c r="C226" t="s">
        <v>196</v>
      </c>
      <c r="D226" t="s">
        <v>55</v>
      </c>
      <c r="E226" t="s">
        <v>48</v>
      </c>
      <c r="F226">
        <v>760</v>
      </c>
      <c r="G226" t="s">
        <v>57</v>
      </c>
      <c r="H226">
        <v>2</v>
      </c>
      <c r="I226">
        <v>4</v>
      </c>
      <c r="J226" t="s">
        <v>63</v>
      </c>
      <c r="K226">
        <v>846</v>
      </c>
      <c r="L226">
        <v>2</v>
      </c>
      <c r="M226" t="s">
        <v>59</v>
      </c>
      <c r="N226">
        <v>3</v>
      </c>
      <c r="O226">
        <v>2</v>
      </c>
      <c r="P226" t="s">
        <v>145</v>
      </c>
      <c r="Q226">
        <v>2</v>
      </c>
      <c r="R226" t="s">
        <v>113</v>
      </c>
      <c r="S226">
        <v>88455</v>
      </c>
      <c r="T226" t="s">
        <v>70</v>
      </c>
      <c r="U226">
        <v>552.84</v>
      </c>
      <c r="V226">
        <v>1</v>
      </c>
      <c r="W226" t="s">
        <v>47</v>
      </c>
      <c r="X226">
        <v>20</v>
      </c>
      <c r="Y226">
        <v>4</v>
      </c>
      <c r="Z226">
        <v>1</v>
      </c>
      <c r="AA226">
        <v>0</v>
      </c>
      <c r="AB226">
        <v>8</v>
      </c>
      <c r="AC226">
        <v>2</v>
      </c>
      <c r="AD226">
        <v>3</v>
      </c>
      <c r="AE226">
        <v>8</v>
      </c>
      <c r="AF226">
        <v>7</v>
      </c>
      <c r="AG226">
        <v>7</v>
      </c>
      <c r="AH226">
        <v>5</v>
      </c>
      <c r="AI226">
        <f t="shared" si="21"/>
        <v>0</v>
      </c>
      <c r="AJ226" t="str">
        <f t="shared" si="22"/>
        <v>6-10 yrs</v>
      </c>
      <c r="AK226" t="str">
        <f t="shared" si="23"/>
        <v>Overdue</v>
      </c>
      <c r="AL226">
        <f t="shared" si="24"/>
        <v>3</v>
      </c>
      <c r="AM226" t="str">
        <f t="shared" si="25"/>
        <v>High Risk</v>
      </c>
      <c r="AN226" s="6">
        <f t="shared" si="26"/>
        <v>0.80307095284333296</v>
      </c>
      <c r="AO226" s="7">
        <f t="shared" si="27"/>
        <v>1061460</v>
      </c>
    </row>
    <row r="227" spans="1:41" x14ac:dyDescent="0.3">
      <c r="A227" t="s">
        <v>297</v>
      </c>
      <c r="B227">
        <v>28</v>
      </c>
      <c r="C227" t="s">
        <v>196</v>
      </c>
      <c r="D227" t="s">
        <v>55</v>
      </c>
      <c r="E227" t="s">
        <v>48</v>
      </c>
      <c r="F227">
        <v>1169</v>
      </c>
      <c r="G227" t="s">
        <v>80</v>
      </c>
      <c r="H227">
        <v>8</v>
      </c>
      <c r="I227">
        <v>2</v>
      </c>
      <c r="J227" t="s">
        <v>58</v>
      </c>
      <c r="K227">
        <v>869</v>
      </c>
      <c r="L227">
        <v>2</v>
      </c>
      <c r="M227" t="s">
        <v>51</v>
      </c>
      <c r="N227">
        <v>2</v>
      </c>
      <c r="O227">
        <v>1</v>
      </c>
      <c r="P227" t="s">
        <v>80</v>
      </c>
      <c r="Q227">
        <v>4</v>
      </c>
      <c r="R227" t="s">
        <v>53</v>
      </c>
      <c r="S227">
        <v>64734</v>
      </c>
      <c r="T227" t="s">
        <v>64</v>
      </c>
      <c r="U227">
        <v>404.59</v>
      </c>
      <c r="V227">
        <v>1</v>
      </c>
      <c r="W227" t="s">
        <v>55</v>
      </c>
      <c r="X227">
        <v>13</v>
      </c>
      <c r="Y227">
        <v>3</v>
      </c>
      <c r="Z227">
        <v>4</v>
      </c>
      <c r="AA227">
        <v>1</v>
      </c>
      <c r="AB227">
        <v>6</v>
      </c>
      <c r="AC227">
        <v>6</v>
      </c>
      <c r="AD227">
        <v>3</v>
      </c>
      <c r="AE227">
        <v>5</v>
      </c>
      <c r="AF227">
        <v>1</v>
      </c>
      <c r="AG227">
        <v>0</v>
      </c>
      <c r="AH227">
        <v>4</v>
      </c>
      <c r="AI227">
        <f t="shared" si="21"/>
        <v>0</v>
      </c>
      <c r="AJ227" t="str">
        <f t="shared" si="22"/>
        <v>4-5 yrs</v>
      </c>
      <c r="AK227" t="str">
        <f t="shared" si="23"/>
        <v>Recent</v>
      </c>
      <c r="AL227">
        <f t="shared" si="24"/>
        <v>0</v>
      </c>
      <c r="AM227" t="str">
        <f t="shared" si="25"/>
        <v>Minimal Risk</v>
      </c>
      <c r="AN227" s="6">
        <f t="shared" si="26"/>
        <v>0.27569665250559938</v>
      </c>
      <c r="AO227" s="7">
        <f t="shared" si="27"/>
        <v>776808</v>
      </c>
    </row>
    <row r="228" spans="1:41" x14ac:dyDescent="0.3">
      <c r="A228" t="s">
        <v>298</v>
      </c>
      <c r="B228">
        <v>28</v>
      </c>
      <c r="C228" t="s">
        <v>196</v>
      </c>
      <c r="D228" t="s">
        <v>55</v>
      </c>
      <c r="E228" t="s">
        <v>48</v>
      </c>
      <c r="F228">
        <v>821</v>
      </c>
      <c r="G228" t="s">
        <v>57</v>
      </c>
      <c r="H228">
        <v>5</v>
      </c>
      <c r="I228">
        <v>4</v>
      </c>
      <c r="J228" t="s">
        <v>58</v>
      </c>
      <c r="K228">
        <v>916</v>
      </c>
      <c r="L228">
        <v>1</v>
      </c>
      <c r="M228" t="s">
        <v>51</v>
      </c>
      <c r="N228">
        <v>3</v>
      </c>
      <c r="O228">
        <v>2</v>
      </c>
      <c r="P228" t="s">
        <v>145</v>
      </c>
      <c r="Q228">
        <v>4</v>
      </c>
      <c r="R228" t="s">
        <v>53</v>
      </c>
      <c r="S228">
        <v>71467</v>
      </c>
      <c r="T228" t="s">
        <v>64</v>
      </c>
      <c r="U228">
        <v>446.67</v>
      </c>
      <c r="V228">
        <v>1</v>
      </c>
      <c r="W228" t="s">
        <v>55</v>
      </c>
      <c r="X228">
        <v>14</v>
      </c>
      <c r="Y228">
        <v>3</v>
      </c>
      <c r="Z228">
        <v>2</v>
      </c>
      <c r="AA228">
        <v>0</v>
      </c>
      <c r="AB228">
        <v>4</v>
      </c>
      <c r="AC228">
        <v>3</v>
      </c>
      <c r="AD228">
        <v>3</v>
      </c>
      <c r="AE228">
        <v>4</v>
      </c>
      <c r="AF228">
        <v>2</v>
      </c>
      <c r="AG228">
        <v>0</v>
      </c>
      <c r="AH228">
        <v>2</v>
      </c>
      <c r="AI228">
        <f t="shared" si="21"/>
        <v>0</v>
      </c>
      <c r="AJ228" t="str">
        <f t="shared" si="22"/>
        <v>4-5 yrs</v>
      </c>
      <c r="AK228" t="str">
        <f t="shared" si="23"/>
        <v>Recent</v>
      </c>
      <c r="AL228">
        <f t="shared" si="24"/>
        <v>0</v>
      </c>
      <c r="AM228" t="str">
        <f t="shared" si="25"/>
        <v>Minimal Risk</v>
      </c>
      <c r="AN228" s="6">
        <f t="shared" si="26"/>
        <v>0.45678674791537477</v>
      </c>
      <c r="AO228" s="7">
        <f t="shared" si="27"/>
        <v>857604</v>
      </c>
    </row>
    <row r="229" spans="1:41" x14ac:dyDescent="0.3">
      <c r="A229" t="s">
        <v>299</v>
      </c>
      <c r="B229">
        <v>28</v>
      </c>
      <c r="C229" t="s">
        <v>196</v>
      </c>
      <c r="D229" t="s">
        <v>55</v>
      </c>
      <c r="E229" t="s">
        <v>48</v>
      </c>
      <c r="F229">
        <v>995</v>
      </c>
      <c r="G229" t="s">
        <v>49</v>
      </c>
      <c r="H229">
        <v>9</v>
      </c>
      <c r="I229">
        <v>3</v>
      </c>
      <c r="J229" t="s">
        <v>58</v>
      </c>
      <c r="K229">
        <v>930</v>
      </c>
      <c r="L229">
        <v>3</v>
      </c>
      <c r="M229" t="s">
        <v>59</v>
      </c>
      <c r="N229">
        <v>3</v>
      </c>
      <c r="O229">
        <v>1</v>
      </c>
      <c r="P229" t="s">
        <v>67</v>
      </c>
      <c r="Q229">
        <v>3</v>
      </c>
      <c r="R229" t="s">
        <v>53</v>
      </c>
      <c r="S229">
        <v>53662</v>
      </c>
      <c r="T229" t="s">
        <v>64</v>
      </c>
      <c r="U229">
        <v>335.39</v>
      </c>
      <c r="V229">
        <v>5</v>
      </c>
      <c r="W229" t="s">
        <v>55</v>
      </c>
      <c r="X229">
        <v>18</v>
      </c>
      <c r="Y229">
        <v>3</v>
      </c>
      <c r="Z229">
        <v>2</v>
      </c>
      <c r="AA229">
        <v>1</v>
      </c>
      <c r="AB229">
        <v>6</v>
      </c>
      <c r="AC229">
        <v>2</v>
      </c>
      <c r="AD229">
        <v>3</v>
      </c>
      <c r="AE229">
        <v>2</v>
      </c>
      <c r="AF229">
        <v>2</v>
      </c>
      <c r="AG229">
        <v>2</v>
      </c>
      <c r="AH229">
        <v>2</v>
      </c>
      <c r="AI229">
        <f t="shared" si="21"/>
        <v>0</v>
      </c>
      <c r="AJ229" t="str">
        <f t="shared" si="22"/>
        <v>2-3 yrs</v>
      </c>
      <c r="AK229" t="str">
        <f t="shared" si="23"/>
        <v>Recent</v>
      </c>
      <c r="AL229">
        <f t="shared" si="24"/>
        <v>0</v>
      </c>
      <c r="AM229" t="str">
        <f t="shared" si="25"/>
        <v>Minimal Risk</v>
      </c>
      <c r="AN229" s="6">
        <f t="shared" si="26"/>
        <v>7.6121802769026206E-2</v>
      </c>
      <c r="AO229" s="7">
        <f t="shared" si="27"/>
        <v>643944</v>
      </c>
    </row>
    <row r="230" spans="1:41" x14ac:dyDescent="0.3">
      <c r="A230" t="s">
        <v>300</v>
      </c>
      <c r="B230">
        <v>28</v>
      </c>
      <c r="C230" t="s">
        <v>196</v>
      </c>
      <c r="D230" t="s">
        <v>55</v>
      </c>
      <c r="E230" t="s">
        <v>48</v>
      </c>
      <c r="F230">
        <v>1144</v>
      </c>
      <c r="G230" t="s">
        <v>57</v>
      </c>
      <c r="H230">
        <v>10</v>
      </c>
      <c r="I230">
        <v>1</v>
      </c>
      <c r="J230" t="s">
        <v>58</v>
      </c>
      <c r="K230">
        <v>1056</v>
      </c>
      <c r="L230">
        <v>4</v>
      </c>
      <c r="M230" t="s">
        <v>51</v>
      </c>
      <c r="N230">
        <v>3</v>
      </c>
      <c r="O230">
        <v>1</v>
      </c>
      <c r="P230" t="s">
        <v>60</v>
      </c>
      <c r="Q230">
        <v>2</v>
      </c>
      <c r="R230" t="s">
        <v>113</v>
      </c>
      <c r="S230">
        <v>99506</v>
      </c>
      <c r="T230" t="s">
        <v>70</v>
      </c>
      <c r="U230">
        <v>621.91</v>
      </c>
      <c r="V230">
        <v>1</v>
      </c>
      <c r="W230" t="s">
        <v>55</v>
      </c>
      <c r="X230">
        <v>22</v>
      </c>
      <c r="Y230">
        <v>4</v>
      </c>
      <c r="Z230">
        <v>2</v>
      </c>
      <c r="AA230">
        <v>0</v>
      </c>
      <c r="AB230">
        <v>1</v>
      </c>
      <c r="AC230">
        <v>5</v>
      </c>
      <c r="AD230">
        <v>3</v>
      </c>
      <c r="AE230">
        <v>1</v>
      </c>
      <c r="AF230">
        <v>0</v>
      </c>
      <c r="AG230">
        <v>0</v>
      </c>
      <c r="AH230">
        <v>0</v>
      </c>
      <c r="AI230">
        <f t="shared" si="21"/>
        <v>0</v>
      </c>
      <c r="AJ230" t="str">
        <f t="shared" si="22"/>
        <v>0-1 yr</v>
      </c>
      <c r="AK230" t="str">
        <f t="shared" si="23"/>
        <v>Recent</v>
      </c>
      <c r="AL230">
        <f t="shared" si="24"/>
        <v>1</v>
      </c>
      <c r="AM230" t="str">
        <f t="shared" si="25"/>
        <v>Low Risk</v>
      </c>
      <c r="AN230" s="6">
        <f t="shared" si="26"/>
        <v>1.0172807642711355</v>
      </c>
      <c r="AO230" s="7">
        <f t="shared" si="27"/>
        <v>1194072</v>
      </c>
    </row>
    <row r="231" spans="1:41" x14ac:dyDescent="0.3">
      <c r="A231" t="s">
        <v>301</v>
      </c>
      <c r="B231">
        <v>28</v>
      </c>
      <c r="C231" t="s">
        <v>196</v>
      </c>
      <c r="D231" t="s">
        <v>47</v>
      </c>
      <c r="E231" t="s">
        <v>66</v>
      </c>
      <c r="F231">
        <v>1366</v>
      </c>
      <c r="G231" t="s">
        <v>49</v>
      </c>
      <c r="H231">
        <v>24</v>
      </c>
      <c r="I231">
        <v>2</v>
      </c>
      <c r="J231" t="s">
        <v>77</v>
      </c>
      <c r="K231">
        <v>1082</v>
      </c>
      <c r="L231">
        <v>2</v>
      </c>
      <c r="M231" t="s">
        <v>51</v>
      </c>
      <c r="N231">
        <v>2</v>
      </c>
      <c r="O231">
        <v>3</v>
      </c>
      <c r="P231" t="s">
        <v>168</v>
      </c>
      <c r="Q231">
        <v>1</v>
      </c>
      <c r="R231" t="s">
        <v>53</v>
      </c>
      <c r="S231">
        <v>13688</v>
      </c>
      <c r="T231" t="s">
        <v>54</v>
      </c>
      <c r="U231">
        <v>85.55</v>
      </c>
      <c r="V231">
        <v>1</v>
      </c>
      <c r="W231" t="s">
        <v>55</v>
      </c>
      <c r="X231">
        <v>12</v>
      </c>
      <c r="Y231">
        <v>3</v>
      </c>
      <c r="Z231">
        <v>1</v>
      </c>
      <c r="AA231">
        <v>0</v>
      </c>
      <c r="AB231">
        <v>10</v>
      </c>
      <c r="AC231">
        <v>2</v>
      </c>
      <c r="AD231">
        <v>2</v>
      </c>
      <c r="AE231">
        <v>10</v>
      </c>
      <c r="AF231">
        <v>7</v>
      </c>
      <c r="AG231">
        <v>1</v>
      </c>
      <c r="AH231">
        <v>9</v>
      </c>
      <c r="AI231">
        <f t="shared" si="21"/>
        <v>1</v>
      </c>
      <c r="AJ231" t="str">
        <f t="shared" si="22"/>
        <v>6-10 yrs</v>
      </c>
      <c r="AK231" t="str">
        <f t="shared" si="23"/>
        <v>Recent</v>
      </c>
      <c r="AL231">
        <f t="shared" si="24"/>
        <v>2</v>
      </c>
      <c r="AM231" t="str">
        <f t="shared" si="25"/>
        <v>Medium Risk</v>
      </c>
      <c r="AN231" s="6">
        <f t="shared" si="26"/>
        <v>-0.71595261528975107</v>
      </c>
      <c r="AO231" s="7">
        <f t="shared" si="27"/>
        <v>164256</v>
      </c>
    </row>
    <row r="232" spans="1:41" x14ac:dyDescent="0.3">
      <c r="A232" t="s">
        <v>302</v>
      </c>
      <c r="B232">
        <v>28</v>
      </c>
      <c r="C232" t="s">
        <v>196</v>
      </c>
      <c r="D232" t="s">
        <v>55</v>
      </c>
      <c r="E232" t="s">
        <v>48</v>
      </c>
      <c r="F232">
        <v>857</v>
      </c>
      <c r="G232" t="s">
        <v>49</v>
      </c>
      <c r="H232">
        <v>10</v>
      </c>
      <c r="I232">
        <v>3</v>
      </c>
      <c r="J232" t="s">
        <v>82</v>
      </c>
      <c r="K232">
        <v>1097</v>
      </c>
      <c r="L232">
        <v>3</v>
      </c>
      <c r="M232" t="s">
        <v>59</v>
      </c>
      <c r="N232">
        <v>3</v>
      </c>
      <c r="O232">
        <v>2</v>
      </c>
      <c r="P232" t="s">
        <v>67</v>
      </c>
      <c r="Q232">
        <v>3</v>
      </c>
      <c r="R232" t="s">
        <v>53</v>
      </c>
      <c r="S232">
        <v>26342</v>
      </c>
      <c r="T232" t="s">
        <v>72</v>
      </c>
      <c r="U232">
        <v>164.64</v>
      </c>
      <c r="V232">
        <v>3</v>
      </c>
      <c r="W232" t="s">
        <v>55</v>
      </c>
      <c r="X232">
        <v>13</v>
      </c>
      <c r="Y232">
        <v>3</v>
      </c>
      <c r="Z232">
        <v>4</v>
      </c>
      <c r="AA232">
        <v>0</v>
      </c>
      <c r="AB232">
        <v>10</v>
      </c>
      <c r="AC232">
        <v>4</v>
      </c>
      <c r="AD232">
        <v>4</v>
      </c>
      <c r="AE232">
        <v>8</v>
      </c>
      <c r="AF232">
        <v>7</v>
      </c>
      <c r="AG232">
        <v>1</v>
      </c>
      <c r="AH232">
        <v>7</v>
      </c>
      <c r="AI232">
        <f t="shared" si="21"/>
        <v>0</v>
      </c>
      <c r="AJ232" t="str">
        <f t="shared" si="22"/>
        <v>6-10 yrs</v>
      </c>
      <c r="AK232" t="str">
        <f t="shared" si="23"/>
        <v>Recent</v>
      </c>
      <c r="AL232">
        <f t="shared" si="24"/>
        <v>0</v>
      </c>
      <c r="AM232" t="str">
        <f t="shared" si="25"/>
        <v>Minimal Risk</v>
      </c>
      <c r="AN232" s="6">
        <f t="shared" si="26"/>
        <v>-0.47174535931307648</v>
      </c>
      <c r="AO232" s="7">
        <f t="shared" si="27"/>
        <v>316104</v>
      </c>
    </row>
    <row r="233" spans="1:41" x14ac:dyDescent="0.3">
      <c r="A233" t="s">
        <v>303</v>
      </c>
      <c r="B233">
        <v>28</v>
      </c>
      <c r="C233" t="s">
        <v>196</v>
      </c>
      <c r="D233" t="s">
        <v>55</v>
      </c>
      <c r="E233" t="s">
        <v>48</v>
      </c>
      <c r="F233">
        <v>895</v>
      </c>
      <c r="G233" t="s">
        <v>49</v>
      </c>
      <c r="H233">
        <v>15</v>
      </c>
      <c r="I233">
        <v>2</v>
      </c>
      <c r="J233" t="s">
        <v>50</v>
      </c>
      <c r="K233">
        <v>1102</v>
      </c>
      <c r="L233">
        <v>1</v>
      </c>
      <c r="M233" t="s">
        <v>51</v>
      </c>
      <c r="N233">
        <v>3</v>
      </c>
      <c r="O233">
        <v>1</v>
      </c>
      <c r="P233" t="s">
        <v>52</v>
      </c>
      <c r="Q233">
        <v>3</v>
      </c>
      <c r="R233" t="s">
        <v>53</v>
      </c>
      <c r="S233">
        <v>38157</v>
      </c>
      <c r="T233" t="s">
        <v>72</v>
      </c>
      <c r="U233">
        <v>238.48</v>
      </c>
      <c r="V233">
        <v>1</v>
      </c>
      <c r="W233" t="s">
        <v>55</v>
      </c>
      <c r="X233">
        <v>16</v>
      </c>
      <c r="Y233">
        <v>3</v>
      </c>
      <c r="Z233">
        <v>4</v>
      </c>
      <c r="AA233">
        <v>1</v>
      </c>
      <c r="AB233">
        <v>4</v>
      </c>
      <c r="AC233">
        <v>5</v>
      </c>
      <c r="AD233">
        <v>2</v>
      </c>
      <c r="AE233">
        <v>4</v>
      </c>
      <c r="AF233">
        <v>2</v>
      </c>
      <c r="AG233">
        <v>2</v>
      </c>
      <c r="AH233">
        <v>2</v>
      </c>
      <c r="AI233">
        <f t="shared" si="21"/>
        <v>0</v>
      </c>
      <c r="AJ233" t="str">
        <f t="shared" si="22"/>
        <v>4-5 yrs</v>
      </c>
      <c r="AK233" t="str">
        <f t="shared" si="23"/>
        <v>Recent</v>
      </c>
      <c r="AL233">
        <f t="shared" si="24"/>
        <v>1</v>
      </c>
      <c r="AM233" t="str">
        <f t="shared" si="25"/>
        <v>Low Risk</v>
      </c>
      <c r="AN233" s="6">
        <f t="shared" si="26"/>
        <v>-0.26224751570194321</v>
      </c>
      <c r="AO233" s="7">
        <f t="shared" si="27"/>
        <v>457884</v>
      </c>
    </row>
    <row r="234" spans="1:41" x14ac:dyDescent="0.3">
      <c r="A234" t="s">
        <v>304</v>
      </c>
      <c r="B234">
        <v>28</v>
      </c>
      <c r="C234" t="s">
        <v>196</v>
      </c>
      <c r="D234" t="s">
        <v>55</v>
      </c>
      <c r="E234" t="s">
        <v>48</v>
      </c>
      <c r="F234">
        <v>950</v>
      </c>
      <c r="G234" t="s">
        <v>49</v>
      </c>
      <c r="H234">
        <v>3</v>
      </c>
      <c r="I234">
        <v>3</v>
      </c>
      <c r="J234" t="s">
        <v>58</v>
      </c>
      <c r="K234">
        <v>1121</v>
      </c>
      <c r="L234">
        <v>4</v>
      </c>
      <c r="M234" t="s">
        <v>59</v>
      </c>
      <c r="N234">
        <v>3</v>
      </c>
      <c r="O234">
        <v>3</v>
      </c>
      <c r="P234" t="s">
        <v>120</v>
      </c>
      <c r="Q234">
        <v>2</v>
      </c>
      <c r="R234" t="s">
        <v>53</v>
      </c>
      <c r="S234">
        <v>53083</v>
      </c>
      <c r="T234" t="s">
        <v>64</v>
      </c>
      <c r="U234">
        <v>331.77</v>
      </c>
      <c r="V234">
        <v>0</v>
      </c>
      <c r="W234" t="s">
        <v>55</v>
      </c>
      <c r="X234">
        <v>17</v>
      </c>
      <c r="Y234">
        <v>3</v>
      </c>
      <c r="Z234">
        <v>2</v>
      </c>
      <c r="AA234">
        <v>3</v>
      </c>
      <c r="AB234">
        <v>10</v>
      </c>
      <c r="AC234">
        <v>3</v>
      </c>
      <c r="AD234">
        <v>2</v>
      </c>
      <c r="AE234">
        <v>9</v>
      </c>
      <c r="AF234">
        <v>7</v>
      </c>
      <c r="AG234">
        <v>1</v>
      </c>
      <c r="AH234">
        <v>7</v>
      </c>
      <c r="AI234">
        <f t="shared" si="21"/>
        <v>0</v>
      </c>
      <c r="AJ234" t="str">
        <f t="shared" si="22"/>
        <v>6-10 yrs</v>
      </c>
      <c r="AK234" t="str">
        <f t="shared" si="23"/>
        <v>Recent</v>
      </c>
      <c r="AL234">
        <f t="shared" si="24"/>
        <v>2</v>
      </c>
      <c r="AM234" t="str">
        <f t="shared" si="25"/>
        <v>Medium Risk</v>
      </c>
      <c r="AN234" s="6">
        <f t="shared" si="26"/>
        <v>0.19838803028056226</v>
      </c>
      <c r="AO234" s="7">
        <f t="shared" si="27"/>
        <v>636996</v>
      </c>
    </row>
    <row r="235" spans="1:41" x14ac:dyDescent="0.3">
      <c r="A235" t="s">
        <v>305</v>
      </c>
      <c r="B235">
        <v>28</v>
      </c>
      <c r="C235" t="s">
        <v>196</v>
      </c>
      <c r="D235" t="s">
        <v>55</v>
      </c>
      <c r="E235" t="s">
        <v>48</v>
      </c>
      <c r="F235">
        <v>1451</v>
      </c>
      <c r="G235" t="s">
        <v>49</v>
      </c>
      <c r="H235">
        <v>2</v>
      </c>
      <c r="I235">
        <v>1</v>
      </c>
      <c r="J235" t="s">
        <v>50</v>
      </c>
      <c r="K235">
        <v>1136</v>
      </c>
      <c r="L235">
        <v>1</v>
      </c>
      <c r="M235" t="s">
        <v>51</v>
      </c>
      <c r="N235">
        <v>2</v>
      </c>
      <c r="O235">
        <v>1</v>
      </c>
      <c r="P235" t="s">
        <v>67</v>
      </c>
      <c r="Q235">
        <v>2</v>
      </c>
      <c r="R235" t="s">
        <v>113</v>
      </c>
      <c r="S235">
        <v>66733</v>
      </c>
      <c r="T235" t="s">
        <v>64</v>
      </c>
      <c r="U235">
        <v>417.08</v>
      </c>
      <c r="V235">
        <v>0</v>
      </c>
      <c r="W235" t="s">
        <v>55</v>
      </c>
      <c r="X235">
        <v>17</v>
      </c>
      <c r="Y235">
        <v>3</v>
      </c>
      <c r="Z235">
        <v>1</v>
      </c>
      <c r="AA235">
        <v>0</v>
      </c>
      <c r="AB235">
        <v>6</v>
      </c>
      <c r="AC235">
        <v>2</v>
      </c>
      <c r="AD235">
        <v>1</v>
      </c>
      <c r="AE235">
        <v>5</v>
      </c>
      <c r="AF235">
        <v>3</v>
      </c>
      <c r="AG235">
        <v>0</v>
      </c>
      <c r="AH235">
        <v>4</v>
      </c>
      <c r="AI235">
        <f t="shared" si="21"/>
        <v>0</v>
      </c>
      <c r="AJ235" t="str">
        <f t="shared" si="22"/>
        <v>4-5 yrs</v>
      </c>
      <c r="AK235" t="str">
        <f t="shared" si="23"/>
        <v>Recent</v>
      </c>
      <c r="AL235">
        <f t="shared" si="24"/>
        <v>2</v>
      </c>
      <c r="AM235" t="str">
        <f t="shared" si="25"/>
        <v>Medium Risk</v>
      </c>
      <c r="AN235" s="6">
        <f t="shared" si="26"/>
        <v>0.33824375282668229</v>
      </c>
      <c r="AO235" s="7">
        <f t="shared" si="27"/>
        <v>800796</v>
      </c>
    </row>
    <row r="236" spans="1:41" x14ac:dyDescent="0.3">
      <c r="A236" t="s">
        <v>306</v>
      </c>
      <c r="B236">
        <v>28</v>
      </c>
      <c r="C236" t="s">
        <v>196</v>
      </c>
      <c r="D236" t="s">
        <v>55</v>
      </c>
      <c r="E236" t="s">
        <v>62</v>
      </c>
      <c r="F236">
        <v>773</v>
      </c>
      <c r="G236" t="s">
        <v>49</v>
      </c>
      <c r="H236">
        <v>6</v>
      </c>
      <c r="I236">
        <v>3</v>
      </c>
      <c r="J236" t="s">
        <v>50</v>
      </c>
      <c r="K236">
        <v>1154</v>
      </c>
      <c r="L236">
        <v>3</v>
      </c>
      <c r="M236" t="s">
        <v>51</v>
      </c>
      <c r="N236">
        <v>2</v>
      </c>
      <c r="O236">
        <v>1</v>
      </c>
      <c r="P236" t="s">
        <v>67</v>
      </c>
      <c r="Q236">
        <v>3</v>
      </c>
      <c r="R236" t="s">
        <v>53</v>
      </c>
      <c r="S236">
        <v>90045</v>
      </c>
      <c r="T236" t="s">
        <v>70</v>
      </c>
      <c r="U236">
        <v>562.78</v>
      </c>
      <c r="V236">
        <v>1</v>
      </c>
      <c r="W236" t="s">
        <v>47</v>
      </c>
      <c r="X236">
        <v>14</v>
      </c>
      <c r="Y236">
        <v>3</v>
      </c>
      <c r="Z236">
        <v>4</v>
      </c>
      <c r="AA236">
        <v>1</v>
      </c>
      <c r="AB236">
        <v>3</v>
      </c>
      <c r="AC236">
        <v>2</v>
      </c>
      <c r="AD236">
        <v>3</v>
      </c>
      <c r="AE236">
        <v>3</v>
      </c>
      <c r="AF236">
        <v>1</v>
      </c>
      <c r="AG236">
        <v>0</v>
      </c>
      <c r="AH236">
        <v>2</v>
      </c>
      <c r="AI236">
        <f t="shared" si="21"/>
        <v>0</v>
      </c>
      <c r="AJ236" t="str">
        <f t="shared" si="22"/>
        <v>2-3 yrs</v>
      </c>
      <c r="AK236" t="str">
        <f t="shared" si="23"/>
        <v>Recent</v>
      </c>
      <c r="AL236">
        <f t="shared" si="24"/>
        <v>1</v>
      </c>
      <c r="AM236" t="str">
        <f t="shared" si="25"/>
        <v>Low Risk</v>
      </c>
      <c r="AN236" s="6">
        <f t="shared" si="26"/>
        <v>0.80573567385369471</v>
      </c>
      <c r="AO236" s="7">
        <f t="shared" si="27"/>
        <v>1080540</v>
      </c>
    </row>
    <row r="237" spans="1:41" x14ac:dyDescent="0.3">
      <c r="A237" t="s">
        <v>307</v>
      </c>
      <c r="B237">
        <v>28</v>
      </c>
      <c r="C237" t="s">
        <v>196</v>
      </c>
      <c r="D237" t="s">
        <v>47</v>
      </c>
      <c r="E237" t="s">
        <v>48</v>
      </c>
      <c r="F237">
        <v>1485</v>
      </c>
      <c r="G237" t="s">
        <v>49</v>
      </c>
      <c r="H237">
        <v>12</v>
      </c>
      <c r="I237">
        <v>1</v>
      </c>
      <c r="J237" t="s">
        <v>50</v>
      </c>
      <c r="K237">
        <v>1175</v>
      </c>
      <c r="L237">
        <v>3</v>
      </c>
      <c r="M237" t="s">
        <v>59</v>
      </c>
      <c r="N237">
        <v>3</v>
      </c>
      <c r="O237">
        <v>1</v>
      </c>
      <c r="P237" t="s">
        <v>52</v>
      </c>
      <c r="Q237">
        <v>4</v>
      </c>
      <c r="R237" t="s">
        <v>113</v>
      </c>
      <c r="S237">
        <v>35698</v>
      </c>
      <c r="T237" t="s">
        <v>72</v>
      </c>
      <c r="U237">
        <v>223.11</v>
      </c>
      <c r="V237">
        <v>1</v>
      </c>
      <c r="W237" t="s">
        <v>47</v>
      </c>
      <c r="X237">
        <v>11</v>
      </c>
      <c r="Y237">
        <v>3</v>
      </c>
      <c r="Z237">
        <v>4</v>
      </c>
      <c r="AA237">
        <v>0</v>
      </c>
      <c r="AB237">
        <v>1</v>
      </c>
      <c r="AC237">
        <v>4</v>
      </c>
      <c r="AD237">
        <v>2</v>
      </c>
      <c r="AE237">
        <v>1</v>
      </c>
      <c r="AF237">
        <v>1</v>
      </c>
      <c r="AG237">
        <v>0</v>
      </c>
      <c r="AH237">
        <v>0</v>
      </c>
      <c r="AI237">
        <f t="shared" si="21"/>
        <v>1</v>
      </c>
      <c r="AJ237" t="str">
        <f t="shared" si="22"/>
        <v>0-1 yr</v>
      </c>
      <c r="AK237" t="str">
        <f t="shared" si="23"/>
        <v>Recent</v>
      </c>
      <c r="AL237">
        <f t="shared" si="24"/>
        <v>2</v>
      </c>
      <c r="AM237" t="str">
        <f t="shared" si="25"/>
        <v>Medium Risk</v>
      </c>
      <c r="AN237" s="6">
        <f t="shared" si="26"/>
        <v>-0.30979143579233082</v>
      </c>
      <c r="AO237" s="7">
        <f t="shared" si="27"/>
        <v>428376</v>
      </c>
    </row>
    <row r="238" spans="1:41" x14ac:dyDescent="0.3">
      <c r="A238" t="s">
        <v>308</v>
      </c>
      <c r="B238">
        <v>28</v>
      </c>
      <c r="C238" t="s">
        <v>196</v>
      </c>
      <c r="D238" t="s">
        <v>55</v>
      </c>
      <c r="E238" t="s">
        <v>48</v>
      </c>
      <c r="F238">
        <v>1179</v>
      </c>
      <c r="G238" t="s">
        <v>49</v>
      </c>
      <c r="H238">
        <v>19</v>
      </c>
      <c r="I238">
        <v>4</v>
      </c>
      <c r="J238" t="s">
        <v>58</v>
      </c>
      <c r="K238">
        <v>1216</v>
      </c>
      <c r="L238">
        <v>4</v>
      </c>
      <c r="M238" t="s">
        <v>51</v>
      </c>
      <c r="N238">
        <v>2</v>
      </c>
      <c r="O238">
        <v>1</v>
      </c>
      <c r="P238" t="s">
        <v>52</v>
      </c>
      <c r="Q238">
        <v>1</v>
      </c>
      <c r="R238" t="s">
        <v>113</v>
      </c>
      <c r="S238">
        <v>81623</v>
      </c>
      <c r="T238" t="s">
        <v>64</v>
      </c>
      <c r="U238">
        <v>510.14</v>
      </c>
      <c r="V238">
        <v>1</v>
      </c>
      <c r="W238" t="s">
        <v>55</v>
      </c>
      <c r="X238">
        <v>12</v>
      </c>
      <c r="Y238">
        <v>3</v>
      </c>
      <c r="Z238">
        <v>3</v>
      </c>
      <c r="AA238">
        <v>3</v>
      </c>
      <c r="AB238">
        <v>6</v>
      </c>
      <c r="AC238">
        <v>2</v>
      </c>
      <c r="AD238">
        <v>3</v>
      </c>
      <c r="AE238">
        <v>6</v>
      </c>
      <c r="AF238">
        <v>5</v>
      </c>
      <c r="AG238">
        <v>3</v>
      </c>
      <c r="AH238">
        <v>3</v>
      </c>
      <c r="AI238">
        <f t="shared" si="21"/>
        <v>0</v>
      </c>
      <c r="AJ238" t="str">
        <f t="shared" si="22"/>
        <v>6-10 yrs</v>
      </c>
      <c r="AK238" t="str">
        <f t="shared" si="23"/>
        <v>Overdue</v>
      </c>
      <c r="AL238">
        <f t="shared" si="24"/>
        <v>2</v>
      </c>
      <c r="AM238" t="str">
        <f t="shared" si="25"/>
        <v>Medium Risk</v>
      </c>
      <c r="AN238" s="6">
        <f t="shared" si="26"/>
        <v>0.57815265942973215</v>
      </c>
      <c r="AO238" s="7">
        <f t="shared" si="27"/>
        <v>979476</v>
      </c>
    </row>
    <row r="239" spans="1:41" x14ac:dyDescent="0.3">
      <c r="A239" t="s">
        <v>309</v>
      </c>
      <c r="B239">
        <v>28</v>
      </c>
      <c r="C239" t="s">
        <v>196</v>
      </c>
      <c r="D239" t="s">
        <v>55</v>
      </c>
      <c r="E239" t="s">
        <v>62</v>
      </c>
      <c r="F239">
        <v>791</v>
      </c>
      <c r="G239" t="s">
        <v>49</v>
      </c>
      <c r="H239">
        <v>1</v>
      </c>
      <c r="I239">
        <v>4</v>
      </c>
      <c r="J239" t="s">
        <v>58</v>
      </c>
      <c r="K239">
        <v>1286</v>
      </c>
      <c r="L239">
        <v>4</v>
      </c>
      <c r="M239" t="s">
        <v>51</v>
      </c>
      <c r="N239">
        <v>3</v>
      </c>
      <c r="O239">
        <v>1</v>
      </c>
      <c r="P239" t="s">
        <v>52</v>
      </c>
      <c r="Q239">
        <v>3</v>
      </c>
      <c r="R239" t="s">
        <v>53</v>
      </c>
      <c r="S239">
        <v>23671</v>
      </c>
      <c r="T239" t="s">
        <v>54</v>
      </c>
      <c r="U239">
        <v>147.94</v>
      </c>
      <c r="V239">
        <v>0</v>
      </c>
      <c r="W239" t="s">
        <v>47</v>
      </c>
      <c r="X239">
        <v>11</v>
      </c>
      <c r="Y239">
        <v>3</v>
      </c>
      <c r="Z239">
        <v>3</v>
      </c>
      <c r="AA239">
        <v>0</v>
      </c>
      <c r="AB239">
        <v>5</v>
      </c>
      <c r="AC239">
        <v>2</v>
      </c>
      <c r="AD239">
        <v>2</v>
      </c>
      <c r="AE239">
        <v>4</v>
      </c>
      <c r="AF239">
        <v>2</v>
      </c>
      <c r="AG239">
        <v>0</v>
      </c>
      <c r="AH239">
        <v>2</v>
      </c>
      <c r="AI239">
        <f t="shared" si="21"/>
        <v>0</v>
      </c>
      <c r="AJ239" t="str">
        <f t="shared" si="22"/>
        <v>4-5 yrs</v>
      </c>
      <c r="AK239" t="str">
        <f t="shared" si="23"/>
        <v>Recent</v>
      </c>
      <c r="AL239">
        <f t="shared" si="24"/>
        <v>2</v>
      </c>
      <c r="AM239" t="str">
        <f t="shared" si="25"/>
        <v>Medium Risk</v>
      </c>
      <c r="AN239" s="6">
        <f t="shared" si="26"/>
        <v>-0.54232934832876534</v>
      </c>
      <c r="AO239" s="7">
        <f t="shared" si="27"/>
        <v>284052</v>
      </c>
    </row>
    <row r="240" spans="1:41" x14ac:dyDescent="0.3">
      <c r="A240" t="s">
        <v>310</v>
      </c>
      <c r="B240">
        <v>28</v>
      </c>
      <c r="C240" t="s">
        <v>196</v>
      </c>
      <c r="D240" t="s">
        <v>55</v>
      </c>
      <c r="E240" t="s">
        <v>62</v>
      </c>
      <c r="F240">
        <v>193</v>
      </c>
      <c r="G240" t="s">
        <v>49</v>
      </c>
      <c r="H240">
        <v>2</v>
      </c>
      <c r="I240">
        <v>3</v>
      </c>
      <c r="J240" t="s">
        <v>50</v>
      </c>
      <c r="K240">
        <v>1296</v>
      </c>
      <c r="L240">
        <v>4</v>
      </c>
      <c r="M240" t="s">
        <v>51</v>
      </c>
      <c r="N240">
        <v>2</v>
      </c>
      <c r="O240">
        <v>1</v>
      </c>
      <c r="P240" t="s">
        <v>52</v>
      </c>
      <c r="Q240">
        <v>4</v>
      </c>
      <c r="R240" t="s">
        <v>113</v>
      </c>
      <c r="S240">
        <v>26184</v>
      </c>
      <c r="T240" t="s">
        <v>72</v>
      </c>
      <c r="U240">
        <v>163.65</v>
      </c>
      <c r="V240">
        <v>1</v>
      </c>
      <c r="W240" t="s">
        <v>47</v>
      </c>
      <c r="X240">
        <v>12</v>
      </c>
      <c r="Y240">
        <v>3</v>
      </c>
      <c r="Z240">
        <v>2</v>
      </c>
      <c r="AA240">
        <v>1</v>
      </c>
      <c r="AB240">
        <v>2</v>
      </c>
      <c r="AC240">
        <v>2</v>
      </c>
      <c r="AD240">
        <v>3</v>
      </c>
      <c r="AE240">
        <v>2</v>
      </c>
      <c r="AF240">
        <v>2</v>
      </c>
      <c r="AG240">
        <v>2</v>
      </c>
      <c r="AH240">
        <v>2</v>
      </c>
      <c r="AI240">
        <f t="shared" si="21"/>
        <v>0</v>
      </c>
      <c r="AJ240" t="str">
        <f t="shared" si="22"/>
        <v>2-3 yrs</v>
      </c>
      <c r="AK240" t="str">
        <f t="shared" si="23"/>
        <v>Recent</v>
      </c>
      <c r="AL240">
        <f t="shared" si="24"/>
        <v>1</v>
      </c>
      <c r="AM240" t="str">
        <f t="shared" si="25"/>
        <v>Low Risk</v>
      </c>
      <c r="AN240" s="6">
        <f t="shared" si="26"/>
        <v>-0.49374135679271641</v>
      </c>
      <c r="AO240" s="7">
        <f t="shared" si="27"/>
        <v>314208</v>
      </c>
    </row>
    <row r="241" spans="1:41" x14ac:dyDescent="0.3">
      <c r="A241" t="s">
        <v>311</v>
      </c>
      <c r="B241">
        <v>28</v>
      </c>
      <c r="C241" t="s">
        <v>196</v>
      </c>
      <c r="D241" t="s">
        <v>55</v>
      </c>
      <c r="E241" t="s">
        <v>48</v>
      </c>
      <c r="F241">
        <v>640</v>
      </c>
      <c r="G241" t="s">
        <v>49</v>
      </c>
      <c r="H241">
        <v>1</v>
      </c>
      <c r="I241">
        <v>3</v>
      </c>
      <c r="J241" t="s">
        <v>77</v>
      </c>
      <c r="K241">
        <v>1301</v>
      </c>
      <c r="L241">
        <v>4</v>
      </c>
      <c r="M241" t="s">
        <v>51</v>
      </c>
      <c r="N241">
        <v>3</v>
      </c>
      <c r="O241">
        <v>1</v>
      </c>
      <c r="P241" t="s">
        <v>67</v>
      </c>
      <c r="Q241">
        <v>1</v>
      </c>
      <c r="R241" t="s">
        <v>53</v>
      </c>
      <c r="S241">
        <v>94384</v>
      </c>
      <c r="T241" t="s">
        <v>70</v>
      </c>
      <c r="U241">
        <v>589.9</v>
      </c>
      <c r="V241">
        <v>2</v>
      </c>
      <c r="W241" t="s">
        <v>55</v>
      </c>
      <c r="X241">
        <v>11</v>
      </c>
      <c r="Y241">
        <v>3</v>
      </c>
      <c r="Z241">
        <v>2</v>
      </c>
      <c r="AA241">
        <v>0</v>
      </c>
      <c r="AB241">
        <v>5</v>
      </c>
      <c r="AC241">
        <v>2</v>
      </c>
      <c r="AD241">
        <v>2</v>
      </c>
      <c r="AE241">
        <v>3</v>
      </c>
      <c r="AF241">
        <v>2</v>
      </c>
      <c r="AG241">
        <v>1</v>
      </c>
      <c r="AH241">
        <v>2</v>
      </c>
      <c r="AI241">
        <f t="shared" si="21"/>
        <v>0</v>
      </c>
      <c r="AJ241" t="str">
        <f t="shared" si="22"/>
        <v>2-3 yrs</v>
      </c>
      <c r="AK241" t="str">
        <f t="shared" si="23"/>
        <v>Recent</v>
      </c>
      <c r="AL241">
        <f t="shared" si="24"/>
        <v>2</v>
      </c>
      <c r="AM241" t="str">
        <f t="shared" si="25"/>
        <v>Medium Risk</v>
      </c>
      <c r="AN241" s="6">
        <f t="shared" si="26"/>
        <v>0.89274869055480166</v>
      </c>
      <c r="AO241" s="7">
        <f t="shared" si="27"/>
        <v>1132608</v>
      </c>
    </row>
    <row r="242" spans="1:41" x14ac:dyDescent="0.3">
      <c r="A242" t="s">
        <v>312</v>
      </c>
      <c r="B242">
        <v>28</v>
      </c>
      <c r="C242" t="s">
        <v>196</v>
      </c>
      <c r="D242" t="s">
        <v>55</v>
      </c>
      <c r="E242" t="s">
        <v>66</v>
      </c>
      <c r="F242">
        <v>1476</v>
      </c>
      <c r="G242" t="s">
        <v>49</v>
      </c>
      <c r="H242">
        <v>1</v>
      </c>
      <c r="I242">
        <v>3</v>
      </c>
      <c r="J242" t="s">
        <v>50</v>
      </c>
      <c r="K242">
        <v>1315</v>
      </c>
      <c r="L242">
        <v>3</v>
      </c>
      <c r="M242" t="s">
        <v>59</v>
      </c>
      <c r="N242">
        <v>1</v>
      </c>
      <c r="O242">
        <v>2</v>
      </c>
      <c r="P242" t="s">
        <v>52</v>
      </c>
      <c r="Q242">
        <v>4</v>
      </c>
      <c r="R242" t="s">
        <v>113</v>
      </c>
      <c r="S242">
        <v>43107</v>
      </c>
      <c r="T242" t="s">
        <v>72</v>
      </c>
      <c r="U242">
        <v>269.42</v>
      </c>
      <c r="V242">
        <v>0</v>
      </c>
      <c r="W242" t="s">
        <v>55</v>
      </c>
      <c r="X242">
        <v>11</v>
      </c>
      <c r="Y242">
        <v>3</v>
      </c>
      <c r="Z242">
        <v>1</v>
      </c>
      <c r="AA242">
        <v>3</v>
      </c>
      <c r="AB242">
        <v>10</v>
      </c>
      <c r="AC242">
        <v>6</v>
      </c>
      <c r="AD242">
        <v>3</v>
      </c>
      <c r="AE242">
        <v>9</v>
      </c>
      <c r="AF242">
        <v>8</v>
      </c>
      <c r="AG242">
        <v>7</v>
      </c>
      <c r="AH242">
        <v>5</v>
      </c>
      <c r="AI242">
        <f t="shared" si="21"/>
        <v>0</v>
      </c>
      <c r="AJ242" t="str">
        <f t="shared" si="22"/>
        <v>6-10 yrs</v>
      </c>
      <c r="AK242" t="str">
        <f t="shared" si="23"/>
        <v>Overdue</v>
      </c>
      <c r="AL242">
        <f t="shared" si="24"/>
        <v>1</v>
      </c>
      <c r="AM242" t="str">
        <f t="shared" si="25"/>
        <v>Low Risk</v>
      </c>
      <c r="AN242" s="6">
        <f t="shared" si="26"/>
        <v>-0.1665409665163316</v>
      </c>
      <c r="AO242" s="7">
        <f t="shared" si="27"/>
        <v>517284</v>
      </c>
    </row>
    <row r="243" spans="1:41" x14ac:dyDescent="0.3">
      <c r="A243" t="s">
        <v>313</v>
      </c>
      <c r="B243">
        <v>28</v>
      </c>
      <c r="C243" t="s">
        <v>196</v>
      </c>
      <c r="D243" t="s">
        <v>55</v>
      </c>
      <c r="E243" t="s">
        <v>48</v>
      </c>
      <c r="F243">
        <v>736</v>
      </c>
      <c r="G243" t="s">
        <v>57</v>
      </c>
      <c r="H243">
        <v>26</v>
      </c>
      <c r="I243">
        <v>3</v>
      </c>
      <c r="J243" t="s">
        <v>50</v>
      </c>
      <c r="K243">
        <v>1387</v>
      </c>
      <c r="L243">
        <v>3</v>
      </c>
      <c r="M243" t="s">
        <v>51</v>
      </c>
      <c r="N243">
        <v>2</v>
      </c>
      <c r="O243">
        <v>2</v>
      </c>
      <c r="P243" t="s">
        <v>145</v>
      </c>
      <c r="Q243">
        <v>1</v>
      </c>
      <c r="R243" t="s">
        <v>113</v>
      </c>
      <c r="S243">
        <v>87202</v>
      </c>
      <c r="T243" t="s">
        <v>70</v>
      </c>
      <c r="U243">
        <v>545.01</v>
      </c>
      <c r="V243">
        <v>1</v>
      </c>
      <c r="W243" t="s">
        <v>55</v>
      </c>
      <c r="X243">
        <v>11</v>
      </c>
      <c r="Y243">
        <v>3</v>
      </c>
      <c r="Z243">
        <v>3</v>
      </c>
      <c r="AA243">
        <v>1</v>
      </c>
      <c r="AB243">
        <v>5</v>
      </c>
      <c r="AC243">
        <v>0</v>
      </c>
      <c r="AD243">
        <v>3</v>
      </c>
      <c r="AE243">
        <v>5</v>
      </c>
      <c r="AF243">
        <v>3</v>
      </c>
      <c r="AG243">
        <v>0</v>
      </c>
      <c r="AH243">
        <v>4</v>
      </c>
      <c r="AI243">
        <f t="shared" si="21"/>
        <v>0</v>
      </c>
      <c r="AJ243" t="str">
        <f t="shared" si="22"/>
        <v>4-5 yrs</v>
      </c>
      <c r="AK243" t="str">
        <f t="shared" si="23"/>
        <v>Recent</v>
      </c>
      <c r="AL243">
        <f t="shared" si="24"/>
        <v>1</v>
      </c>
      <c r="AM243" t="str">
        <f t="shared" si="25"/>
        <v>Low Risk</v>
      </c>
      <c r="AN243" s="6">
        <f t="shared" si="26"/>
        <v>0.77752974088343585</v>
      </c>
      <c r="AO243" s="7">
        <f t="shared" si="27"/>
        <v>1046424</v>
      </c>
    </row>
    <row r="244" spans="1:41" x14ac:dyDescent="0.3">
      <c r="A244" t="s">
        <v>314</v>
      </c>
      <c r="B244">
        <v>28</v>
      </c>
      <c r="C244" t="s">
        <v>196</v>
      </c>
      <c r="D244" t="s">
        <v>55</v>
      </c>
      <c r="E244" t="s">
        <v>48</v>
      </c>
      <c r="F244">
        <v>866</v>
      </c>
      <c r="G244" t="s">
        <v>57</v>
      </c>
      <c r="H244">
        <v>5</v>
      </c>
      <c r="I244">
        <v>3</v>
      </c>
      <c r="J244" t="s">
        <v>58</v>
      </c>
      <c r="K244">
        <v>1469</v>
      </c>
      <c r="L244">
        <v>4</v>
      </c>
      <c r="M244" t="s">
        <v>51</v>
      </c>
      <c r="N244">
        <v>3</v>
      </c>
      <c r="O244">
        <v>2</v>
      </c>
      <c r="P244" t="s">
        <v>145</v>
      </c>
      <c r="Q244">
        <v>1</v>
      </c>
      <c r="R244" t="s">
        <v>53</v>
      </c>
      <c r="S244">
        <v>52663</v>
      </c>
      <c r="T244" t="s">
        <v>64</v>
      </c>
      <c r="U244">
        <v>329.14</v>
      </c>
      <c r="V244">
        <v>0</v>
      </c>
      <c r="W244" t="s">
        <v>55</v>
      </c>
      <c r="X244">
        <v>18</v>
      </c>
      <c r="Y244">
        <v>3</v>
      </c>
      <c r="Z244">
        <v>4</v>
      </c>
      <c r="AA244">
        <v>0</v>
      </c>
      <c r="AB244">
        <v>6</v>
      </c>
      <c r="AC244">
        <v>4</v>
      </c>
      <c r="AD244">
        <v>3</v>
      </c>
      <c r="AE244">
        <v>5</v>
      </c>
      <c r="AF244">
        <v>4</v>
      </c>
      <c r="AG244">
        <v>1</v>
      </c>
      <c r="AH244">
        <v>3</v>
      </c>
      <c r="AI244">
        <f t="shared" si="21"/>
        <v>0</v>
      </c>
      <c r="AJ244" t="str">
        <f t="shared" si="22"/>
        <v>4-5 yrs</v>
      </c>
      <c r="AK244" t="str">
        <f t="shared" si="23"/>
        <v>Recent</v>
      </c>
      <c r="AL244">
        <f t="shared" si="24"/>
        <v>1</v>
      </c>
      <c r="AM244" t="str">
        <f t="shared" si="25"/>
        <v>Low Risk</v>
      </c>
      <c r="AN244" s="6">
        <f t="shared" si="26"/>
        <v>7.3485112086240936E-2</v>
      </c>
      <c r="AO244" s="7">
        <f t="shared" si="27"/>
        <v>631956</v>
      </c>
    </row>
    <row r="245" spans="1:41" x14ac:dyDescent="0.3">
      <c r="A245" t="s">
        <v>315</v>
      </c>
      <c r="B245">
        <v>28</v>
      </c>
      <c r="C245" t="s">
        <v>196</v>
      </c>
      <c r="D245" t="s">
        <v>47</v>
      </c>
      <c r="E245" t="s">
        <v>62</v>
      </c>
      <c r="F245">
        <v>1496</v>
      </c>
      <c r="G245" t="s">
        <v>57</v>
      </c>
      <c r="H245">
        <v>1</v>
      </c>
      <c r="I245">
        <v>3</v>
      </c>
      <c r="J245" t="s">
        <v>77</v>
      </c>
      <c r="K245">
        <v>1486</v>
      </c>
      <c r="L245">
        <v>1</v>
      </c>
      <c r="M245" t="s">
        <v>51</v>
      </c>
      <c r="N245">
        <v>3</v>
      </c>
      <c r="O245">
        <v>1</v>
      </c>
      <c r="P245" t="s">
        <v>60</v>
      </c>
      <c r="Q245">
        <v>3</v>
      </c>
      <c r="R245" t="s">
        <v>113</v>
      </c>
      <c r="S245">
        <v>16708</v>
      </c>
      <c r="T245" t="s">
        <v>54</v>
      </c>
      <c r="U245">
        <v>104.42</v>
      </c>
      <c r="V245">
        <v>3</v>
      </c>
      <c r="W245" t="s">
        <v>55</v>
      </c>
      <c r="X245">
        <v>15</v>
      </c>
      <c r="Y245">
        <v>3</v>
      </c>
      <c r="Z245">
        <v>4</v>
      </c>
      <c r="AA245">
        <v>1</v>
      </c>
      <c r="AB245">
        <v>5</v>
      </c>
      <c r="AC245">
        <v>3</v>
      </c>
      <c r="AD245">
        <v>4</v>
      </c>
      <c r="AE245">
        <v>3</v>
      </c>
      <c r="AF245">
        <v>2</v>
      </c>
      <c r="AG245">
        <v>1</v>
      </c>
      <c r="AH245">
        <v>2</v>
      </c>
      <c r="AI245">
        <f t="shared" si="21"/>
        <v>1</v>
      </c>
      <c r="AJ245" t="str">
        <f t="shared" si="22"/>
        <v>2-3 yrs</v>
      </c>
      <c r="AK245" t="str">
        <f t="shared" si="23"/>
        <v>Recent</v>
      </c>
      <c r="AL245">
        <f t="shared" si="24"/>
        <v>0</v>
      </c>
      <c r="AM245" t="str">
        <f t="shared" si="25"/>
        <v>Minimal Risk</v>
      </c>
      <c r="AN245" s="6">
        <f t="shared" si="26"/>
        <v>-0.66127945039050784</v>
      </c>
      <c r="AO245" s="7">
        <f t="shared" si="27"/>
        <v>200496</v>
      </c>
    </row>
    <row r="246" spans="1:41" x14ac:dyDescent="0.3">
      <c r="A246" t="s">
        <v>316</v>
      </c>
      <c r="B246">
        <v>28</v>
      </c>
      <c r="C246" t="s">
        <v>196</v>
      </c>
      <c r="D246" t="s">
        <v>47</v>
      </c>
      <c r="E246" t="s">
        <v>62</v>
      </c>
      <c r="F246">
        <v>289</v>
      </c>
      <c r="G246" t="s">
        <v>49</v>
      </c>
      <c r="H246">
        <v>2</v>
      </c>
      <c r="I246">
        <v>2</v>
      </c>
      <c r="J246" t="s">
        <v>58</v>
      </c>
      <c r="K246">
        <v>1504</v>
      </c>
      <c r="L246">
        <v>3</v>
      </c>
      <c r="M246" t="s">
        <v>51</v>
      </c>
      <c r="N246">
        <v>2</v>
      </c>
      <c r="O246">
        <v>1</v>
      </c>
      <c r="P246" t="s">
        <v>52</v>
      </c>
      <c r="Q246">
        <v>1</v>
      </c>
      <c r="R246" t="s">
        <v>53</v>
      </c>
      <c r="S246">
        <v>92906</v>
      </c>
      <c r="T246" t="s">
        <v>70</v>
      </c>
      <c r="U246">
        <v>580.66</v>
      </c>
      <c r="V246">
        <v>7</v>
      </c>
      <c r="W246" t="s">
        <v>55</v>
      </c>
      <c r="X246">
        <v>11</v>
      </c>
      <c r="Y246">
        <v>3</v>
      </c>
      <c r="Z246">
        <v>3</v>
      </c>
      <c r="AA246">
        <v>0</v>
      </c>
      <c r="AB246">
        <v>8</v>
      </c>
      <c r="AC246">
        <v>2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f t="shared" si="21"/>
        <v>1</v>
      </c>
      <c r="AJ246" t="str">
        <f t="shared" si="22"/>
        <v>0-1 yr</v>
      </c>
      <c r="AK246" t="str">
        <f t="shared" si="23"/>
        <v>Recent</v>
      </c>
      <c r="AL246">
        <f t="shared" si="24"/>
        <v>2</v>
      </c>
      <c r="AM246" t="str">
        <f t="shared" si="25"/>
        <v>Medium Risk</v>
      </c>
      <c r="AN246" s="6">
        <f t="shared" si="26"/>
        <v>0.79630558760372316</v>
      </c>
      <c r="AO246" s="7">
        <f t="shared" si="27"/>
        <v>1114872</v>
      </c>
    </row>
    <row r="247" spans="1:41" x14ac:dyDescent="0.3">
      <c r="A247" t="s">
        <v>317</v>
      </c>
      <c r="B247">
        <v>28</v>
      </c>
      <c r="C247" t="s">
        <v>196</v>
      </c>
      <c r="D247" t="s">
        <v>55</v>
      </c>
      <c r="E247" t="s">
        <v>48</v>
      </c>
      <c r="F247">
        <v>1423</v>
      </c>
      <c r="G247" t="s">
        <v>49</v>
      </c>
      <c r="H247">
        <v>1</v>
      </c>
      <c r="I247">
        <v>3</v>
      </c>
      <c r="J247" t="s">
        <v>50</v>
      </c>
      <c r="K247">
        <v>1506</v>
      </c>
      <c r="L247">
        <v>1</v>
      </c>
      <c r="M247" t="s">
        <v>51</v>
      </c>
      <c r="N247">
        <v>2</v>
      </c>
      <c r="O247">
        <v>1</v>
      </c>
      <c r="P247" t="s">
        <v>67</v>
      </c>
      <c r="Q247">
        <v>3</v>
      </c>
      <c r="R247" t="s">
        <v>53</v>
      </c>
      <c r="S247">
        <v>50811</v>
      </c>
      <c r="T247" t="s">
        <v>64</v>
      </c>
      <c r="U247">
        <v>317.57</v>
      </c>
      <c r="V247">
        <v>1</v>
      </c>
      <c r="W247" t="s">
        <v>55</v>
      </c>
      <c r="X247">
        <v>14</v>
      </c>
      <c r="Y247">
        <v>3</v>
      </c>
      <c r="Z247">
        <v>4</v>
      </c>
      <c r="AA247">
        <v>1</v>
      </c>
      <c r="AB247">
        <v>1</v>
      </c>
      <c r="AC247">
        <v>2</v>
      </c>
      <c r="AD247">
        <v>1</v>
      </c>
      <c r="AE247">
        <v>1</v>
      </c>
      <c r="AF247">
        <v>0</v>
      </c>
      <c r="AG247">
        <v>0</v>
      </c>
      <c r="AH247">
        <v>0</v>
      </c>
      <c r="AI247">
        <f t="shared" si="21"/>
        <v>0</v>
      </c>
      <c r="AJ247" t="str">
        <f t="shared" si="22"/>
        <v>0-1 yr</v>
      </c>
      <c r="AK247" t="str">
        <f t="shared" si="23"/>
        <v>Recent</v>
      </c>
      <c r="AL247">
        <f t="shared" si="24"/>
        <v>1</v>
      </c>
      <c r="AM247" t="str">
        <f t="shared" si="25"/>
        <v>Low Risk</v>
      </c>
      <c r="AN247" s="6">
        <f t="shared" si="26"/>
        <v>1.8948695920707213E-2</v>
      </c>
      <c r="AO247" s="7">
        <f t="shared" si="27"/>
        <v>609732</v>
      </c>
    </row>
    <row r="248" spans="1:41" x14ac:dyDescent="0.3">
      <c r="A248" t="s">
        <v>318</v>
      </c>
      <c r="B248">
        <v>28</v>
      </c>
      <c r="C248" t="s">
        <v>196</v>
      </c>
      <c r="D248" t="s">
        <v>55</v>
      </c>
      <c r="E248" t="s">
        <v>62</v>
      </c>
      <c r="F248">
        <v>467</v>
      </c>
      <c r="G248" t="s">
        <v>57</v>
      </c>
      <c r="H248">
        <v>7</v>
      </c>
      <c r="I248">
        <v>3</v>
      </c>
      <c r="J248" t="s">
        <v>50</v>
      </c>
      <c r="K248">
        <v>1507</v>
      </c>
      <c r="L248">
        <v>3</v>
      </c>
      <c r="M248" t="s">
        <v>51</v>
      </c>
      <c r="N248">
        <v>3</v>
      </c>
      <c r="O248">
        <v>2</v>
      </c>
      <c r="P248" t="s">
        <v>145</v>
      </c>
      <c r="Q248">
        <v>1</v>
      </c>
      <c r="R248" t="s">
        <v>53</v>
      </c>
      <c r="S248">
        <v>3811</v>
      </c>
      <c r="T248" t="s">
        <v>54</v>
      </c>
      <c r="U248">
        <v>23.82</v>
      </c>
      <c r="V248">
        <v>0</v>
      </c>
      <c r="W248" t="s">
        <v>55</v>
      </c>
      <c r="X248">
        <v>14</v>
      </c>
      <c r="Y248">
        <v>3</v>
      </c>
      <c r="Z248">
        <v>4</v>
      </c>
      <c r="AA248">
        <v>0</v>
      </c>
      <c r="AB248">
        <v>5</v>
      </c>
      <c r="AC248">
        <v>5</v>
      </c>
      <c r="AD248">
        <v>3</v>
      </c>
      <c r="AE248">
        <v>4</v>
      </c>
      <c r="AF248">
        <v>2</v>
      </c>
      <c r="AG248">
        <v>1</v>
      </c>
      <c r="AH248">
        <v>3</v>
      </c>
      <c r="AI248">
        <f t="shared" si="21"/>
        <v>0</v>
      </c>
      <c r="AJ248" t="str">
        <f t="shared" si="22"/>
        <v>4-5 yrs</v>
      </c>
      <c r="AK248" t="str">
        <f t="shared" si="23"/>
        <v>Recent</v>
      </c>
      <c r="AL248">
        <f t="shared" si="24"/>
        <v>1</v>
      </c>
      <c r="AM248" t="str">
        <f t="shared" si="25"/>
        <v>Low Risk</v>
      </c>
      <c r="AN248" s="6">
        <f t="shared" si="26"/>
        <v>-0.92231639363194906</v>
      </c>
      <c r="AO248" s="7">
        <f t="shared" si="27"/>
        <v>45732</v>
      </c>
    </row>
    <row r="249" spans="1:41" x14ac:dyDescent="0.3">
      <c r="A249" t="s">
        <v>319</v>
      </c>
      <c r="B249">
        <v>28</v>
      </c>
      <c r="C249" t="s">
        <v>196</v>
      </c>
      <c r="D249" t="s">
        <v>55</v>
      </c>
      <c r="E249" t="s">
        <v>48</v>
      </c>
      <c r="F249">
        <v>1083</v>
      </c>
      <c r="G249" t="s">
        <v>49</v>
      </c>
      <c r="H249">
        <v>29</v>
      </c>
      <c r="I249">
        <v>1</v>
      </c>
      <c r="J249" t="s">
        <v>50</v>
      </c>
      <c r="K249">
        <v>1514</v>
      </c>
      <c r="L249">
        <v>3</v>
      </c>
      <c r="M249" t="s">
        <v>51</v>
      </c>
      <c r="N249">
        <v>1</v>
      </c>
      <c r="O249">
        <v>2</v>
      </c>
      <c r="P249" t="s">
        <v>120</v>
      </c>
      <c r="Q249">
        <v>2</v>
      </c>
      <c r="R249" t="s">
        <v>113</v>
      </c>
      <c r="S249">
        <v>57250</v>
      </c>
      <c r="T249" t="s">
        <v>64</v>
      </c>
      <c r="U249">
        <v>357.81</v>
      </c>
      <c r="V249">
        <v>1</v>
      </c>
      <c r="W249" t="s">
        <v>55</v>
      </c>
      <c r="X249">
        <v>14</v>
      </c>
      <c r="Y249">
        <v>3</v>
      </c>
      <c r="Z249">
        <v>2</v>
      </c>
      <c r="AA249">
        <v>2</v>
      </c>
      <c r="AB249">
        <v>8</v>
      </c>
      <c r="AC249">
        <v>2</v>
      </c>
      <c r="AD249">
        <v>2</v>
      </c>
      <c r="AE249">
        <v>8</v>
      </c>
      <c r="AF249">
        <v>6</v>
      </c>
      <c r="AG249">
        <v>1</v>
      </c>
      <c r="AH249">
        <v>7</v>
      </c>
      <c r="AI249">
        <f t="shared" si="21"/>
        <v>0</v>
      </c>
      <c r="AJ249" t="str">
        <f t="shared" si="22"/>
        <v>6-10 yrs</v>
      </c>
      <c r="AK249" t="str">
        <f t="shared" si="23"/>
        <v>Recent</v>
      </c>
      <c r="AL249">
        <f t="shared" si="24"/>
        <v>2</v>
      </c>
      <c r="AM249" t="str">
        <f t="shared" si="25"/>
        <v>Medium Risk</v>
      </c>
      <c r="AN249" s="6">
        <f t="shared" si="26"/>
        <v>0.29246114073360946</v>
      </c>
      <c r="AO249" s="7">
        <f t="shared" si="27"/>
        <v>687000</v>
      </c>
    </row>
    <row r="250" spans="1:41" x14ac:dyDescent="0.3">
      <c r="A250" t="s">
        <v>320</v>
      </c>
      <c r="B250">
        <v>28</v>
      </c>
      <c r="C250" t="s">
        <v>196</v>
      </c>
      <c r="D250" t="s">
        <v>47</v>
      </c>
      <c r="E250" t="s">
        <v>48</v>
      </c>
      <c r="F250">
        <v>329</v>
      </c>
      <c r="G250" t="s">
        <v>49</v>
      </c>
      <c r="H250">
        <v>24</v>
      </c>
      <c r="I250">
        <v>3</v>
      </c>
      <c r="J250" t="s">
        <v>58</v>
      </c>
      <c r="K250">
        <v>1604</v>
      </c>
      <c r="L250">
        <v>3</v>
      </c>
      <c r="M250" t="s">
        <v>51</v>
      </c>
      <c r="N250">
        <v>3</v>
      </c>
      <c r="O250">
        <v>1</v>
      </c>
      <c r="P250" t="s">
        <v>52</v>
      </c>
      <c r="Q250">
        <v>2</v>
      </c>
      <c r="R250" t="s">
        <v>113</v>
      </c>
      <c r="S250">
        <v>73082</v>
      </c>
      <c r="T250" t="s">
        <v>64</v>
      </c>
      <c r="U250">
        <v>456.76</v>
      </c>
      <c r="V250">
        <v>1</v>
      </c>
      <c r="W250" t="s">
        <v>47</v>
      </c>
      <c r="X250">
        <v>17</v>
      </c>
      <c r="Y250">
        <v>3</v>
      </c>
      <c r="Z250">
        <v>3</v>
      </c>
      <c r="AA250">
        <v>3</v>
      </c>
      <c r="AB250">
        <v>1</v>
      </c>
      <c r="AC250">
        <v>3</v>
      </c>
      <c r="AD250">
        <v>3</v>
      </c>
      <c r="AE250">
        <v>1</v>
      </c>
      <c r="AF250">
        <v>1</v>
      </c>
      <c r="AG250">
        <v>0</v>
      </c>
      <c r="AH250">
        <v>0</v>
      </c>
      <c r="AI250">
        <f t="shared" si="21"/>
        <v>1</v>
      </c>
      <c r="AJ250" t="str">
        <f t="shared" si="22"/>
        <v>0-1 yr</v>
      </c>
      <c r="AK250" t="str">
        <f t="shared" si="23"/>
        <v>Recent</v>
      </c>
      <c r="AL250">
        <f t="shared" si="24"/>
        <v>2</v>
      </c>
      <c r="AM250" t="str">
        <f t="shared" si="25"/>
        <v>Medium Risk</v>
      </c>
      <c r="AN250" s="6">
        <f t="shared" si="26"/>
        <v>0.41301535910764964</v>
      </c>
      <c r="AO250" s="7">
        <f t="shared" si="27"/>
        <v>876984</v>
      </c>
    </row>
    <row r="251" spans="1:41" x14ac:dyDescent="0.3">
      <c r="A251" t="s">
        <v>321</v>
      </c>
      <c r="B251">
        <v>28</v>
      </c>
      <c r="C251" t="s">
        <v>196</v>
      </c>
      <c r="D251" t="s">
        <v>55</v>
      </c>
      <c r="E251" t="s">
        <v>48</v>
      </c>
      <c r="F251">
        <v>580</v>
      </c>
      <c r="G251" t="s">
        <v>49</v>
      </c>
      <c r="H251">
        <v>27</v>
      </c>
      <c r="I251">
        <v>3</v>
      </c>
      <c r="J251" t="s">
        <v>58</v>
      </c>
      <c r="K251">
        <v>1622</v>
      </c>
      <c r="L251">
        <v>2</v>
      </c>
      <c r="M251" t="s">
        <v>59</v>
      </c>
      <c r="N251">
        <v>1</v>
      </c>
      <c r="O251">
        <v>2</v>
      </c>
      <c r="P251" t="s">
        <v>120</v>
      </c>
      <c r="Q251">
        <v>1</v>
      </c>
      <c r="R251" t="s">
        <v>53</v>
      </c>
      <c r="S251">
        <v>35754</v>
      </c>
      <c r="T251" t="s">
        <v>72</v>
      </c>
      <c r="U251">
        <v>223.46</v>
      </c>
      <c r="V251">
        <v>0</v>
      </c>
      <c r="W251" t="s">
        <v>55</v>
      </c>
      <c r="X251">
        <v>21</v>
      </c>
      <c r="Y251">
        <v>4</v>
      </c>
      <c r="Z251">
        <v>2</v>
      </c>
      <c r="AA251">
        <v>1</v>
      </c>
      <c r="AB251">
        <v>6</v>
      </c>
      <c r="AC251">
        <v>5</v>
      </c>
      <c r="AD251">
        <v>2</v>
      </c>
      <c r="AE251">
        <v>5</v>
      </c>
      <c r="AF251">
        <v>3</v>
      </c>
      <c r="AG251">
        <v>0</v>
      </c>
      <c r="AH251">
        <v>0</v>
      </c>
      <c r="AI251">
        <f t="shared" si="21"/>
        <v>0</v>
      </c>
      <c r="AJ251" t="str">
        <f t="shared" si="22"/>
        <v>4-5 yrs</v>
      </c>
      <c r="AK251" t="str">
        <f t="shared" si="23"/>
        <v>Recent</v>
      </c>
      <c r="AL251">
        <f t="shared" si="24"/>
        <v>2</v>
      </c>
      <c r="AM251" t="str">
        <f t="shared" si="25"/>
        <v>Medium Risk</v>
      </c>
      <c r="AN251" s="6">
        <f t="shared" si="26"/>
        <v>-0.19282697596874285</v>
      </c>
      <c r="AO251" s="7">
        <f t="shared" si="27"/>
        <v>429048</v>
      </c>
    </row>
    <row r="252" spans="1:41" x14ac:dyDescent="0.3">
      <c r="A252" t="s">
        <v>322</v>
      </c>
      <c r="B252">
        <v>28</v>
      </c>
      <c r="C252" t="s">
        <v>196</v>
      </c>
      <c r="D252" t="s">
        <v>55</v>
      </c>
      <c r="E252" t="s">
        <v>48</v>
      </c>
      <c r="F252">
        <v>1181</v>
      </c>
      <c r="G252" t="s">
        <v>49</v>
      </c>
      <c r="H252">
        <v>1</v>
      </c>
      <c r="I252">
        <v>3</v>
      </c>
      <c r="J252" t="s">
        <v>50</v>
      </c>
      <c r="K252">
        <v>1799</v>
      </c>
      <c r="L252">
        <v>3</v>
      </c>
      <c r="M252" t="s">
        <v>51</v>
      </c>
      <c r="N252">
        <v>3</v>
      </c>
      <c r="O252">
        <v>1</v>
      </c>
      <c r="P252" t="s">
        <v>67</v>
      </c>
      <c r="Q252">
        <v>4</v>
      </c>
      <c r="R252" t="s">
        <v>113</v>
      </c>
      <c r="S252">
        <v>96742</v>
      </c>
      <c r="T252" t="s">
        <v>70</v>
      </c>
      <c r="U252">
        <v>604.64</v>
      </c>
      <c r="V252">
        <v>1</v>
      </c>
      <c r="W252" t="s">
        <v>55</v>
      </c>
      <c r="X252">
        <v>11</v>
      </c>
      <c r="Y252">
        <v>3</v>
      </c>
      <c r="Z252">
        <v>3</v>
      </c>
      <c r="AA252">
        <v>1</v>
      </c>
      <c r="AB252">
        <v>5</v>
      </c>
      <c r="AC252">
        <v>6</v>
      </c>
      <c r="AD252">
        <v>4</v>
      </c>
      <c r="AE252">
        <v>5</v>
      </c>
      <c r="AF252">
        <v>3</v>
      </c>
      <c r="AG252">
        <v>0</v>
      </c>
      <c r="AH252">
        <v>3</v>
      </c>
      <c r="AI252">
        <f t="shared" si="21"/>
        <v>0</v>
      </c>
      <c r="AJ252" t="str">
        <f t="shared" si="22"/>
        <v>4-5 yrs</v>
      </c>
      <c r="AK252" t="str">
        <f t="shared" si="23"/>
        <v>Recent</v>
      </c>
      <c r="AL252">
        <f t="shared" si="24"/>
        <v>0</v>
      </c>
      <c r="AM252" t="str">
        <f t="shared" si="25"/>
        <v>Minimal Risk</v>
      </c>
      <c r="AN252" s="6">
        <f t="shared" si="26"/>
        <v>0.94003532189409889</v>
      </c>
      <c r="AO252" s="7">
        <f t="shared" si="27"/>
        <v>1160904</v>
      </c>
    </row>
    <row r="253" spans="1:41" x14ac:dyDescent="0.3">
      <c r="A253" t="s">
        <v>323</v>
      </c>
      <c r="B253">
        <v>28</v>
      </c>
      <c r="C253" t="s">
        <v>196</v>
      </c>
      <c r="D253" t="s">
        <v>55</v>
      </c>
      <c r="E253" t="s">
        <v>48</v>
      </c>
      <c r="F253">
        <v>1217</v>
      </c>
      <c r="G253" t="s">
        <v>49</v>
      </c>
      <c r="H253">
        <v>1</v>
      </c>
      <c r="I253">
        <v>3</v>
      </c>
      <c r="J253" t="s">
        <v>58</v>
      </c>
      <c r="K253">
        <v>1834</v>
      </c>
      <c r="L253">
        <v>3</v>
      </c>
      <c r="M253" t="s">
        <v>59</v>
      </c>
      <c r="N253">
        <v>3</v>
      </c>
      <c r="O253">
        <v>1</v>
      </c>
      <c r="P253" t="s">
        <v>67</v>
      </c>
      <c r="Q253">
        <v>1</v>
      </c>
      <c r="R253" t="s">
        <v>113</v>
      </c>
      <c r="S253">
        <v>12411</v>
      </c>
      <c r="T253" t="s">
        <v>54</v>
      </c>
      <c r="U253">
        <v>77.569999999999993</v>
      </c>
      <c r="V253">
        <v>1</v>
      </c>
      <c r="W253" t="s">
        <v>55</v>
      </c>
      <c r="X253">
        <v>25</v>
      </c>
      <c r="Y253">
        <v>4</v>
      </c>
      <c r="Z253">
        <v>3</v>
      </c>
      <c r="AA253">
        <v>1</v>
      </c>
      <c r="AB253">
        <v>3</v>
      </c>
      <c r="AC253">
        <v>3</v>
      </c>
      <c r="AD253">
        <v>3</v>
      </c>
      <c r="AE253">
        <v>3</v>
      </c>
      <c r="AF253">
        <v>2</v>
      </c>
      <c r="AG253">
        <v>1</v>
      </c>
      <c r="AH253">
        <v>2</v>
      </c>
      <c r="AI253">
        <f t="shared" si="21"/>
        <v>0</v>
      </c>
      <c r="AJ253" t="str">
        <f t="shared" si="22"/>
        <v>2-3 yrs</v>
      </c>
      <c r="AK253" t="str">
        <f t="shared" si="23"/>
        <v>Recent</v>
      </c>
      <c r="AL253">
        <f t="shared" si="24"/>
        <v>1</v>
      </c>
      <c r="AM253" t="str">
        <f t="shared" si="25"/>
        <v>Low Risk</v>
      </c>
      <c r="AN253" s="6">
        <f t="shared" si="26"/>
        <v>-0.75111349382866122</v>
      </c>
      <c r="AO253" s="7">
        <f t="shared" si="27"/>
        <v>148932</v>
      </c>
    </row>
    <row r="254" spans="1:41" x14ac:dyDescent="0.3">
      <c r="A254" t="s">
        <v>324</v>
      </c>
      <c r="B254">
        <v>28</v>
      </c>
      <c r="C254" t="s">
        <v>196</v>
      </c>
      <c r="D254" t="s">
        <v>55</v>
      </c>
      <c r="E254" t="s">
        <v>66</v>
      </c>
      <c r="F254">
        <v>280</v>
      </c>
      <c r="G254" t="s">
        <v>80</v>
      </c>
      <c r="H254">
        <v>1</v>
      </c>
      <c r="I254">
        <v>2</v>
      </c>
      <c r="J254" t="s">
        <v>50</v>
      </c>
      <c r="K254">
        <v>1858</v>
      </c>
      <c r="L254">
        <v>3</v>
      </c>
      <c r="M254" t="s">
        <v>51</v>
      </c>
      <c r="N254">
        <v>3</v>
      </c>
      <c r="O254">
        <v>1</v>
      </c>
      <c r="P254" t="s">
        <v>80</v>
      </c>
      <c r="Q254">
        <v>4</v>
      </c>
      <c r="R254" t="s">
        <v>53</v>
      </c>
      <c r="S254">
        <v>3911</v>
      </c>
      <c r="T254" t="s">
        <v>54</v>
      </c>
      <c r="U254">
        <v>24.44</v>
      </c>
      <c r="V254">
        <v>1</v>
      </c>
      <c r="W254" t="s">
        <v>55</v>
      </c>
      <c r="X254">
        <v>15</v>
      </c>
      <c r="Y254">
        <v>3</v>
      </c>
      <c r="Z254">
        <v>2</v>
      </c>
      <c r="AA254">
        <v>1</v>
      </c>
      <c r="AB254">
        <v>3</v>
      </c>
      <c r="AC254">
        <v>2</v>
      </c>
      <c r="AD254">
        <v>3</v>
      </c>
      <c r="AE254">
        <v>3</v>
      </c>
      <c r="AF254">
        <v>2</v>
      </c>
      <c r="AG254">
        <v>2</v>
      </c>
      <c r="AH254">
        <v>2</v>
      </c>
      <c r="AI254">
        <f t="shared" si="21"/>
        <v>0</v>
      </c>
      <c r="AJ254" t="str">
        <f t="shared" si="22"/>
        <v>2-3 yrs</v>
      </c>
      <c r="AK254" t="str">
        <f t="shared" si="23"/>
        <v>Recent</v>
      </c>
      <c r="AL254">
        <f t="shared" si="24"/>
        <v>0</v>
      </c>
      <c r="AM254" t="str">
        <f t="shared" si="25"/>
        <v>Minimal Risk</v>
      </c>
      <c r="AN254" s="6">
        <f t="shared" si="26"/>
        <v>-0.92292690691214196</v>
      </c>
      <c r="AO254" s="7">
        <f t="shared" si="27"/>
        <v>46932</v>
      </c>
    </row>
    <row r="255" spans="1:41" x14ac:dyDescent="0.3">
      <c r="A255" t="s">
        <v>325</v>
      </c>
      <c r="B255">
        <v>28</v>
      </c>
      <c r="C255" t="s">
        <v>196</v>
      </c>
      <c r="D255" t="s">
        <v>55</v>
      </c>
      <c r="E255" t="s">
        <v>48</v>
      </c>
      <c r="F255">
        <v>1172</v>
      </c>
      <c r="G255" t="s">
        <v>57</v>
      </c>
      <c r="H255">
        <v>3</v>
      </c>
      <c r="I255">
        <v>3</v>
      </c>
      <c r="J255" t="s">
        <v>58</v>
      </c>
      <c r="K255">
        <v>1875</v>
      </c>
      <c r="L255">
        <v>2</v>
      </c>
      <c r="M255" t="s">
        <v>59</v>
      </c>
      <c r="N255">
        <v>3</v>
      </c>
      <c r="O255">
        <v>1</v>
      </c>
      <c r="P255" t="s">
        <v>60</v>
      </c>
      <c r="Q255">
        <v>2</v>
      </c>
      <c r="R255" t="s">
        <v>113</v>
      </c>
      <c r="S255">
        <v>68270</v>
      </c>
      <c r="T255" t="s">
        <v>64</v>
      </c>
      <c r="U255">
        <v>426.69</v>
      </c>
      <c r="V255">
        <v>1</v>
      </c>
      <c r="W255" t="s">
        <v>55</v>
      </c>
      <c r="X255">
        <v>19</v>
      </c>
      <c r="Y255">
        <v>3</v>
      </c>
      <c r="Z255">
        <v>4</v>
      </c>
      <c r="AA255">
        <v>1</v>
      </c>
      <c r="AB255">
        <v>1</v>
      </c>
      <c r="AC255">
        <v>3</v>
      </c>
      <c r="AD255">
        <v>3</v>
      </c>
      <c r="AE255">
        <v>1</v>
      </c>
      <c r="AF255">
        <v>0</v>
      </c>
      <c r="AG255">
        <v>0</v>
      </c>
      <c r="AH255">
        <v>0</v>
      </c>
      <c r="AI255">
        <f t="shared" si="21"/>
        <v>0</v>
      </c>
      <c r="AJ255" t="str">
        <f t="shared" si="22"/>
        <v>0-1 yr</v>
      </c>
      <c r="AK255" t="str">
        <f t="shared" si="23"/>
        <v>Recent</v>
      </c>
      <c r="AL255">
        <f t="shared" si="24"/>
        <v>1</v>
      </c>
      <c r="AM255" t="str">
        <f t="shared" si="25"/>
        <v>Low Risk</v>
      </c>
      <c r="AN255" s="6">
        <f t="shared" si="26"/>
        <v>0.38403470923150779</v>
      </c>
      <c r="AO255" s="7">
        <f t="shared" si="27"/>
        <v>819240</v>
      </c>
    </row>
    <row r="256" spans="1:41" x14ac:dyDescent="0.3">
      <c r="A256" t="s">
        <v>326</v>
      </c>
      <c r="B256">
        <v>28</v>
      </c>
      <c r="C256" t="s">
        <v>196</v>
      </c>
      <c r="D256" t="s">
        <v>55</v>
      </c>
      <c r="E256" t="s">
        <v>62</v>
      </c>
      <c r="F256">
        <v>783</v>
      </c>
      <c r="G256" t="s">
        <v>57</v>
      </c>
      <c r="H256">
        <v>1</v>
      </c>
      <c r="I256">
        <v>2</v>
      </c>
      <c r="J256" t="s">
        <v>50</v>
      </c>
      <c r="K256">
        <v>1927</v>
      </c>
      <c r="L256">
        <v>3</v>
      </c>
      <c r="M256" t="s">
        <v>51</v>
      </c>
      <c r="N256">
        <v>2</v>
      </c>
      <c r="O256">
        <v>2</v>
      </c>
      <c r="P256" t="s">
        <v>145</v>
      </c>
      <c r="Q256">
        <v>4</v>
      </c>
      <c r="R256" t="s">
        <v>113</v>
      </c>
      <c r="S256">
        <v>84763</v>
      </c>
      <c r="T256" t="s">
        <v>70</v>
      </c>
      <c r="U256">
        <v>529.77</v>
      </c>
      <c r="V256">
        <v>1</v>
      </c>
      <c r="W256" t="s">
        <v>47</v>
      </c>
      <c r="X256">
        <v>12</v>
      </c>
      <c r="Y256">
        <v>3</v>
      </c>
      <c r="Z256">
        <v>3</v>
      </c>
      <c r="AA256">
        <v>1</v>
      </c>
      <c r="AB256">
        <v>7</v>
      </c>
      <c r="AC256">
        <v>2</v>
      </c>
      <c r="AD256">
        <v>3</v>
      </c>
      <c r="AE256">
        <v>7</v>
      </c>
      <c r="AF256">
        <v>7</v>
      </c>
      <c r="AG256">
        <v>0</v>
      </c>
      <c r="AH256">
        <v>7</v>
      </c>
      <c r="AI256">
        <f t="shared" si="21"/>
        <v>0</v>
      </c>
      <c r="AJ256" t="str">
        <f t="shared" si="22"/>
        <v>6-10 yrs</v>
      </c>
      <c r="AK256" t="str">
        <f t="shared" si="23"/>
        <v>Recent</v>
      </c>
      <c r="AL256">
        <f t="shared" si="24"/>
        <v>1</v>
      </c>
      <c r="AM256" t="str">
        <f t="shared" si="25"/>
        <v>Low Risk</v>
      </c>
      <c r="AN256" s="6">
        <f t="shared" si="26"/>
        <v>0.72781304816979742</v>
      </c>
      <c r="AO256" s="7">
        <f t="shared" si="27"/>
        <v>1017156</v>
      </c>
    </row>
    <row r="257" spans="1:41" x14ac:dyDescent="0.3">
      <c r="A257" t="s">
        <v>327</v>
      </c>
      <c r="B257">
        <v>28</v>
      </c>
      <c r="C257" t="s">
        <v>196</v>
      </c>
      <c r="D257" t="s">
        <v>47</v>
      </c>
      <c r="E257" t="s">
        <v>48</v>
      </c>
      <c r="F257">
        <v>1475</v>
      </c>
      <c r="G257" t="s">
        <v>57</v>
      </c>
      <c r="H257">
        <v>13</v>
      </c>
      <c r="I257">
        <v>2</v>
      </c>
      <c r="J257" t="s">
        <v>63</v>
      </c>
      <c r="K257">
        <v>1933</v>
      </c>
      <c r="L257">
        <v>4</v>
      </c>
      <c r="M257" t="s">
        <v>59</v>
      </c>
      <c r="N257">
        <v>3</v>
      </c>
      <c r="O257">
        <v>2</v>
      </c>
      <c r="P257" t="s">
        <v>145</v>
      </c>
      <c r="Q257">
        <v>3</v>
      </c>
      <c r="R257" t="s">
        <v>53</v>
      </c>
      <c r="S257">
        <v>9680</v>
      </c>
      <c r="T257" t="s">
        <v>54</v>
      </c>
      <c r="U257">
        <v>60.5</v>
      </c>
      <c r="V257">
        <v>3</v>
      </c>
      <c r="W257" t="s">
        <v>47</v>
      </c>
      <c r="X257">
        <v>11</v>
      </c>
      <c r="Y257">
        <v>3</v>
      </c>
      <c r="Z257">
        <v>4</v>
      </c>
      <c r="AA257">
        <v>0</v>
      </c>
      <c r="AB257">
        <v>6</v>
      </c>
      <c r="AC257">
        <v>0</v>
      </c>
      <c r="AD257">
        <v>3</v>
      </c>
      <c r="AE257">
        <v>2</v>
      </c>
      <c r="AF257">
        <v>0</v>
      </c>
      <c r="AG257">
        <v>2</v>
      </c>
      <c r="AH257">
        <v>2</v>
      </c>
      <c r="AI257">
        <f t="shared" si="21"/>
        <v>1</v>
      </c>
      <c r="AJ257" t="str">
        <f t="shared" si="22"/>
        <v>2-3 yrs</v>
      </c>
      <c r="AK257" t="str">
        <f t="shared" si="23"/>
        <v>Recent</v>
      </c>
      <c r="AL257">
        <f t="shared" si="24"/>
        <v>1</v>
      </c>
      <c r="AM257" t="str">
        <f t="shared" si="25"/>
        <v>Low Risk</v>
      </c>
      <c r="AN257" s="6">
        <f t="shared" si="26"/>
        <v>-0.80268241678227958</v>
      </c>
      <c r="AO257" s="7">
        <f t="shared" si="27"/>
        <v>116160</v>
      </c>
    </row>
    <row r="258" spans="1:41" x14ac:dyDescent="0.3">
      <c r="A258" t="s">
        <v>328</v>
      </c>
      <c r="B258">
        <v>28</v>
      </c>
      <c r="C258" t="s">
        <v>196</v>
      </c>
      <c r="D258" t="s">
        <v>55</v>
      </c>
      <c r="E258" t="s">
        <v>66</v>
      </c>
      <c r="F258">
        <v>1103</v>
      </c>
      <c r="G258" t="s">
        <v>49</v>
      </c>
      <c r="H258">
        <v>16</v>
      </c>
      <c r="I258">
        <v>3</v>
      </c>
      <c r="J258" t="s">
        <v>58</v>
      </c>
      <c r="K258">
        <v>1947</v>
      </c>
      <c r="L258">
        <v>3</v>
      </c>
      <c r="M258" t="s">
        <v>51</v>
      </c>
      <c r="N258">
        <v>3</v>
      </c>
      <c r="O258">
        <v>1</v>
      </c>
      <c r="P258" t="s">
        <v>67</v>
      </c>
      <c r="Q258">
        <v>3</v>
      </c>
      <c r="R258" t="s">
        <v>53</v>
      </c>
      <c r="S258">
        <v>85896</v>
      </c>
      <c r="T258" t="s">
        <v>70</v>
      </c>
      <c r="U258">
        <v>536.85</v>
      </c>
      <c r="V258">
        <v>1</v>
      </c>
      <c r="W258" t="s">
        <v>55</v>
      </c>
      <c r="X258">
        <v>14</v>
      </c>
      <c r="Y258">
        <v>3</v>
      </c>
      <c r="Z258">
        <v>3</v>
      </c>
      <c r="AA258">
        <v>0</v>
      </c>
      <c r="AB258">
        <v>5</v>
      </c>
      <c r="AC258">
        <v>3</v>
      </c>
      <c r="AD258">
        <v>2</v>
      </c>
      <c r="AE258">
        <v>5</v>
      </c>
      <c r="AF258">
        <v>3</v>
      </c>
      <c r="AG258">
        <v>1</v>
      </c>
      <c r="AH258">
        <v>4</v>
      </c>
      <c r="AI258">
        <f t="shared" ref="AI258:AI321" si="28">IF(D258="Yes",1,0)</f>
        <v>0</v>
      </c>
      <c r="AJ258" t="str">
        <f t="shared" ref="AJ258:AJ321" si="29">IF(AE258&lt;=1,"0-1 yr",IF(AE258&lt;=3,"2-3 yrs",IF(AE258&lt;=5,"4-5 yrs",IF(AE258&lt;=10,"6-10 yrs","10+ yrs"))))</f>
        <v>4-5 yrs</v>
      </c>
      <c r="AK258" t="str">
        <f t="shared" ref="AK258:AK321" si="30">IF(AG258&gt;=3,"Overdue","Recent")</f>
        <v>Recent</v>
      </c>
      <c r="AL258">
        <f t="shared" ref="AL258:AL321" si="31">IF(W258="Yes",1,0)+IF(AD258&lt;=2,1,0)+IF(Q258&lt;=2,1,0)+IF(AG258&gt;=3,1,0)</f>
        <v>1</v>
      </c>
      <c r="AM258" t="str">
        <f t="shared" ref="AM258:AM321" si="32">IF(AL258&gt;=3,"High Risk",IF(AL258=2,"Medium Risk",IF(AL258=1,"Low Risk","Minimal Risk")))</f>
        <v>Low Risk</v>
      </c>
      <c r="AN258" s="6">
        <f t="shared" ref="AN258:AN321" si="33">IFERROR((S258-AVERAGEIF(P$2:P$1479,P258,S$2:S$1479))/AVERAGEIF(P$2:P$1479,P258,S$2:S$1479),0)</f>
        <v>0.7225328606956184</v>
      </c>
      <c r="AO258" s="7">
        <f t="shared" ref="AO258:AO321" si="34">S258*12</f>
        <v>1030752</v>
      </c>
    </row>
    <row r="259" spans="1:41" x14ac:dyDescent="0.3">
      <c r="A259" t="s">
        <v>329</v>
      </c>
      <c r="B259">
        <v>28</v>
      </c>
      <c r="C259" t="s">
        <v>196</v>
      </c>
      <c r="D259" t="s">
        <v>47</v>
      </c>
      <c r="E259" t="s">
        <v>48</v>
      </c>
      <c r="F259">
        <v>1404</v>
      </c>
      <c r="G259" t="s">
        <v>49</v>
      </c>
      <c r="H259">
        <v>17</v>
      </c>
      <c r="I259">
        <v>3</v>
      </c>
      <c r="J259" t="s">
        <v>77</v>
      </c>
      <c r="K259">
        <v>1960</v>
      </c>
      <c r="L259">
        <v>3</v>
      </c>
      <c r="M259" t="s">
        <v>51</v>
      </c>
      <c r="N259">
        <v>2</v>
      </c>
      <c r="O259">
        <v>1</v>
      </c>
      <c r="P259" t="s">
        <v>52</v>
      </c>
      <c r="Q259">
        <v>4</v>
      </c>
      <c r="R259" t="s">
        <v>53</v>
      </c>
      <c r="S259">
        <v>84879</v>
      </c>
      <c r="T259" t="s">
        <v>70</v>
      </c>
      <c r="U259">
        <v>530.49</v>
      </c>
      <c r="V259">
        <v>5</v>
      </c>
      <c r="W259" t="s">
        <v>55</v>
      </c>
      <c r="X259">
        <v>12</v>
      </c>
      <c r="Y259">
        <v>3</v>
      </c>
      <c r="Z259">
        <v>1</v>
      </c>
      <c r="AA259">
        <v>1</v>
      </c>
      <c r="AB259">
        <v>6</v>
      </c>
      <c r="AC259">
        <v>2</v>
      </c>
      <c r="AD259">
        <v>2</v>
      </c>
      <c r="AE259">
        <v>4</v>
      </c>
      <c r="AF259">
        <v>1</v>
      </c>
      <c r="AG259">
        <v>0</v>
      </c>
      <c r="AH259">
        <v>3</v>
      </c>
      <c r="AI259">
        <f t="shared" si="28"/>
        <v>1</v>
      </c>
      <c r="AJ259" t="str">
        <f t="shared" si="29"/>
        <v>4-5 yrs</v>
      </c>
      <c r="AK259" t="str">
        <f t="shared" si="30"/>
        <v>Recent</v>
      </c>
      <c r="AL259">
        <f t="shared" si="31"/>
        <v>1</v>
      </c>
      <c r="AM259" t="str">
        <f t="shared" si="32"/>
        <v>Low Risk</v>
      </c>
      <c r="AN259" s="6">
        <f t="shared" si="33"/>
        <v>0.64110630067182339</v>
      </c>
      <c r="AO259" s="7">
        <f t="shared" si="34"/>
        <v>1018548</v>
      </c>
    </row>
    <row r="260" spans="1:41" x14ac:dyDescent="0.3">
      <c r="A260" t="s">
        <v>330</v>
      </c>
      <c r="B260">
        <v>29</v>
      </c>
      <c r="C260" t="s">
        <v>196</v>
      </c>
      <c r="D260" t="s">
        <v>55</v>
      </c>
      <c r="E260" t="s">
        <v>48</v>
      </c>
      <c r="F260">
        <v>153</v>
      </c>
      <c r="G260" t="s">
        <v>49</v>
      </c>
      <c r="H260">
        <v>15</v>
      </c>
      <c r="I260">
        <v>2</v>
      </c>
      <c r="J260" t="s">
        <v>50</v>
      </c>
      <c r="K260">
        <v>15</v>
      </c>
      <c r="L260">
        <v>4</v>
      </c>
      <c r="M260" t="s">
        <v>59</v>
      </c>
      <c r="N260">
        <v>2</v>
      </c>
      <c r="O260">
        <v>2</v>
      </c>
      <c r="P260" t="s">
        <v>52</v>
      </c>
      <c r="Q260">
        <v>3</v>
      </c>
      <c r="R260" t="s">
        <v>53</v>
      </c>
      <c r="S260">
        <v>72295</v>
      </c>
      <c r="T260" t="s">
        <v>64</v>
      </c>
      <c r="U260">
        <v>451.84</v>
      </c>
      <c r="V260">
        <v>0</v>
      </c>
      <c r="W260" t="s">
        <v>47</v>
      </c>
      <c r="X260">
        <v>12</v>
      </c>
      <c r="Y260">
        <v>3</v>
      </c>
      <c r="Z260">
        <v>4</v>
      </c>
      <c r="AA260">
        <v>0</v>
      </c>
      <c r="AB260">
        <v>10</v>
      </c>
      <c r="AC260">
        <v>3</v>
      </c>
      <c r="AD260">
        <v>3</v>
      </c>
      <c r="AE260">
        <v>9</v>
      </c>
      <c r="AF260">
        <v>5</v>
      </c>
      <c r="AG260">
        <v>0</v>
      </c>
      <c r="AH260">
        <v>8</v>
      </c>
      <c r="AI260">
        <f t="shared" si="28"/>
        <v>0</v>
      </c>
      <c r="AJ260" t="str">
        <f t="shared" si="29"/>
        <v>6-10 yrs</v>
      </c>
      <c r="AK260" t="str">
        <f t="shared" si="30"/>
        <v>Recent</v>
      </c>
      <c r="AL260">
        <f t="shared" si="31"/>
        <v>1</v>
      </c>
      <c r="AM260" t="str">
        <f t="shared" si="32"/>
        <v>Low Risk</v>
      </c>
      <c r="AN260" s="6">
        <f t="shared" si="33"/>
        <v>0.39779898451995749</v>
      </c>
      <c r="AO260" s="7">
        <f t="shared" si="34"/>
        <v>867540</v>
      </c>
    </row>
    <row r="261" spans="1:41" x14ac:dyDescent="0.3">
      <c r="A261" t="s">
        <v>331</v>
      </c>
      <c r="B261">
        <v>29</v>
      </c>
      <c r="C261" t="s">
        <v>196</v>
      </c>
      <c r="D261" t="s">
        <v>55</v>
      </c>
      <c r="E261" t="s">
        <v>48</v>
      </c>
      <c r="F261">
        <v>1389</v>
      </c>
      <c r="G261" t="s">
        <v>49</v>
      </c>
      <c r="H261">
        <v>21</v>
      </c>
      <c r="I261">
        <v>4</v>
      </c>
      <c r="J261" t="s">
        <v>50</v>
      </c>
      <c r="K261">
        <v>20</v>
      </c>
      <c r="L261">
        <v>2</v>
      </c>
      <c r="M261" t="s">
        <v>59</v>
      </c>
      <c r="N261">
        <v>4</v>
      </c>
      <c r="O261">
        <v>3</v>
      </c>
      <c r="P261" t="s">
        <v>120</v>
      </c>
      <c r="Q261">
        <v>1</v>
      </c>
      <c r="R261" t="s">
        <v>53</v>
      </c>
      <c r="S261">
        <v>89614</v>
      </c>
      <c r="T261" t="s">
        <v>70</v>
      </c>
      <c r="U261">
        <v>560.09</v>
      </c>
      <c r="V261">
        <v>1</v>
      </c>
      <c r="W261" t="s">
        <v>55</v>
      </c>
      <c r="X261">
        <v>11</v>
      </c>
      <c r="Y261">
        <v>3</v>
      </c>
      <c r="Z261">
        <v>3</v>
      </c>
      <c r="AA261">
        <v>1</v>
      </c>
      <c r="AB261">
        <v>10</v>
      </c>
      <c r="AC261">
        <v>1</v>
      </c>
      <c r="AD261">
        <v>3</v>
      </c>
      <c r="AE261">
        <v>10</v>
      </c>
      <c r="AF261">
        <v>9</v>
      </c>
      <c r="AG261">
        <v>8</v>
      </c>
      <c r="AH261">
        <v>8</v>
      </c>
      <c r="AI261">
        <f t="shared" si="28"/>
        <v>0</v>
      </c>
      <c r="AJ261" t="str">
        <f t="shared" si="29"/>
        <v>6-10 yrs</v>
      </c>
      <c r="AK261" t="str">
        <f t="shared" si="30"/>
        <v>Overdue</v>
      </c>
      <c r="AL261">
        <f t="shared" si="31"/>
        <v>2</v>
      </c>
      <c r="AM261" t="str">
        <f t="shared" si="32"/>
        <v>Medium Risk</v>
      </c>
      <c r="AN261" s="6">
        <f t="shared" si="33"/>
        <v>1.0231024046410773</v>
      </c>
      <c r="AO261" s="7">
        <f t="shared" si="34"/>
        <v>1075368</v>
      </c>
    </row>
    <row r="262" spans="1:41" x14ac:dyDescent="0.3">
      <c r="A262" t="s">
        <v>332</v>
      </c>
      <c r="B262">
        <v>29</v>
      </c>
      <c r="C262" t="s">
        <v>196</v>
      </c>
      <c r="D262" t="s">
        <v>55</v>
      </c>
      <c r="E262" t="s">
        <v>48</v>
      </c>
      <c r="F262">
        <v>1328</v>
      </c>
      <c r="G262" t="s">
        <v>49</v>
      </c>
      <c r="H262">
        <v>2</v>
      </c>
      <c r="I262">
        <v>3</v>
      </c>
      <c r="J262" t="s">
        <v>50</v>
      </c>
      <c r="K262">
        <v>94</v>
      </c>
      <c r="L262">
        <v>3</v>
      </c>
      <c r="M262" t="s">
        <v>51</v>
      </c>
      <c r="N262">
        <v>3</v>
      </c>
      <c r="O262">
        <v>1</v>
      </c>
      <c r="P262" t="s">
        <v>67</v>
      </c>
      <c r="Q262">
        <v>2</v>
      </c>
      <c r="R262" t="s">
        <v>113</v>
      </c>
      <c r="S262">
        <v>12111</v>
      </c>
      <c r="T262" t="s">
        <v>54</v>
      </c>
      <c r="U262">
        <v>75.69</v>
      </c>
      <c r="V262">
        <v>0</v>
      </c>
      <c r="W262" t="s">
        <v>55</v>
      </c>
      <c r="X262">
        <v>23</v>
      </c>
      <c r="Y262">
        <v>4</v>
      </c>
      <c r="Z262">
        <v>4</v>
      </c>
      <c r="AA262">
        <v>1</v>
      </c>
      <c r="AB262">
        <v>6</v>
      </c>
      <c r="AC262">
        <v>3</v>
      </c>
      <c r="AD262">
        <v>3</v>
      </c>
      <c r="AE262">
        <v>5</v>
      </c>
      <c r="AF262">
        <v>4</v>
      </c>
      <c r="AG262">
        <v>0</v>
      </c>
      <c r="AH262">
        <v>4</v>
      </c>
      <c r="AI262">
        <f t="shared" si="28"/>
        <v>0</v>
      </c>
      <c r="AJ262" t="str">
        <f t="shared" si="29"/>
        <v>4-5 yrs</v>
      </c>
      <c r="AK262" t="str">
        <f t="shared" si="30"/>
        <v>Recent</v>
      </c>
      <c r="AL262">
        <f t="shared" si="31"/>
        <v>1</v>
      </c>
      <c r="AM262" t="str">
        <f t="shared" si="32"/>
        <v>Low Risk</v>
      </c>
      <c r="AN262" s="6">
        <f t="shared" si="33"/>
        <v>-0.75712960468607815</v>
      </c>
      <c r="AO262" s="7">
        <f t="shared" si="34"/>
        <v>145332</v>
      </c>
    </row>
    <row r="263" spans="1:41" x14ac:dyDescent="0.3">
      <c r="A263" t="s">
        <v>333</v>
      </c>
      <c r="B263">
        <v>29</v>
      </c>
      <c r="C263" t="s">
        <v>196</v>
      </c>
      <c r="D263" t="s">
        <v>55</v>
      </c>
      <c r="E263" t="s">
        <v>66</v>
      </c>
      <c r="F263">
        <v>1496</v>
      </c>
      <c r="G263" t="s">
        <v>49</v>
      </c>
      <c r="H263">
        <v>1</v>
      </c>
      <c r="I263">
        <v>1</v>
      </c>
      <c r="J263" t="s">
        <v>77</v>
      </c>
      <c r="K263">
        <v>208</v>
      </c>
      <c r="L263">
        <v>4</v>
      </c>
      <c r="M263" t="s">
        <v>51</v>
      </c>
      <c r="N263">
        <v>3</v>
      </c>
      <c r="O263">
        <v>2</v>
      </c>
      <c r="P263" t="s">
        <v>120</v>
      </c>
      <c r="Q263">
        <v>3</v>
      </c>
      <c r="R263" t="s">
        <v>113</v>
      </c>
      <c r="S263">
        <v>38504</v>
      </c>
      <c r="T263" t="s">
        <v>72</v>
      </c>
      <c r="U263">
        <v>240.65</v>
      </c>
      <c r="V263">
        <v>1</v>
      </c>
      <c r="W263" t="s">
        <v>55</v>
      </c>
      <c r="X263">
        <v>13</v>
      </c>
      <c r="Y263">
        <v>3</v>
      </c>
      <c r="Z263">
        <v>1</v>
      </c>
      <c r="AA263">
        <v>1</v>
      </c>
      <c r="AB263">
        <v>10</v>
      </c>
      <c r="AC263">
        <v>1</v>
      </c>
      <c r="AD263">
        <v>3</v>
      </c>
      <c r="AE263">
        <v>10</v>
      </c>
      <c r="AF263">
        <v>7</v>
      </c>
      <c r="AG263">
        <v>0</v>
      </c>
      <c r="AH263">
        <v>9</v>
      </c>
      <c r="AI263">
        <f t="shared" si="28"/>
        <v>0</v>
      </c>
      <c r="AJ263" t="str">
        <f t="shared" si="29"/>
        <v>6-10 yrs</v>
      </c>
      <c r="AK263" t="str">
        <f t="shared" si="30"/>
        <v>Recent</v>
      </c>
      <c r="AL263">
        <f t="shared" si="31"/>
        <v>0</v>
      </c>
      <c r="AM263" t="str">
        <f t="shared" si="32"/>
        <v>Minimal Risk</v>
      </c>
      <c r="AN263" s="6">
        <f t="shared" si="33"/>
        <v>-0.13074368973263059</v>
      </c>
      <c r="AO263" s="7">
        <f t="shared" si="34"/>
        <v>462048</v>
      </c>
    </row>
    <row r="264" spans="1:41" x14ac:dyDescent="0.3">
      <c r="A264" t="s">
        <v>334</v>
      </c>
      <c r="B264">
        <v>29</v>
      </c>
      <c r="C264" t="s">
        <v>196</v>
      </c>
      <c r="D264" t="s">
        <v>47</v>
      </c>
      <c r="E264" t="s">
        <v>48</v>
      </c>
      <c r="F264">
        <v>121</v>
      </c>
      <c r="G264" t="s">
        <v>57</v>
      </c>
      <c r="H264">
        <v>27</v>
      </c>
      <c r="I264">
        <v>3</v>
      </c>
      <c r="J264" t="s">
        <v>63</v>
      </c>
      <c r="K264">
        <v>283</v>
      </c>
      <c r="L264">
        <v>2</v>
      </c>
      <c r="M264" t="s">
        <v>59</v>
      </c>
      <c r="N264">
        <v>3</v>
      </c>
      <c r="O264">
        <v>3</v>
      </c>
      <c r="P264" t="s">
        <v>145</v>
      </c>
      <c r="Q264">
        <v>4</v>
      </c>
      <c r="R264" t="s">
        <v>113</v>
      </c>
      <c r="S264">
        <v>2802</v>
      </c>
      <c r="T264" t="s">
        <v>54</v>
      </c>
      <c r="U264">
        <v>17.510000000000002</v>
      </c>
      <c r="V264">
        <v>1</v>
      </c>
      <c r="W264" t="s">
        <v>55</v>
      </c>
      <c r="X264">
        <v>22</v>
      </c>
      <c r="Y264">
        <v>4</v>
      </c>
      <c r="Z264">
        <v>4</v>
      </c>
      <c r="AA264">
        <v>3</v>
      </c>
      <c r="AB264">
        <v>10</v>
      </c>
      <c r="AC264">
        <v>3</v>
      </c>
      <c r="AD264">
        <v>2</v>
      </c>
      <c r="AE264">
        <v>10</v>
      </c>
      <c r="AF264">
        <v>4</v>
      </c>
      <c r="AG264">
        <v>1</v>
      </c>
      <c r="AH264">
        <v>4</v>
      </c>
      <c r="AI264">
        <f t="shared" si="28"/>
        <v>1</v>
      </c>
      <c r="AJ264" t="str">
        <f t="shared" si="29"/>
        <v>6-10 yrs</v>
      </c>
      <c r="AK264" t="str">
        <f t="shared" si="30"/>
        <v>Recent</v>
      </c>
      <c r="AL264">
        <f t="shared" si="31"/>
        <v>1</v>
      </c>
      <c r="AM264" t="str">
        <f t="shared" si="32"/>
        <v>Low Risk</v>
      </c>
      <c r="AN264" s="6">
        <f t="shared" si="33"/>
        <v>-0.94288389791569704</v>
      </c>
      <c r="AO264" s="7">
        <f t="shared" si="34"/>
        <v>33624</v>
      </c>
    </row>
    <row r="265" spans="1:41" x14ac:dyDescent="0.3">
      <c r="A265" t="s">
        <v>335</v>
      </c>
      <c r="B265">
        <v>29</v>
      </c>
      <c r="C265" t="s">
        <v>196</v>
      </c>
      <c r="D265" t="s">
        <v>47</v>
      </c>
      <c r="E265" t="s">
        <v>48</v>
      </c>
      <c r="F265">
        <v>992</v>
      </c>
      <c r="G265" t="s">
        <v>49</v>
      </c>
      <c r="H265">
        <v>1</v>
      </c>
      <c r="I265">
        <v>3</v>
      </c>
      <c r="J265" t="s">
        <v>77</v>
      </c>
      <c r="K265">
        <v>300</v>
      </c>
      <c r="L265">
        <v>3</v>
      </c>
      <c r="M265" t="s">
        <v>51</v>
      </c>
      <c r="N265">
        <v>3</v>
      </c>
      <c r="O265">
        <v>1</v>
      </c>
      <c r="P265" t="s">
        <v>67</v>
      </c>
      <c r="Q265">
        <v>3</v>
      </c>
      <c r="R265" t="s">
        <v>53</v>
      </c>
      <c r="S265">
        <v>9155</v>
      </c>
      <c r="T265" t="s">
        <v>54</v>
      </c>
      <c r="U265">
        <v>57.22</v>
      </c>
      <c r="V265">
        <v>0</v>
      </c>
      <c r="W265" t="s">
        <v>55</v>
      </c>
      <c r="X265">
        <v>14</v>
      </c>
      <c r="Y265">
        <v>3</v>
      </c>
      <c r="Z265">
        <v>4</v>
      </c>
      <c r="AA265">
        <v>0</v>
      </c>
      <c r="AB265">
        <v>7</v>
      </c>
      <c r="AC265">
        <v>1</v>
      </c>
      <c r="AD265">
        <v>2</v>
      </c>
      <c r="AE265">
        <v>6</v>
      </c>
      <c r="AF265">
        <v>2</v>
      </c>
      <c r="AG265">
        <v>1</v>
      </c>
      <c r="AH265">
        <v>5</v>
      </c>
      <c r="AI265">
        <f t="shared" si="28"/>
        <v>1</v>
      </c>
      <c r="AJ265" t="str">
        <f t="shared" si="29"/>
        <v>6-10 yrs</v>
      </c>
      <c r="AK265" t="str">
        <f t="shared" si="30"/>
        <v>Recent</v>
      </c>
      <c r="AL265">
        <f t="shared" si="31"/>
        <v>1</v>
      </c>
      <c r="AM265" t="str">
        <f t="shared" si="32"/>
        <v>Low Risk</v>
      </c>
      <c r="AN265" s="6">
        <f t="shared" si="33"/>
        <v>-0.81640835033449299</v>
      </c>
      <c r="AO265" s="7">
        <f t="shared" si="34"/>
        <v>109860</v>
      </c>
    </row>
    <row r="266" spans="1:41" x14ac:dyDescent="0.3">
      <c r="A266" t="s">
        <v>336</v>
      </c>
      <c r="B266">
        <v>29</v>
      </c>
      <c r="C266" t="s">
        <v>196</v>
      </c>
      <c r="D266" t="s">
        <v>55</v>
      </c>
      <c r="E266" t="s">
        <v>62</v>
      </c>
      <c r="F266">
        <v>1413</v>
      </c>
      <c r="G266" t="s">
        <v>57</v>
      </c>
      <c r="H266">
        <v>1</v>
      </c>
      <c r="I266">
        <v>1</v>
      </c>
      <c r="J266" t="s">
        <v>58</v>
      </c>
      <c r="K266">
        <v>312</v>
      </c>
      <c r="L266">
        <v>2</v>
      </c>
      <c r="M266" t="s">
        <v>59</v>
      </c>
      <c r="N266">
        <v>3</v>
      </c>
      <c r="O266">
        <v>3</v>
      </c>
      <c r="P266" t="s">
        <v>145</v>
      </c>
      <c r="Q266">
        <v>4</v>
      </c>
      <c r="R266" t="s">
        <v>113</v>
      </c>
      <c r="S266">
        <v>74656</v>
      </c>
      <c r="T266" t="s">
        <v>64</v>
      </c>
      <c r="U266">
        <v>466.6</v>
      </c>
      <c r="V266">
        <v>1</v>
      </c>
      <c r="W266" t="s">
        <v>55</v>
      </c>
      <c r="X266">
        <v>14</v>
      </c>
      <c r="Y266">
        <v>3</v>
      </c>
      <c r="Z266">
        <v>4</v>
      </c>
      <c r="AA266">
        <v>1</v>
      </c>
      <c r="AB266">
        <v>11</v>
      </c>
      <c r="AC266">
        <v>5</v>
      </c>
      <c r="AD266">
        <v>3</v>
      </c>
      <c r="AE266">
        <v>11</v>
      </c>
      <c r="AF266">
        <v>10</v>
      </c>
      <c r="AG266">
        <v>4</v>
      </c>
      <c r="AH266">
        <v>1</v>
      </c>
      <c r="AI266">
        <f t="shared" si="28"/>
        <v>0</v>
      </c>
      <c r="AJ266" t="str">
        <f t="shared" si="29"/>
        <v>10+ yrs</v>
      </c>
      <c r="AK266" t="str">
        <f t="shared" si="30"/>
        <v>Overdue</v>
      </c>
      <c r="AL266">
        <f t="shared" si="31"/>
        <v>1</v>
      </c>
      <c r="AM266" t="str">
        <f t="shared" si="32"/>
        <v>Low Risk</v>
      </c>
      <c r="AN266" s="6">
        <f t="shared" si="33"/>
        <v>0.52179147651881597</v>
      </c>
      <c r="AO266" s="7">
        <f t="shared" si="34"/>
        <v>895872</v>
      </c>
    </row>
    <row r="267" spans="1:41" x14ac:dyDescent="0.3">
      <c r="A267" t="s">
        <v>337</v>
      </c>
      <c r="B267">
        <v>29</v>
      </c>
      <c r="C267" t="s">
        <v>196</v>
      </c>
      <c r="D267" t="s">
        <v>47</v>
      </c>
      <c r="E267" t="s">
        <v>48</v>
      </c>
      <c r="F267">
        <v>896</v>
      </c>
      <c r="G267" t="s">
        <v>49</v>
      </c>
      <c r="H267">
        <v>18</v>
      </c>
      <c r="I267">
        <v>1</v>
      </c>
      <c r="J267" t="s">
        <v>58</v>
      </c>
      <c r="K267">
        <v>315</v>
      </c>
      <c r="L267">
        <v>3</v>
      </c>
      <c r="M267" t="s">
        <v>51</v>
      </c>
      <c r="N267">
        <v>2</v>
      </c>
      <c r="O267">
        <v>1</v>
      </c>
      <c r="P267" t="s">
        <v>67</v>
      </c>
      <c r="Q267">
        <v>4</v>
      </c>
      <c r="R267" t="s">
        <v>53</v>
      </c>
      <c r="S267">
        <v>40384</v>
      </c>
      <c r="T267" t="s">
        <v>72</v>
      </c>
      <c r="U267">
        <v>252.4</v>
      </c>
      <c r="V267">
        <v>1</v>
      </c>
      <c r="W267" t="s">
        <v>47</v>
      </c>
      <c r="X267">
        <v>13</v>
      </c>
      <c r="Y267">
        <v>3</v>
      </c>
      <c r="Z267">
        <v>3</v>
      </c>
      <c r="AA267">
        <v>0</v>
      </c>
      <c r="AB267">
        <v>4</v>
      </c>
      <c r="AC267">
        <v>3</v>
      </c>
      <c r="AD267">
        <v>2</v>
      </c>
      <c r="AE267">
        <v>4</v>
      </c>
      <c r="AF267">
        <v>3</v>
      </c>
      <c r="AG267">
        <v>0</v>
      </c>
      <c r="AH267">
        <v>1</v>
      </c>
      <c r="AI267">
        <f t="shared" si="28"/>
        <v>1</v>
      </c>
      <c r="AJ267" t="str">
        <f t="shared" si="29"/>
        <v>4-5 yrs</v>
      </c>
      <c r="AK267" t="str">
        <f t="shared" si="30"/>
        <v>Recent</v>
      </c>
      <c r="AL267">
        <f t="shared" si="31"/>
        <v>2</v>
      </c>
      <c r="AM267" t="str">
        <f t="shared" si="32"/>
        <v>Medium Risk</v>
      </c>
      <c r="AN267" s="6">
        <f t="shared" si="33"/>
        <v>-0.19015126378024758</v>
      </c>
      <c r="AO267" s="7">
        <f t="shared" si="34"/>
        <v>484608</v>
      </c>
    </row>
    <row r="268" spans="1:41" x14ac:dyDescent="0.3">
      <c r="A268" t="s">
        <v>338</v>
      </c>
      <c r="B268">
        <v>29</v>
      </c>
      <c r="C268" t="s">
        <v>196</v>
      </c>
      <c r="D268" t="s">
        <v>55</v>
      </c>
      <c r="E268" t="s">
        <v>48</v>
      </c>
      <c r="F268">
        <v>665</v>
      </c>
      <c r="G268" t="s">
        <v>49</v>
      </c>
      <c r="H268">
        <v>15</v>
      </c>
      <c r="I268">
        <v>3</v>
      </c>
      <c r="J268" t="s">
        <v>50</v>
      </c>
      <c r="K268">
        <v>346</v>
      </c>
      <c r="L268">
        <v>3</v>
      </c>
      <c r="M268" t="s">
        <v>51</v>
      </c>
      <c r="N268">
        <v>3</v>
      </c>
      <c r="O268">
        <v>1</v>
      </c>
      <c r="P268" t="s">
        <v>67</v>
      </c>
      <c r="Q268">
        <v>4</v>
      </c>
      <c r="R268" t="s">
        <v>53</v>
      </c>
      <c r="S268">
        <v>48254</v>
      </c>
      <c r="T268" t="s">
        <v>72</v>
      </c>
      <c r="U268">
        <v>301.58999999999997</v>
      </c>
      <c r="V268">
        <v>1</v>
      </c>
      <c r="W268" t="s">
        <v>55</v>
      </c>
      <c r="X268">
        <v>19</v>
      </c>
      <c r="Y268">
        <v>3</v>
      </c>
      <c r="Z268">
        <v>1</v>
      </c>
      <c r="AA268">
        <v>0</v>
      </c>
      <c r="AB268">
        <v>6</v>
      </c>
      <c r="AC268">
        <v>1</v>
      </c>
      <c r="AD268">
        <v>3</v>
      </c>
      <c r="AE268">
        <v>6</v>
      </c>
      <c r="AF268">
        <v>5</v>
      </c>
      <c r="AG268">
        <v>1</v>
      </c>
      <c r="AH268">
        <v>5</v>
      </c>
      <c r="AI268">
        <f t="shared" si="28"/>
        <v>0</v>
      </c>
      <c r="AJ268" t="str">
        <f t="shared" si="29"/>
        <v>6-10 yrs</v>
      </c>
      <c r="AK268" t="str">
        <f t="shared" si="30"/>
        <v>Recent</v>
      </c>
      <c r="AL268">
        <f t="shared" si="31"/>
        <v>0</v>
      </c>
      <c r="AM268" t="str">
        <f t="shared" si="32"/>
        <v>Minimal Risk</v>
      </c>
      <c r="AN268" s="6">
        <f t="shared" si="33"/>
        <v>-3.2328622287343178E-2</v>
      </c>
      <c r="AO268" s="7">
        <f t="shared" si="34"/>
        <v>579048</v>
      </c>
    </row>
    <row r="269" spans="1:41" x14ac:dyDescent="0.3">
      <c r="A269" t="s">
        <v>339</v>
      </c>
      <c r="B269">
        <v>29</v>
      </c>
      <c r="C269" t="s">
        <v>196</v>
      </c>
      <c r="D269" t="s">
        <v>55</v>
      </c>
      <c r="E269" t="s">
        <v>48</v>
      </c>
      <c r="F269">
        <v>1247</v>
      </c>
      <c r="G269" t="s">
        <v>57</v>
      </c>
      <c r="H269">
        <v>20</v>
      </c>
      <c r="I269">
        <v>2</v>
      </c>
      <c r="J269" t="s">
        <v>63</v>
      </c>
      <c r="K269">
        <v>349</v>
      </c>
      <c r="L269">
        <v>4</v>
      </c>
      <c r="M269" t="s">
        <v>51</v>
      </c>
      <c r="N269">
        <v>3</v>
      </c>
      <c r="O269">
        <v>2</v>
      </c>
      <c r="P269" t="s">
        <v>145</v>
      </c>
      <c r="Q269">
        <v>4</v>
      </c>
      <c r="R269" t="s">
        <v>53</v>
      </c>
      <c r="S269">
        <v>22918</v>
      </c>
      <c r="T269" t="s">
        <v>54</v>
      </c>
      <c r="U269">
        <v>143.24</v>
      </c>
      <c r="V269">
        <v>2</v>
      </c>
      <c r="W269" t="s">
        <v>55</v>
      </c>
      <c r="X269">
        <v>14</v>
      </c>
      <c r="Y269">
        <v>3</v>
      </c>
      <c r="Z269">
        <v>4</v>
      </c>
      <c r="AA269">
        <v>1</v>
      </c>
      <c r="AB269">
        <v>10</v>
      </c>
      <c r="AC269">
        <v>2</v>
      </c>
      <c r="AD269">
        <v>3</v>
      </c>
      <c r="AE269">
        <v>3</v>
      </c>
      <c r="AF269">
        <v>2</v>
      </c>
      <c r="AG269">
        <v>0</v>
      </c>
      <c r="AH269">
        <v>2</v>
      </c>
      <c r="AI269">
        <f t="shared" si="28"/>
        <v>0</v>
      </c>
      <c r="AJ269" t="str">
        <f t="shared" si="29"/>
        <v>2-3 yrs</v>
      </c>
      <c r="AK269" t="str">
        <f t="shared" si="30"/>
        <v>Recent</v>
      </c>
      <c r="AL269">
        <f t="shared" si="31"/>
        <v>0</v>
      </c>
      <c r="AM269" t="str">
        <f t="shared" si="32"/>
        <v>Minimal Risk</v>
      </c>
      <c r="AN269" s="6">
        <f t="shared" si="33"/>
        <v>-0.53283839130333499</v>
      </c>
      <c r="AO269" s="7">
        <f t="shared" si="34"/>
        <v>275016</v>
      </c>
    </row>
    <row r="270" spans="1:41" x14ac:dyDescent="0.3">
      <c r="A270" t="s">
        <v>340</v>
      </c>
      <c r="B270">
        <v>29</v>
      </c>
      <c r="C270" t="s">
        <v>196</v>
      </c>
      <c r="D270" t="s">
        <v>55</v>
      </c>
      <c r="E270" t="s">
        <v>48</v>
      </c>
      <c r="F270">
        <v>1210</v>
      </c>
      <c r="G270" t="s">
        <v>57</v>
      </c>
      <c r="H270">
        <v>2</v>
      </c>
      <c r="I270">
        <v>3</v>
      </c>
      <c r="J270" t="s">
        <v>58</v>
      </c>
      <c r="K270">
        <v>366</v>
      </c>
      <c r="L270">
        <v>1</v>
      </c>
      <c r="M270" t="s">
        <v>51</v>
      </c>
      <c r="N270">
        <v>2</v>
      </c>
      <c r="O270">
        <v>2</v>
      </c>
      <c r="P270" t="s">
        <v>145</v>
      </c>
      <c r="Q270">
        <v>2</v>
      </c>
      <c r="R270" t="s">
        <v>113</v>
      </c>
      <c r="S270">
        <v>86981</v>
      </c>
      <c r="T270" t="s">
        <v>70</v>
      </c>
      <c r="U270">
        <v>543.63</v>
      </c>
      <c r="V270">
        <v>2</v>
      </c>
      <c r="W270" t="s">
        <v>55</v>
      </c>
      <c r="X270">
        <v>19</v>
      </c>
      <c r="Y270">
        <v>3</v>
      </c>
      <c r="Z270">
        <v>2</v>
      </c>
      <c r="AA270">
        <v>2</v>
      </c>
      <c r="AB270">
        <v>10</v>
      </c>
      <c r="AC270">
        <v>2</v>
      </c>
      <c r="AD270">
        <v>3</v>
      </c>
      <c r="AE270">
        <v>0</v>
      </c>
      <c r="AF270">
        <v>0</v>
      </c>
      <c r="AG270">
        <v>0</v>
      </c>
      <c r="AH270">
        <v>0</v>
      </c>
      <c r="AI270">
        <f t="shared" si="28"/>
        <v>0</v>
      </c>
      <c r="AJ270" t="str">
        <f t="shared" si="29"/>
        <v>0-1 yr</v>
      </c>
      <c r="AK270" t="str">
        <f t="shared" si="30"/>
        <v>Recent</v>
      </c>
      <c r="AL270">
        <f t="shared" si="31"/>
        <v>1</v>
      </c>
      <c r="AM270" t="str">
        <f t="shared" si="32"/>
        <v>Low Risk</v>
      </c>
      <c r="AN270" s="6">
        <f t="shared" si="33"/>
        <v>0.77302486630790734</v>
      </c>
      <c r="AO270" s="7">
        <f t="shared" si="34"/>
        <v>1043772</v>
      </c>
    </row>
    <row r="271" spans="1:41" x14ac:dyDescent="0.3">
      <c r="A271" t="s">
        <v>341</v>
      </c>
      <c r="B271">
        <v>29</v>
      </c>
      <c r="C271" t="s">
        <v>196</v>
      </c>
      <c r="D271" t="s">
        <v>55</v>
      </c>
      <c r="E271" t="s">
        <v>62</v>
      </c>
      <c r="F271">
        <v>442</v>
      </c>
      <c r="G271" t="s">
        <v>57</v>
      </c>
      <c r="H271">
        <v>2</v>
      </c>
      <c r="I271">
        <v>2</v>
      </c>
      <c r="J271" t="s">
        <v>50</v>
      </c>
      <c r="K271">
        <v>388</v>
      </c>
      <c r="L271">
        <v>2</v>
      </c>
      <c r="M271" t="s">
        <v>51</v>
      </c>
      <c r="N271">
        <v>3</v>
      </c>
      <c r="O271">
        <v>2</v>
      </c>
      <c r="P271" t="s">
        <v>145</v>
      </c>
      <c r="Q271">
        <v>4</v>
      </c>
      <c r="R271" t="s">
        <v>53</v>
      </c>
      <c r="S271">
        <v>61713</v>
      </c>
      <c r="T271" t="s">
        <v>64</v>
      </c>
      <c r="U271">
        <v>385.71</v>
      </c>
      <c r="V271">
        <v>1</v>
      </c>
      <c r="W271" t="s">
        <v>55</v>
      </c>
      <c r="X271">
        <v>18</v>
      </c>
      <c r="Y271">
        <v>3</v>
      </c>
      <c r="Z271">
        <v>1</v>
      </c>
      <c r="AA271">
        <v>0</v>
      </c>
      <c r="AB271">
        <v>10</v>
      </c>
      <c r="AC271">
        <v>3</v>
      </c>
      <c r="AD271">
        <v>2</v>
      </c>
      <c r="AE271">
        <v>10</v>
      </c>
      <c r="AF271">
        <v>7</v>
      </c>
      <c r="AG271">
        <v>0</v>
      </c>
      <c r="AH271">
        <v>9</v>
      </c>
      <c r="AI271">
        <f t="shared" si="28"/>
        <v>0</v>
      </c>
      <c r="AJ271" t="str">
        <f t="shared" si="29"/>
        <v>6-10 yrs</v>
      </c>
      <c r="AK271" t="str">
        <f t="shared" si="30"/>
        <v>Recent</v>
      </c>
      <c r="AL271">
        <f t="shared" si="31"/>
        <v>1</v>
      </c>
      <c r="AM271" t="str">
        <f t="shared" si="32"/>
        <v>Low Risk</v>
      </c>
      <c r="AN271" s="6">
        <f t="shared" si="33"/>
        <v>0.25796074515652712</v>
      </c>
      <c r="AO271" s="7">
        <f t="shared" si="34"/>
        <v>740556</v>
      </c>
    </row>
    <row r="272" spans="1:41" x14ac:dyDescent="0.3">
      <c r="A272" t="s">
        <v>342</v>
      </c>
      <c r="B272">
        <v>29</v>
      </c>
      <c r="C272" t="s">
        <v>196</v>
      </c>
      <c r="D272" t="s">
        <v>47</v>
      </c>
      <c r="E272" t="s">
        <v>48</v>
      </c>
      <c r="F272">
        <v>318</v>
      </c>
      <c r="G272" t="s">
        <v>49</v>
      </c>
      <c r="H272">
        <v>8</v>
      </c>
      <c r="I272">
        <v>4</v>
      </c>
      <c r="J272" t="s">
        <v>82</v>
      </c>
      <c r="K272">
        <v>454</v>
      </c>
      <c r="L272">
        <v>2</v>
      </c>
      <c r="M272" t="s">
        <v>51</v>
      </c>
      <c r="N272">
        <v>1</v>
      </c>
      <c r="O272">
        <v>1</v>
      </c>
      <c r="P272" t="s">
        <v>52</v>
      </c>
      <c r="Q272">
        <v>1</v>
      </c>
      <c r="R272" t="s">
        <v>113</v>
      </c>
      <c r="S272">
        <v>31306</v>
      </c>
      <c r="T272" t="s">
        <v>72</v>
      </c>
      <c r="U272">
        <v>195.66</v>
      </c>
      <c r="V272">
        <v>1</v>
      </c>
      <c r="W272" t="s">
        <v>47</v>
      </c>
      <c r="X272">
        <v>11</v>
      </c>
      <c r="Y272">
        <v>3</v>
      </c>
      <c r="Z272">
        <v>4</v>
      </c>
      <c r="AA272">
        <v>0</v>
      </c>
      <c r="AB272">
        <v>7</v>
      </c>
      <c r="AC272">
        <v>4</v>
      </c>
      <c r="AD272">
        <v>2</v>
      </c>
      <c r="AE272">
        <v>7</v>
      </c>
      <c r="AF272">
        <v>7</v>
      </c>
      <c r="AG272">
        <v>0</v>
      </c>
      <c r="AH272">
        <v>7</v>
      </c>
      <c r="AI272">
        <f t="shared" si="28"/>
        <v>1</v>
      </c>
      <c r="AJ272" t="str">
        <f t="shared" si="29"/>
        <v>6-10 yrs</v>
      </c>
      <c r="AK272" t="str">
        <f t="shared" si="30"/>
        <v>Recent</v>
      </c>
      <c r="AL272">
        <f t="shared" si="31"/>
        <v>3</v>
      </c>
      <c r="AM272" t="str">
        <f t="shared" si="32"/>
        <v>High Risk</v>
      </c>
      <c r="AN272" s="6">
        <f t="shared" si="33"/>
        <v>-0.39470924670610985</v>
      </c>
      <c r="AO272" s="7">
        <f t="shared" si="34"/>
        <v>375672</v>
      </c>
    </row>
    <row r="273" spans="1:41" x14ac:dyDescent="0.3">
      <c r="A273" t="s">
        <v>343</v>
      </c>
      <c r="B273">
        <v>29</v>
      </c>
      <c r="C273" t="s">
        <v>196</v>
      </c>
      <c r="D273" t="s">
        <v>55</v>
      </c>
      <c r="E273" t="s">
        <v>48</v>
      </c>
      <c r="F273">
        <v>738</v>
      </c>
      <c r="G273" t="s">
        <v>49</v>
      </c>
      <c r="H273">
        <v>9</v>
      </c>
      <c r="I273">
        <v>5</v>
      </c>
      <c r="J273" t="s">
        <v>82</v>
      </c>
      <c r="K273">
        <v>455</v>
      </c>
      <c r="L273">
        <v>2</v>
      </c>
      <c r="M273" t="s">
        <v>51</v>
      </c>
      <c r="N273">
        <v>2</v>
      </c>
      <c r="O273">
        <v>1</v>
      </c>
      <c r="P273" t="s">
        <v>52</v>
      </c>
      <c r="Q273">
        <v>4</v>
      </c>
      <c r="R273" t="s">
        <v>53</v>
      </c>
      <c r="S273">
        <v>17646</v>
      </c>
      <c r="T273" t="s">
        <v>54</v>
      </c>
      <c r="U273">
        <v>110.29</v>
      </c>
      <c r="V273">
        <v>0</v>
      </c>
      <c r="W273" t="s">
        <v>55</v>
      </c>
      <c r="X273">
        <v>17</v>
      </c>
      <c r="Y273">
        <v>3</v>
      </c>
      <c r="Z273">
        <v>3</v>
      </c>
      <c r="AA273">
        <v>0</v>
      </c>
      <c r="AB273">
        <v>4</v>
      </c>
      <c r="AC273">
        <v>2</v>
      </c>
      <c r="AD273">
        <v>3</v>
      </c>
      <c r="AE273">
        <v>3</v>
      </c>
      <c r="AF273">
        <v>2</v>
      </c>
      <c r="AG273">
        <v>2</v>
      </c>
      <c r="AH273">
        <v>2</v>
      </c>
      <c r="AI273">
        <f t="shared" si="28"/>
        <v>0</v>
      </c>
      <c r="AJ273" t="str">
        <f t="shared" si="29"/>
        <v>2-3 yrs</v>
      </c>
      <c r="AK273" t="str">
        <f t="shared" si="30"/>
        <v>Recent</v>
      </c>
      <c r="AL273">
        <f t="shared" si="31"/>
        <v>0</v>
      </c>
      <c r="AM273" t="str">
        <f t="shared" si="32"/>
        <v>Minimal Risk</v>
      </c>
      <c r="AN273" s="6">
        <f t="shared" si="33"/>
        <v>-0.65882065314559557</v>
      </c>
      <c r="AO273" s="7">
        <f t="shared" si="34"/>
        <v>211752</v>
      </c>
    </row>
    <row r="274" spans="1:41" x14ac:dyDescent="0.3">
      <c r="A274" t="s">
        <v>344</v>
      </c>
      <c r="B274">
        <v>29</v>
      </c>
      <c r="C274" t="s">
        <v>196</v>
      </c>
      <c r="D274" t="s">
        <v>55</v>
      </c>
      <c r="E274" t="s">
        <v>48</v>
      </c>
      <c r="F274">
        <v>144</v>
      </c>
      <c r="G274" t="s">
        <v>57</v>
      </c>
      <c r="H274">
        <v>10</v>
      </c>
      <c r="I274">
        <v>1</v>
      </c>
      <c r="J274" t="s">
        <v>63</v>
      </c>
      <c r="K274">
        <v>463</v>
      </c>
      <c r="L274">
        <v>4</v>
      </c>
      <c r="M274" t="s">
        <v>59</v>
      </c>
      <c r="N274">
        <v>2</v>
      </c>
      <c r="O274">
        <v>2</v>
      </c>
      <c r="P274" t="s">
        <v>145</v>
      </c>
      <c r="Q274">
        <v>2</v>
      </c>
      <c r="R274" t="s">
        <v>53</v>
      </c>
      <c r="S274">
        <v>47843</v>
      </c>
      <c r="T274" t="s">
        <v>72</v>
      </c>
      <c r="U274">
        <v>299.02</v>
      </c>
      <c r="V274">
        <v>1</v>
      </c>
      <c r="W274" t="s">
        <v>47</v>
      </c>
      <c r="X274">
        <v>14</v>
      </c>
      <c r="Y274">
        <v>3</v>
      </c>
      <c r="Z274">
        <v>1</v>
      </c>
      <c r="AA274">
        <v>2</v>
      </c>
      <c r="AB274">
        <v>7</v>
      </c>
      <c r="AC274">
        <v>2</v>
      </c>
      <c r="AD274">
        <v>3</v>
      </c>
      <c r="AE274">
        <v>7</v>
      </c>
      <c r="AF274">
        <v>7</v>
      </c>
      <c r="AG274">
        <v>1</v>
      </c>
      <c r="AH274">
        <v>7</v>
      </c>
      <c r="AI274">
        <f t="shared" si="28"/>
        <v>0</v>
      </c>
      <c r="AJ274" t="str">
        <f t="shared" si="29"/>
        <v>6-10 yrs</v>
      </c>
      <c r="AK274" t="str">
        <f t="shared" si="30"/>
        <v>Recent</v>
      </c>
      <c r="AL274">
        <f t="shared" si="31"/>
        <v>2</v>
      </c>
      <c r="AM274" t="str">
        <f t="shared" si="32"/>
        <v>Medium Risk</v>
      </c>
      <c r="AN274" s="6">
        <f t="shared" si="33"/>
        <v>-2.4765998565557886E-2</v>
      </c>
      <c r="AO274" s="7">
        <f t="shared" si="34"/>
        <v>574116</v>
      </c>
    </row>
    <row r="275" spans="1:41" x14ac:dyDescent="0.3">
      <c r="A275" t="s">
        <v>345</v>
      </c>
      <c r="B275">
        <v>29</v>
      </c>
      <c r="C275" t="s">
        <v>196</v>
      </c>
      <c r="D275" t="s">
        <v>55</v>
      </c>
      <c r="E275" t="s">
        <v>66</v>
      </c>
      <c r="F275">
        <v>746</v>
      </c>
      <c r="G275" t="s">
        <v>57</v>
      </c>
      <c r="H275">
        <v>2</v>
      </c>
      <c r="I275">
        <v>3</v>
      </c>
      <c r="J275" t="s">
        <v>50</v>
      </c>
      <c r="K275">
        <v>469</v>
      </c>
      <c r="L275">
        <v>4</v>
      </c>
      <c r="M275" t="s">
        <v>51</v>
      </c>
      <c r="N275">
        <v>3</v>
      </c>
      <c r="O275">
        <v>2</v>
      </c>
      <c r="P275" t="s">
        <v>145</v>
      </c>
      <c r="Q275">
        <v>3</v>
      </c>
      <c r="R275" t="s">
        <v>113</v>
      </c>
      <c r="S275">
        <v>97601</v>
      </c>
      <c r="T275" t="s">
        <v>70</v>
      </c>
      <c r="U275">
        <v>610.01</v>
      </c>
      <c r="V275">
        <v>1</v>
      </c>
      <c r="W275" t="s">
        <v>55</v>
      </c>
      <c r="X275">
        <v>14</v>
      </c>
      <c r="Y275">
        <v>3</v>
      </c>
      <c r="Z275">
        <v>1</v>
      </c>
      <c r="AA275">
        <v>1</v>
      </c>
      <c r="AB275">
        <v>4</v>
      </c>
      <c r="AC275">
        <v>3</v>
      </c>
      <c r="AD275">
        <v>2</v>
      </c>
      <c r="AE275">
        <v>4</v>
      </c>
      <c r="AF275">
        <v>3</v>
      </c>
      <c r="AG275">
        <v>0</v>
      </c>
      <c r="AH275">
        <v>2</v>
      </c>
      <c r="AI275">
        <f t="shared" si="28"/>
        <v>0</v>
      </c>
      <c r="AJ275" t="str">
        <f t="shared" si="29"/>
        <v>4-5 yrs</v>
      </c>
      <c r="AK275" t="str">
        <f t="shared" si="30"/>
        <v>Recent</v>
      </c>
      <c r="AL275">
        <f t="shared" si="31"/>
        <v>1</v>
      </c>
      <c r="AM275" t="str">
        <f t="shared" si="32"/>
        <v>Low Risk</v>
      </c>
      <c r="AN275" s="6">
        <f t="shared" si="33"/>
        <v>0.98950345450751387</v>
      </c>
      <c r="AO275" s="7">
        <f t="shared" si="34"/>
        <v>1171212</v>
      </c>
    </row>
    <row r="276" spans="1:41" x14ac:dyDescent="0.3">
      <c r="A276" t="s">
        <v>346</v>
      </c>
      <c r="B276">
        <v>29</v>
      </c>
      <c r="C276" t="s">
        <v>196</v>
      </c>
      <c r="D276" t="s">
        <v>55</v>
      </c>
      <c r="E276" t="s">
        <v>48</v>
      </c>
      <c r="F276">
        <v>1283</v>
      </c>
      <c r="G276" t="s">
        <v>49</v>
      </c>
      <c r="H276">
        <v>23</v>
      </c>
      <c r="I276">
        <v>3</v>
      </c>
      <c r="J276" t="s">
        <v>50</v>
      </c>
      <c r="K276">
        <v>495</v>
      </c>
      <c r="L276">
        <v>4</v>
      </c>
      <c r="M276" t="s">
        <v>51</v>
      </c>
      <c r="N276">
        <v>3</v>
      </c>
      <c r="O276">
        <v>1</v>
      </c>
      <c r="P276" t="s">
        <v>67</v>
      </c>
      <c r="Q276">
        <v>4</v>
      </c>
      <c r="R276" t="s">
        <v>53</v>
      </c>
      <c r="S276">
        <v>91735</v>
      </c>
      <c r="T276" t="s">
        <v>70</v>
      </c>
      <c r="U276">
        <v>573.34</v>
      </c>
      <c r="V276">
        <v>9</v>
      </c>
      <c r="W276" t="s">
        <v>55</v>
      </c>
      <c r="X276">
        <v>16</v>
      </c>
      <c r="Y276">
        <v>3</v>
      </c>
      <c r="Z276">
        <v>4</v>
      </c>
      <c r="AA276">
        <v>0</v>
      </c>
      <c r="AB276">
        <v>6</v>
      </c>
      <c r="AC276">
        <v>4</v>
      </c>
      <c r="AD276">
        <v>3</v>
      </c>
      <c r="AE276">
        <v>3</v>
      </c>
      <c r="AF276">
        <v>2</v>
      </c>
      <c r="AG276">
        <v>1</v>
      </c>
      <c r="AH276">
        <v>2</v>
      </c>
      <c r="AI276">
        <f t="shared" si="28"/>
        <v>0</v>
      </c>
      <c r="AJ276" t="str">
        <f t="shared" si="29"/>
        <v>2-3 yrs</v>
      </c>
      <c r="AK276" t="str">
        <f t="shared" si="30"/>
        <v>Recent</v>
      </c>
      <c r="AL276">
        <f t="shared" si="31"/>
        <v>0</v>
      </c>
      <c r="AM276" t="str">
        <f t="shared" si="32"/>
        <v>Minimal Risk</v>
      </c>
      <c r="AN276" s="6">
        <f t="shared" si="33"/>
        <v>0.83962643168381013</v>
      </c>
      <c r="AO276" s="7">
        <f t="shared" si="34"/>
        <v>1100820</v>
      </c>
    </row>
    <row r="277" spans="1:41" x14ac:dyDescent="0.3">
      <c r="A277" t="s">
        <v>347</v>
      </c>
      <c r="B277">
        <v>29</v>
      </c>
      <c r="C277" t="s">
        <v>196</v>
      </c>
      <c r="D277" t="s">
        <v>55</v>
      </c>
      <c r="E277" t="s">
        <v>48</v>
      </c>
      <c r="F277">
        <v>986</v>
      </c>
      <c r="G277" t="s">
        <v>49</v>
      </c>
      <c r="H277">
        <v>3</v>
      </c>
      <c r="I277">
        <v>4</v>
      </c>
      <c r="J277" t="s">
        <v>58</v>
      </c>
      <c r="K277">
        <v>564</v>
      </c>
      <c r="L277">
        <v>2</v>
      </c>
      <c r="M277" t="s">
        <v>51</v>
      </c>
      <c r="N277">
        <v>2</v>
      </c>
      <c r="O277">
        <v>3</v>
      </c>
      <c r="P277" t="s">
        <v>257</v>
      </c>
      <c r="Q277">
        <v>3</v>
      </c>
      <c r="R277" t="s">
        <v>113</v>
      </c>
      <c r="S277">
        <v>17371</v>
      </c>
      <c r="T277" t="s">
        <v>54</v>
      </c>
      <c r="U277">
        <v>108.57</v>
      </c>
      <c r="V277">
        <v>1</v>
      </c>
      <c r="W277" t="s">
        <v>55</v>
      </c>
      <c r="X277">
        <v>18</v>
      </c>
      <c r="Y277">
        <v>3</v>
      </c>
      <c r="Z277">
        <v>3</v>
      </c>
      <c r="AA277">
        <v>0</v>
      </c>
      <c r="AB277">
        <v>10</v>
      </c>
      <c r="AC277">
        <v>2</v>
      </c>
      <c r="AD277">
        <v>3</v>
      </c>
      <c r="AE277">
        <v>10</v>
      </c>
      <c r="AF277">
        <v>2</v>
      </c>
      <c r="AG277">
        <v>0</v>
      </c>
      <c r="AH277">
        <v>7</v>
      </c>
      <c r="AI277">
        <f t="shared" si="28"/>
        <v>0</v>
      </c>
      <c r="AJ277" t="str">
        <f t="shared" si="29"/>
        <v>6-10 yrs</v>
      </c>
      <c r="AK277" t="str">
        <f t="shared" si="30"/>
        <v>Recent</v>
      </c>
      <c r="AL277">
        <f t="shared" si="31"/>
        <v>0</v>
      </c>
      <c r="AM277" t="str">
        <f t="shared" si="32"/>
        <v>Minimal Risk</v>
      </c>
      <c r="AN277" s="6">
        <f t="shared" si="33"/>
        <v>-0.65712701015483166</v>
      </c>
      <c r="AO277" s="7">
        <f t="shared" si="34"/>
        <v>208452</v>
      </c>
    </row>
    <row r="278" spans="1:41" x14ac:dyDescent="0.3">
      <c r="A278" t="s">
        <v>348</v>
      </c>
      <c r="B278">
        <v>29</v>
      </c>
      <c r="C278" t="s">
        <v>196</v>
      </c>
      <c r="D278" t="s">
        <v>47</v>
      </c>
      <c r="E278" t="s">
        <v>48</v>
      </c>
      <c r="F278">
        <v>408</v>
      </c>
      <c r="G278" t="s">
        <v>49</v>
      </c>
      <c r="H278">
        <v>25</v>
      </c>
      <c r="I278">
        <v>5</v>
      </c>
      <c r="J278" t="s">
        <v>77</v>
      </c>
      <c r="K278">
        <v>565</v>
      </c>
      <c r="L278">
        <v>3</v>
      </c>
      <c r="M278" t="s">
        <v>59</v>
      </c>
      <c r="N278">
        <v>2</v>
      </c>
      <c r="O278">
        <v>1</v>
      </c>
      <c r="P278" t="s">
        <v>67</v>
      </c>
      <c r="Q278">
        <v>2</v>
      </c>
      <c r="R278" t="s">
        <v>113</v>
      </c>
      <c r="S278">
        <v>78371</v>
      </c>
      <c r="T278" t="s">
        <v>64</v>
      </c>
      <c r="U278">
        <v>489.82</v>
      </c>
      <c r="V278">
        <v>5</v>
      </c>
      <c r="W278" t="s">
        <v>55</v>
      </c>
      <c r="X278">
        <v>16</v>
      </c>
      <c r="Y278">
        <v>3</v>
      </c>
      <c r="Z278">
        <v>2</v>
      </c>
      <c r="AA278">
        <v>0</v>
      </c>
      <c r="AB278">
        <v>6</v>
      </c>
      <c r="AC278">
        <v>2</v>
      </c>
      <c r="AD278">
        <v>4</v>
      </c>
      <c r="AE278">
        <v>2</v>
      </c>
      <c r="AF278">
        <v>2</v>
      </c>
      <c r="AG278">
        <v>1</v>
      </c>
      <c r="AH278">
        <v>1</v>
      </c>
      <c r="AI278">
        <f t="shared" si="28"/>
        <v>1</v>
      </c>
      <c r="AJ278" t="str">
        <f t="shared" si="29"/>
        <v>2-3 yrs</v>
      </c>
      <c r="AK278" t="str">
        <f t="shared" si="30"/>
        <v>Recent</v>
      </c>
      <c r="AL278">
        <f t="shared" si="31"/>
        <v>1</v>
      </c>
      <c r="AM278" t="str">
        <f t="shared" si="32"/>
        <v>Low Risk</v>
      </c>
      <c r="AN278" s="6">
        <f t="shared" si="33"/>
        <v>0.57162874668874353</v>
      </c>
      <c r="AO278" s="7">
        <f t="shared" si="34"/>
        <v>940452</v>
      </c>
    </row>
    <row r="279" spans="1:41" x14ac:dyDescent="0.3">
      <c r="A279" t="s">
        <v>349</v>
      </c>
      <c r="B279">
        <v>29</v>
      </c>
      <c r="C279" t="s">
        <v>196</v>
      </c>
      <c r="D279" t="s">
        <v>55</v>
      </c>
      <c r="E279" t="s">
        <v>48</v>
      </c>
      <c r="F279">
        <v>232</v>
      </c>
      <c r="G279" t="s">
        <v>49</v>
      </c>
      <c r="H279">
        <v>19</v>
      </c>
      <c r="I279">
        <v>3</v>
      </c>
      <c r="J279" t="s">
        <v>77</v>
      </c>
      <c r="K279">
        <v>611</v>
      </c>
      <c r="L279">
        <v>4</v>
      </c>
      <c r="M279" t="s">
        <v>51</v>
      </c>
      <c r="N279">
        <v>3</v>
      </c>
      <c r="O279">
        <v>2</v>
      </c>
      <c r="P279" t="s">
        <v>120</v>
      </c>
      <c r="Q279">
        <v>4</v>
      </c>
      <c r="R279" t="s">
        <v>53</v>
      </c>
      <c r="S279">
        <v>3049</v>
      </c>
      <c r="T279" t="s">
        <v>54</v>
      </c>
      <c r="U279">
        <v>19.059999999999999</v>
      </c>
      <c r="V279">
        <v>4</v>
      </c>
      <c r="W279" t="s">
        <v>55</v>
      </c>
      <c r="X279">
        <v>12</v>
      </c>
      <c r="Y279">
        <v>3</v>
      </c>
      <c r="Z279">
        <v>2</v>
      </c>
      <c r="AA279">
        <v>2</v>
      </c>
      <c r="AB279">
        <v>8</v>
      </c>
      <c r="AC279">
        <v>2</v>
      </c>
      <c r="AD279">
        <v>4</v>
      </c>
      <c r="AE279">
        <v>3</v>
      </c>
      <c r="AF279">
        <v>2</v>
      </c>
      <c r="AG279">
        <v>1</v>
      </c>
      <c r="AH279">
        <v>2</v>
      </c>
      <c r="AI279">
        <f t="shared" si="28"/>
        <v>0</v>
      </c>
      <c r="AJ279" t="str">
        <f t="shared" si="29"/>
        <v>2-3 yrs</v>
      </c>
      <c r="AK279" t="str">
        <f t="shared" si="30"/>
        <v>Recent</v>
      </c>
      <c r="AL279">
        <f t="shared" si="31"/>
        <v>0</v>
      </c>
      <c r="AM279" t="str">
        <f t="shared" si="32"/>
        <v>Minimal Risk</v>
      </c>
      <c r="AN279" s="6">
        <f t="shared" si="33"/>
        <v>-0.93116656736948866</v>
      </c>
      <c r="AO279" s="7">
        <f t="shared" si="34"/>
        <v>36588</v>
      </c>
    </row>
    <row r="280" spans="1:41" x14ac:dyDescent="0.3">
      <c r="A280" t="s">
        <v>350</v>
      </c>
      <c r="B280">
        <v>29</v>
      </c>
      <c r="C280" t="s">
        <v>196</v>
      </c>
      <c r="D280" t="s">
        <v>55</v>
      </c>
      <c r="E280" t="s">
        <v>48</v>
      </c>
      <c r="F280">
        <v>1176</v>
      </c>
      <c r="G280" t="s">
        <v>57</v>
      </c>
      <c r="H280">
        <v>3</v>
      </c>
      <c r="I280">
        <v>2</v>
      </c>
      <c r="J280" t="s">
        <v>58</v>
      </c>
      <c r="K280">
        <v>690</v>
      </c>
      <c r="L280">
        <v>2</v>
      </c>
      <c r="M280" t="s">
        <v>59</v>
      </c>
      <c r="N280">
        <v>3</v>
      </c>
      <c r="O280">
        <v>2</v>
      </c>
      <c r="P280" t="s">
        <v>145</v>
      </c>
      <c r="Q280">
        <v>3</v>
      </c>
      <c r="R280" t="s">
        <v>113</v>
      </c>
      <c r="S280">
        <v>32616</v>
      </c>
      <c r="T280" t="s">
        <v>72</v>
      </c>
      <c r="U280">
        <v>203.85</v>
      </c>
      <c r="V280">
        <v>1</v>
      </c>
      <c r="W280" t="s">
        <v>55</v>
      </c>
      <c r="X280">
        <v>14</v>
      </c>
      <c r="Y280">
        <v>3</v>
      </c>
      <c r="Z280">
        <v>1</v>
      </c>
      <c r="AA280">
        <v>1</v>
      </c>
      <c r="AB280">
        <v>6</v>
      </c>
      <c r="AC280">
        <v>5</v>
      </c>
      <c r="AD280">
        <v>2</v>
      </c>
      <c r="AE280">
        <v>6</v>
      </c>
      <c r="AF280">
        <v>0</v>
      </c>
      <c r="AG280">
        <v>1</v>
      </c>
      <c r="AH280">
        <v>2</v>
      </c>
      <c r="AI280">
        <f t="shared" si="28"/>
        <v>0</v>
      </c>
      <c r="AJ280" t="str">
        <f t="shared" si="29"/>
        <v>6-10 yrs</v>
      </c>
      <c r="AK280" t="str">
        <f t="shared" si="30"/>
        <v>Recent</v>
      </c>
      <c r="AL280">
        <f t="shared" si="31"/>
        <v>1</v>
      </c>
      <c r="AM280" t="str">
        <f t="shared" si="32"/>
        <v>Low Risk</v>
      </c>
      <c r="AN280" s="6">
        <f t="shared" si="33"/>
        <v>-0.33515389522425926</v>
      </c>
      <c r="AO280" s="7">
        <f t="shared" si="34"/>
        <v>391392</v>
      </c>
    </row>
    <row r="281" spans="1:41" x14ac:dyDescent="0.3">
      <c r="A281" t="s">
        <v>351</v>
      </c>
      <c r="B281">
        <v>29</v>
      </c>
      <c r="C281" t="s">
        <v>196</v>
      </c>
      <c r="D281" t="s">
        <v>55</v>
      </c>
      <c r="E281" t="s">
        <v>62</v>
      </c>
      <c r="F281">
        <v>806</v>
      </c>
      <c r="G281" t="s">
        <v>49</v>
      </c>
      <c r="H281">
        <v>1</v>
      </c>
      <c r="I281">
        <v>4</v>
      </c>
      <c r="J281" t="s">
        <v>50</v>
      </c>
      <c r="K281">
        <v>710</v>
      </c>
      <c r="L281">
        <v>2</v>
      </c>
      <c r="M281" t="s">
        <v>51</v>
      </c>
      <c r="N281">
        <v>1</v>
      </c>
      <c r="O281">
        <v>1</v>
      </c>
      <c r="P281" t="s">
        <v>67</v>
      </c>
      <c r="Q281">
        <v>4</v>
      </c>
      <c r="R281" t="s">
        <v>53</v>
      </c>
      <c r="S281">
        <v>21932</v>
      </c>
      <c r="T281" t="s">
        <v>54</v>
      </c>
      <c r="U281">
        <v>137.07</v>
      </c>
      <c r="V281">
        <v>1</v>
      </c>
      <c r="W281" t="s">
        <v>55</v>
      </c>
      <c r="X281">
        <v>18</v>
      </c>
      <c r="Y281">
        <v>3</v>
      </c>
      <c r="Z281">
        <v>4</v>
      </c>
      <c r="AA281">
        <v>1</v>
      </c>
      <c r="AB281">
        <v>10</v>
      </c>
      <c r="AC281">
        <v>5</v>
      </c>
      <c r="AD281">
        <v>3</v>
      </c>
      <c r="AE281">
        <v>10</v>
      </c>
      <c r="AF281">
        <v>7</v>
      </c>
      <c r="AG281">
        <v>2</v>
      </c>
      <c r="AH281">
        <v>8</v>
      </c>
      <c r="AI281">
        <f t="shared" si="28"/>
        <v>0</v>
      </c>
      <c r="AJ281" t="str">
        <f t="shared" si="29"/>
        <v>6-10 yrs</v>
      </c>
      <c r="AK281" t="str">
        <f t="shared" si="30"/>
        <v>Recent</v>
      </c>
      <c r="AL281">
        <f t="shared" si="31"/>
        <v>0</v>
      </c>
      <c r="AM281" t="str">
        <f t="shared" si="32"/>
        <v>Minimal Risk</v>
      </c>
      <c r="AN281" s="6">
        <f t="shared" si="33"/>
        <v>-0.56018218891710558</v>
      </c>
      <c r="AO281" s="7">
        <f t="shared" si="34"/>
        <v>263184</v>
      </c>
    </row>
    <row r="282" spans="1:41" x14ac:dyDescent="0.3">
      <c r="A282" t="s">
        <v>352</v>
      </c>
      <c r="B282">
        <v>29</v>
      </c>
      <c r="C282" t="s">
        <v>196</v>
      </c>
      <c r="D282" t="s">
        <v>55</v>
      </c>
      <c r="E282" t="s">
        <v>48</v>
      </c>
      <c r="F282">
        <v>1396</v>
      </c>
      <c r="G282" t="s">
        <v>57</v>
      </c>
      <c r="H282">
        <v>10</v>
      </c>
      <c r="I282">
        <v>3</v>
      </c>
      <c r="J282" t="s">
        <v>50</v>
      </c>
      <c r="K282">
        <v>749</v>
      </c>
      <c r="L282">
        <v>3</v>
      </c>
      <c r="M282" t="s">
        <v>51</v>
      </c>
      <c r="N282">
        <v>3</v>
      </c>
      <c r="O282">
        <v>1</v>
      </c>
      <c r="P282" t="s">
        <v>60</v>
      </c>
      <c r="Q282">
        <v>3</v>
      </c>
      <c r="R282" t="s">
        <v>53</v>
      </c>
      <c r="S282">
        <v>30855</v>
      </c>
      <c r="T282" t="s">
        <v>72</v>
      </c>
      <c r="U282">
        <v>192.84</v>
      </c>
      <c r="V282">
        <v>1</v>
      </c>
      <c r="W282" t="s">
        <v>55</v>
      </c>
      <c r="X282">
        <v>11</v>
      </c>
      <c r="Y282">
        <v>3</v>
      </c>
      <c r="Z282">
        <v>3</v>
      </c>
      <c r="AA282">
        <v>0</v>
      </c>
      <c r="AB282">
        <v>1</v>
      </c>
      <c r="AC282">
        <v>6</v>
      </c>
      <c r="AD282">
        <v>3</v>
      </c>
      <c r="AE282">
        <v>1</v>
      </c>
      <c r="AF282">
        <v>0</v>
      </c>
      <c r="AG282">
        <v>0</v>
      </c>
      <c r="AH282">
        <v>0</v>
      </c>
      <c r="AI282">
        <f t="shared" si="28"/>
        <v>0</v>
      </c>
      <c r="AJ282" t="str">
        <f t="shared" si="29"/>
        <v>0-1 yr</v>
      </c>
      <c r="AK282" t="str">
        <f t="shared" si="30"/>
        <v>Recent</v>
      </c>
      <c r="AL282">
        <f t="shared" si="31"/>
        <v>0</v>
      </c>
      <c r="AM282" t="str">
        <f t="shared" si="32"/>
        <v>Minimal Risk</v>
      </c>
      <c r="AN282" s="6">
        <f t="shared" si="33"/>
        <v>-0.37447794121373706</v>
      </c>
      <c r="AO282" s="7">
        <f t="shared" si="34"/>
        <v>370260</v>
      </c>
    </row>
    <row r="283" spans="1:41" x14ac:dyDescent="0.3">
      <c r="A283" t="s">
        <v>353</v>
      </c>
      <c r="B283">
        <v>29</v>
      </c>
      <c r="C283" t="s">
        <v>196</v>
      </c>
      <c r="D283" t="s">
        <v>55</v>
      </c>
      <c r="E283" t="s">
        <v>48</v>
      </c>
      <c r="F283">
        <v>1090</v>
      </c>
      <c r="G283" t="s">
        <v>57</v>
      </c>
      <c r="H283">
        <v>10</v>
      </c>
      <c r="I283">
        <v>3</v>
      </c>
      <c r="J283" t="s">
        <v>63</v>
      </c>
      <c r="K283">
        <v>766</v>
      </c>
      <c r="L283">
        <v>4</v>
      </c>
      <c r="M283" t="s">
        <v>51</v>
      </c>
      <c r="N283">
        <v>3</v>
      </c>
      <c r="O283">
        <v>1</v>
      </c>
      <c r="P283" t="s">
        <v>60</v>
      </c>
      <c r="Q283">
        <v>2</v>
      </c>
      <c r="R283" t="s">
        <v>53</v>
      </c>
      <c r="S283">
        <v>62434</v>
      </c>
      <c r="T283" t="s">
        <v>64</v>
      </c>
      <c r="U283">
        <v>390.21</v>
      </c>
      <c r="V283">
        <v>1</v>
      </c>
      <c r="W283" t="s">
        <v>55</v>
      </c>
      <c r="X283">
        <v>14</v>
      </c>
      <c r="Y283">
        <v>3</v>
      </c>
      <c r="Z283">
        <v>4</v>
      </c>
      <c r="AA283">
        <v>2</v>
      </c>
      <c r="AB283">
        <v>2</v>
      </c>
      <c r="AC283">
        <v>2</v>
      </c>
      <c r="AD283">
        <v>3</v>
      </c>
      <c r="AE283">
        <v>2</v>
      </c>
      <c r="AF283">
        <v>2</v>
      </c>
      <c r="AG283">
        <v>2</v>
      </c>
      <c r="AH283">
        <v>2</v>
      </c>
      <c r="AI283">
        <f t="shared" si="28"/>
        <v>0</v>
      </c>
      <c r="AJ283" t="str">
        <f t="shared" si="29"/>
        <v>2-3 yrs</v>
      </c>
      <c r="AK283" t="str">
        <f t="shared" si="30"/>
        <v>Recent</v>
      </c>
      <c r="AL283">
        <f t="shared" si="31"/>
        <v>1</v>
      </c>
      <c r="AM283" t="str">
        <f t="shared" si="32"/>
        <v>Low Risk</v>
      </c>
      <c r="AN283" s="6">
        <f t="shared" si="33"/>
        <v>0.26572173774952329</v>
      </c>
      <c r="AO283" s="7">
        <f t="shared" si="34"/>
        <v>749208</v>
      </c>
    </row>
    <row r="284" spans="1:41" x14ac:dyDescent="0.3">
      <c r="A284" t="s">
        <v>354</v>
      </c>
      <c r="B284">
        <v>29</v>
      </c>
      <c r="C284" t="s">
        <v>196</v>
      </c>
      <c r="D284" t="s">
        <v>55</v>
      </c>
      <c r="E284" t="s">
        <v>48</v>
      </c>
      <c r="F284">
        <v>657</v>
      </c>
      <c r="G284" t="s">
        <v>49</v>
      </c>
      <c r="H284">
        <v>27</v>
      </c>
      <c r="I284">
        <v>3</v>
      </c>
      <c r="J284" t="s">
        <v>58</v>
      </c>
      <c r="K284">
        <v>793</v>
      </c>
      <c r="L284">
        <v>2</v>
      </c>
      <c r="M284" t="s">
        <v>59</v>
      </c>
      <c r="N284">
        <v>3</v>
      </c>
      <c r="O284">
        <v>2</v>
      </c>
      <c r="P284" t="s">
        <v>168</v>
      </c>
      <c r="Q284">
        <v>3</v>
      </c>
      <c r="R284" t="s">
        <v>113</v>
      </c>
      <c r="S284">
        <v>73694</v>
      </c>
      <c r="T284" t="s">
        <v>64</v>
      </c>
      <c r="U284">
        <v>460.59</v>
      </c>
      <c r="V284">
        <v>4</v>
      </c>
      <c r="W284" t="s">
        <v>55</v>
      </c>
      <c r="X284">
        <v>12</v>
      </c>
      <c r="Y284">
        <v>3</v>
      </c>
      <c r="Z284">
        <v>1</v>
      </c>
      <c r="AA284">
        <v>1</v>
      </c>
      <c r="AB284">
        <v>11</v>
      </c>
      <c r="AC284">
        <v>3</v>
      </c>
      <c r="AD284">
        <v>2</v>
      </c>
      <c r="AE284">
        <v>8</v>
      </c>
      <c r="AF284">
        <v>7</v>
      </c>
      <c r="AG284">
        <v>1</v>
      </c>
      <c r="AH284">
        <v>1</v>
      </c>
      <c r="AI284">
        <f t="shared" si="28"/>
        <v>0</v>
      </c>
      <c r="AJ284" t="str">
        <f t="shared" si="29"/>
        <v>6-10 yrs</v>
      </c>
      <c r="AK284" t="str">
        <f t="shared" si="30"/>
        <v>Recent</v>
      </c>
      <c r="AL284">
        <f t="shared" si="31"/>
        <v>1</v>
      </c>
      <c r="AM284" t="str">
        <f t="shared" si="32"/>
        <v>Low Risk</v>
      </c>
      <c r="AN284" s="6">
        <f t="shared" si="33"/>
        <v>0.52926563185542685</v>
      </c>
      <c r="AO284" s="7">
        <f t="shared" si="34"/>
        <v>884328</v>
      </c>
    </row>
    <row r="285" spans="1:41" x14ac:dyDescent="0.3">
      <c r="A285" t="s">
        <v>355</v>
      </c>
      <c r="B285">
        <v>29</v>
      </c>
      <c r="C285" t="s">
        <v>196</v>
      </c>
      <c r="D285" t="s">
        <v>47</v>
      </c>
      <c r="E285" t="s">
        <v>48</v>
      </c>
      <c r="F285">
        <v>805</v>
      </c>
      <c r="G285" t="s">
        <v>49</v>
      </c>
      <c r="H285">
        <v>1</v>
      </c>
      <c r="I285">
        <v>2</v>
      </c>
      <c r="J285" t="s">
        <v>50</v>
      </c>
      <c r="K285">
        <v>816</v>
      </c>
      <c r="L285">
        <v>2</v>
      </c>
      <c r="M285" t="s">
        <v>59</v>
      </c>
      <c r="N285">
        <v>2</v>
      </c>
      <c r="O285">
        <v>1</v>
      </c>
      <c r="P285" t="s">
        <v>52</v>
      </c>
      <c r="Q285">
        <v>1</v>
      </c>
      <c r="R285" t="s">
        <v>113</v>
      </c>
      <c r="S285">
        <v>44016</v>
      </c>
      <c r="T285" t="s">
        <v>72</v>
      </c>
      <c r="U285">
        <v>275.10000000000002</v>
      </c>
      <c r="V285">
        <v>1</v>
      </c>
      <c r="W285" t="s">
        <v>47</v>
      </c>
      <c r="X285">
        <v>11</v>
      </c>
      <c r="Y285">
        <v>3</v>
      </c>
      <c r="Z285">
        <v>4</v>
      </c>
      <c r="AA285">
        <v>1</v>
      </c>
      <c r="AB285">
        <v>1</v>
      </c>
      <c r="AC285">
        <v>1</v>
      </c>
      <c r="AD285">
        <v>3</v>
      </c>
      <c r="AE285">
        <v>1</v>
      </c>
      <c r="AF285">
        <v>0</v>
      </c>
      <c r="AG285">
        <v>0</v>
      </c>
      <c r="AH285">
        <v>0</v>
      </c>
      <c r="AI285">
        <f t="shared" si="28"/>
        <v>1</v>
      </c>
      <c r="AJ285" t="str">
        <f t="shared" si="29"/>
        <v>0-1 yr</v>
      </c>
      <c r="AK285" t="str">
        <f t="shared" si="30"/>
        <v>Recent</v>
      </c>
      <c r="AL285">
        <f t="shared" si="31"/>
        <v>2</v>
      </c>
      <c r="AM285" t="str">
        <f t="shared" si="32"/>
        <v>Medium Risk</v>
      </c>
      <c r="AN285" s="6">
        <f t="shared" si="33"/>
        <v>-0.1489657638477011</v>
      </c>
      <c r="AO285" s="7">
        <f t="shared" si="34"/>
        <v>528192</v>
      </c>
    </row>
    <row r="286" spans="1:41" x14ac:dyDescent="0.3">
      <c r="A286" t="s">
        <v>356</v>
      </c>
      <c r="B286">
        <v>29</v>
      </c>
      <c r="C286" t="s">
        <v>196</v>
      </c>
      <c r="D286" t="s">
        <v>55</v>
      </c>
      <c r="E286" t="s">
        <v>48</v>
      </c>
      <c r="F286">
        <v>1252</v>
      </c>
      <c r="G286" t="s">
        <v>49</v>
      </c>
      <c r="H286">
        <v>23</v>
      </c>
      <c r="I286">
        <v>2</v>
      </c>
      <c r="J286" t="s">
        <v>50</v>
      </c>
      <c r="K286">
        <v>824</v>
      </c>
      <c r="L286">
        <v>3</v>
      </c>
      <c r="M286" t="s">
        <v>51</v>
      </c>
      <c r="N286">
        <v>4</v>
      </c>
      <c r="O286">
        <v>1</v>
      </c>
      <c r="P286" t="s">
        <v>67</v>
      </c>
      <c r="Q286">
        <v>3</v>
      </c>
      <c r="R286" t="s">
        <v>113</v>
      </c>
      <c r="S286">
        <v>8400</v>
      </c>
      <c r="T286" t="s">
        <v>54</v>
      </c>
      <c r="U286">
        <v>52.5</v>
      </c>
      <c r="V286">
        <v>1</v>
      </c>
      <c r="W286" t="s">
        <v>55</v>
      </c>
      <c r="X286">
        <v>24</v>
      </c>
      <c r="Y286">
        <v>4</v>
      </c>
      <c r="Z286">
        <v>3</v>
      </c>
      <c r="AA286">
        <v>1</v>
      </c>
      <c r="AB286">
        <v>10</v>
      </c>
      <c r="AC286">
        <v>3</v>
      </c>
      <c r="AD286">
        <v>3</v>
      </c>
      <c r="AE286">
        <v>10</v>
      </c>
      <c r="AF286">
        <v>7</v>
      </c>
      <c r="AG286">
        <v>0</v>
      </c>
      <c r="AH286">
        <v>7</v>
      </c>
      <c r="AI286">
        <f t="shared" si="28"/>
        <v>0</v>
      </c>
      <c r="AJ286" t="str">
        <f t="shared" si="29"/>
        <v>6-10 yrs</v>
      </c>
      <c r="AK286" t="str">
        <f t="shared" si="30"/>
        <v>Recent</v>
      </c>
      <c r="AL286">
        <f t="shared" si="31"/>
        <v>0</v>
      </c>
      <c r="AM286" t="str">
        <f t="shared" si="32"/>
        <v>Minimal Risk</v>
      </c>
      <c r="AN286" s="6">
        <f t="shared" si="33"/>
        <v>-0.83154889599232562</v>
      </c>
      <c r="AO286" s="7">
        <f t="shared" si="34"/>
        <v>100800</v>
      </c>
    </row>
    <row r="287" spans="1:41" x14ac:dyDescent="0.3">
      <c r="A287" t="s">
        <v>357</v>
      </c>
      <c r="B287">
        <v>29</v>
      </c>
      <c r="C287" t="s">
        <v>196</v>
      </c>
      <c r="D287" t="s">
        <v>47</v>
      </c>
      <c r="E287" t="s">
        <v>48</v>
      </c>
      <c r="F287">
        <v>341</v>
      </c>
      <c r="G287" t="s">
        <v>57</v>
      </c>
      <c r="H287">
        <v>1</v>
      </c>
      <c r="I287">
        <v>3</v>
      </c>
      <c r="J287" t="s">
        <v>58</v>
      </c>
      <c r="K287">
        <v>896</v>
      </c>
      <c r="L287">
        <v>2</v>
      </c>
      <c r="M287" t="s">
        <v>59</v>
      </c>
      <c r="N287">
        <v>2</v>
      </c>
      <c r="O287">
        <v>1</v>
      </c>
      <c r="P287" t="s">
        <v>60</v>
      </c>
      <c r="Q287">
        <v>3</v>
      </c>
      <c r="R287" t="s">
        <v>53</v>
      </c>
      <c r="S287">
        <v>43642</v>
      </c>
      <c r="T287" t="s">
        <v>72</v>
      </c>
      <c r="U287">
        <v>272.76</v>
      </c>
      <c r="V287">
        <v>6</v>
      </c>
      <c r="W287" t="s">
        <v>47</v>
      </c>
      <c r="X287">
        <v>19</v>
      </c>
      <c r="Y287">
        <v>3</v>
      </c>
      <c r="Z287">
        <v>3</v>
      </c>
      <c r="AA287">
        <v>3</v>
      </c>
      <c r="AB287">
        <v>5</v>
      </c>
      <c r="AC287">
        <v>3</v>
      </c>
      <c r="AD287">
        <v>3</v>
      </c>
      <c r="AE287">
        <v>3</v>
      </c>
      <c r="AF287">
        <v>2</v>
      </c>
      <c r="AG287">
        <v>0</v>
      </c>
      <c r="AH287">
        <v>2</v>
      </c>
      <c r="AI287">
        <f t="shared" si="28"/>
        <v>1</v>
      </c>
      <c r="AJ287" t="str">
        <f t="shared" si="29"/>
        <v>2-3 yrs</v>
      </c>
      <c r="AK287" t="str">
        <f t="shared" si="30"/>
        <v>Recent</v>
      </c>
      <c r="AL287">
        <f t="shared" si="31"/>
        <v>1</v>
      </c>
      <c r="AM287" t="str">
        <f t="shared" si="32"/>
        <v>Low Risk</v>
      </c>
      <c r="AN287" s="6">
        <f t="shared" si="33"/>
        <v>-0.11524765225895031</v>
      </c>
      <c r="AO287" s="7">
        <f t="shared" si="34"/>
        <v>523704</v>
      </c>
    </row>
    <row r="288" spans="1:41" x14ac:dyDescent="0.3">
      <c r="A288" t="s">
        <v>358</v>
      </c>
      <c r="B288">
        <v>29</v>
      </c>
      <c r="C288" t="s">
        <v>196</v>
      </c>
      <c r="D288" t="s">
        <v>55</v>
      </c>
      <c r="E288" t="s">
        <v>48</v>
      </c>
      <c r="F288">
        <v>1086</v>
      </c>
      <c r="G288" t="s">
        <v>49</v>
      </c>
      <c r="H288">
        <v>7</v>
      </c>
      <c r="I288">
        <v>1</v>
      </c>
      <c r="J288" t="s">
        <v>58</v>
      </c>
      <c r="K288">
        <v>912</v>
      </c>
      <c r="L288">
        <v>1</v>
      </c>
      <c r="M288" t="s">
        <v>59</v>
      </c>
      <c r="N288">
        <v>2</v>
      </c>
      <c r="O288">
        <v>1</v>
      </c>
      <c r="P288" t="s">
        <v>52</v>
      </c>
      <c r="Q288">
        <v>4</v>
      </c>
      <c r="R288" t="s">
        <v>53</v>
      </c>
      <c r="S288">
        <v>16151</v>
      </c>
      <c r="T288" t="s">
        <v>54</v>
      </c>
      <c r="U288">
        <v>100.94</v>
      </c>
      <c r="V288">
        <v>6</v>
      </c>
      <c r="W288" t="s">
        <v>55</v>
      </c>
      <c r="X288">
        <v>14</v>
      </c>
      <c r="Y288">
        <v>3</v>
      </c>
      <c r="Z288">
        <v>3</v>
      </c>
      <c r="AA288">
        <v>3</v>
      </c>
      <c r="AB288">
        <v>8</v>
      </c>
      <c r="AC288">
        <v>5</v>
      </c>
      <c r="AD288">
        <v>3</v>
      </c>
      <c r="AE288">
        <v>4</v>
      </c>
      <c r="AF288">
        <v>3</v>
      </c>
      <c r="AG288">
        <v>0</v>
      </c>
      <c r="AH288">
        <v>3</v>
      </c>
      <c r="AI288">
        <f t="shared" si="28"/>
        <v>0</v>
      </c>
      <c r="AJ288" t="str">
        <f t="shared" si="29"/>
        <v>4-5 yrs</v>
      </c>
      <c r="AK288" t="str">
        <f t="shared" si="30"/>
        <v>Recent</v>
      </c>
      <c r="AL288">
        <f t="shared" si="31"/>
        <v>0</v>
      </c>
      <c r="AM288" t="str">
        <f t="shared" si="32"/>
        <v>Minimal Risk</v>
      </c>
      <c r="AN288" s="6">
        <f t="shared" si="33"/>
        <v>-0.68772596446529033</v>
      </c>
      <c r="AO288" s="7">
        <f t="shared" si="34"/>
        <v>193812</v>
      </c>
    </row>
    <row r="289" spans="1:41" x14ac:dyDescent="0.3">
      <c r="A289" t="s">
        <v>359</v>
      </c>
      <c r="B289">
        <v>29</v>
      </c>
      <c r="C289" t="s">
        <v>196</v>
      </c>
      <c r="D289" t="s">
        <v>55</v>
      </c>
      <c r="E289" t="s">
        <v>62</v>
      </c>
      <c r="F289">
        <v>1404</v>
      </c>
      <c r="G289" t="s">
        <v>57</v>
      </c>
      <c r="H289">
        <v>20</v>
      </c>
      <c r="I289">
        <v>3</v>
      </c>
      <c r="J289" t="s">
        <v>77</v>
      </c>
      <c r="K289">
        <v>974</v>
      </c>
      <c r="L289">
        <v>3</v>
      </c>
      <c r="M289" t="s">
        <v>59</v>
      </c>
      <c r="N289">
        <v>3</v>
      </c>
      <c r="O289">
        <v>1</v>
      </c>
      <c r="P289" t="s">
        <v>60</v>
      </c>
      <c r="Q289">
        <v>4</v>
      </c>
      <c r="R289" t="s">
        <v>113</v>
      </c>
      <c r="S289">
        <v>52407</v>
      </c>
      <c r="T289" t="s">
        <v>64</v>
      </c>
      <c r="U289">
        <v>327.54000000000002</v>
      </c>
      <c r="V289">
        <v>1</v>
      </c>
      <c r="W289" t="s">
        <v>55</v>
      </c>
      <c r="X289">
        <v>15</v>
      </c>
      <c r="Y289">
        <v>3</v>
      </c>
      <c r="Z289">
        <v>2</v>
      </c>
      <c r="AA289">
        <v>1</v>
      </c>
      <c r="AB289">
        <v>3</v>
      </c>
      <c r="AC289">
        <v>5</v>
      </c>
      <c r="AD289">
        <v>3</v>
      </c>
      <c r="AE289">
        <v>3</v>
      </c>
      <c r="AF289">
        <v>1</v>
      </c>
      <c r="AG289">
        <v>0</v>
      </c>
      <c r="AH289">
        <v>2</v>
      </c>
      <c r="AI289">
        <f t="shared" si="28"/>
        <v>0</v>
      </c>
      <c r="AJ289" t="str">
        <f t="shared" si="29"/>
        <v>2-3 yrs</v>
      </c>
      <c r="AK289" t="str">
        <f t="shared" si="30"/>
        <v>Recent</v>
      </c>
      <c r="AL289">
        <f t="shared" si="31"/>
        <v>0</v>
      </c>
      <c r="AM289" t="str">
        <f t="shared" si="32"/>
        <v>Minimal Risk</v>
      </c>
      <c r="AN289" s="6">
        <f t="shared" si="33"/>
        <v>6.244480748052772E-2</v>
      </c>
      <c r="AO289" s="7">
        <f t="shared" si="34"/>
        <v>628884</v>
      </c>
    </row>
    <row r="290" spans="1:41" x14ac:dyDescent="0.3">
      <c r="A290" t="s">
        <v>360</v>
      </c>
      <c r="B290">
        <v>29</v>
      </c>
      <c r="C290" t="s">
        <v>196</v>
      </c>
      <c r="D290" t="s">
        <v>47</v>
      </c>
      <c r="E290" t="s">
        <v>48</v>
      </c>
      <c r="F290">
        <v>906</v>
      </c>
      <c r="G290" t="s">
        <v>49</v>
      </c>
      <c r="H290">
        <v>10</v>
      </c>
      <c r="I290">
        <v>3</v>
      </c>
      <c r="J290" t="s">
        <v>50</v>
      </c>
      <c r="K290">
        <v>994</v>
      </c>
      <c r="L290">
        <v>4</v>
      </c>
      <c r="M290" t="s">
        <v>59</v>
      </c>
      <c r="N290">
        <v>2</v>
      </c>
      <c r="O290">
        <v>1</v>
      </c>
      <c r="P290" t="s">
        <v>67</v>
      </c>
      <c r="Q290">
        <v>1</v>
      </c>
      <c r="R290" t="s">
        <v>53</v>
      </c>
      <c r="S290">
        <v>67690</v>
      </c>
      <c r="T290" t="s">
        <v>64</v>
      </c>
      <c r="U290">
        <v>423.06</v>
      </c>
      <c r="V290">
        <v>6</v>
      </c>
      <c r="W290" t="s">
        <v>47</v>
      </c>
      <c r="X290">
        <v>20</v>
      </c>
      <c r="Y290">
        <v>4</v>
      </c>
      <c r="Z290">
        <v>3</v>
      </c>
      <c r="AA290">
        <v>0</v>
      </c>
      <c r="AB290">
        <v>3</v>
      </c>
      <c r="AC290">
        <v>5</v>
      </c>
      <c r="AD290">
        <v>3</v>
      </c>
      <c r="AE290">
        <v>0</v>
      </c>
      <c r="AF290">
        <v>0</v>
      </c>
      <c r="AG290">
        <v>0</v>
      </c>
      <c r="AH290">
        <v>0</v>
      </c>
      <c r="AI290">
        <f t="shared" si="28"/>
        <v>1</v>
      </c>
      <c r="AJ290" t="str">
        <f t="shared" si="29"/>
        <v>0-1 yr</v>
      </c>
      <c r="AK290" t="str">
        <f t="shared" si="30"/>
        <v>Recent</v>
      </c>
      <c r="AL290">
        <f t="shared" si="31"/>
        <v>2</v>
      </c>
      <c r="AM290" t="str">
        <f t="shared" si="32"/>
        <v>Medium Risk</v>
      </c>
      <c r="AN290" s="6">
        <f t="shared" si="33"/>
        <v>0.35743514646184232</v>
      </c>
      <c r="AO290" s="7">
        <f t="shared" si="34"/>
        <v>812280</v>
      </c>
    </row>
    <row r="291" spans="1:41" x14ac:dyDescent="0.3">
      <c r="A291" t="s">
        <v>361</v>
      </c>
      <c r="B291">
        <v>29</v>
      </c>
      <c r="C291" t="s">
        <v>196</v>
      </c>
      <c r="D291" t="s">
        <v>55</v>
      </c>
      <c r="E291" t="s">
        <v>48</v>
      </c>
      <c r="F291">
        <v>1107</v>
      </c>
      <c r="G291" t="s">
        <v>49</v>
      </c>
      <c r="H291">
        <v>28</v>
      </c>
      <c r="I291">
        <v>4</v>
      </c>
      <c r="J291" t="s">
        <v>50</v>
      </c>
      <c r="K291">
        <v>1120</v>
      </c>
      <c r="L291">
        <v>3</v>
      </c>
      <c r="M291" t="s">
        <v>59</v>
      </c>
      <c r="N291">
        <v>3</v>
      </c>
      <c r="O291">
        <v>1</v>
      </c>
      <c r="P291" t="s">
        <v>67</v>
      </c>
      <c r="Q291">
        <v>4</v>
      </c>
      <c r="R291" t="s">
        <v>53</v>
      </c>
      <c r="S291">
        <v>5499</v>
      </c>
      <c r="T291" t="s">
        <v>54</v>
      </c>
      <c r="U291">
        <v>34.369999999999997</v>
      </c>
      <c r="V291">
        <v>4</v>
      </c>
      <c r="W291" t="s">
        <v>55</v>
      </c>
      <c r="X291">
        <v>22</v>
      </c>
      <c r="Y291">
        <v>4</v>
      </c>
      <c r="Z291">
        <v>1</v>
      </c>
      <c r="AA291">
        <v>1</v>
      </c>
      <c r="AB291">
        <v>11</v>
      </c>
      <c r="AC291">
        <v>1</v>
      </c>
      <c r="AD291">
        <v>3</v>
      </c>
      <c r="AE291">
        <v>7</v>
      </c>
      <c r="AF291">
        <v>5</v>
      </c>
      <c r="AG291">
        <v>1</v>
      </c>
      <c r="AH291">
        <v>7</v>
      </c>
      <c r="AI291">
        <f t="shared" si="28"/>
        <v>0</v>
      </c>
      <c r="AJ291" t="str">
        <f t="shared" si="29"/>
        <v>6-10 yrs</v>
      </c>
      <c r="AK291" t="str">
        <f t="shared" si="30"/>
        <v>Recent</v>
      </c>
      <c r="AL291">
        <f t="shared" si="31"/>
        <v>0</v>
      </c>
      <c r="AM291" t="str">
        <f t="shared" si="32"/>
        <v>Minimal Risk</v>
      </c>
      <c r="AN291" s="6">
        <f t="shared" si="33"/>
        <v>-0.88972468798354754</v>
      </c>
      <c r="AO291" s="7">
        <f t="shared" si="34"/>
        <v>65988</v>
      </c>
    </row>
    <row r="292" spans="1:41" x14ac:dyDescent="0.3">
      <c r="A292" t="s">
        <v>362</v>
      </c>
      <c r="B292">
        <v>29</v>
      </c>
      <c r="C292" t="s">
        <v>196</v>
      </c>
      <c r="D292" t="s">
        <v>55</v>
      </c>
      <c r="E292" t="s">
        <v>62</v>
      </c>
      <c r="F292">
        <v>490</v>
      </c>
      <c r="G292" t="s">
        <v>49</v>
      </c>
      <c r="H292">
        <v>10</v>
      </c>
      <c r="I292">
        <v>3</v>
      </c>
      <c r="J292" t="s">
        <v>50</v>
      </c>
      <c r="K292">
        <v>1143</v>
      </c>
      <c r="L292">
        <v>4</v>
      </c>
      <c r="M292" t="s">
        <v>59</v>
      </c>
      <c r="N292">
        <v>3</v>
      </c>
      <c r="O292">
        <v>1</v>
      </c>
      <c r="P292" t="s">
        <v>67</v>
      </c>
      <c r="Q292">
        <v>2</v>
      </c>
      <c r="R292" t="s">
        <v>53</v>
      </c>
      <c r="S292">
        <v>7295</v>
      </c>
      <c r="T292" t="s">
        <v>54</v>
      </c>
      <c r="U292">
        <v>45.59</v>
      </c>
      <c r="V292">
        <v>0</v>
      </c>
      <c r="W292" t="s">
        <v>55</v>
      </c>
      <c r="X292">
        <v>14</v>
      </c>
      <c r="Y292">
        <v>3</v>
      </c>
      <c r="Z292">
        <v>4</v>
      </c>
      <c r="AA292">
        <v>2</v>
      </c>
      <c r="AB292">
        <v>8</v>
      </c>
      <c r="AC292">
        <v>2</v>
      </c>
      <c r="AD292">
        <v>2</v>
      </c>
      <c r="AE292">
        <v>7</v>
      </c>
      <c r="AF292">
        <v>5</v>
      </c>
      <c r="AG292">
        <v>1</v>
      </c>
      <c r="AH292">
        <v>1</v>
      </c>
      <c r="AI292">
        <f t="shared" si="28"/>
        <v>0</v>
      </c>
      <c r="AJ292" t="str">
        <f t="shared" si="29"/>
        <v>6-10 yrs</v>
      </c>
      <c r="AK292" t="str">
        <f t="shared" si="30"/>
        <v>Recent</v>
      </c>
      <c r="AL292">
        <f t="shared" si="31"/>
        <v>2</v>
      </c>
      <c r="AM292" t="str">
        <f t="shared" si="32"/>
        <v>Medium Risk</v>
      </c>
      <c r="AN292" s="6">
        <f t="shared" si="33"/>
        <v>-0.8537082376504781</v>
      </c>
      <c r="AO292" s="7">
        <f t="shared" si="34"/>
        <v>87540</v>
      </c>
    </row>
    <row r="293" spans="1:41" x14ac:dyDescent="0.3">
      <c r="A293" t="s">
        <v>363</v>
      </c>
      <c r="B293">
        <v>29</v>
      </c>
      <c r="C293" t="s">
        <v>196</v>
      </c>
      <c r="D293" t="s">
        <v>55</v>
      </c>
      <c r="E293" t="s">
        <v>48</v>
      </c>
      <c r="F293">
        <v>718</v>
      </c>
      <c r="G293" t="s">
        <v>49</v>
      </c>
      <c r="H293">
        <v>8</v>
      </c>
      <c r="I293">
        <v>1</v>
      </c>
      <c r="J293" t="s">
        <v>58</v>
      </c>
      <c r="K293">
        <v>1150</v>
      </c>
      <c r="L293">
        <v>2</v>
      </c>
      <c r="M293" t="s">
        <v>51</v>
      </c>
      <c r="N293">
        <v>2</v>
      </c>
      <c r="O293">
        <v>2</v>
      </c>
      <c r="P293" t="s">
        <v>120</v>
      </c>
      <c r="Q293">
        <v>4</v>
      </c>
      <c r="R293" t="s">
        <v>113</v>
      </c>
      <c r="S293">
        <v>60040</v>
      </c>
      <c r="T293" t="s">
        <v>64</v>
      </c>
      <c r="U293">
        <v>375.25</v>
      </c>
      <c r="V293">
        <v>1</v>
      </c>
      <c r="W293" t="s">
        <v>47</v>
      </c>
      <c r="X293">
        <v>15</v>
      </c>
      <c r="Y293">
        <v>3</v>
      </c>
      <c r="Z293">
        <v>3</v>
      </c>
      <c r="AA293">
        <v>1</v>
      </c>
      <c r="AB293">
        <v>10</v>
      </c>
      <c r="AC293">
        <v>2</v>
      </c>
      <c r="AD293">
        <v>2</v>
      </c>
      <c r="AE293">
        <v>10</v>
      </c>
      <c r="AF293">
        <v>7</v>
      </c>
      <c r="AG293">
        <v>1</v>
      </c>
      <c r="AH293">
        <v>2</v>
      </c>
      <c r="AI293">
        <f t="shared" si="28"/>
        <v>0</v>
      </c>
      <c r="AJ293" t="str">
        <f t="shared" si="29"/>
        <v>6-10 yrs</v>
      </c>
      <c r="AK293" t="str">
        <f t="shared" si="30"/>
        <v>Recent</v>
      </c>
      <c r="AL293">
        <f t="shared" si="31"/>
        <v>2</v>
      </c>
      <c r="AM293" t="str">
        <f t="shared" si="32"/>
        <v>Medium Risk</v>
      </c>
      <c r="AN293" s="6">
        <f t="shared" si="33"/>
        <v>0.35544745658770149</v>
      </c>
      <c r="AO293" s="7">
        <f t="shared" si="34"/>
        <v>720480</v>
      </c>
    </row>
    <row r="294" spans="1:41" x14ac:dyDescent="0.3">
      <c r="A294" t="s">
        <v>364</v>
      </c>
      <c r="B294">
        <v>29</v>
      </c>
      <c r="C294" t="s">
        <v>196</v>
      </c>
      <c r="D294" t="s">
        <v>47</v>
      </c>
      <c r="E294" t="s">
        <v>48</v>
      </c>
      <c r="F294">
        <v>408</v>
      </c>
      <c r="G294" t="s">
        <v>57</v>
      </c>
      <c r="H294">
        <v>23</v>
      </c>
      <c r="I294">
        <v>1</v>
      </c>
      <c r="J294" t="s">
        <v>50</v>
      </c>
      <c r="K294">
        <v>1165</v>
      </c>
      <c r="L294">
        <v>4</v>
      </c>
      <c r="M294" t="s">
        <v>59</v>
      </c>
      <c r="N294">
        <v>2</v>
      </c>
      <c r="O294">
        <v>3</v>
      </c>
      <c r="P294" t="s">
        <v>145</v>
      </c>
      <c r="Q294">
        <v>1</v>
      </c>
      <c r="R294" t="s">
        <v>113</v>
      </c>
      <c r="S294">
        <v>13183</v>
      </c>
      <c r="T294" t="s">
        <v>54</v>
      </c>
      <c r="U294">
        <v>82.39</v>
      </c>
      <c r="V294">
        <v>1</v>
      </c>
      <c r="W294" t="s">
        <v>55</v>
      </c>
      <c r="X294">
        <v>13</v>
      </c>
      <c r="Y294">
        <v>3</v>
      </c>
      <c r="Z294">
        <v>1</v>
      </c>
      <c r="AA294">
        <v>1</v>
      </c>
      <c r="AB294">
        <v>11</v>
      </c>
      <c r="AC294">
        <v>3</v>
      </c>
      <c r="AD294">
        <v>1</v>
      </c>
      <c r="AE294">
        <v>11</v>
      </c>
      <c r="AF294">
        <v>8</v>
      </c>
      <c r="AG294">
        <v>3</v>
      </c>
      <c r="AH294">
        <v>10</v>
      </c>
      <c r="AI294">
        <f t="shared" si="28"/>
        <v>1</v>
      </c>
      <c r="AJ294" t="str">
        <f t="shared" si="29"/>
        <v>10+ yrs</v>
      </c>
      <c r="AK294" t="str">
        <f t="shared" si="30"/>
        <v>Overdue</v>
      </c>
      <c r="AL294">
        <f t="shared" si="31"/>
        <v>3</v>
      </c>
      <c r="AM294" t="str">
        <f t="shared" si="32"/>
        <v>High Risk</v>
      </c>
      <c r="AN294" s="6">
        <f t="shared" si="33"/>
        <v>-0.73127709715297429</v>
      </c>
      <c r="AO294" s="7">
        <f t="shared" si="34"/>
        <v>158196</v>
      </c>
    </row>
    <row r="295" spans="1:41" x14ac:dyDescent="0.3">
      <c r="A295" t="s">
        <v>365</v>
      </c>
      <c r="B295">
        <v>29</v>
      </c>
      <c r="C295" t="s">
        <v>196</v>
      </c>
      <c r="D295" t="s">
        <v>55</v>
      </c>
      <c r="E295" t="s">
        <v>48</v>
      </c>
      <c r="F295">
        <v>1401</v>
      </c>
      <c r="G295" t="s">
        <v>49</v>
      </c>
      <c r="H295">
        <v>6</v>
      </c>
      <c r="I295">
        <v>1</v>
      </c>
      <c r="J295" t="s">
        <v>58</v>
      </c>
      <c r="K295">
        <v>1192</v>
      </c>
      <c r="L295">
        <v>2</v>
      </c>
      <c r="M295" t="s">
        <v>59</v>
      </c>
      <c r="N295">
        <v>3</v>
      </c>
      <c r="O295">
        <v>1</v>
      </c>
      <c r="P295" t="s">
        <v>52</v>
      </c>
      <c r="Q295">
        <v>4</v>
      </c>
      <c r="R295" t="s">
        <v>113</v>
      </c>
      <c r="S295">
        <v>30299</v>
      </c>
      <c r="T295" t="s">
        <v>72</v>
      </c>
      <c r="U295">
        <v>189.37</v>
      </c>
      <c r="V295">
        <v>1</v>
      </c>
      <c r="W295" t="s">
        <v>55</v>
      </c>
      <c r="X295">
        <v>13</v>
      </c>
      <c r="Y295">
        <v>3</v>
      </c>
      <c r="Z295">
        <v>1</v>
      </c>
      <c r="AA295">
        <v>1</v>
      </c>
      <c r="AB295">
        <v>10</v>
      </c>
      <c r="AC295">
        <v>5</v>
      </c>
      <c r="AD295">
        <v>3</v>
      </c>
      <c r="AE295">
        <v>10</v>
      </c>
      <c r="AF295">
        <v>8</v>
      </c>
      <c r="AG295">
        <v>0</v>
      </c>
      <c r="AH295">
        <v>8</v>
      </c>
      <c r="AI295">
        <f t="shared" si="28"/>
        <v>0</v>
      </c>
      <c r="AJ295" t="str">
        <f t="shared" si="29"/>
        <v>6-10 yrs</v>
      </c>
      <c r="AK295" t="str">
        <f t="shared" si="30"/>
        <v>Recent</v>
      </c>
      <c r="AL295">
        <f t="shared" si="31"/>
        <v>0</v>
      </c>
      <c r="AM295" t="str">
        <f t="shared" si="32"/>
        <v>Minimal Risk</v>
      </c>
      <c r="AN295" s="6">
        <f t="shared" si="33"/>
        <v>-0.41417924570205145</v>
      </c>
      <c r="AO295" s="7">
        <f t="shared" si="34"/>
        <v>363588</v>
      </c>
    </row>
    <row r="296" spans="1:41" x14ac:dyDescent="0.3">
      <c r="A296" t="s">
        <v>366</v>
      </c>
      <c r="B296">
        <v>29</v>
      </c>
      <c r="C296" t="s">
        <v>196</v>
      </c>
      <c r="D296" t="s">
        <v>55</v>
      </c>
      <c r="E296" t="s">
        <v>48</v>
      </c>
      <c r="F296">
        <v>942</v>
      </c>
      <c r="G296" t="s">
        <v>49</v>
      </c>
      <c r="H296">
        <v>15</v>
      </c>
      <c r="I296">
        <v>1</v>
      </c>
      <c r="J296" t="s">
        <v>50</v>
      </c>
      <c r="K296">
        <v>1202</v>
      </c>
      <c r="L296">
        <v>2</v>
      </c>
      <c r="M296" t="s">
        <v>59</v>
      </c>
      <c r="N296">
        <v>1</v>
      </c>
      <c r="O296">
        <v>1</v>
      </c>
      <c r="P296" t="s">
        <v>67</v>
      </c>
      <c r="Q296">
        <v>4</v>
      </c>
      <c r="R296" t="s">
        <v>113</v>
      </c>
      <c r="S296">
        <v>13874</v>
      </c>
      <c r="T296" t="s">
        <v>54</v>
      </c>
      <c r="U296">
        <v>86.71</v>
      </c>
      <c r="V296">
        <v>0</v>
      </c>
      <c r="W296" t="s">
        <v>47</v>
      </c>
      <c r="X296">
        <v>18</v>
      </c>
      <c r="Y296">
        <v>3</v>
      </c>
      <c r="Z296">
        <v>1</v>
      </c>
      <c r="AA296">
        <v>1</v>
      </c>
      <c r="AB296">
        <v>6</v>
      </c>
      <c r="AC296">
        <v>2</v>
      </c>
      <c r="AD296">
        <v>2</v>
      </c>
      <c r="AE296">
        <v>5</v>
      </c>
      <c r="AF296">
        <v>4</v>
      </c>
      <c r="AG296">
        <v>1</v>
      </c>
      <c r="AH296">
        <v>3</v>
      </c>
      <c r="AI296">
        <f t="shared" si="28"/>
        <v>0</v>
      </c>
      <c r="AJ296" t="str">
        <f t="shared" si="29"/>
        <v>4-5 yrs</v>
      </c>
      <c r="AK296" t="str">
        <f t="shared" si="30"/>
        <v>Recent</v>
      </c>
      <c r="AL296">
        <f t="shared" si="31"/>
        <v>2</v>
      </c>
      <c r="AM296" t="str">
        <f t="shared" si="32"/>
        <v>Medium Risk</v>
      </c>
      <c r="AN296" s="6">
        <f t="shared" si="33"/>
        <v>-0.72177492654732456</v>
      </c>
      <c r="AO296" s="7">
        <f t="shared" si="34"/>
        <v>166488</v>
      </c>
    </row>
    <row r="297" spans="1:41" x14ac:dyDescent="0.3">
      <c r="A297" t="s">
        <v>367</v>
      </c>
      <c r="B297">
        <v>29</v>
      </c>
      <c r="C297" t="s">
        <v>196</v>
      </c>
      <c r="D297" t="s">
        <v>55</v>
      </c>
      <c r="E297" t="s">
        <v>48</v>
      </c>
      <c r="F297">
        <v>1010</v>
      </c>
      <c r="G297" t="s">
        <v>49</v>
      </c>
      <c r="H297">
        <v>1</v>
      </c>
      <c r="I297">
        <v>3</v>
      </c>
      <c r="J297" t="s">
        <v>50</v>
      </c>
      <c r="K297">
        <v>1249</v>
      </c>
      <c r="L297">
        <v>1</v>
      </c>
      <c r="M297" t="s">
        <v>59</v>
      </c>
      <c r="N297">
        <v>3</v>
      </c>
      <c r="O297">
        <v>1</v>
      </c>
      <c r="P297" t="s">
        <v>67</v>
      </c>
      <c r="Q297">
        <v>4</v>
      </c>
      <c r="R297" t="s">
        <v>53</v>
      </c>
      <c r="S297">
        <v>33711</v>
      </c>
      <c r="T297" t="s">
        <v>72</v>
      </c>
      <c r="U297">
        <v>210.69</v>
      </c>
      <c r="V297">
        <v>1</v>
      </c>
      <c r="W297" t="s">
        <v>55</v>
      </c>
      <c r="X297">
        <v>15</v>
      </c>
      <c r="Y297">
        <v>3</v>
      </c>
      <c r="Z297">
        <v>1</v>
      </c>
      <c r="AA297">
        <v>3</v>
      </c>
      <c r="AB297">
        <v>3</v>
      </c>
      <c r="AC297">
        <v>5</v>
      </c>
      <c r="AD297">
        <v>3</v>
      </c>
      <c r="AE297">
        <v>3</v>
      </c>
      <c r="AF297">
        <v>2</v>
      </c>
      <c r="AG297">
        <v>1</v>
      </c>
      <c r="AH297">
        <v>2</v>
      </c>
      <c r="AI297">
        <f t="shared" si="28"/>
        <v>0</v>
      </c>
      <c r="AJ297" t="str">
        <f t="shared" si="29"/>
        <v>2-3 yrs</v>
      </c>
      <c r="AK297" t="str">
        <f t="shared" si="30"/>
        <v>Recent</v>
      </c>
      <c r="AL297">
        <f t="shared" si="31"/>
        <v>0</v>
      </c>
      <c r="AM297" t="str">
        <f t="shared" si="32"/>
        <v>Minimal Risk</v>
      </c>
      <c r="AN297" s="6">
        <f t="shared" si="33"/>
        <v>-0.32396962295205839</v>
      </c>
      <c r="AO297" s="7">
        <f t="shared" si="34"/>
        <v>404532</v>
      </c>
    </row>
    <row r="298" spans="1:41" x14ac:dyDescent="0.3">
      <c r="A298" t="s">
        <v>368</v>
      </c>
      <c r="B298">
        <v>29</v>
      </c>
      <c r="C298" t="s">
        <v>196</v>
      </c>
      <c r="D298" t="s">
        <v>55</v>
      </c>
      <c r="E298" t="s">
        <v>48</v>
      </c>
      <c r="F298">
        <v>1329</v>
      </c>
      <c r="G298" t="s">
        <v>49</v>
      </c>
      <c r="H298">
        <v>7</v>
      </c>
      <c r="I298">
        <v>3</v>
      </c>
      <c r="J298" t="s">
        <v>50</v>
      </c>
      <c r="K298">
        <v>1260</v>
      </c>
      <c r="L298">
        <v>3</v>
      </c>
      <c r="M298" t="s">
        <v>51</v>
      </c>
      <c r="N298">
        <v>3</v>
      </c>
      <c r="O298">
        <v>2</v>
      </c>
      <c r="P298" t="s">
        <v>168</v>
      </c>
      <c r="Q298">
        <v>4</v>
      </c>
      <c r="R298" t="s">
        <v>53</v>
      </c>
      <c r="S298">
        <v>6539</v>
      </c>
      <c r="T298" t="s">
        <v>54</v>
      </c>
      <c r="U298">
        <v>40.869999999999997</v>
      </c>
      <c r="V298">
        <v>1</v>
      </c>
      <c r="W298" t="s">
        <v>47</v>
      </c>
      <c r="X298">
        <v>11</v>
      </c>
      <c r="Y298">
        <v>3</v>
      </c>
      <c r="Z298">
        <v>2</v>
      </c>
      <c r="AA298">
        <v>2</v>
      </c>
      <c r="AB298">
        <v>6</v>
      </c>
      <c r="AC298">
        <v>2</v>
      </c>
      <c r="AD298">
        <v>3</v>
      </c>
      <c r="AE298">
        <v>6</v>
      </c>
      <c r="AF298">
        <v>0</v>
      </c>
      <c r="AG298">
        <v>1</v>
      </c>
      <c r="AH298">
        <v>0</v>
      </c>
      <c r="AI298">
        <f t="shared" si="28"/>
        <v>0</v>
      </c>
      <c r="AJ298" t="str">
        <f t="shared" si="29"/>
        <v>6-10 yrs</v>
      </c>
      <c r="AK298" t="str">
        <f t="shared" si="30"/>
        <v>Recent</v>
      </c>
      <c r="AL298">
        <f t="shared" si="31"/>
        <v>1</v>
      </c>
      <c r="AM298" t="str">
        <f t="shared" si="32"/>
        <v>Low Risk</v>
      </c>
      <c r="AN298" s="6">
        <f t="shared" si="33"/>
        <v>-0.86430553414521349</v>
      </c>
      <c r="AO298" s="7">
        <f t="shared" si="34"/>
        <v>78468</v>
      </c>
    </row>
    <row r="299" spans="1:41" x14ac:dyDescent="0.3">
      <c r="A299" t="s">
        <v>369</v>
      </c>
      <c r="B299">
        <v>29</v>
      </c>
      <c r="C299" t="s">
        <v>196</v>
      </c>
      <c r="D299" t="s">
        <v>55</v>
      </c>
      <c r="E299" t="s">
        <v>48</v>
      </c>
      <c r="F299">
        <v>694</v>
      </c>
      <c r="G299" t="s">
        <v>49</v>
      </c>
      <c r="H299">
        <v>1</v>
      </c>
      <c r="I299">
        <v>3</v>
      </c>
      <c r="J299" t="s">
        <v>50</v>
      </c>
      <c r="K299">
        <v>1264</v>
      </c>
      <c r="L299">
        <v>4</v>
      </c>
      <c r="M299" t="s">
        <v>59</v>
      </c>
      <c r="N299">
        <v>2</v>
      </c>
      <c r="O299">
        <v>4</v>
      </c>
      <c r="P299" t="s">
        <v>257</v>
      </c>
      <c r="Q299">
        <v>4</v>
      </c>
      <c r="R299" t="s">
        <v>53</v>
      </c>
      <c r="S299">
        <v>54351</v>
      </c>
      <c r="T299" t="s">
        <v>64</v>
      </c>
      <c r="U299">
        <v>339.69</v>
      </c>
      <c r="V299">
        <v>3</v>
      </c>
      <c r="W299" t="s">
        <v>55</v>
      </c>
      <c r="X299">
        <v>14</v>
      </c>
      <c r="Y299">
        <v>3</v>
      </c>
      <c r="Z299">
        <v>2</v>
      </c>
      <c r="AA299">
        <v>2</v>
      </c>
      <c r="AB299">
        <v>9</v>
      </c>
      <c r="AC299">
        <v>2</v>
      </c>
      <c r="AD299">
        <v>2</v>
      </c>
      <c r="AE299">
        <v>7</v>
      </c>
      <c r="AF299">
        <v>7</v>
      </c>
      <c r="AG299">
        <v>1</v>
      </c>
      <c r="AH299">
        <v>7</v>
      </c>
      <c r="AI299">
        <f t="shared" si="28"/>
        <v>0</v>
      </c>
      <c r="AJ299" t="str">
        <f t="shared" si="29"/>
        <v>6-10 yrs</v>
      </c>
      <c r="AK299" t="str">
        <f t="shared" si="30"/>
        <v>Recent</v>
      </c>
      <c r="AL299">
        <f t="shared" si="31"/>
        <v>1</v>
      </c>
      <c r="AM299" t="str">
        <f t="shared" si="32"/>
        <v>Low Risk</v>
      </c>
      <c r="AN299" s="6">
        <f t="shared" si="33"/>
        <v>7.2793153593618293E-2</v>
      </c>
      <c r="AO299" s="7">
        <f t="shared" si="34"/>
        <v>652212</v>
      </c>
    </row>
    <row r="300" spans="1:41" x14ac:dyDescent="0.3">
      <c r="A300" t="s">
        <v>370</v>
      </c>
      <c r="B300">
        <v>29</v>
      </c>
      <c r="C300" t="s">
        <v>196</v>
      </c>
      <c r="D300" t="s">
        <v>47</v>
      </c>
      <c r="E300" t="s">
        <v>48</v>
      </c>
      <c r="F300">
        <v>806</v>
      </c>
      <c r="G300" t="s">
        <v>49</v>
      </c>
      <c r="H300">
        <v>7</v>
      </c>
      <c r="I300">
        <v>3</v>
      </c>
      <c r="J300" t="s">
        <v>77</v>
      </c>
      <c r="K300">
        <v>1299</v>
      </c>
      <c r="L300">
        <v>2</v>
      </c>
      <c r="M300" t="s">
        <v>59</v>
      </c>
      <c r="N300">
        <v>3</v>
      </c>
      <c r="O300">
        <v>1</v>
      </c>
      <c r="P300" t="s">
        <v>52</v>
      </c>
      <c r="Q300">
        <v>3</v>
      </c>
      <c r="R300" t="s">
        <v>53</v>
      </c>
      <c r="S300">
        <v>62267</v>
      </c>
      <c r="T300" t="s">
        <v>64</v>
      </c>
      <c r="U300">
        <v>389.17</v>
      </c>
      <c r="V300">
        <v>3</v>
      </c>
      <c r="W300" t="s">
        <v>47</v>
      </c>
      <c r="X300">
        <v>13</v>
      </c>
      <c r="Y300">
        <v>3</v>
      </c>
      <c r="Z300">
        <v>1</v>
      </c>
      <c r="AA300">
        <v>2</v>
      </c>
      <c r="AB300">
        <v>10</v>
      </c>
      <c r="AC300">
        <v>2</v>
      </c>
      <c r="AD300">
        <v>3</v>
      </c>
      <c r="AE300">
        <v>7</v>
      </c>
      <c r="AF300">
        <v>7</v>
      </c>
      <c r="AG300">
        <v>7</v>
      </c>
      <c r="AH300">
        <v>7</v>
      </c>
      <c r="AI300">
        <f t="shared" si="28"/>
        <v>1</v>
      </c>
      <c r="AJ300" t="str">
        <f t="shared" si="29"/>
        <v>6-10 yrs</v>
      </c>
      <c r="AK300" t="str">
        <f t="shared" si="30"/>
        <v>Overdue</v>
      </c>
      <c r="AL300">
        <f t="shared" si="31"/>
        <v>2</v>
      </c>
      <c r="AM300" t="str">
        <f t="shared" si="32"/>
        <v>Medium Risk</v>
      </c>
      <c r="AN300" s="6">
        <f t="shared" si="33"/>
        <v>0.2039110501293892</v>
      </c>
      <c r="AO300" s="7">
        <f t="shared" si="34"/>
        <v>747204</v>
      </c>
    </row>
    <row r="301" spans="1:41" x14ac:dyDescent="0.3">
      <c r="A301" t="s">
        <v>371</v>
      </c>
      <c r="B301">
        <v>29</v>
      </c>
      <c r="C301" t="s">
        <v>196</v>
      </c>
      <c r="D301" t="s">
        <v>55</v>
      </c>
      <c r="E301" t="s">
        <v>48</v>
      </c>
      <c r="F301">
        <v>332</v>
      </c>
      <c r="G301" t="s">
        <v>80</v>
      </c>
      <c r="H301">
        <v>17</v>
      </c>
      <c r="I301">
        <v>3</v>
      </c>
      <c r="J301" t="s">
        <v>82</v>
      </c>
      <c r="K301">
        <v>1419</v>
      </c>
      <c r="L301">
        <v>2</v>
      </c>
      <c r="M301" t="s">
        <v>51</v>
      </c>
      <c r="N301">
        <v>2</v>
      </c>
      <c r="O301">
        <v>3</v>
      </c>
      <c r="P301" t="s">
        <v>80</v>
      </c>
      <c r="Q301">
        <v>1</v>
      </c>
      <c r="R301" t="s">
        <v>53</v>
      </c>
      <c r="S301">
        <v>49354</v>
      </c>
      <c r="T301" t="s">
        <v>72</v>
      </c>
      <c r="U301">
        <v>308.45999999999998</v>
      </c>
      <c r="V301">
        <v>1</v>
      </c>
      <c r="W301" t="s">
        <v>55</v>
      </c>
      <c r="X301">
        <v>13</v>
      </c>
      <c r="Y301">
        <v>3</v>
      </c>
      <c r="Z301">
        <v>1</v>
      </c>
      <c r="AA301">
        <v>0</v>
      </c>
      <c r="AB301">
        <v>10</v>
      </c>
      <c r="AC301">
        <v>3</v>
      </c>
      <c r="AD301">
        <v>2</v>
      </c>
      <c r="AE301">
        <v>10</v>
      </c>
      <c r="AF301">
        <v>9</v>
      </c>
      <c r="AG301">
        <v>0</v>
      </c>
      <c r="AH301">
        <v>9</v>
      </c>
      <c r="AI301">
        <f t="shared" si="28"/>
        <v>0</v>
      </c>
      <c r="AJ301" t="str">
        <f t="shared" si="29"/>
        <v>6-10 yrs</v>
      </c>
      <c r="AK301" t="str">
        <f t="shared" si="30"/>
        <v>Recent</v>
      </c>
      <c r="AL301">
        <f t="shared" si="31"/>
        <v>2</v>
      </c>
      <c r="AM301" t="str">
        <f t="shared" si="32"/>
        <v>Medium Risk</v>
      </c>
      <c r="AN301" s="6">
        <f t="shared" si="33"/>
        <v>-2.7393138261788984E-2</v>
      </c>
      <c r="AO301" s="7">
        <f t="shared" si="34"/>
        <v>592248</v>
      </c>
    </row>
    <row r="302" spans="1:41" x14ac:dyDescent="0.3">
      <c r="A302" t="s">
        <v>372</v>
      </c>
      <c r="B302">
        <v>29</v>
      </c>
      <c r="C302" t="s">
        <v>196</v>
      </c>
      <c r="D302" t="s">
        <v>47</v>
      </c>
      <c r="E302" t="s">
        <v>62</v>
      </c>
      <c r="F302">
        <v>337</v>
      </c>
      <c r="G302" t="s">
        <v>49</v>
      </c>
      <c r="H302">
        <v>14</v>
      </c>
      <c r="I302">
        <v>1</v>
      </c>
      <c r="J302" t="s">
        <v>82</v>
      </c>
      <c r="K302">
        <v>1421</v>
      </c>
      <c r="L302">
        <v>3</v>
      </c>
      <c r="M302" t="s">
        <v>59</v>
      </c>
      <c r="N302">
        <v>3</v>
      </c>
      <c r="O302">
        <v>3</v>
      </c>
      <c r="P302" t="s">
        <v>168</v>
      </c>
      <c r="Q302">
        <v>4</v>
      </c>
      <c r="R302" t="s">
        <v>53</v>
      </c>
      <c r="S302">
        <v>3557</v>
      </c>
      <c r="T302" t="s">
        <v>54</v>
      </c>
      <c r="U302">
        <v>22.23</v>
      </c>
      <c r="V302">
        <v>0</v>
      </c>
      <c r="W302" t="s">
        <v>47</v>
      </c>
      <c r="X302">
        <v>12</v>
      </c>
      <c r="Y302">
        <v>3</v>
      </c>
      <c r="Z302">
        <v>1</v>
      </c>
      <c r="AA302">
        <v>0</v>
      </c>
      <c r="AB302">
        <v>9</v>
      </c>
      <c r="AC302">
        <v>1</v>
      </c>
      <c r="AD302">
        <v>3</v>
      </c>
      <c r="AE302">
        <v>8</v>
      </c>
      <c r="AF302">
        <v>7</v>
      </c>
      <c r="AG302">
        <v>7</v>
      </c>
      <c r="AH302">
        <v>7</v>
      </c>
      <c r="AI302">
        <f t="shared" si="28"/>
        <v>1</v>
      </c>
      <c r="AJ302" t="str">
        <f t="shared" si="29"/>
        <v>6-10 yrs</v>
      </c>
      <c r="AK302" t="str">
        <f t="shared" si="30"/>
        <v>Overdue</v>
      </c>
      <c r="AL302">
        <f t="shared" si="31"/>
        <v>2</v>
      </c>
      <c r="AM302" t="str">
        <f t="shared" si="32"/>
        <v>Medium Risk</v>
      </c>
      <c r="AN302" s="6">
        <f t="shared" si="33"/>
        <v>-0.92618669291245215</v>
      </c>
      <c r="AO302" s="7">
        <f t="shared" si="34"/>
        <v>42684</v>
      </c>
    </row>
    <row r="303" spans="1:41" x14ac:dyDescent="0.3">
      <c r="A303" t="s">
        <v>373</v>
      </c>
      <c r="B303">
        <v>29</v>
      </c>
      <c r="C303" t="s">
        <v>196</v>
      </c>
      <c r="D303" t="s">
        <v>47</v>
      </c>
      <c r="E303" t="s">
        <v>62</v>
      </c>
      <c r="F303">
        <v>115</v>
      </c>
      <c r="G303" t="s">
        <v>57</v>
      </c>
      <c r="H303">
        <v>13</v>
      </c>
      <c r="I303">
        <v>3</v>
      </c>
      <c r="J303" t="s">
        <v>77</v>
      </c>
      <c r="K303">
        <v>1487</v>
      </c>
      <c r="L303">
        <v>1</v>
      </c>
      <c r="M303" t="s">
        <v>59</v>
      </c>
      <c r="N303">
        <v>3</v>
      </c>
      <c r="O303">
        <v>2</v>
      </c>
      <c r="P303" t="s">
        <v>145</v>
      </c>
      <c r="Q303">
        <v>2</v>
      </c>
      <c r="R303" t="s">
        <v>53</v>
      </c>
      <c r="S303">
        <v>39360</v>
      </c>
      <c r="T303" t="s">
        <v>72</v>
      </c>
      <c r="U303">
        <v>246</v>
      </c>
      <c r="V303">
        <v>5</v>
      </c>
      <c r="W303" t="s">
        <v>55</v>
      </c>
      <c r="X303">
        <v>11</v>
      </c>
      <c r="Y303">
        <v>3</v>
      </c>
      <c r="Z303">
        <v>1</v>
      </c>
      <c r="AA303">
        <v>0</v>
      </c>
      <c r="AB303">
        <v>7</v>
      </c>
      <c r="AC303">
        <v>4</v>
      </c>
      <c r="AD303">
        <v>1</v>
      </c>
      <c r="AE303">
        <v>5</v>
      </c>
      <c r="AF303">
        <v>3</v>
      </c>
      <c r="AG303">
        <v>0</v>
      </c>
      <c r="AH303">
        <v>0</v>
      </c>
      <c r="AI303">
        <f t="shared" si="28"/>
        <v>1</v>
      </c>
      <c r="AJ303" t="str">
        <f t="shared" si="29"/>
        <v>4-5 yrs</v>
      </c>
      <c r="AK303" t="str">
        <f t="shared" si="30"/>
        <v>Recent</v>
      </c>
      <c r="AL303">
        <f t="shared" si="31"/>
        <v>2</v>
      </c>
      <c r="AM303" t="str">
        <f t="shared" si="32"/>
        <v>Medium Risk</v>
      </c>
      <c r="AN303" s="6">
        <f t="shared" si="33"/>
        <v>-0.19768387650315319</v>
      </c>
      <c r="AO303" s="7">
        <f t="shared" si="34"/>
        <v>472320</v>
      </c>
    </row>
    <row r="304" spans="1:41" x14ac:dyDescent="0.3">
      <c r="A304" t="s">
        <v>374</v>
      </c>
      <c r="B304">
        <v>29</v>
      </c>
      <c r="C304" t="s">
        <v>196</v>
      </c>
      <c r="D304" t="s">
        <v>55</v>
      </c>
      <c r="E304" t="s">
        <v>48</v>
      </c>
      <c r="F304">
        <v>1246</v>
      </c>
      <c r="G304" t="s">
        <v>57</v>
      </c>
      <c r="H304">
        <v>19</v>
      </c>
      <c r="I304">
        <v>3</v>
      </c>
      <c r="J304" t="s">
        <v>50</v>
      </c>
      <c r="K304">
        <v>1497</v>
      </c>
      <c r="L304">
        <v>3</v>
      </c>
      <c r="M304" t="s">
        <v>51</v>
      </c>
      <c r="N304">
        <v>2</v>
      </c>
      <c r="O304">
        <v>2</v>
      </c>
      <c r="P304" t="s">
        <v>145</v>
      </c>
      <c r="Q304">
        <v>3</v>
      </c>
      <c r="R304" t="s">
        <v>53</v>
      </c>
      <c r="S304">
        <v>83018</v>
      </c>
      <c r="T304" t="s">
        <v>64</v>
      </c>
      <c r="U304">
        <v>518.86</v>
      </c>
      <c r="V304">
        <v>1</v>
      </c>
      <c r="W304" t="s">
        <v>55</v>
      </c>
      <c r="X304">
        <v>14</v>
      </c>
      <c r="Y304">
        <v>3</v>
      </c>
      <c r="Z304">
        <v>3</v>
      </c>
      <c r="AA304">
        <v>2</v>
      </c>
      <c r="AB304">
        <v>10</v>
      </c>
      <c r="AC304">
        <v>3</v>
      </c>
      <c r="AD304">
        <v>3</v>
      </c>
      <c r="AE304">
        <v>10</v>
      </c>
      <c r="AF304">
        <v>7</v>
      </c>
      <c r="AG304">
        <v>0</v>
      </c>
      <c r="AH304">
        <v>4</v>
      </c>
      <c r="AI304">
        <f t="shared" si="28"/>
        <v>0</v>
      </c>
      <c r="AJ304" t="str">
        <f t="shared" si="29"/>
        <v>6-10 yrs</v>
      </c>
      <c r="AK304" t="str">
        <f t="shared" si="30"/>
        <v>Recent</v>
      </c>
      <c r="AL304">
        <f t="shared" si="31"/>
        <v>0</v>
      </c>
      <c r="AM304" t="str">
        <f t="shared" si="32"/>
        <v>Minimal Risk</v>
      </c>
      <c r="AN304" s="6">
        <f t="shared" si="33"/>
        <v>0.69224288466618977</v>
      </c>
      <c r="AO304" s="7">
        <f t="shared" si="34"/>
        <v>996216</v>
      </c>
    </row>
    <row r="305" spans="1:41" x14ac:dyDescent="0.3">
      <c r="A305" t="s">
        <v>375</v>
      </c>
      <c r="B305">
        <v>29</v>
      </c>
      <c r="C305" t="s">
        <v>196</v>
      </c>
      <c r="D305" t="s">
        <v>55</v>
      </c>
      <c r="E305" t="s">
        <v>62</v>
      </c>
      <c r="F305">
        <v>410</v>
      </c>
      <c r="G305" t="s">
        <v>49</v>
      </c>
      <c r="H305">
        <v>2</v>
      </c>
      <c r="I305">
        <v>1</v>
      </c>
      <c r="J305" t="s">
        <v>50</v>
      </c>
      <c r="K305">
        <v>1513</v>
      </c>
      <c r="L305">
        <v>4</v>
      </c>
      <c r="M305" t="s">
        <v>59</v>
      </c>
      <c r="N305">
        <v>3</v>
      </c>
      <c r="O305">
        <v>1</v>
      </c>
      <c r="P305" t="s">
        <v>52</v>
      </c>
      <c r="Q305">
        <v>2</v>
      </c>
      <c r="R305" t="s">
        <v>113</v>
      </c>
      <c r="S305">
        <v>3200</v>
      </c>
      <c r="T305" t="s">
        <v>54</v>
      </c>
      <c r="U305">
        <v>20</v>
      </c>
      <c r="V305">
        <v>0</v>
      </c>
      <c r="W305" t="s">
        <v>55</v>
      </c>
      <c r="X305">
        <v>13</v>
      </c>
      <c r="Y305">
        <v>3</v>
      </c>
      <c r="Z305">
        <v>3</v>
      </c>
      <c r="AA305">
        <v>3</v>
      </c>
      <c r="AB305">
        <v>4</v>
      </c>
      <c r="AC305">
        <v>3</v>
      </c>
      <c r="AD305">
        <v>3</v>
      </c>
      <c r="AE305">
        <v>3</v>
      </c>
      <c r="AF305">
        <v>2</v>
      </c>
      <c r="AG305">
        <v>0</v>
      </c>
      <c r="AH305">
        <v>2</v>
      </c>
      <c r="AI305">
        <f t="shared" si="28"/>
        <v>0</v>
      </c>
      <c r="AJ305" t="str">
        <f t="shared" si="29"/>
        <v>2-3 yrs</v>
      </c>
      <c r="AK305" t="str">
        <f t="shared" si="30"/>
        <v>Recent</v>
      </c>
      <c r="AL305">
        <f t="shared" si="31"/>
        <v>1</v>
      </c>
      <c r="AM305" t="str">
        <f t="shared" si="32"/>
        <v>Low Risk</v>
      </c>
      <c r="AN305" s="6">
        <f t="shared" si="33"/>
        <v>-0.93812909951637236</v>
      </c>
      <c r="AO305" s="7">
        <f t="shared" si="34"/>
        <v>38400</v>
      </c>
    </row>
    <row r="306" spans="1:41" x14ac:dyDescent="0.3">
      <c r="A306" t="s">
        <v>376</v>
      </c>
      <c r="B306">
        <v>29</v>
      </c>
      <c r="C306" t="s">
        <v>196</v>
      </c>
      <c r="D306" t="s">
        <v>47</v>
      </c>
      <c r="E306" t="s">
        <v>48</v>
      </c>
      <c r="F306">
        <v>224</v>
      </c>
      <c r="G306" t="s">
        <v>49</v>
      </c>
      <c r="H306">
        <v>1</v>
      </c>
      <c r="I306">
        <v>4</v>
      </c>
      <c r="J306" t="s">
        <v>77</v>
      </c>
      <c r="K306">
        <v>1522</v>
      </c>
      <c r="L306">
        <v>1</v>
      </c>
      <c r="M306" t="s">
        <v>51</v>
      </c>
      <c r="N306">
        <v>2</v>
      </c>
      <c r="O306">
        <v>1</v>
      </c>
      <c r="P306" t="s">
        <v>67</v>
      </c>
      <c r="Q306">
        <v>1</v>
      </c>
      <c r="R306" t="s">
        <v>53</v>
      </c>
      <c r="S306">
        <v>69497</v>
      </c>
      <c r="T306" t="s">
        <v>64</v>
      </c>
      <c r="U306">
        <v>434.36</v>
      </c>
      <c r="V306">
        <v>6</v>
      </c>
      <c r="W306" t="s">
        <v>55</v>
      </c>
      <c r="X306">
        <v>13</v>
      </c>
      <c r="Y306">
        <v>3</v>
      </c>
      <c r="Z306">
        <v>3</v>
      </c>
      <c r="AA306">
        <v>0</v>
      </c>
      <c r="AB306">
        <v>11</v>
      </c>
      <c r="AC306">
        <v>2</v>
      </c>
      <c r="AD306">
        <v>1</v>
      </c>
      <c r="AE306">
        <v>9</v>
      </c>
      <c r="AF306">
        <v>7</v>
      </c>
      <c r="AG306">
        <v>0</v>
      </c>
      <c r="AH306">
        <v>7</v>
      </c>
      <c r="AI306">
        <f t="shared" si="28"/>
        <v>1</v>
      </c>
      <c r="AJ306" t="str">
        <f t="shared" si="29"/>
        <v>6-10 yrs</v>
      </c>
      <c r="AK306" t="str">
        <f t="shared" si="30"/>
        <v>Recent</v>
      </c>
      <c r="AL306">
        <f t="shared" si="31"/>
        <v>2</v>
      </c>
      <c r="AM306" t="str">
        <f t="shared" si="32"/>
        <v>Medium Risk</v>
      </c>
      <c r="AN306" s="6">
        <f t="shared" si="33"/>
        <v>0.39367218752635036</v>
      </c>
      <c r="AO306" s="7">
        <f t="shared" si="34"/>
        <v>833964</v>
      </c>
    </row>
    <row r="307" spans="1:41" x14ac:dyDescent="0.3">
      <c r="A307" t="s">
        <v>377</v>
      </c>
      <c r="B307">
        <v>29</v>
      </c>
      <c r="C307" t="s">
        <v>196</v>
      </c>
      <c r="D307" t="s">
        <v>55</v>
      </c>
      <c r="E307" t="s">
        <v>48</v>
      </c>
      <c r="F307">
        <v>441</v>
      </c>
      <c r="G307" t="s">
        <v>49</v>
      </c>
      <c r="H307">
        <v>8</v>
      </c>
      <c r="I307">
        <v>1</v>
      </c>
      <c r="J307" t="s">
        <v>82</v>
      </c>
      <c r="K307">
        <v>1544</v>
      </c>
      <c r="L307">
        <v>3</v>
      </c>
      <c r="M307" t="s">
        <v>59</v>
      </c>
      <c r="N307">
        <v>1</v>
      </c>
      <c r="O307">
        <v>2</v>
      </c>
      <c r="P307" t="s">
        <v>168</v>
      </c>
      <c r="Q307">
        <v>1</v>
      </c>
      <c r="R307" t="s">
        <v>113</v>
      </c>
      <c r="S307">
        <v>47975</v>
      </c>
      <c r="T307" t="s">
        <v>72</v>
      </c>
      <c r="U307">
        <v>299.83999999999997</v>
      </c>
      <c r="V307">
        <v>3</v>
      </c>
      <c r="W307" t="s">
        <v>55</v>
      </c>
      <c r="X307">
        <v>13</v>
      </c>
      <c r="Y307">
        <v>3</v>
      </c>
      <c r="Z307">
        <v>3</v>
      </c>
      <c r="AA307">
        <v>1</v>
      </c>
      <c r="AB307">
        <v>9</v>
      </c>
      <c r="AC307">
        <v>3</v>
      </c>
      <c r="AD307">
        <v>3</v>
      </c>
      <c r="AE307">
        <v>7</v>
      </c>
      <c r="AF307">
        <v>7</v>
      </c>
      <c r="AG307">
        <v>0</v>
      </c>
      <c r="AH307">
        <v>7</v>
      </c>
      <c r="AI307">
        <f t="shared" si="28"/>
        <v>0</v>
      </c>
      <c r="AJ307" t="str">
        <f t="shared" si="29"/>
        <v>6-10 yrs</v>
      </c>
      <c r="AK307" t="str">
        <f t="shared" si="30"/>
        <v>Recent</v>
      </c>
      <c r="AL307">
        <f t="shared" si="31"/>
        <v>1</v>
      </c>
      <c r="AM307" t="str">
        <f t="shared" si="32"/>
        <v>Low Risk</v>
      </c>
      <c r="AN307" s="6">
        <f t="shared" si="33"/>
        <v>-4.4437988402840755E-3</v>
      </c>
      <c r="AO307" s="7">
        <f t="shared" si="34"/>
        <v>575700</v>
      </c>
    </row>
    <row r="308" spans="1:41" x14ac:dyDescent="0.3">
      <c r="A308" t="s">
        <v>378</v>
      </c>
      <c r="B308">
        <v>29</v>
      </c>
      <c r="C308" t="s">
        <v>196</v>
      </c>
      <c r="D308" t="s">
        <v>55</v>
      </c>
      <c r="E308" t="s">
        <v>48</v>
      </c>
      <c r="F308">
        <v>598</v>
      </c>
      <c r="G308" t="s">
        <v>49</v>
      </c>
      <c r="H308">
        <v>9</v>
      </c>
      <c r="I308">
        <v>3</v>
      </c>
      <c r="J308" t="s">
        <v>50</v>
      </c>
      <c r="K308">
        <v>1558</v>
      </c>
      <c r="L308">
        <v>3</v>
      </c>
      <c r="M308" t="s">
        <v>51</v>
      </c>
      <c r="N308">
        <v>4</v>
      </c>
      <c r="O308">
        <v>1</v>
      </c>
      <c r="P308" t="s">
        <v>67</v>
      </c>
      <c r="Q308">
        <v>3</v>
      </c>
      <c r="R308" t="s">
        <v>113</v>
      </c>
      <c r="S308">
        <v>22357</v>
      </c>
      <c r="T308" t="s">
        <v>54</v>
      </c>
      <c r="U308">
        <v>139.72999999999999</v>
      </c>
      <c r="V308">
        <v>6</v>
      </c>
      <c r="W308" t="s">
        <v>55</v>
      </c>
      <c r="X308">
        <v>18</v>
      </c>
      <c r="Y308">
        <v>3</v>
      </c>
      <c r="Z308">
        <v>1</v>
      </c>
      <c r="AA308">
        <v>2</v>
      </c>
      <c r="AB308">
        <v>5</v>
      </c>
      <c r="AC308">
        <v>2</v>
      </c>
      <c r="AD308">
        <v>2</v>
      </c>
      <c r="AE308">
        <v>1</v>
      </c>
      <c r="AF308">
        <v>0</v>
      </c>
      <c r="AG308">
        <v>0</v>
      </c>
      <c r="AH308">
        <v>0</v>
      </c>
      <c r="AI308">
        <f t="shared" si="28"/>
        <v>0</v>
      </c>
      <c r="AJ308" t="str">
        <f t="shared" si="29"/>
        <v>0-1 yr</v>
      </c>
      <c r="AK308" t="str">
        <f t="shared" si="30"/>
        <v>Recent</v>
      </c>
      <c r="AL308">
        <f t="shared" si="31"/>
        <v>1</v>
      </c>
      <c r="AM308" t="str">
        <f t="shared" si="32"/>
        <v>Low Risk</v>
      </c>
      <c r="AN308" s="6">
        <f t="shared" si="33"/>
        <v>-0.55165936520243153</v>
      </c>
      <c r="AO308" s="7">
        <f t="shared" si="34"/>
        <v>268284</v>
      </c>
    </row>
    <row r="309" spans="1:41" x14ac:dyDescent="0.3">
      <c r="A309" t="s">
        <v>379</v>
      </c>
      <c r="B309">
        <v>29</v>
      </c>
      <c r="C309" t="s">
        <v>196</v>
      </c>
      <c r="D309" t="s">
        <v>55</v>
      </c>
      <c r="E309" t="s">
        <v>48</v>
      </c>
      <c r="F309">
        <v>1370</v>
      </c>
      <c r="G309" t="s">
        <v>49</v>
      </c>
      <c r="H309">
        <v>3</v>
      </c>
      <c r="I309">
        <v>1</v>
      </c>
      <c r="J309" t="s">
        <v>58</v>
      </c>
      <c r="K309">
        <v>1586</v>
      </c>
      <c r="L309">
        <v>2</v>
      </c>
      <c r="M309" t="s">
        <v>51</v>
      </c>
      <c r="N309">
        <v>3</v>
      </c>
      <c r="O309">
        <v>1</v>
      </c>
      <c r="P309" t="s">
        <v>52</v>
      </c>
      <c r="Q309">
        <v>1</v>
      </c>
      <c r="R309" t="s">
        <v>53</v>
      </c>
      <c r="S309">
        <v>78505</v>
      </c>
      <c r="T309" t="s">
        <v>64</v>
      </c>
      <c r="U309">
        <v>490.66</v>
      </c>
      <c r="V309">
        <v>1</v>
      </c>
      <c r="W309" t="s">
        <v>47</v>
      </c>
      <c r="X309">
        <v>18</v>
      </c>
      <c r="Y309">
        <v>3</v>
      </c>
      <c r="Z309">
        <v>4</v>
      </c>
      <c r="AA309">
        <v>0</v>
      </c>
      <c r="AB309">
        <v>10</v>
      </c>
      <c r="AC309">
        <v>3</v>
      </c>
      <c r="AD309">
        <v>3</v>
      </c>
      <c r="AE309">
        <v>10</v>
      </c>
      <c r="AF309">
        <v>9</v>
      </c>
      <c r="AG309">
        <v>1</v>
      </c>
      <c r="AH309">
        <v>5</v>
      </c>
      <c r="AI309">
        <f t="shared" si="28"/>
        <v>0</v>
      </c>
      <c r="AJ309" t="str">
        <f t="shared" si="29"/>
        <v>6-10 yrs</v>
      </c>
      <c r="AK309" t="str">
        <f t="shared" si="30"/>
        <v>Recent</v>
      </c>
      <c r="AL309">
        <f t="shared" si="31"/>
        <v>2</v>
      </c>
      <c r="AM309" t="str">
        <f t="shared" si="32"/>
        <v>Medium Risk</v>
      </c>
      <c r="AN309" s="6">
        <f t="shared" si="33"/>
        <v>0.51786720077099746</v>
      </c>
      <c r="AO309" s="7">
        <f t="shared" si="34"/>
        <v>942060</v>
      </c>
    </row>
    <row r="310" spans="1:41" x14ac:dyDescent="0.3">
      <c r="A310" t="s">
        <v>380</v>
      </c>
      <c r="B310">
        <v>29</v>
      </c>
      <c r="C310" t="s">
        <v>196</v>
      </c>
      <c r="D310" t="s">
        <v>55</v>
      </c>
      <c r="E310" t="s">
        <v>62</v>
      </c>
      <c r="F310">
        <v>995</v>
      </c>
      <c r="G310" t="s">
        <v>49</v>
      </c>
      <c r="H310">
        <v>2</v>
      </c>
      <c r="I310">
        <v>1</v>
      </c>
      <c r="J310" t="s">
        <v>50</v>
      </c>
      <c r="K310">
        <v>1590</v>
      </c>
      <c r="L310">
        <v>1</v>
      </c>
      <c r="M310" t="s">
        <v>51</v>
      </c>
      <c r="N310">
        <v>3</v>
      </c>
      <c r="O310">
        <v>2</v>
      </c>
      <c r="P310" t="s">
        <v>168</v>
      </c>
      <c r="Q310">
        <v>4</v>
      </c>
      <c r="R310" t="s">
        <v>53</v>
      </c>
      <c r="S310">
        <v>3869</v>
      </c>
      <c r="T310" t="s">
        <v>54</v>
      </c>
      <c r="U310">
        <v>24.18</v>
      </c>
      <c r="V310">
        <v>1</v>
      </c>
      <c r="W310" t="s">
        <v>55</v>
      </c>
      <c r="X310">
        <v>19</v>
      </c>
      <c r="Y310">
        <v>3</v>
      </c>
      <c r="Z310">
        <v>4</v>
      </c>
      <c r="AA310">
        <v>1</v>
      </c>
      <c r="AB310">
        <v>6</v>
      </c>
      <c r="AC310">
        <v>0</v>
      </c>
      <c r="AD310">
        <v>4</v>
      </c>
      <c r="AE310">
        <v>6</v>
      </c>
      <c r="AF310">
        <v>4</v>
      </c>
      <c r="AG310">
        <v>1</v>
      </c>
      <c r="AH310">
        <v>3</v>
      </c>
      <c r="AI310">
        <f t="shared" si="28"/>
        <v>0</v>
      </c>
      <c r="AJ310" t="str">
        <f t="shared" si="29"/>
        <v>6-10 yrs</v>
      </c>
      <c r="AK310" t="str">
        <f t="shared" si="30"/>
        <v>Recent</v>
      </c>
      <c r="AL310">
        <f t="shared" si="31"/>
        <v>0</v>
      </c>
      <c r="AM310" t="str">
        <f t="shared" si="32"/>
        <v>Minimal Risk</v>
      </c>
      <c r="AN310" s="6">
        <f t="shared" si="33"/>
        <v>-0.91971220547604082</v>
      </c>
      <c r="AO310" s="7">
        <f t="shared" si="34"/>
        <v>46428</v>
      </c>
    </row>
    <row r="311" spans="1:41" x14ac:dyDescent="0.3">
      <c r="A311" t="s">
        <v>381</v>
      </c>
      <c r="B311">
        <v>29</v>
      </c>
      <c r="C311" t="s">
        <v>196</v>
      </c>
      <c r="D311" t="s">
        <v>55</v>
      </c>
      <c r="E311" t="s">
        <v>48</v>
      </c>
      <c r="F311">
        <v>469</v>
      </c>
      <c r="G311" t="s">
        <v>57</v>
      </c>
      <c r="H311">
        <v>10</v>
      </c>
      <c r="I311">
        <v>3</v>
      </c>
      <c r="J311" t="s">
        <v>58</v>
      </c>
      <c r="K311">
        <v>1650</v>
      </c>
      <c r="L311">
        <v>3</v>
      </c>
      <c r="M311" t="s">
        <v>51</v>
      </c>
      <c r="N311">
        <v>2</v>
      </c>
      <c r="O311">
        <v>2</v>
      </c>
      <c r="P311" t="s">
        <v>145</v>
      </c>
      <c r="Q311">
        <v>3</v>
      </c>
      <c r="R311" t="s">
        <v>53</v>
      </c>
      <c r="S311">
        <v>62135</v>
      </c>
      <c r="T311" t="s">
        <v>64</v>
      </c>
      <c r="U311">
        <v>388.34</v>
      </c>
      <c r="V311">
        <v>9</v>
      </c>
      <c r="W311" t="s">
        <v>55</v>
      </c>
      <c r="X311">
        <v>11</v>
      </c>
      <c r="Y311">
        <v>3</v>
      </c>
      <c r="Z311">
        <v>3</v>
      </c>
      <c r="AA311">
        <v>0</v>
      </c>
      <c r="AB311">
        <v>8</v>
      </c>
      <c r="AC311">
        <v>2</v>
      </c>
      <c r="AD311">
        <v>3</v>
      </c>
      <c r="AE311">
        <v>5</v>
      </c>
      <c r="AF311">
        <v>2</v>
      </c>
      <c r="AG311">
        <v>1</v>
      </c>
      <c r="AH311">
        <v>4</v>
      </c>
      <c r="AI311">
        <f t="shared" si="28"/>
        <v>0</v>
      </c>
      <c r="AJ311" t="str">
        <f t="shared" si="29"/>
        <v>4-5 yrs</v>
      </c>
      <c r="AK311" t="str">
        <f t="shared" si="30"/>
        <v>Recent</v>
      </c>
      <c r="AL311">
        <f t="shared" si="31"/>
        <v>0</v>
      </c>
      <c r="AM311" t="str">
        <f t="shared" si="32"/>
        <v>Minimal Risk</v>
      </c>
      <c r="AN311" s="6">
        <f t="shared" si="33"/>
        <v>0.26656281335052279</v>
      </c>
      <c r="AO311" s="7">
        <f t="shared" si="34"/>
        <v>745620</v>
      </c>
    </row>
    <row r="312" spans="1:41" x14ac:dyDescent="0.3">
      <c r="A312" t="s">
        <v>382</v>
      </c>
      <c r="B312">
        <v>29</v>
      </c>
      <c r="C312" t="s">
        <v>196</v>
      </c>
      <c r="D312" t="s">
        <v>55</v>
      </c>
      <c r="E312" t="s">
        <v>48</v>
      </c>
      <c r="F312">
        <v>991</v>
      </c>
      <c r="G312" t="s">
        <v>57</v>
      </c>
      <c r="H312">
        <v>5</v>
      </c>
      <c r="I312">
        <v>3</v>
      </c>
      <c r="J312" t="s">
        <v>58</v>
      </c>
      <c r="K312">
        <v>1669</v>
      </c>
      <c r="L312">
        <v>1</v>
      </c>
      <c r="M312" t="s">
        <v>51</v>
      </c>
      <c r="N312">
        <v>2</v>
      </c>
      <c r="O312">
        <v>2</v>
      </c>
      <c r="P312" t="s">
        <v>145</v>
      </c>
      <c r="Q312">
        <v>2</v>
      </c>
      <c r="R312" t="s">
        <v>53</v>
      </c>
      <c r="S312">
        <v>51108</v>
      </c>
      <c r="T312" t="s">
        <v>64</v>
      </c>
      <c r="U312">
        <v>319.42</v>
      </c>
      <c r="V312">
        <v>1</v>
      </c>
      <c r="W312" t="s">
        <v>47</v>
      </c>
      <c r="X312">
        <v>13</v>
      </c>
      <c r="Y312">
        <v>3</v>
      </c>
      <c r="Z312">
        <v>2</v>
      </c>
      <c r="AA312">
        <v>1</v>
      </c>
      <c r="AB312">
        <v>10</v>
      </c>
      <c r="AC312">
        <v>3</v>
      </c>
      <c r="AD312">
        <v>2</v>
      </c>
      <c r="AE312">
        <v>10</v>
      </c>
      <c r="AF312">
        <v>0</v>
      </c>
      <c r="AG312">
        <v>0</v>
      </c>
      <c r="AH312">
        <v>9</v>
      </c>
      <c r="AI312">
        <f t="shared" si="28"/>
        <v>0</v>
      </c>
      <c r="AJ312" t="str">
        <f t="shared" si="29"/>
        <v>6-10 yrs</v>
      </c>
      <c r="AK312" t="str">
        <f t="shared" si="30"/>
        <v>Recent</v>
      </c>
      <c r="AL312">
        <f t="shared" si="31"/>
        <v>3</v>
      </c>
      <c r="AM312" t="str">
        <f t="shared" si="32"/>
        <v>High Risk</v>
      </c>
      <c r="AN312" s="6">
        <f t="shared" si="33"/>
        <v>4.1787917674716631E-2</v>
      </c>
      <c r="AO312" s="7">
        <f t="shared" si="34"/>
        <v>613296</v>
      </c>
    </row>
    <row r="313" spans="1:41" x14ac:dyDescent="0.3">
      <c r="A313" t="s">
        <v>383</v>
      </c>
      <c r="B313">
        <v>29</v>
      </c>
      <c r="C313" t="s">
        <v>196</v>
      </c>
      <c r="D313" t="s">
        <v>55</v>
      </c>
      <c r="E313" t="s">
        <v>48</v>
      </c>
      <c r="F313">
        <v>1082</v>
      </c>
      <c r="G313" t="s">
        <v>49</v>
      </c>
      <c r="H313">
        <v>9</v>
      </c>
      <c r="I313">
        <v>4</v>
      </c>
      <c r="J313" t="s">
        <v>58</v>
      </c>
      <c r="K313">
        <v>1709</v>
      </c>
      <c r="L313">
        <v>4</v>
      </c>
      <c r="M313" t="s">
        <v>59</v>
      </c>
      <c r="N313">
        <v>3</v>
      </c>
      <c r="O313">
        <v>1</v>
      </c>
      <c r="P313" t="s">
        <v>52</v>
      </c>
      <c r="Q313">
        <v>3</v>
      </c>
      <c r="R313" t="s">
        <v>113</v>
      </c>
      <c r="S313">
        <v>95179</v>
      </c>
      <c r="T313" t="s">
        <v>70</v>
      </c>
      <c r="U313">
        <v>594.87</v>
      </c>
      <c r="V313">
        <v>9</v>
      </c>
      <c r="W313" t="s">
        <v>55</v>
      </c>
      <c r="X313">
        <v>17</v>
      </c>
      <c r="Y313">
        <v>3</v>
      </c>
      <c r="Z313">
        <v>3</v>
      </c>
      <c r="AA313">
        <v>1</v>
      </c>
      <c r="AB313">
        <v>9</v>
      </c>
      <c r="AC313">
        <v>2</v>
      </c>
      <c r="AD313">
        <v>3</v>
      </c>
      <c r="AE313">
        <v>5</v>
      </c>
      <c r="AF313">
        <v>3</v>
      </c>
      <c r="AG313">
        <v>1</v>
      </c>
      <c r="AH313">
        <v>2</v>
      </c>
      <c r="AI313">
        <f t="shared" si="28"/>
        <v>0</v>
      </c>
      <c r="AJ313" t="str">
        <f t="shared" si="29"/>
        <v>4-5 yrs</v>
      </c>
      <c r="AK313" t="str">
        <f t="shared" si="30"/>
        <v>Recent</v>
      </c>
      <c r="AL313">
        <f t="shared" si="31"/>
        <v>0</v>
      </c>
      <c r="AM313" t="str">
        <f t="shared" si="32"/>
        <v>Minimal Risk</v>
      </c>
      <c r="AN313" s="6">
        <f t="shared" si="33"/>
        <v>0.8402532616035</v>
      </c>
      <c r="AO313" s="7">
        <f t="shared" si="34"/>
        <v>1142148</v>
      </c>
    </row>
    <row r="314" spans="1:41" x14ac:dyDescent="0.3">
      <c r="A314" t="s">
        <v>384</v>
      </c>
      <c r="B314">
        <v>29</v>
      </c>
      <c r="C314" t="s">
        <v>196</v>
      </c>
      <c r="D314" t="s">
        <v>47</v>
      </c>
      <c r="E314" t="s">
        <v>48</v>
      </c>
      <c r="F314">
        <v>428</v>
      </c>
      <c r="G314" t="s">
        <v>57</v>
      </c>
      <c r="H314">
        <v>9</v>
      </c>
      <c r="I314">
        <v>3</v>
      </c>
      <c r="J314" t="s">
        <v>63</v>
      </c>
      <c r="K314">
        <v>1752</v>
      </c>
      <c r="L314">
        <v>2</v>
      </c>
      <c r="M314" t="s">
        <v>59</v>
      </c>
      <c r="N314">
        <v>1</v>
      </c>
      <c r="O314">
        <v>1</v>
      </c>
      <c r="P314" t="s">
        <v>60</v>
      </c>
      <c r="Q314">
        <v>2</v>
      </c>
      <c r="R314" t="s">
        <v>53</v>
      </c>
      <c r="S314">
        <v>91272</v>
      </c>
      <c r="T314" t="s">
        <v>70</v>
      </c>
      <c r="U314">
        <v>570.45000000000005</v>
      </c>
      <c r="V314">
        <v>1</v>
      </c>
      <c r="W314" t="s">
        <v>55</v>
      </c>
      <c r="X314">
        <v>13</v>
      </c>
      <c r="Y314">
        <v>3</v>
      </c>
      <c r="Z314">
        <v>3</v>
      </c>
      <c r="AA314">
        <v>0</v>
      </c>
      <c r="AB314">
        <v>2</v>
      </c>
      <c r="AC314">
        <v>3</v>
      </c>
      <c r="AD314">
        <v>3</v>
      </c>
      <c r="AE314">
        <v>2</v>
      </c>
      <c r="AF314">
        <v>2</v>
      </c>
      <c r="AG314">
        <v>2</v>
      </c>
      <c r="AH314">
        <v>2</v>
      </c>
      <c r="AI314">
        <f t="shared" si="28"/>
        <v>1</v>
      </c>
      <c r="AJ314" t="str">
        <f t="shared" si="29"/>
        <v>2-3 yrs</v>
      </c>
      <c r="AK314" t="str">
        <f t="shared" si="30"/>
        <v>Recent</v>
      </c>
      <c r="AL314">
        <f t="shared" si="31"/>
        <v>1</v>
      </c>
      <c r="AM314" t="str">
        <f t="shared" si="32"/>
        <v>Low Risk</v>
      </c>
      <c r="AN314" s="6">
        <f t="shared" si="33"/>
        <v>0.85035324419185843</v>
      </c>
      <c r="AO314" s="7">
        <f t="shared" si="34"/>
        <v>1095264</v>
      </c>
    </row>
    <row r="315" spans="1:41" x14ac:dyDescent="0.3">
      <c r="A315" t="s">
        <v>385</v>
      </c>
      <c r="B315">
        <v>29</v>
      </c>
      <c r="C315" t="s">
        <v>196</v>
      </c>
      <c r="D315" t="s">
        <v>55</v>
      </c>
      <c r="E315" t="s">
        <v>62</v>
      </c>
      <c r="F315">
        <v>461</v>
      </c>
      <c r="G315" t="s">
        <v>49</v>
      </c>
      <c r="H315">
        <v>1</v>
      </c>
      <c r="I315">
        <v>3</v>
      </c>
      <c r="J315" t="s">
        <v>50</v>
      </c>
      <c r="K315">
        <v>1753</v>
      </c>
      <c r="L315">
        <v>4</v>
      </c>
      <c r="M315" t="s">
        <v>51</v>
      </c>
      <c r="N315">
        <v>4</v>
      </c>
      <c r="O315">
        <v>2</v>
      </c>
      <c r="P315" t="s">
        <v>168</v>
      </c>
      <c r="Q315">
        <v>3</v>
      </c>
      <c r="R315" t="s">
        <v>53</v>
      </c>
      <c r="S315">
        <v>39467</v>
      </c>
      <c r="T315" t="s">
        <v>72</v>
      </c>
      <c r="U315">
        <v>246.67</v>
      </c>
      <c r="V315">
        <v>8</v>
      </c>
      <c r="W315" t="s">
        <v>47</v>
      </c>
      <c r="X315">
        <v>12</v>
      </c>
      <c r="Y315">
        <v>3</v>
      </c>
      <c r="Z315">
        <v>4</v>
      </c>
      <c r="AA315">
        <v>0</v>
      </c>
      <c r="AB315">
        <v>10</v>
      </c>
      <c r="AC315">
        <v>5</v>
      </c>
      <c r="AD315">
        <v>4</v>
      </c>
      <c r="AE315">
        <v>3</v>
      </c>
      <c r="AF315">
        <v>2</v>
      </c>
      <c r="AG315">
        <v>0</v>
      </c>
      <c r="AH315">
        <v>2</v>
      </c>
      <c r="AI315">
        <f t="shared" si="28"/>
        <v>0</v>
      </c>
      <c r="AJ315" t="str">
        <f t="shared" si="29"/>
        <v>2-3 yrs</v>
      </c>
      <c r="AK315" t="str">
        <f t="shared" si="30"/>
        <v>Recent</v>
      </c>
      <c r="AL315">
        <f t="shared" si="31"/>
        <v>1</v>
      </c>
      <c r="AM315" t="str">
        <f t="shared" si="32"/>
        <v>Low Risk</v>
      </c>
      <c r="AN315" s="6">
        <f t="shared" si="33"/>
        <v>-0.18099809085626872</v>
      </c>
      <c r="AO315" s="7">
        <f t="shared" si="34"/>
        <v>473604</v>
      </c>
    </row>
    <row r="316" spans="1:41" x14ac:dyDescent="0.3">
      <c r="A316" t="s">
        <v>386</v>
      </c>
      <c r="B316">
        <v>29</v>
      </c>
      <c r="C316" t="s">
        <v>196</v>
      </c>
      <c r="D316" t="s">
        <v>55</v>
      </c>
      <c r="E316" t="s">
        <v>48</v>
      </c>
      <c r="F316">
        <v>590</v>
      </c>
      <c r="G316" t="s">
        <v>49</v>
      </c>
      <c r="H316">
        <v>4</v>
      </c>
      <c r="I316">
        <v>3</v>
      </c>
      <c r="J316" t="s">
        <v>77</v>
      </c>
      <c r="K316">
        <v>1762</v>
      </c>
      <c r="L316">
        <v>4</v>
      </c>
      <c r="M316" t="s">
        <v>59</v>
      </c>
      <c r="N316">
        <v>2</v>
      </c>
      <c r="O316">
        <v>1</v>
      </c>
      <c r="P316" t="s">
        <v>67</v>
      </c>
      <c r="Q316">
        <v>1</v>
      </c>
      <c r="R316" t="s">
        <v>53</v>
      </c>
      <c r="S316">
        <v>24328</v>
      </c>
      <c r="T316" t="s">
        <v>54</v>
      </c>
      <c r="U316">
        <v>152.05000000000001</v>
      </c>
      <c r="V316">
        <v>1</v>
      </c>
      <c r="W316" t="s">
        <v>55</v>
      </c>
      <c r="X316">
        <v>13</v>
      </c>
      <c r="Y316">
        <v>3</v>
      </c>
      <c r="Z316">
        <v>3</v>
      </c>
      <c r="AA316">
        <v>1</v>
      </c>
      <c r="AB316">
        <v>1</v>
      </c>
      <c r="AC316">
        <v>2</v>
      </c>
      <c r="AD316">
        <v>3</v>
      </c>
      <c r="AE316">
        <v>1</v>
      </c>
      <c r="AF316">
        <v>0</v>
      </c>
      <c r="AG316">
        <v>0</v>
      </c>
      <c r="AH316">
        <v>0</v>
      </c>
      <c r="AI316">
        <f t="shared" si="28"/>
        <v>0</v>
      </c>
      <c r="AJ316" t="str">
        <f t="shared" si="29"/>
        <v>0-1 yr</v>
      </c>
      <c r="AK316" t="str">
        <f t="shared" si="30"/>
        <v>Recent</v>
      </c>
      <c r="AL316">
        <f t="shared" si="31"/>
        <v>1</v>
      </c>
      <c r="AM316" t="str">
        <f t="shared" si="32"/>
        <v>Low Risk</v>
      </c>
      <c r="AN316" s="6">
        <f t="shared" si="33"/>
        <v>-0.51213351686920228</v>
      </c>
      <c r="AO316" s="7">
        <f t="shared" si="34"/>
        <v>291936</v>
      </c>
    </row>
    <row r="317" spans="1:41" x14ac:dyDescent="0.3">
      <c r="A317" t="s">
        <v>387</v>
      </c>
      <c r="B317">
        <v>29</v>
      </c>
      <c r="C317" t="s">
        <v>196</v>
      </c>
      <c r="D317" t="s">
        <v>47</v>
      </c>
      <c r="E317" t="s">
        <v>48</v>
      </c>
      <c r="F317">
        <v>350</v>
      </c>
      <c r="G317" t="s">
        <v>80</v>
      </c>
      <c r="H317">
        <v>13</v>
      </c>
      <c r="I317">
        <v>3</v>
      </c>
      <c r="J317" t="s">
        <v>80</v>
      </c>
      <c r="K317">
        <v>1844</v>
      </c>
      <c r="L317">
        <v>1</v>
      </c>
      <c r="M317" t="s">
        <v>51</v>
      </c>
      <c r="N317">
        <v>2</v>
      </c>
      <c r="O317">
        <v>1</v>
      </c>
      <c r="P317" t="s">
        <v>80</v>
      </c>
      <c r="Q317">
        <v>1</v>
      </c>
      <c r="R317" t="s">
        <v>53</v>
      </c>
      <c r="S317">
        <v>92412</v>
      </c>
      <c r="T317" t="s">
        <v>70</v>
      </c>
      <c r="U317">
        <v>577.58000000000004</v>
      </c>
      <c r="V317">
        <v>4</v>
      </c>
      <c r="W317" t="s">
        <v>47</v>
      </c>
      <c r="X317">
        <v>15</v>
      </c>
      <c r="Y317">
        <v>3</v>
      </c>
      <c r="Z317">
        <v>4</v>
      </c>
      <c r="AA317">
        <v>3</v>
      </c>
      <c r="AB317">
        <v>4</v>
      </c>
      <c r="AC317">
        <v>3</v>
      </c>
      <c r="AD317">
        <v>3</v>
      </c>
      <c r="AE317">
        <v>2</v>
      </c>
      <c r="AF317">
        <v>2</v>
      </c>
      <c r="AG317">
        <v>2</v>
      </c>
      <c r="AH317">
        <v>0</v>
      </c>
      <c r="AI317">
        <f t="shared" si="28"/>
        <v>1</v>
      </c>
      <c r="AJ317" t="str">
        <f t="shared" si="29"/>
        <v>2-3 yrs</v>
      </c>
      <c r="AK317" t="str">
        <f t="shared" si="30"/>
        <v>Recent</v>
      </c>
      <c r="AL317">
        <f t="shared" si="31"/>
        <v>2</v>
      </c>
      <c r="AM317" t="str">
        <f t="shared" si="32"/>
        <v>Medium Risk</v>
      </c>
      <c r="AN317" s="6">
        <f t="shared" si="33"/>
        <v>0.82114003539635205</v>
      </c>
      <c r="AO317" s="7">
        <f t="shared" si="34"/>
        <v>1108944</v>
      </c>
    </row>
    <row r="318" spans="1:41" x14ac:dyDescent="0.3">
      <c r="A318" t="s">
        <v>388</v>
      </c>
      <c r="B318">
        <v>29</v>
      </c>
      <c r="C318" t="s">
        <v>196</v>
      </c>
      <c r="D318" t="s">
        <v>55</v>
      </c>
      <c r="E318" t="s">
        <v>62</v>
      </c>
      <c r="F318">
        <v>574</v>
      </c>
      <c r="G318" t="s">
        <v>49</v>
      </c>
      <c r="H318">
        <v>20</v>
      </c>
      <c r="I318">
        <v>1</v>
      </c>
      <c r="J318" t="s">
        <v>58</v>
      </c>
      <c r="K318">
        <v>1852</v>
      </c>
      <c r="L318">
        <v>4</v>
      </c>
      <c r="M318" t="s">
        <v>51</v>
      </c>
      <c r="N318">
        <v>3</v>
      </c>
      <c r="O318">
        <v>1</v>
      </c>
      <c r="P318" t="s">
        <v>52</v>
      </c>
      <c r="Q318">
        <v>4</v>
      </c>
      <c r="R318" t="s">
        <v>113</v>
      </c>
      <c r="S318">
        <v>87831</v>
      </c>
      <c r="T318" t="s">
        <v>70</v>
      </c>
      <c r="U318">
        <v>548.94000000000005</v>
      </c>
      <c r="V318">
        <v>1</v>
      </c>
      <c r="W318" t="s">
        <v>55</v>
      </c>
      <c r="X318">
        <v>13</v>
      </c>
      <c r="Y318">
        <v>3</v>
      </c>
      <c r="Z318">
        <v>2</v>
      </c>
      <c r="AA318">
        <v>0</v>
      </c>
      <c r="AB318">
        <v>11</v>
      </c>
      <c r="AC318">
        <v>3</v>
      </c>
      <c r="AD318">
        <v>4</v>
      </c>
      <c r="AE318">
        <v>11</v>
      </c>
      <c r="AF318">
        <v>8</v>
      </c>
      <c r="AG318">
        <v>3</v>
      </c>
      <c r="AH318">
        <v>10</v>
      </c>
      <c r="AI318">
        <f t="shared" si="28"/>
        <v>0</v>
      </c>
      <c r="AJ318" t="str">
        <f t="shared" si="29"/>
        <v>10+ yrs</v>
      </c>
      <c r="AK318" t="str">
        <f t="shared" si="30"/>
        <v>Overdue</v>
      </c>
      <c r="AL318">
        <f t="shared" si="31"/>
        <v>1</v>
      </c>
      <c r="AM318" t="str">
        <f t="shared" si="32"/>
        <v>Low Risk</v>
      </c>
      <c r="AN318" s="6">
        <f t="shared" si="33"/>
        <v>0.6981822063679699</v>
      </c>
      <c r="AO318" s="7">
        <f t="shared" si="34"/>
        <v>1053972</v>
      </c>
    </row>
    <row r="319" spans="1:41" x14ac:dyDescent="0.3">
      <c r="A319" t="s">
        <v>389</v>
      </c>
      <c r="B319">
        <v>29</v>
      </c>
      <c r="C319" t="s">
        <v>196</v>
      </c>
      <c r="D319" t="s">
        <v>55</v>
      </c>
      <c r="E319" t="s">
        <v>48</v>
      </c>
      <c r="F319">
        <v>726</v>
      </c>
      <c r="G319" t="s">
        <v>49</v>
      </c>
      <c r="H319">
        <v>29</v>
      </c>
      <c r="I319">
        <v>1</v>
      </c>
      <c r="J319" t="s">
        <v>50</v>
      </c>
      <c r="K319">
        <v>1859</v>
      </c>
      <c r="L319">
        <v>4</v>
      </c>
      <c r="M319" t="s">
        <v>51</v>
      </c>
      <c r="N319">
        <v>1</v>
      </c>
      <c r="O319">
        <v>2</v>
      </c>
      <c r="P319" t="s">
        <v>168</v>
      </c>
      <c r="Q319">
        <v>3</v>
      </c>
      <c r="R319" t="s">
        <v>53</v>
      </c>
      <c r="S319">
        <v>4987</v>
      </c>
      <c r="T319" t="s">
        <v>54</v>
      </c>
      <c r="U319">
        <v>31.17</v>
      </c>
      <c r="V319">
        <v>8</v>
      </c>
      <c r="W319" t="s">
        <v>55</v>
      </c>
      <c r="X319">
        <v>17</v>
      </c>
      <c r="Y319">
        <v>3</v>
      </c>
      <c r="Z319">
        <v>4</v>
      </c>
      <c r="AA319">
        <v>2</v>
      </c>
      <c r="AB319">
        <v>11</v>
      </c>
      <c r="AC319">
        <v>3</v>
      </c>
      <c r="AD319">
        <v>3</v>
      </c>
      <c r="AE319">
        <v>7</v>
      </c>
      <c r="AF319">
        <v>0</v>
      </c>
      <c r="AG319">
        <v>1</v>
      </c>
      <c r="AH319">
        <v>6</v>
      </c>
      <c r="AI319">
        <f t="shared" si="28"/>
        <v>0</v>
      </c>
      <c r="AJ319" t="str">
        <f t="shared" si="29"/>
        <v>6-10 yrs</v>
      </c>
      <c r="AK319" t="str">
        <f t="shared" si="30"/>
        <v>Recent</v>
      </c>
      <c r="AL319">
        <f t="shared" si="31"/>
        <v>0</v>
      </c>
      <c r="AM319" t="str">
        <f t="shared" si="32"/>
        <v>Minimal Risk</v>
      </c>
      <c r="AN319" s="6">
        <f t="shared" si="33"/>
        <v>-0.89651195882890045</v>
      </c>
      <c r="AO319" s="7">
        <f t="shared" si="34"/>
        <v>59844</v>
      </c>
    </row>
    <row r="320" spans="1:41" x14ac:dyDescent="0.3">
      <c r="A320" t="s">
        <v>390</v>
      </c>
      <c r="B320">
        <v>29</v>
      </c>
      <c r="C320" t="s">
        <v>196</v>
      </c>
      <c r="D320" t="s">
        <v>55</v>
      </c>
      <c r="E320" t="s">
        <v>48</v>
      </c>
      <c r="F320">
        <v>352</v>
      </c>
      <c r="G320" t="s">
        <v>80</v>
      </c>
      <c r="H320">
        <v>6</v>
      </c>
      <c r="I320">
        <v>1</v>
      </c>
      <c r="J320" t="s">
        <v>58</v>
      </c>
      <c r="K320">
        <v>1865</v>
      </c>
      <c r="L320">
        <v>4</v>
      </c>
      <c r="M320" t="s">
        <v>51</v>
      </c>
      <c r="N320">
        <v>2</v>
      </c>
      <c r="O320">
        <v>1</v>
      </c>
      <c r="P320" t="s">
        <v>80</v>
      </c>
      <c r="Q320">
        <v>2</v>
      </c>
      <c r="R320" t="s">
        <v>113</v>
      </c>
      <c r="S320">
        <v>59871</v>
      </c>
      <c r="T320" t="s">
        <v>64</v>
      </c>
      <c r="U320">
        <v>374.19</v>
      </c>
      <c r="V320">
        <v>1</v>
      </c>
      <c r="W320" t="s">
        <v>55</v>
      </c>
      <c r="X320">
        <v>11</v>
      </c>
      <c r="Y320">
        <v>3</v>
      </c>
      <c r="Z320">
        <v>4</v>
      </c>
      <c r="AA320">
        <v>0</v>
      </c>
      <c r="AB320">
        <v>1</v>
      </c>
      <c r="AC320">
        <v>3</v>
      </c>
      <c r="AD320">
        <v>3</v>
      </c>
      <c r="AE320">
        <v>1</v>
      </c>
      <c r="AF320">
        <v>0</v>
      </c>
      <c r="AG320">
        <v>0</v>
      </c>
      <c r="AH320">
        <v>0</v>
      </c>
      <c r="AI320">
        <f t="shared" si="28"/>
        <v>0</v>
      </c>
      <c r="AJ320" t="str">
        <f t="shared" si="29"/>
        <v>0-1 yr</v>
      </c>
      <c r="AK320" t="str">
        <f t="shared" si="30"/>
        <v>Recent</v>
      </c>
      <c r="AL320">
        <f t="shared" si="31"/>
        <v>1</v>
      </c>
      <c r="AM320" t="str">
        <f t="shared" si="32"/>
        <v>Low Risk</v>
      </c>
      <c r="AN320" s="6">
        <f t="shared" si="33"/>
        <v>0.17986273491770538</v>
      </c>
      <c r="AO320" s="7">
        <f t="shared" si="34"/>
        <v>718452</v>
      </c>
    </row>
    <row r="321" spans="1:41" x14ac:dyDescent="0.3">
      <c r="A321" t="s">
        <v>391</v>
      </c>
      <c r="B321">
        <v>29</v>
      </c>
      <c r="C321" t="s">
        <v>196</v>
      </c>
      <c r="D321" t="s">
        <v>47</v>
      </c>
      <c r="E321" t="s">
        <v>62</v>
      </c>
      <c r="F321">
        <v>459</v>
      </c>
      <c r="G321" t="s">
        <v>49</v>
      </c>
      <c r="H321">
        <v>24</v>
      </c>
      <c r="I321">
        <v>2</v>
      </c>
      <c r="J321" t="s">
        <v>50</v>
      </c>
      <c r="K321">
        <v>1868</v>
      </c>
      <c r="L321">
        <v>4</v>
      </c>
      <c r="M321" t="s">
        <v>51</v>
      </c>
      <c r="N321">
        <v>2</v>
      </c>
      <c r="O321">
        <v>1</v>
      </c>
      <c r="P321" t="s">
        <v>67</v>
      </c>
      <c r="Q321">
        <v>4</v>
      </c>
      <c r="R321" t="s">
        <v>53</v>
      </c>
      <c r="S321">
        <v>23399</v>
      </c>
      <c r="T321" t="s">
        <v>54</v>
      </c>
      <c r="U321">
        <v>146.24</v>
      </c>
      <c r="V321">
        <v>1</v>
      </c>
      <c r="W321" t="s">
        <v>47</v>
      </c>
      <c r="X321">
        <v>24</v>
      </c>
      <c r="Y321">
        <v>4</v>
      </c>
      <c r="Z321">
        <v>2</v>
      </c>
      <c r="AA321">
        <v>0</v>
      </c>
      <c r="AB321">
        <v>1</v>
      </c>
      <c r="AC321">
        <v>3</v>
      </c>
      <c r="AD321">
        <v>2</v>
      </c>
      <c r="AE321">
        <v>1</v>
      </c>
      <c r="AF321">
        <v>0</v>
      </c>
      <c r="AG321">
        <v>1</v>
      </c>
      <c r="AH321">
        <v>0</v>
      </c>
      <c r="AI321">
        <f t="shared" si="28"/>
        <v>1</v>
      </c>
      <c r="AJ321" t="str">
        <f t="shared" si="29"/>
        <v>0-1 yr</v>
      </c>
      <c r="AK321" t="str">
        <f t="shared" si="30"/>
        <v>Recent</v>
      </c>
      <c r="AL321">
        <f t="shared" si="31"/>
        <v>2</v>
      </c>
      <c r="AM321" t="str">
        <f t="shared" si="32"/>
        <v>Medium Risk</v>
      </c>
      <c r="AN321" s="6">
        <f t="shared" si="33"/>
        <v>-0.53076340682433665</v>
      </c>
      <c r="AO321" s="7">
        <f t="shared" si="34"/>
        <v>280788</v>
      </c>
    </row>
    <row r="322" spans="1:41" x14ac:dyDescent="0.3">
      <c r="A322" t="s">
        <v>392</v>
      </c>
      <c r="B322">
        <v>29</v>
      </c>
      <c r="C322" t="s">
        <v>196</v>
      </c>
      <c r="D322" t="s">
        <v>55</v>
      </c>
      <c r="E322" t="s">
        <v>48</v>
      </c>
      <c r="F322">
        <v>592</v>
      </c>
      <c r="G322" t="s">
        <v>49</v>
      </c>
      <c r="H322">
        <v>7</v>
      </c>
      <c r="I322">
        <v>3</v>
      </c>
      <c r="J322" t="s">
        <v>50</v>
      </c>
      <c r="K322">
        <v>1883</v>
      </c>
      <c r="L322">
        <v>4</v>
      </c>
      <c r="M322" t="s">
        <v>51</v>
      </c>
      <c r="N322">
        <v>3</v>
      </c>
      <c r="O322">
        <v>1</v>
      </c>
      <c r="P322" t="s">
        <v>52</v>
      </c>
      <c r="Q322">
        <v>1</v>
      </c>
      <c r="R322" t="s">
        <v>53</v>
      </c>
      <c r="S322">
        <v>47214</v>
      </c>
      <c r="T322" t="s">
        <v>72</v>
      </c>
      <c r="U322">
        <v>295.08999999999997</v>
      </c>
      <c r="V322">
        <v>3</v>
      </c>
      <c r="W322" t="s">
        <v>55</v>
      </c>
      <c r="X322">
        <v>14</v>
      </c>
      <c r="Y322">
        <v>3</v>
      </c>
      <c r="Z322">
        <v>2</v>
      </c>
      <c r="AA322">
        <v>0</v>
      </c>
      <c r="AB322">
        <v>11</v>
      </c>
      <c r="AC322">
        <v>2</v>
      </c>
      <c r="AD322">
        <v>3</v>
      </c>
      <c r="AE322">
        <v>3</v>
      </c>
      <c r="AF322">
        <v>2</v>
      </c>
      <c r="AG322">
        <v>1</v>
      </c>
      <c r="AH322">
        <v>2</v>
      </c>
      <c r="AI322">
        <f t="shared" ref="AI322:AI385" si="35">IF(D322="Yes",1,0)</f>
        <v>0</v>
      </c>
      <c r="AJ322" t="str">
        <f t="shared" ref="AJ322:AJ385" si="36">IF(AE322&lt;=1,"0-1 yr",IF(AE322&lt;=3,"2-3 yrs",IF(AE322&lt;=5,"4-5 yrs",IF(AE322&lt;=10,"6-10 yrs","10+ yrs"))))</f>
        <v>2-3 yrs</v>
      </c>
      <c r="AK322" t="str">
        <f t="shared" ref="AK322:AK385" si="37">IF(AG322&gt;=3,"Overdue","Recent")</f>
        <v>Recent</v>
      </c>
      <c r="AL322">
        <f t="shared" ref="AL322:AL385" si="38">IF(W322="Yes",1,0)+IF(AD322&lt;=2,1,0)+IF(Q322&lt;=2,1,0)+IF(AG322&gt;=3,1,0)</f>
        <v>1</v>
      </c>
      <c r="AM322" t="str">
        <f t="shared" ref="AM322:AM385" si="39">IF(AL322&gt;=3,"High Risk",IF(AL322=2,"Medium Risk",IF(AL322=1,"Low Risk","Minimal Risk")))</f>
        <v>Low Risk</v>
      </c>
      <c r="AN322" s="6">
        <f t="shared" ref="AN322:AN385" si="40">IFERROR((S322-AVERAGEIF(P$2:P$1479,P322,S$2:S$1479))/AVERAGEIF(P$2:P$1479,P322,S$2:S$1479),0)</f>
        <v>-8.7133532676875694E-2</v>
      </c>
      <c r="AO322" s="7">
        <f t="shared" ref="AO322:AO385" si="41">S322*12</f>
        <v>566568</v>
      </c>
    </row>
    <row r="323" spans="1:41" x14ac:dyDescent="0.3">
      <c r="A323" t="s">
        <v>393</v>
      </c>
      <c r="B323">
        <v>29</v>
      </c>
      <c r="C323" t="s">
        <v>196</v>
      </c>
      <c r="D323" t="s">
        <v>47</v>
      </c>
      <c r="E323" t="s">
        <v>62</v>
      </c>
      <c r="F323">
        <v>746</v>
      </c>
      <c r="G323" t="s">
        <v>57</v>
      </c>
      <c r="H323">
        <v>24</v>
      </c>
      <c r="I323">
        <v>3</v>
      </c>
      <c r="J323" t="s">
        <v>77</v>
      </c>
      <c r="K323">
        <v>1928</v>
      </c>
      <c r="L323">
        <v>3</v>
      </c>
      <c r="M323" t="s">
        <v>51</v>
      </c>
      <c r="N323">
        <v>4</v>
      </c>
      <c r="O323">
        <v>1</v>
      </c>
      <c r="P323" t="s">
        <v>60</v>
      </c>
      <c r="Q323">
        <v>1</v>
      </c>
      <c r="R323" t="s">
        <v>53</v>
      </c>
      <c r="S323">
        <v>87416</v>
      </c>
      <c r="T323" t="s">
        <v>70</v>
      </c>
      <c r="U323">
        <v>546.35</v>
      </c>
      <c r="V323">
        <v>1</v>
      </c>
      <c r="W323" t="s">
        <v>55</v>
      </c>
      <c r="X323">
        <v>17</v>
      </c>
      <c r="Y323">
        <v>3</v>
      </c>
      <c r="Z323">
        <v>4</v>
      </c>
      <c r="AA323">
        <v>0</v>
      </c>
      <c r="AB323">
        <v>1</v>
      </c>
      <c r="AC323">
        <v>3</v>
      </c>
      <c r="AD323">
        <v>3</v>
      </c>
      <c r="AE323">
        <v>1</v>
      </c>
      <c r="AF323">
        <v>0</v>
      </c>
      <c r="AG323">
        <v>0</v>
      </c>
      <c r="AH323">
        <v>0</v>
      </c>
      <c r="AI323">
        <f t="shared" si="35"/>
        <v>1</v>
      </c>
      <c r="AJ323" t="str">
        <f t="shared" si="36"/>
        <v>0-1 yr</v>
      </c>
      <c r="AK323" t="str">
        <f t="shared" si="37"/>
        <v>Recent</v>
      </c>
      <c r="AL323">
        <f t="shared" si="38"/>
        <v>1</v>
      </c>
      <c r="AM323" t="str">
        <f t="shared" si="39"/>
        <v>Low Risk</v>
      </c>
      <c r="AN323" s="6">
        <f t="shared" si="40"/>
        <v>0.77218072568011542</v>
      </c>
      <c r="AO323" s="7">
        <f t="shared" si="41"/>
        <v>1048992</v>
      </c>
    </row>
    <row r="324" spans="1:41" x14ac:dyDescent="0.3">
      <c r="A324" t="s">
        <v>394</v>
      </c>
      <c r="B324">
        <v>29</v>
      </c>
      <c r="C324" t="s">
        <v>196</v>
      </c>
      <c r="D324" t="s">
        <v>55</v>
      </c>
      <c r="E324" t="s">
        <v>48</v>
      </c>
      <c r="F324">
        <v>136</v>
      </c>
      <c r="G324" t="s">
        <v>49</v>
      </c>
      <c r="H324">
        <v>1</v>
      </c>
      <c r="I324">
        <v>3</v>
      </c>
      <c r="J324" t="s">
        <v>50</v>
      </c>
      <c r="K324">
        <v>1954</v>
      </c>
      <c r="L324">
        <v>1</v>
      </c>
      <c r="M324" t="s">
        <v>51</v>
      </c>
      <c r="N324">
        <v>3</v>
      </c>
      <c r="O324">
        <v>2</v>
      </c>
      <c r="P324" t="s">
        <v>168</v>
      </c>
      <c r="Q324">
        <v>1</v>
      </c>
      <c r="R324" t="s">
        <v>113</v>
      </c>
      <c r="S324">
        <v>71271</v>
      </c>
      <c r="T324" t="s">
        <v>64</v>
      </c>
      <c r="U324">
        <v>445.44</v>
      </c>
      <c r="V324">
        <v>0</v>
      </c>
      <c r="W324" t="s">
        <v>55</v>
      </c>
      <c r="X324">
        <v>12</v>
      </c>
      <c r="Y324">
        <v>3</v>
      </c>
      <c r="Z324">
        <v>1</v>
      </c>
      <c r="AA324">
        <v>1</v>
      </c>
      <c r="AB324">
        <v>6</v>
      </c>
      <c r="AC324">
        <v>5</v>
      </c>
      <c r="AD324">
        <v>2</v>
      </c>
      <c r="AE324">
        <v>5</v>
      </c>
      <c r="AF324">
        <v>3</v>
      </c>
      <c r="AG324">
        <v>0</v>
      </c>
      <c r="AH324">
        <v>2</v>
      </c>
      <c r="AI324">
        <f t="shared" si="35"/>
        <v>0</v>
      </c>
      <c r="AJ324" t="str">
        <f t="shared" si="36"/>
        <v>4-5 yrs</v>
      </c>
      <c r="AK324" t="str">
        <f t="shared" si="37"/>
        <v>Recent</v>
      </c>
      <c r="AL324">
        <f t="shared" si="38"/>
        <v>2</v>
      </c>
      <c r="AM324" t="str">
        <f t="shared" si="39"/>
        <v>Medium Risk</v>
      </c>
      <c r="AN324" s="6">
        <f t="shared" si="40"/>
        <v>0.4789845964117585</v>
      </c>
      <c r="AO324" s="7">
        <f t="shared" si="41"/>
        <v>855252</v>
      </c>
    </row>
    <row r="325" spans="1:41" x14ac:dyDescent="0.3">
      <c r="A325" t="s">
        <v>395</v>
      </c>
      <c r="B325">
        <v>29</v>
      </c>
      <c r="C325" t="s">
        <v>196</v>
      </c>
      <c r="D325" t="s">
        <v>47</v>
      </c>
      <c r="E325" t="s">
        <v>48</v>
      </c>
      <c r="F325">
        <v>1092</v>
      </c>
      <c r="G325" t="s">
        <v>49</v>
      </c>
      <c r="H325">
        <v>1</v>
      </c>
      <c r="I325">
        <v>4</v>
      </c>
      <c r="J325" t="s">
        <v>58</v>
      </c>
      <c r="K325">
        <v>2027</v>
      </c>
      <c r="L325">
        <v>1</v>
      </c>
      <c r="M325" t="s">
        <v>51</v>
      </c>
      <c r="N325">
        <v>3</v>
      </c>
      <c r="O325">
        <v>1</v>
      </c>
      <c r="P325" t="s">
        <v>67</v>
      </c>
      <c r="Q325">
        <v>4</v>
      </c>
      <c r="R325" t="s">
        <v>113</v>
      </c>
      <c r="S325">
        <v>45064</v>
      </c>
      <c r="T325" t="s">
        <v>72</v>
      </c>
      <c r="U325">
        <v>281.64999999999998</v>
      </c>
      <c r="V325">
        <v>9</v>
      </c>
      <c r="W325" t="s">
        <v>47</v>
      </c>
      <c r="X325">
        <v>14</v>
      </c>
      <c r="Y325">
        <v>3</v>
      </c>
      <c r="Z325">
        <v>2</v>
      </c>
      <c r="AA325">
        <v>3</v>
      </c>
      <c r="AB325">
        <v>4</v>
      </c>
      <c r="AC325">
        <v>3</v>
      </c>
      <c r="AD325">
        <v>4</v>
      </c>
      <c r="AE325">
        <v>2</v>
      </c>
      <c r="AF325">
        <v>2</v>
      </c>
      <c r="AG325">
        <v>2</v>
      </c>
      <c r="AH325">
        <v>2</v>
      </c>
      <c r="AI325">
        <f t="shared" si="35"/>
        <v>1</v>
      </c>
      <c r="AJ325" t="str">
        <f t="shared" si="36"/>
        <v>2-3 yrs</v>
      </c>
      <c r="AK325" t="str">
        <f t="shared" si="37"/>
        <v>Recent</v>
      </c>
      <c r="AL325">
        <f t="shared" si="38"/>
        <v>1</v>
      </c>
      <c r="AM325" t="str">
        <f t="shared" si="39"/>
        <v>Low Risk</v>
      </c>
      <c r="AN325" s="6">
        <f t="shared" si="40"/>
        <v>-9.6299934404543305E-2</v>
      </c>
      <c r="AO325" s="7">
        <f t="shared" si="41"/>
        <v>540768</v>
      </c>
    </row>
    <row r="326" spans="1:41" x14ac:dyDescent="0.3">
      <c r="A326" t="s">
        <v>396</v>
      </c>
      <c r="B326">
        <v>29</v>
      </c>
      <c r="C326" t="s">
        <v>196</v>
      </c>
      <c r="D326" t="s">
        <v>55</v>
      </c>
      <c r="E326" t="s">
        <v>48</v>
      </c>
      <c r="F326">
        <v>1378</v>
      </c>
      <c r="G326" t="s">
        <v>49</v>
      </c>
      <c r="H326">
        <v>13</v>
      </c>
      <c r="I326">
        <v>2</v>
      </c>
      <c r="J326" t="s">
        <v>82</v>
      </c>
      <c r="K326">
        <v>2053</v>
      </c>
      <c r="L326">
        <v>4</v>
      </c>
      <c r="M326" t="s">
        <v>51</v>
      </c>
      <c r="N326">
        <v>2</v>
      </c>
      <c r="O326">
        <v>2</v>
      </c>
      <c r="P326" t="s">
        <v>52</v>
      </c>
      <c r="Q326">
        <v>2</v>
      </c>
      <c r="R326" t="s">
        <v>113</v>
      </c>
      <c r="S326">
        <v>71091</v>
      </c>
      <c r="T326" t="s">
        <v>64</v>
      </c>
      <c r="U326">
        <v>444.32</v>
      </c>
      <c r="V326">
        <v>4</v>
      </c>
      <c r="W326" t="s">
        <v>47</v>
      </c>
      <c r="X326">
        <v>13</v>
      </c>
      <c r="Y326">
        <v>3</v>
      </c>
      <c r="Z326">
        <v>1</v>
      </c>
      <c r="AA326">
        <v>1</v>
      </c>
      <c r="AB326">
        <v>10</v>
      </c>
      <c r="AC326">
        <v>2</v>
      </c>
      <c r="AD326">
        <v>3</v>
      </c>
      <c r="AE326">
        <v>4</v>
      </c>
      <c r="AF326">
        <v>3</v>
      </c>
      <c r="AG326">
        <v>0</v>
      </c>
      <c r="AH326">
        <v>3</v>
      </c>
      <c r="AI326">
        <f t="shared" si="35"/>
        <v>0</v>
      </c>
      <c r="AJ326" t="str">
        <f t="shared" si="36"/>
        <v>4-5 yrs</v>
      </c>
      <c r="AK326" t="str">
        <f t="shared" si="37"/>
        <v>Recent</v>
      </c>
      <c r="AL326">
        <f t="shared" si="38"/>
        <v>2</v>
      </c>
      <c r="AM326" t="str">
        <f t="shared" si="39"/>
        <v>Medium Risk</v>
      </c>
      <c r="AN326" s="6">
        <f t="shared" si="40"/>
        <v>0.37452005821299256</v>
      </c>
      <c r="AO326" s="7">
        <f t="shared" si="41"/>
        <v>853092</v>
      </c>
    </row>
    <row r="327" spans="1:41" x14ac:dyDescent="0.3">
      <c r="A327" t="s">
        <v>397</v>
      </c>
      <c r="B327">
        <v>29</v>
      </c>
      <c r="C327" t="s">
        <v>196</v>
      </c>
      <c r="D327" t="s">
        <v>55</v>
      </c>
      <c r="E327" t="s">
        <v>48</v>
      </c>
      <c r="F327">
        <v>468</v>
      </c>
      <c r="G327" t="s">
        <v>49</v>
      </c>
      <c r="H327">
        <v>28</v>
      </c>
      <c r="I327">
        <v>4</v>
      </c>
      <c r="J327" t="s">
        <v>58</v>
      </c>
      <c r="K327">
        <v>2054</v>
      </c>
      <c r="L327">
        <v>4</v>
      </c>
      <c r="M327" t="s">
        <v>59</v>
      </c>
      <c r="N327">
        <v>2</v>
      </c>
      <c r="O327">
        <v>1</v>
      </c>
      <c r="P327" t="s">
        <v>67</v>
      </c>
      <c r="Q327">
        <v>1</v>
      </c>
      <c r="R327" t="s">
        <v>53</v>
      </c>
      <c r="S327">
        <v>41818</v>
      </c>
      <c r="T327" t="s">
        <v>72</v>
      </c>
      <c r="U327">
        <v>261.36</v>
      </c>
      <c r="V327">
        <v>1</v>
      </c>
      <c r="W327" t="s">
        <v>55</v>
      </c>
      <c r="X327">
        <v>14</v>
      </c>
      <c r="Y327">
        <v>3</v>
      </c>
      <c r="Z327">
        <v>2</v>
      </c>
      <c r="AA327">
        <v>0</v>
      </c>
      <c r="AB327">
        <v>5</v>
      </c>
      <c r="AC327">
        <v>3</v>
      </c>
      <c r="AD327">
        <v>1</v>
      </c>
      <c r="AE327">
        <v>5</v>
      </c>
      <c r="AF327">
        <v>4</v>
      </c>
      <c r="AG327">
        <v>0</v>
      </c>
      <c r="AH327">
        <v>4</v>
      </c>
      <c r="AI327">
        <f t="shared" si="35"/>
        <v>0</v>
      </c>
      <c r="AJ327" t="str">
        <f t="shared" si="36"/>
        <v>4-5 yrs</v>
      </c>
      <c r="AK327" t="str">
        <f t="shared" si="37"/>
        <v>Recent</v>
      </c>
      <c r="AL327">
        <f t="shared" si="38"/>
        <v>2</v>
      </c>
      <c r="AM327" t="str">
        <f t="shared" si="39"/>
        <v>Medium Risk</v>
      </c>
      <c r="AN327" s="6">
        <f t="shared" si="40"/>
        <v>-0.1613942538817946</v>
      </c>
      <c r="AO327" s="7">
        <f t="shared" si="41"/>
        <v>501816</v>
      </c>
    </row>
    <row r="328" spans="1:41" x14ac:dyDescent="0.3">
      <c r="A328" t="s">
        <v>397</v>
      </c>
      <c r="B328">
        <v>29</v>
      </c>
      <c r="C328" t="s">
        <v>196</v>
      </c>
      <c r="D328" t="s">
        <v>55</v>
      </c>
      <c r="E328" t="s">
        <v>48</v>
      </c>
      <c r="F328">
        <v>468</v>
      </c>
      <c r="G328" t="s">
        <v>49</v>
      </c>
      <c r="H328">
        <v>28</v>
      </c>
      <c r="I328">
        <v>4</v>
      </c>
      <c r="J328" t="s">
        <v>58</v>
      </c>
      <c r="K328">
        <v>2054</v>
      </c>
      <c r="L328">
        <v>4</v>
      </c>
      <c r="M328" t="s">
        <v>59</v>
      </c>
      <c r="N328">
        <v>2</v>
      </c>
      <c r="O328">
        <v>1</v>
      </c>
      <c r="P328" t="s">
        <v>67</v>
      </c>
      <c r="Q328">
        <v>1</v>
      </c>
      <c r="R328" t="s">
        <v>53</v>
      </c>
      <c r="S328">
        <v>46525</v>
      </c>
      <c r="T328" t="s">
        <v>72</v>
      </c>
      <c r="U328">
        <v>290.77999999999997</v>
      </c>
      <c r="V328">
        <v>1</v>
      </c>
      <c r="W328" t="s">
        <v>55</v>
      </c>
      <c r="X328">
        <v>14</v>
      </c>
      <c r="Y328">
        <v>3</v>
      </c>
      <c r="Z328">
        <v>2</v>
      </c>
      <c r="AA328">
        <v>0</v>
      </c>
      <c r="AB328">
        <v>5</v>
      </c>
      <c r="AC328">
        <v>3</v>
      </c>
      <c r="AD328">
        <v>1</v>
      </c>
      <c r="AE328">
        <v>5</v>
      </c>
      <c r="AF328">
        <v>4</v>
      </c>
      <c r="AG328">
        <v>0</v>
      </c>
      <c r="AH328">
        <v>4</v>
      </c>
      <c r="AI328">
        <f t="shared" si="35"/>
        <v>0</v>
      </c>
      <c r="AJ328" t="str">
        <f t="shared" si="36"/>
        <v>4-5 yrs</v>
      </c>
      <c r="AK328" t="str">
        <f t="shared" si="37"/>
        <v>Recent</v>
      </c>
      <c r="AL328">
        <f t="shared" si="38"/>
        <v>2</v>
      </c>
      <c r="AM328" t="str">
        <f t="shared" si="39"/>
        <v>Medium Risk</v>
      </c>
      <c r="AN328" s="6">
        <f t="shared" si="40"/>
        <v>-6.7001474528922814E-2</v>
      </c>
      <c r="AO328" s="7">
        <f t="shared" si="41"/>
        <v>558300</v>
      </c>
    </row>
    <row r="329" spans="1:41" x14ac:dyDescent="0.3">
      <c r="A329" t="s">
        <v>398</v>
      </c>
      <c r="B329">
        <v>30</v>
      </c>
      <c r="C329" t="s">
        <v>196</v>
      </c>
      <c r="D329" t="s">
        <v>55</v>
      </c>
      <c r="E329" t="s">
        <v>48</v>
      </c>
      <c r="F329">
        <v>1358</v>
      </c>
      <c r="G329" t="s">
        <v>49</v>
      </c>
      <c r="H329">
        <v>24</v>
      </c>
      <c r="I329">
        <v>1</v>
      </c>
      <c r="J329" t="s">
        <v>50</v>
      </c>
      <c r="K329">
        <v>11</v>
      </c>
      <c r="L329">
        <v>4</v>
      </c>
      <c r="M329" t="s">
        <v>51</v>
      </c>
      <c r="N329">
        <v>3</v>
      </c>
      <c r="O329">
        <v>1</v>
      </c>
      <c r="P329" t="s">
        <v>52</v>
      </c>
      <c r="Q329">
        <v>3</v>
      </c>
      <c r="R329" t="s">
        <v>53</v>
      </c>
      <c r="S329">
        <v>20830</v>
      </c>
      <c r="T329" t="s">
        <v>54</v>
      </c>
      <c r="U329">
        <v>130.19</v>
      </c>
      <c r="V329">
        <v>1</v>
      </c>
      <c r="W329" t="s">
        <v>55</v>
      </c>
      <c r="X329">
        <v>22</v>
      </c>
      <c r="Y329">
        <v>4</v>
      </c>
      <c r="Z329">
        <v>2</v>
      </c>
      <c r="AA329">
        <v>1</v>
      </c>
      <c r="AB329">
        <v>1</v>
      </c>
      <c r="AC329">
        <v>2</v>
      </c>
      <c r="AD329">
        <v>3</v>
      </c>
      <c r="AE329">
        <v>1</v>
      </c>
      <c r="AF329">
        <v>0</v>
      </c>
      <c r="AG329">
        <v>0</v>
      </c>
      <c r="AH329">
        <v>0</v>
      </c>
      <c r="AI329">
        <f t="shared" si="35"/>
        <v>0</v>
      </c>
      <c r="AJ329" t="str">
        <f t="shared" si="36"/>
        <v>0-1 yr</v>
      </c>
      <c r="AK329" t="str">
        <f t="shared" si="37"/>
        <v>Recent</v>
      </c>
      <c r="AL329">
        <f t="shared" si="38"/>
        <v>0</v>
      </c>
      <c r="AM329" t="str">
        <f t="shared" si="39"/>
        <v>Minimal Risk</v>
      </c>
      <c r="AN329" s="6">
        <f t="shared" si="40"/>
        <v>-0.59725910716438602</v>
      </c>
      <c r="AO329" s="7">
        <f t="shared" si="41"/>
        <v>249960</v>
      </c>
    </row>
    <row r="330" spans="1:41" x14ac:dyDescent="0.3">
      <c r="A330" t="s">
        <v>399</v>
      </c>
      <c r="B330">
        <v>30</v>
      </c>
      <c r="C330" t="s">
        <v>196</v>
      </c>
      <c r="D330" t="s">
        <v>55</v>
      </c>
      <c r="E330" t="s">
        <v>48</v>
      </c>
      <c r="F330">
        <v>125</v>
      </c>
      <c r="G330" t="s">
        <v>49</v>
      </c>
      <c r="H330">
        <v>9</v>
      </c>
      <c r="I330">
        <v>2</v>
      </c>
      <c r="J330" t="s">
        <v>58</v>
      </c>
      <c r="K330">
        <v>41</v>
      </c>
      <c r="L330">
        <v>4</v>
      </c>
      <c r="M330" t="s">
        <v>51</v>
      </c>
      <c r="N330">
        <v>2</v>
      </c>
      <c r="O330">
        <v>1</v>
      </c>
      <c r="P330" t="s">
        <v>52</v>
      </c>
      <c r="Q330">
        <v>3</v>
      </c>
      <c r="R330" t="s">
        <v>53</v>
      </c>
      <c r="S330">
        <v>18429</v>
      </c>
      <c r="T330" t="s">
        <v>54</v>
      </c>
      <c r="U330">
        <v>115.18</v>
      </c>
      <c r="V330">
        <v>1</v>
      </c>
      <c r="W330" t="s">
        <v>55</v>
      </c>
      <c r="X330">
        <v>13</v>
      </c>
      <c r="Y330">
        <v>3</v>
      </c>
      <c r="Z330">
        <v>1</v>
      </c>
      <c r="AA330">
        <v>0</v>
      </c>
      <c r="AB330">
        <v>10</v>
      </c>
      <c r="AC330">
        <v>5</v>
      </c>
      <c r="AD330">
        <v>3</v>
      </c>
      <c r="AE330">
        <v>10</v>
      </c>
      <c r="AF330">
        <v>0</v>
      </c>
      <c r="AG330">
        <v>1</v>
      </c>
      <c r="AH330">
        <v>8</v>
      </c>
      <c r="AI330">
        <f t="shared" si="35"/>
        <v>0</v>
      </c>
      <c r="AJ330" t="str">
        <f t="shared" si="36"/>
        <v>6-10 yrs</v>
      </c>
      <c r="AK330" t="str">
        <f t="shared" si="37"/>
        <v>Recent</v>
      </c>
      <c r="AL330">
        <f t="shared" si="38"/>
        <v>0</v>
      </c>
      <c r="AM330" t="str">
        <f t="shared" si="39"/>
        <v>Minimal Risk</v>
      </c>
      <c r="AN330" s="6">
        <f t="shared" si="40"/>
        <v>-0.64368161718350791</v>
      </c>
      <c r="AO330" s="7">
        <f t="shared" si="41"/>
        <v>221148</v>
      </c>
    </row>
    <row r="331" spans="1:41" x14ac:dyDescent="0.3">
      <c r="A331" t="s">
        <v>400</v>
      </c>
      <c r="B331">
        <v>30</v>
      </c>
      <c r="C331" t="s">
        <v>196</v>
      </c>
      <c r="D331" t="s">
        <v>55</v>
      </c>
      <c r="E331" t="s">
        <v>62</v>
      </c>
      <c r="F331">
        <v>721</v>
      </c>
      <c r="G331" t="s">
        <v>49</v>
      </c>
      <c r="H331">
        <v>1</v>
      </c>
      <c r="I331">
        <v>2</v>
      </c>
      <c r="J331" t="s">
        <v>58</v>
      </c>
      <c r="K331">
        <v>57</v>
      </c>
      <c r="L331">
        <v>3</v>
      </c>
      <c r="M331" t="s">
        <v>59</v>
      </c>
      <c r="N331">
        <v>3</v>
      </c>
      <c r="O331">
        <v>2</v>
      </c>
      <c r="P331" t="s">
        <v>52</v>
      </c>
      <c r="Q331">
        <v>4</v>
      </c>
      <c r="R331" t="s">
        <v>53</v>
      </c>
      <c r="S331">
        <v>7893</v>
      </c>
      <c r="T331" t="s">
        <v>54</v>
      </c>
      <c r="U331">
        <v>49.33</v>
      </c>
      <c r="V331">
        <v>1</v>
      </c>
      <c r="W331" t="s">
        <v>55</v>
      </c>
      <c r="X331">
        <v>23</v>
      </c>
      <c r="Y331">
        <v>4</v>
      </c>
      <c r="Z331">
        <v>4</v>
      </c>
      <c r="AA331">
        <v>0</v>
      </c>
      <c r="AB331">
        <v>12</v>
      </c>
      <c r="AC331">
        <v>2</v>
      </c>
      <c r="AD331">
        <v>3</v>
      </c>
      <c r="AE331">
        <v>12</v>
      </c>
      <c r="AF331">
        <v>8</v>
      </c>
      <c r="AG331">
        <v>3</v>
      </c>
      <c r="AH331">
        <v>7</v>
      </c>
      <c r="AI331">
        <f t="shared" si="35"/>
        <v>0</v>
      </c>
      <c r="AJ331" t="str">
        <f t="shared" si="36"/>
        <v>10+ yrs</v>
      </c>
      <c r="AK331" t="str">
        <f t="shared" si="37"/>
        <v>Overdue</v>
      </c>
      <c r="AL331">
        <f t="shared" si="38"/>
        <v>1</v>
      </c>
      <c r="AM331" t="str">
        <f t="shared" si="39"/>
        <v>Low Risk</v>
      </c>
      <c r="AN331" s="6">
        <f t="shared" si="40"/>
        <v>-0.84739155702585212</v>
      </c>
      <c r="AO331" s="7">
        <f t="shared" si="41"/>
        <v>94716</v>
      </c>
    </row>
    <row r="332" spans="1:41" x14ac:dyDescent="0.3">
      <c r="A332" t="s">
        <v>401</v>
      </c>
      <c r="B332">
        <v>30</v>
      </c>
      <c r="C332" t="s">
        <v>196</v>
      </c>
      <c r="D332" t="s">
        <v>55</v>
      </c>
      <c r="E332" t="s">
        <v>48</v>
      </c>
      <c r="F332">
        <v>852</v>
      </c>
      <c r="G332" t="s">
        <v>49</v>
      </c>
      <c r="H332">
        <v>1</v>
      </c>
      <c r="I332">
        <v>1</v>
      </c>
      <c r="J332" t="s">
        <v>50</v>
      </c>
      <c r="K332">
        <v>104</v>
      </c>
      <c r="L332">
        <v>4</v>
      </c>
      <c r="M332" t="s">
        <v>51</v>
      </c>
      <c r="N332">
        <v>2</v>
      </c>
      <c r="O332">
        <v>2</v>
      </c>
      <c r="P332" t="s">
        <v>52</v>
      </c>
      <c r="Q332">
        <v>4</v>
      </c>
      <c r="R332" t="s">
        <v>113</v>
      </c>
      <c r="S332">
        <v>80909</v>
      </c>
      <c r="T332" t="s">
        <v>64</v>
      </c>
      <c r="U332">
        <v>505.68</v>
      </c>
      <c r="V332">
        <v>1</v>
      </c>
      <c r="W332" t="s">
        <v>47</v>
      </c>
      <c r="X332">
        <v>12</v>
      </c>
      <c r="Y332">
        <v>3</v>
      </c>
      <c r="Z332">
        <v>3</v>
      </c>
      <c r="AA332">
        <v>2</v>
      </c>
      <c r="AB332">
        <v>10</v>
      </c>
      <c r="AC332">
        <v>1</v>
      </c>
      <c r="AD332">
        <v>2</v>
      </c>
      <c r="AE332">
        <v>10</v>
      </c>
      <c r="AF332">
        <v>8</v>
      </c>
      <c r="AG332">
        <v>3</v>
      </c>
      <c r="AH332">
        <v>0</v>
      </c>
      <c r="AI332">
        <f t="shared" si="35"/>
        <v>0</v>
      </c>
      <c r="AJ332" t="str">
        <f t="shared" si="36"/>
        <v>6-10 yrs</v>
      </c>
      <c r="AK332" t="str">
        <f t="shared" si="37"/>
        <v>Overdue</v>
      </c>
      <c r="AL332">
        <f t="shared" si="38"/>
        <v>3</v>
      </c>
      <c r="AM332" t="str">
        <f t="shared" si="39"/>
        <v>High Risk</v>
      </c>
      <c r="AN332" s="6">
        <f t="shared" si="40"/>
        <v>0.56434771475932277</v>
      </c>
      <c r="AO332" s="7">
        <f t="shared" si="41"/>
        <v>970908</v>
      </c>
    </row>
    <row r="333" spans="1:41" x14ac:dyDescent="0.3">
      <c r="A333" t="s">
        <v>402</v>
      </c>
      <c r="B333">
        <v>30</v>
      </c>
      <c r="C333" t="s">
        <v>196</v>
      </c>
      <c r="D333" t="s">
        <v>55</v>
      </c>
      <c r="E333" t="s">
        <v>48</v>
      </c>
      <c r="F333">
        <v>288</v>
      </c>
      <c r="G333" t="s">
        <v>49</v>
      </c>
      <c r="H333">
        <v>2</v>
      </c>
      <c r="I333">
        <v>3</v>
      </c>
      <c r="J333" t="s">
        <v>50</v>
      </c>
      <c r="K333">
        <v>117</v>
      </c>
      <c r="L333">
        <v>3</v>
      </c>
      <c r="M333" t="s">
        <v>51</v>
      </c>
      <c r="N333">
        <v>2</v>
      </c>
      <c r="O333">
        <v>2</v>
      </c>
      <c r="P333" t="s">
        <v>168</v>
      </c>
      <c r="Q333">
        <v>4</v>
      </c>
      <c r="R333" t="s">
        <v>113</v>
      </c>
      <c r="S333">
        <v>48333</v>
      </c>
      <c r="T333" t="s">
        <v>72</v>
      </c>
      <c r="U333">
        <v>302.08</v>
      </c>
      <c r="V333">
        <v>1</v>
      </c>
      <c r="W333" t="s">
        <v>55</v>
      </c>
      <c r="X333">
        <v>19</v>
      </c>
      <c r="Y333">
        <v>3</v>
      </c>
      <c r="Z333">
        <v>1</v>
      </c>
      <c r="AA333">
        <v>3</v>
      </c>
      <c r="AB333">
        <v>11</v>
      </c>
      <c r="AC333">
        <v>3</v>
      </c>
      <c r="AD333">
        <v>3</v>
      </c>
      <c r="AE333">
        <v>11</v>
      </c>
      <c r="AF333">
        <v>10</v>
      </c>
      <c r="AG333">
        <v>10</v>
      </c>
      <c r="AH333">
        <v>8</v>
      </c>
      <c r="AI333">
        <f t="shared" si="35"/>
        <v>0</v>
      </c>
      <c r="AJ333" t="str">
        <f t="shared" si="36"/>
        <v>10+ yrs</v>
      </c>
      <c r="AK333" t="str">
        <f t="shared" si="37"/>
        <v>Overdue</v>
      </c>
      <c r="AL333">
        <f t="shared" si="38"/>
        <v>1</v>
      </c>
      <c r="AM333" t="str">
        <f t="shared" si="39"/>
        <v>Low Risk</v>
      </c>
      <c r="AN333" s="6">
        <f t="shared" si="40"/>
        <v>2.9852604617519496E-3</v>
      </c>
      <c r="AO333" s="7">
        <f t="shared" si="41"/>
        <v>579996</v>
      </c>
    </row>
    <row r="334" spans="1:41" x14ac:dyDescent="0.3">
      <c r="A334" t="s">
        <v>403</v>
      </c>
      <c r="B334">
        <v>30</v>
      </c>
      <c r="C334" t="s">
        <v>196</v>
      </c>
      <c r="D334" t="s">
        <v>55</v>
      </c>
      <c r="E334" t="s">
        <v>48</v>
      </c>
      <c r="F334">
        <v>1334</v>
      </c>
      <c r="G334" t="s">
        <v>57</v>
      </c>
      <c r="H334">
        <v>4</v>
      </c>
      <c r="I334">
        <v>2</v>
      </c>
      <c r="J334" t="s">
        <v>58</v>
      </c>
      <c r="K334">
        <v>121</v>
      </c>
      <c r="L334">
        <v>3</v>
      </c>
      <c r="M334" t="s">
        <v>59</v>
      </c>
      <c r="N334">
        <v>2</v>
      </c>
      <c r="O334">
        <v>2</v>
      </c>
      <c r="P334" t="s">
        <v>145</v>
      </c>
      <c r="Q334">
        <v>2</v>
      </c>
      <c r="R334" t="s">
        <v>53</v>
      </c>
      <c r="S334">
        <v>4436</v>
      </c>
      <c r="T334" t="s">
        <v>54</v>
      </c>
      <c r="U334">
        <v>27.72</v>
      </c>
      <c r="V334">
        <v>1</v>
      </c>
      <c r="W334" t="s">
        <v>47</v>
      </c>
      <c r="X334">
        <v>12</v>
      </c>
      <c r="Y334">
        <v>3</v>
      </c>
      <c r="Z334">
        <v>2</v>
      </c>
      <c r="AA334">
        <v>3</v>
      </c>
      <c r="AB334">
        <v>11</v>
      </c>
      <c r="AC334">
        <v>4</v>
      </c>
      <c r="AD334">
        <v>2</v>
      </c>
      <c r="AE334">
        <v>11</v>
      </c>
      <c r="AF334">
        <v>8</v>
      </c>
      <c r="AG334">
        <v>2</v>
      </c>
      <c r="AH334">
        <v>7</v>
      </c>
      <c r="AI334">
        <f t="shared" si="35"/>
        <v>0</v>
      </c>
      <c r="AJ334" t="str">
        <f t="shared" si="36"/>
        <v>10+ yrs</v>
      </c>
      <c r="AK334" t="str">
        <f t="shared" si="37"/>
        <v>Recent</v>
      </c>
      <c r="AL334">
        <f t="shared" si="38"/>
        <v>3</v>
      </c>
      <c r="AM334" t="str">
        <f t="shared" si="39"/>
        <v>High Risk</v>
      </c>
      <c r="AN334" s="6">
        <f t="shared" si="40"/>
        <v>-0.90957636372378015</v>
      </c>
      <c r="AO334" s="7">
        <f t="shared" si="41"/>
        <v>53232</v>
      </c>
    </row>
    <row r="335" spans="1:41" x14ac:dyDescent="0.3">
      <c r="A335" t="s">
        <v>404</v>
      </c>
      <c r="B335">
        <v>30</v>
      </c>
      <c r="C335" t="s">
        <v>196</v>
      </c>
      <c r="D335" t="s">
        <v>55</v>
      </c>
      <c r="E335" t="s">
        <v>62</v>
      </c>
      <c r="F335">
        <v>1312</v>
      </c>
      <c r="G335" t="s">
        <v>49</v>
      </c>
      <c r="H335">
        <v>23</v>
      </c>
      <c r="I335">
        <v>3</v>
      </c>
      <c r="J335" t="s">
        <v>50</v>
      </c>
      <c r="K335">
        <v>159</v>
      </c>
      <c r="L335">
        <v>1</v>
      </c>
      <c r="M335" t="s">
        <v>51</v>
      </c>
      <c r="N335">
        <v>1</v>
      </c>
      <c r="O335">
        <v>1</v>
      </c>
      <c r="P335" t="s">
        <v>67</v>
      </c>
      <c r="Q335">
        <v>3</v>
      </c>
      <c r="R335" t="s">
        <v>53</v>
      </c>
      <c r="S335">
        <v>75290</v>
      </c>
      <c r="T335" t="s">
        <v>64</v>
      </c>
      <c r="U335">
        <v>470.56</v>
      </c>
      <c r="V335">
        <v>1</v>
      </c>
      <c r="W335" t="s">
        <v>55</v>
      </c>
      <c r="X335">
        <v>25</v>
      </c>
      <c r="Y335">
        <v>4</v>
      </c>
      <c r="Z335">
        <v>3</v>
      </c>
      <c r="AA335">
        <v>3</v>
      </c>
      <c r="AB335">
        <v>10</v>
      </c>
      <c r="AC335">
        <v>2</v>
      </c>
      <c r="AD335">
        <v>2</v>
      </c>
      <c r="AE335">
        <v>10</v>
      </c>
      <c r="AF335">
        <v>7</v>
      </c>
      <c r="AG335">
        <v>0</v>
      </c>
      <c r="AH335">
        <v>9</v>
      </c>
      <c r="AI335">
        <f t="shared" si="35"/>
        <v>0</v>
      </c>
      <c r="AJ335" t="str">
        <f t="shared" si="36"/>
        <v>6-10 yrs</v>
      </c>
      <c r="AK335" t="str">
        <f t="shared" si="37"/>
        <v>Recent</v>
      </c>
      <c r="AL335">
        <f t="shared" si="38"/>
        <v>1</v>
      </c>
      <c r="AM335" t="str">
        <f t="shared" si="39"/>
        <v>Low Risk</v>
      </c>
      <c r="AN335" s="6">
        <f t="shared" si="40"/>
        <v>0.50984328818307145</v>
      </c>
      <c r="AO335" s="7">
        <f t="shared" si="41"/>
        <v>903480</v>
      </c>
    </row>
    <row r="336" spans="1:41" x14ac:dyDescent="0.3">
      <c r="A336" t="s">
        <v>405</v>
      </c>
      <c r="B336">
        <v>30</v>
      </c>
      <c r="C336" t="s">
        <v>196</v>
      </c>
      <c r="D336" t="s">
        <v>55</v>
      </c>
      <c r="E336" t="s">
        <v>48</v>
      </c>
      <c r="F336">
        <v>1240</v>
      </c>
      <c r="G336" t="s">
        <v>406</v>
      </c>
      <c r="H336">
        <v>9</v>
      </c>
      <c r="I336">
        <v>3</v>
      </c>
      <c r="J336" t="s">
        <v>80</v>
      </c>
      <c r="K336">
        <v>184</v>
      </c>
      <c r="L336">
        <v>3</v>
      </c>
      <c r="M336" t="s">
        <v>51</v>
      </c>
      <c r="N336">
        <v>3</v>
      </c>
      <c r="O336">
        <v>2</v>
      </c>
      <c r="P336" t="s">
        <v>80</v>
      </c>
      <c r="Q336">
        <v>4</v>
      </c>
      <c r="R336" t="s">
        <v>113</v>
      </c>
      <c r="S336">
        <v>77213</v>
      </c>
      <c r="T336" t="s">
        <v>64</v>
      </c>
      <c r="U336">
        <v>482.58</v>
      </c>
      <c r="V336">
        <v>0</v>
      </c>
      <c r="W336" t="s">
        <v>47</v>
      </c>
      <c r="X336">
        <v>19</v>
      </c>
      <c r="Y336">
        <v>3</v>
      </c>
      <c r="Z336">
        <v>4</v>
      </c>
      <c r="AA336">
        <v>0</v>
      </c>
      <c r="AB336">
        <v>12</v>
      </c>
      <c r="AC336">
        <v>2</v>
      </c>
      <c r="AD336">
        <v>1</v>
      </c>
      <c r="AE336">
        <v>11</v>
      </c>
      <c r="AF336">
        <v>9</v>
      </c>
      <c r="AG336">
        <v>4</v>
      </c>
      <c r="AH336">
        <v>9</v>
      </c>
      <c r="AI336">
        <f t="shared" si="35"/>
        <v>0</v>
      </c>
      <c r="AJ336" t="str">
        <f t="shared" si="36"/>
        <v>10+ yrs</v>
      </c>
      <c r="AK336" t="str">
        <f t="shared" si="37"/>
        <v>Overdue</v>
      </c>
      <c r="AL336">
        <f t="shared" si="38"/>
        <v>3</v>
      </c>
      <c r="AM336" t="str">
        <f t="shared" si="39"/>
        <v>High Risk</v>
      </c>
      <c r="AN336" s="6">
        <f t="shared" si="40"/>
        <v>0.52161716609378139</v>
      </c>
      <c r="AO336" s="7">
        <f t="shared" si="41"/>
        <v>926556</v>
      </c>
    </row>
    <row r="337" spans="1:41" x14ac:dyDescent="0.3">
      <c r="A337" t="s">
        <v>407</v>
      </c>
      <c r="B337">
        <v>30</v>
      </c>
      <c r="C337" t="s">
        <v>196</v>
      </c>
      <c r="D337" t="s">
        <v>55</v>
      </c>
      <c r="E337" t="s">
        <v>48</v>
      </c>
      <c r="F337">
        <v>438</v>
      </c>
      <c r="G337" t="s">
        <v>49</v>
      </c>
      <c r="H337">
        <v>18</v>
      </c>
      <c r="I337">
        <v>3</v>
      </c>
      <c r="J337" t="s">
        <v>50</v>
      </c>
      <c r="K337">
        <v>194</v>
      </c>
      <c r="L337">
        <v>1</v>
      </c>
      <c r="M337" t="s">
        <v>59</v>
      </c>
      <c r="N337">
        <v>3</v>
      </c>
      <c r="O337">
        <v>1</v>
      </c>
      <c r="P337" t="s">
        <v>67</v>
      </c>
      <c r="Q337">
        <v>3</v>
      </c>
      <c r="R337" t="s">
        <v>53</v>
      </c>
      <c r="S337">
        <v>6895</v>
      </c>
      <c r="T337" t="s">
        <v>54</v>
      </c>
      <c r="U337">
        <v>43.09</v>
      </c>
      <c r="V337">
        <v>1</v>
      </c>
      <c r="W337" t="s">
        <v>55</v>
      </c>
      <c r="X337">
        <v>14</v>
      </c>
      <c r="Y337">
        <v>3</v>
      </c>
      <c r="Z337">
        <v>3</v>
      </c>
      <c r="AA337">
        <v>0</v>
      </c>
      <c r="AB337">
        <v>5</v>
      </c>
      <c r="AC337">
        <v>4</v>
      </c>
      <c r="AD337">
        <v>2</v>
      </c>
      <c r="AE337">
        <v>5</v>
      </c>
      <c r="AF337">
        <v>4</v>
      </c>
      <c r="AG337">
        <v>0</v>
      </c>
      <c r="AH337">
        <v>4</v>
      </c>
      <c r="AI337">
        <f t="shared" si="35"/>
        <v>0</v>
      </c>
      <c r="AJ337" t="str">
        <f t="shared" si="36"/>
        <v>4-5 yrs</v>
      </c>
      <c r="AK337" t="str">
        <f t="shared" si="37"/>
        <v>Recent</v>
      </c>
      <c r="AL337">
        <f t="shared" si="38"/>
        <v>1</v>
      </c>
      <c r="AM337" t="str">
        <f t="shared" si="39"/>
        <v>Low Risk</v>
      </c>
      <c r="AN337" s="6">
        <f t="shared" si="40"/>
        <v>-0.86172971879370064</v>
      </c>
      <c r="AO337" s="7">
        <f t="shared" si="41"/>
        <v>82740</v>
      </c>
    </row>
    <row r="338" spans="1:41" x14ac:dyDescent="0.3">
      <c r="A338" t="s">
        <v>408</v>
      </c>
      <c r="B338">
        <v>30</v>
      </c>
      <c r="C338" t="s">
        <v>196</v>
      </c>
      <c r="D338" t="s">
        <v>55</v>
      </c>
      <c r="E338" t="s">
        <v>48</v>
      </c>
      <c r="F338">
        <v>201</v>
      </c>
      <c r="G338" t="s">
        <v>49</v>
      </c>
      <c r="H338">
        <v>5</v>
      </c>
      <c r="I338">
        <v>3</v>
      </c>
      <c r="J338" t="s">
        <v>77</v>
      </c>
      <c r="K338">
        <v>197</v>
      </c>
      <c r="L338">
        <v>4</v>
      </c>
      <c r="M338" t="s">
        <v>59</v>
      </c>
      <c r="N338">
        <v>3</v>
      </c>
      <c r="O338">
        <v>1</v>
      </c>
      <c r="P338" t="s">
        <v>67</v>
      </c>
      <c r="Q338">
        <v>1</v>
      </c>
      <c r="R338" t="s">
        <v>53</v>
      </c>
      <c r="S338">
        <v>20738</v>
      </c>
      <c r="T338" t="s">
        <v>54</v>
      </c>
      <c r="U338">
        <v>129.61000000000001</v>
      </c>
      <c r="V338">
        <v>5</v>
      </c>
      <c r="W338" t="s">
        <v>55</v>
      </c>
      <c r="X338">
        <v>14</v>
      </c>
      <c r="Y338">
        <v>3</v>
      </c>
      <c r="Z338">
        <v>4</v>
      </c>
      <c r="AA338">
        <v>1</v>
      </c>
      <c r="AB338">
        <v>8</v>
      </c>
      <c r="AC338">
        <v>3</v>
      </c>
      <c r="AD338">
        <v>3</v>
      </c>
      <c r="AE338">
        <v>3</v>
      </c>
      <c r="AF338">
        <v>2</v>
      </c>
      <c r="AG338">
        <v>2</v>
      </c>
      <c r="AH338">
        <v>2</v>
      </c>
      <c r="AI338">
        <f t="shared" si="35"/>
        <v>0</v>
      </c>
      <c r="AJ338" t="str">
        <f t="shared" si="36"/>
        <v>2-3 yrs</v>
      </c>
      <c r="AK338" t="str">
        <f t="shared" si="37"/>
        <v>Recent</v>
      </c>
      <c r="AL338">
        <f t="shared" si="38"/>
        <v>1</v>
      </c>
      <c r="AM338" t="str">
        <f t="shared" si="39"/>
        <v>Low Risk</v>
      </c>
      <c r="AN338" s="6">
        <f t="shared" si="40"/>
        <v>-0.5841263101296249</v>
      </c>
      <c r="AO338" s="7">
        <f t="shared" si="41"/>
        <v>248856</v>
      </c>
    </row>
    <row r="339" spans="1:41" x14ac:dyDescent="0.3">
      <c r="A339" t="s">
        <v>409</v>
      </c>
      <c r="B339">
        <v>30</v>
      </c>
      <c r="C339" t="s">
        <v>196</v>
      </c>
      <c r="D339" t="s">
        <v>55</v>
      </c>
      <c r="E339" t="s">
        <v>48</v>
      </c>
      <c r="F339">
        <v>1427</v>
      </c>
      <c r="G339" t="s">
        <v>49</v>
      </c>
      <c r="H339">
        <v>2</v>
      </c>
      <c r="I339">
        <v>1</v>
      </c>
      <c r="J339" t="s">
        <v>58</v>
      </c>
      <c r="K339">
        <v>198</v>
      </c>
      <c r="L339">
        <v>2</v>
      </c>
      <c r="M339" t="s">
        <v>51</v>
      </c>
      <c r="N339">
        <v>2</v>
      </c>
      <c r="O339">
        <v>1</v>
      </c>
      <c r="P339" t="s">
        <v>52</v>
      </c>
      <c r="Q339">
        <v>4</v>
      </c>
      <c r="R339" t="s">
        <v>53</v>
      </c>
      <c r="S339">
        <v>31746</v>
      </c>
      <c r="T339" t="s">
        <v>72</v>
      </c>
      <c r="U339">
        <v>198.41</v>
      </c>
      <c r="V339">
        <v>0</v>
      </c>
      <c r="W339" t="s">
        <v>55</v>
      </c>
      <c r="X339">
        <v>13</v>
      </c>
      <c r="Y339">
        <v>3</v>
      </c>
      <c r="Z339">
        <v>4</v>
      </c>
      <c r="AA339">
        <v>0</v>
      </c>
      <c r="AB339">
        <v>6</v>
      </c>
      <c r="AC339">
        <v>3</v>
      </c>
      <c r="AD339">
        <v>3</v>
      </c>
      <c r="AE339">
        <v>5</v>
      </c>
      <c r="AF339">
        <v>3</v>
      </c>
      <c r="AG339">
        <v>1</v>
      </c>
      <c r="AH339">
        <v>3</v>
      </c>
      <c r="AI339">
        <f t="shared" si="35"/>
        <v>0</v>
      </c>
      <c r="AJ339" t="str">
        <f t="shared" si="36"/>
        <v>4-5 yrs</v>
      </c>
      <c r="AK339" t="str">
        <f t="shared" si="37"/>
        <v>Recent</v>
      </c>
      <c r="AL339">
        <f t="shared" si="38"/>
        <v>0</v>
      </c>
      <c r="AM339" t="str">
        <f t="shared" si="39"/>
        <v>Minimal Risk</v>
      </c>
      <c r="AN339" s="6">
        <f t="shared" si="40"/>
        <v>-0.38620199788961102</v>
      </c>
      <c r="AO339" s="7">
        <f t="shared" si="41"/>
        <v>380952</v>
      </c>
    </row>
    <row r="340" spans="1:41" x14ac:dyDescent="0.3">
      <c r="A340" t="s">
        <v>410</v>
      </c>
      <c r="B340">
        <v>30</v>
      </c>
      <c r="C340" t="s">
        <v>196</v>
      </c>
      <c r="D340" t="s">
        <v>55</v>
      </c>
      <c r="E340" t="s">
        <v>48</v>
      </c>
      <c r="F340">
        <v>1339</v>
      </c>
      <c r="G340" t="s">
        <v>57</v>
      </c>
      <c r="H340">
        <v>5</v>
      </c>
      <c r="I340">
        <v>3</v>
      </c>
      <c r="J340" t="s">
        <v>50</v>
      </c>
      <c r="K340">
        <v>228</v>
      </c>
      <c r="L340">
        <v>2</v>
      </c>
      <c r="M340" t="s">
        <v>59</v>
      </c>
      <c r="N340">
        <v>3</v>
      </c>
      <c r="O340">
        <v>3</v>
      </c>
      <c r="P340" t="s">
        <v>145</v>
      </c>
      <c r="Q340">
        <v>4</v>
      </c>
      <c r="R340" t="s">
        <v>113</v>
      </c>
      <c r="S340">
        <v>50377</v>
      </c>
      <c r="T340" t="s">
        <v>64</v>
      </c>
      <c r="U340">
        <v>314.86</v>
      </c>
      <c r="V340">
        <v>2</v>
      </c>
      <c r="W340" t="s">
        <v>55</v>
      </c>
      <c r="X340">
        <v>12</v>
      </c>
      <c r="Y340">
        <v>3</v>
      </c>
      <c r="Z340">
        <v>3</v>
      </c>
      <c r="AA340">
        <v>1</v>
      </c>
      <c r="AB340">
        <v>12</v>
      </c>
      <c r="AC340">
        <v>2</v>
      </c>
      <c r="AD340">
        <v>3</v>
      </c>
      <c r="AE340">
        <v>10</v>
      </c>
      <c r="AF340">
        <v>9</v>
      </c>
      <c r="AG340">
        <v>7</v>
      </c>
      <c r="AH340">
        <v>4</v>
      </c>
      <c r="AI340">
        <f t="shared" si="35"/>
        <v>0</v>
      </c>
      <c r="AJ340" t="str">
        <f t="shared" si="36"/>
        <v>6-10 yrs</v>
      </c>
      <c r="AK340" t="str">
        <f t="shared" si="37"/>
        <v>Overdue</v>
      </c>
      <c r="AL340">
        <f t="shared" si="38"/>
        <v>1</v>
      </c>
      <c r="AM340" t="str">
        <f t="shared" si="39"/>
        <v>Low Risk</v>
      </c>
      <c r="AN340" s="6">
        <f t="shared" si="40"/>
        <v>2.6887178694122243E-2</v>
      </c>
      <c r="AO340" s="7">
        <f t="shared" si="41"/>
        <v>604524</v>
      </c>
    </row>
    <row r="341" spans="1:41" x14ac:dyDescent="0.3">
      <c r="A341" t="s">
        <v>411</v>
      </c>
      <c r="B341">
        <v>30</v>
      </c>
      <c r="C341" t="s">
        <v>196</v>
      </c>
      <c r="D341" t="s">
        <v>55</v>
      </c>
      <c r="E341" t="s">
        <v>66</v>
      </c>
      <c r="F341">
        <v>111</v>
      </c>
      <c r="G341" t="s">
        <v>49</v>
      </c>
      <c r="H341">
        <v>9</v>
      </c>
      <c r="I341">
        <v>3</v>
      </c>
      <c r="J341" t="s">
        <v>58</v>
      </c>
      <c r="K341">
        <v>239</v>
      </c>
      <c r="L341">
        <v>3</v>
      </c>
      <c r="M341" t="s">
        <v>51</v>
      </c>
      <c r="N341">
        <v>3</v>
      </c>
      <c r="O341">
        <v>2</v>
      </c>
      <c r="P341" t="s">
        <v>52</v>
      </c>
      <c r="Q341">
        <v>1</v>
      </c>
      <c r="R341" t="s">
        <v>53</v>
      </c>
      <c r="S341">
        <v>49404</v>
      </c>
      <c r="T341" t="s">
        <v>72</v>
      </c>
      <c r="U341">
        <v>308.77</v>
      </c>
      <c r="V341">
        <v>1</v>
      </c>
      <c r="W341" t="s">
        <v>55</v>
      </c>
      <c r="X341">
        <v>11</v>
      </c>
      <c r="Y341">
        <v>3</v>
      </c>
      <c r="Z341">
        <v>3</v>
      </c>
      <c r="AA341">
        <v>2</v>
      </c>
      <c r="AB341">
        <v>12</v>
      </c>
      <c r="AC341">
        <v>4</v>
      </c>
      <c r="AD341">
        <v>3</v>
      </c>
      <c r="AE341">
        <v>12</v>
      </c>
      <c r="AF341">
        <v>9</v>
      </c>
      <c r="AG341">
        <v>6</v>
      </c>
      <c r="AH341">
        <v>10</v>
      </c>
      <c r="AI341">
        <f t="shared" si="35"/>
        <v>0</v>
      </c>
      <c r="AJ341" t="str">
        <f t="shared" si="36"/>
        <v>10+ yrs</v>
      </c>
      <c r="AK341" t="str">
        <f t="shared" si="37"/>
        <v>Overdue</v>
      </c>
      <c r="AL341">
        <f t="shared" si="38"/>
        <v>2</v>
      </c>
      <c r="AM341" t="str">
        <f t="shared" si="39"/>
        <v>Medium Risk</v>
      </c>
      <c r="AN341" s="6">
        <f t="shared" si="40"/>
        <v>-4.4790635158392988E-2</v>
      </c>
      <c r="AO341" s="7">
        <f t="shared" si="41"/>
        <v>592848</v>
      </c>
    </row>
    <row r="342" spans="1:41" x14ac:dyDescent="0.3">
      <c r="A342" t="s">
        <v>412</v>
      </c>
      <c r="B342">
        <v>30</v>
      </c>
      <c r="C342" t="s">
        <v>196</v>
      </c>
      <c r="D342" t="s">
        <v>55</v>
      </c>
      <c r="E342" t="s">
        <v>66</v>
      </c>
      <c r="F342">
        <v>829</v>
      </c>
      <c r="G342" t="s">
        <v>49</v>
      </c>
      <c r="H342">
        <v>1</v>
      </c>
      <c r="I342">
        <v>1</v>
      </c>
      <c r="J342" t="s">
        <v>50</v>
      </c>
      <c r="K342">
        <v>292</v>
      </c>
      <c r="L342">
        <v>3</v>
      </c>
      <c r="M342" t="s">
        <v>51</v>
      </c>
      <c r="N342">
        <v>2</v>
      </c>
      <c r="O342">
        <v>3</v>
      </c>
      <c r="P342" t="s">
        <v>120</v>
      </c>
      <c r="Q342">
        <v>3</v>
      </c>
      <c r="R342" t="s">
        <v>53</v>
      </c>
      <c r="S342">
        <v>55045</v>
      </c>
      <c r="T342" t="s">
        <v>64</v>
      </c>
      <c r="U342">
        <v>344.03</v>
      </c>
      <c r="V342">
        <v>1</v>
      </c>
      <c r="W342" t="s">
        <v>55</v>
      </c>
      <c r="X342">
        <v>22</v>
      </c>
      <c r="Y342">
        <v>4</v>
      </c>
      <c r="Z342">
        <v>3</v>
      </c>
      <c r="AA342">
        <v>0</v>
      </c>
      <c r="AB342">
        <v>12</v>
      </c>
      <c r="AC342">
        <v>2</v>
      </c>
      <c r="AD342">
        <v>3</v>
      </c>
      <c r="AE342">
        <v>11</v>
      </c>
      <c r="AF342">
        <v>8</v>
      </c>
      <c r="AG342">
        <v>5</v>
      </c>
      <c r="AH342">
        <v>8</v>
      </c>
      <c r="AI342">
        <f t="shared" si="35"/>
        <v>0</v>
      </c>
      <c r="AJ342" t="str">
        <f t="shared" si="36"/>
        <v>10+ yrs</v>
      </c>
      <c r="AK342" t="str">
        <f t="shared" si="37"/>
        <v>Overdue</v>
      </c>
      <c r="AL342">
        <f t="shared" si="38"/>
        <v>1</v>
      </c>
      <c r="AM342" t="str">
        <f t="shared" si="39"/>
        <v>Low Risk</v>
      </c>
      <c r="AN342" s="6">
        <f t="shared" si="40"/>
        <v>0.24268163304247217</v>
      </c>
      <c r="AO342" s="7">
        <f t="shared" si="41"/>
        <v>660540</v>
      </c>
    </row>
    <row r="343" spans="1:41" x14ac:dyDescent="0.3">
      <c r="A343" t="s">
        <v>413</v>
      </c>
      <c r="B343">
        <v>30</v>
      </c>
      <c r="C343" t="s">
        <v>196</v>
      </c>
      <c r="D343" t="s">
        <v>47</v>
      </c>
      <c r="E343" t="s">
        <v>48</v>
      </c>
      <c r="F343">
        <v>1005</v>
      </c>
      <c r="G343" t="s">
        <v>49</v>
      </c>
      <c r="H343">
        <v>3</v>
      </c>
      <c r="I343">
        <v>3</v>
      </c>
      <c r="J343" t="s">
        <v>77</v>
      </c>
      <c r="K343">
        <v>297</v>
      </c>
      <c r="L343">
        <v>4</v>
      </c>
      <c r="M343" t="s">
        <v>59</v>
      </c>
      <c r="N343">
        <v>3</v>
      </c>
      <c r="O343">
        <v>1</v>
      </c>
      <c r="P343" t="s">
        <v>67</v>
      </c>
      <c r="Q343">
        <v>1</v>
      </c>
      <c r="R343" t="s">
        <v>53</v>
      </c>
      <c r="S343">
        <v>98888</v>
      </c>
      <c r="T343" t="s">
        <v>70</v>
      </c>
      <c r="U343">
        <v>618.04999999999995</v>
      </c>
      <c r="V343">
        <v>5</v>
      </c>
      <c r="W343" t="s">
        <v>47</v>
      </c>
      <c r="X343">
        <v>11</v>
      </c>
      <c r="Y343">
        <v>3</v>
      </c>
      <c r="Z343">
        <v>3</v>
      </c>
      <c r="AA343">
        <v>0</v>
      </c>
      <c r="AB343">
        <v>8</v>
      </c>
      <c r="AC343">
        <v>5</v>
      </c>
      <c r="AD343">
        <v>3</v>
      </c>
      <c r="AE343">
        <v>5</v>
      </c>
      <c r="AF343">
        <v>2</v>
      </c>
      <c r="AG343">
        <v>0</v>
      </c>
      <c r="AH343">
        <v>4</v>
      </c>
      <c r="AI343">
        <f t="shared" si="35"/>
        <v>1</v>
      </c>
      <c r="AJ343" t="str">
        <f t="shared" si="36"/>
        <v>4-5 yrs</v>
      </c>
      <c r="AK343" t="str">
        <f t="shared" si="37"/>
        <v>Recent</v>
      </c>
      <c r="AL343">
        <f t="shared" si="38"/>
        <v>2</v>
      </c>
      <c r="AM343" t="str">
        <f t="shared" si="39"/>
        <v>Medium Risk</v>
      </c>
      <c r="AN343" s="6">
        <f t="shared" si="40"/>
        <v>0.98307056822748806</v>
      </c>
      <c r="AO343" s="7">
        <f t="shared" si="41"/>
        <v>1186656</v>
      </c>
    </row>
    <row r="344" spans="1:41" x14ac:dyDescent="0.3">
      <c r="A344" t="s">
        <v>414</v>
      </c>
      <c r="B344">
        <v>30</v>
      </c>
      <c r="C344" t="s">
        <v>196</v>
      </c>
      <c r="D344" t="s">
        <v>47</v>
      </c>
      <c r="E344" t="s">
        <v>62</v>
      </c>
      <c r="F344">
        <v>334</v>
      </c>
      <c r="G344" t="s">
        <v>57</v>
      </c>
      <c r="H344">
        <v>26</v>
      </c>
      <c r="I344">
        <v>4</v>
      </c>
      <c r="J344" t="s">
        <v>63</v>
      </c>
      <c r="K344">
        <v>299</v>
      </c>
      <c r="L344">
        <v>3</v>
      </c>
      <c r="M344" t="s">
        <v>59</v>
      </c>
      <c r="N344">
        <v>2</v>
      </c>
      <c r="O344">
        <v>2</v>
      </c>
      <c r="P344" t="s">
        <v>145</v>
      </c>
      <c r="Q344">
        <v>1</v>
      </c>
      <c r="R344" t="s">
        <v>53</v>
      </c>
      <c r="S344">
        <v>40790</v>
      </c>
      <c r="T344" t="s">
        <v>72</v>
      </c>
      <c r="U344">
        <v>254.94</v>
      </c>
      <c r="V344">
        <v>5</v>
      </c>
      <c r="W344" t="s">
        <v>55</v>
      </c>
      <c r="X344">
        <v>15</v>
      </c>
      <c r="Y344">
        <v>3</v>
      </c>
      <c r="Z344">
        <v>3</v>
      </c>
      <c r="AA344">
        <v>0</v>
      </c>
      <c r="AB344">
        <v>9</v>
      </c>
      <c r="AC344">
        <v>5</v>
      </c>
      <c r="AD344">
        <v>2</v>
      </c>
      <c r="AE344">
        <v>6</v>
      </c>
      <c r="AF344">
        <v>3</v>
      </c>
      <c r="AG344">
        <v>0</v>
      </c>
      <c r="AH344">
        <v>1</v>
      </c>
      <c r="AI344">
        <f t="shared" si="35"/>
        <v>1</v>
      </c>
      <c r="AJ344" t="str">
        <f t="shared" si="36"/>
        <v>6-10 yrs</v>
      </c>
      <c r="AK344" t="str">
        <f t="shared" si="37"/>
        <v>Recent</v>
      </c>
      <c r="AL344">
        <f t="shared" si="38"/>
        <v>2</v>
      </c>
      <c r="AM344" t="str">
        <f t="shared" si="39"/>
        <v>Medium Risk</v>
      </c>
      <c r="AN344" s="6">
        <f t="shared" si="40"/>
        <v>-0.16853468807326266</v>
      </c>
      <c r="AO344" s="7">
        <f t="shared" si="41"/>
        <v>489480</v>
      </c>
    </row>
    <row r="345" spans="1:41" x14ac:dyDescent="0.3">
      <c r="A345" t="s">
        <v>415</v>
      </c>
      <c r="B345">
        <v>30</v>
      </c>
      <c r="C345" t="s">
        <v>196</v>
      </c>
      <c r="D345" t="s">
        <v>55</v>
      </c>
      <c r="E345" t="s">
        <v>48</v>
      </c>
      <c r="F345">
        <v>1275</v>
      </c>
      <c r="G345" t="s">
        <v>49</v>
      </c>
      <c r="H345">
        <v>28</v>
      </c>
      <c r="I345">
        <v>2</v>
      </c>
      <c r="J345" t="s">
        <v>58</v>
      </c>
      <c r="K345">
        <v>441</v>
      </c>
      <c r="L345">
        <v>4</v>
      </c>
      <c r="M345" t="s">
        <v>59</v>
      </c>
      <c r="N345">
        <v>3</v>
      </c>
      <c r="O345">
        <v>2</v>
      </c>
      <c r="P345" t="s">
        <v>67</v>
      </c>
      <c r="Q345">
        <v>4</v>
      </c>
      <c r="R345" t="s">
        <v>113</v>
      </c>
      <c r="S345">
        <v>6600</v>
      </c>
      <c r="T345" t="s">
        <v>54</v>
      </c>
      <c r="U345">
        <v>41.25</v>
      </c>
      <c r="V345">
        <v>1</v>
      </c>
      <c r="W345" t="s">
        <v>55</v>
      </c>
      <c r="X345">
        <v>13</v>
      </c>
      <c r="Y345">
        <v>3</v>
      </c>
      <c r="Z345">
        <v>4</v>
      </c>
      <c r="AA345">
        <v>2</v>
      </c>
      <c r="AB345">
        <v>11</v>
      </c>
      <c r="AC345">
        <v>2</v>
      </c>
      <c r="AD345">
        <v>3</v>
      </c>
      <c r="AE345">
        <v>10</v>
      </c>
      <c r="AF345">
        <v>8</v>
      </c>
      <c r="AG345">
        <v>1</v>
      </c>
      <c r="AH345">
        <v>9</v>
      </c>
      <c r="AI345">
        <f t="shared" si="35"/>
        <v>0</v>
      </c>
      <c r="AJ345" t="str">
        <f t="shared" si="36"/>
        <v>6-10 yrs</v>
      </c>
      <c r="AK345" t="str">
        <f t="shared" si="37"/>
        <v>Recent</v>
      </c>
      <c r="AL345">
        <f t="shared" si="38"/>
        <v>0</v>
      </c>
      <c r="AM345" t="str">
        <f t="shared" si="39"/>
        <v>Minimal Risk</v>
      </c>
      <c r="AN345" s="6">
        <f t="shared" si="40"/>
        <v>-0.86764556113682734</v>
      </c>
      <c r="AO345" s="7">
        <f t="shared" si="41"/>
        <v>79200</v>
      </c>
    </row>
    <row r="346" spans="1:41" x14ac:dyDescent="0.3">
      <c r="A346" t="s">
        <v>416</v>
      </c>
      <c r="B346">
        <v>30</v>
      </c>
      <c r="C346" t="s">
        <v>196</v>
      </c>
      <c r="D346" t="s">
        <v>55</v>
      </c>
      <c r="E346" t="s">
        <v>48</v>
      </c>
      <c r="F346">
        <v>570</v>
      </c>
      <c r="G346" t="s">
        <v>57</v>
      </c>
      <c r="H346">
        <v>5</v>
      </c>
      <c r="I346">
        <v>3</v>
      </c>
      <c r="J346" t="s">
        <v>63</v>
      </c>
      <c r="K346">
        <v>456</v>
      </c>
      <c r="L346">
        <v>4</v>
      </c>
      <c r="M346" t="s">
        <v>59</v>
      </c>
      <c r="N346">
        <v>2</v>
      </c>
      <c r="O346">
        <v>2</v>
      </c>
      <c r="P346" t="s">
        <v>145</v>
      </c>
      <c r="Q346">
        <v>3</v>
      </c>
      <c r="R346" t="s">
        <v>53</v>
      </c>
      <c r="S346">
        <v>95660</v>
      </c>
      <c r="T346" t="s">
        <v>70</v>
      </c>
      <c r="U346">
        <v>597.88</v>
      </c>
      <c r="V346">
        <v>1</v>
      </c>
      <c r="W346" t="s">
        <v>55</v>
      </c>
      <c r="X346">
        <v>13</v>
      </c>
      <c r="Y346">
        <v>3</v>
      </c>
      <c r="Z346">
        <v>3</v>
      </c>
      <c r="AA346">
        <v>3</v>
      </c>
      <c r="AB346">
        <v>10</v>
      </c>
      <c r="AC346">
        <v>2</v>
      </c>
      <c r="AD346">
        <v>3</v>
      </c>
      <c r="AE346">
        <v>10</v>
      </c>
      <c r="AF346">
        <v>9</v>
      </c>
      <c r="AG346">
        <v>1</v>
      </c>
      <c r="AH346">
        <v>2</v>
      </c>
      <c r="AI346">
        <f t="shared" si="35"/>
        <v>0</v>
      </c>
      <c r="AJ346" t="str">
        <f t="shared" si="36"/>
        <v>6-10 yrs</v>
      </c>
      <c r="AK346" t="str">
        <f t="shared" si="37"/>
        <v>Recent</v>
      </c>
      <c r="AL346">
        <f t="shared" si="38"/>
        <v>0</v>
      </c>
      <c r="AM346" t="str">
        <f t="shared" si="39"/>
        <v>Minimal Risk</v>
      </c>
      <c r="AN346" s="6">
        <f t="shared" si="40"/>
        <v>0.94993801762470442</v>
      </c>
      <c r="AO346" s="7">
        <f t="shared" si="41"/>
        <v>1147920</v>
      </c>
    </row>
    <row r="347" spans="1:41" x14ac:dyDescent="0.3">
      <c r="A347" t="s">
        <v>417</v>
      </c>
      <c r="B347">
        <v>30</v>
      </c>
      <c r="C347" t="s">
        <v>196</v>
      </c>
      <c r="D347" t="s">
        <v>55</v>
      </c>
      <c r="E347" t="s">
        <v>66</v>
      </c>
      <c r="F347">
        <v>641</v>
      </c>
      <c r="G347" t="s">
        <v>57</v>
      </c>
      <c r="H347">
        <v>25</v>
      </c>
      <c r="I347">
        <v>2</v>
      </c>
      <c r="J347" t="s">
        <v>77</v>
      </c>
      <c r="K347">
        <v>475</v>
      </c>
      <c r="L347">
        <v>4</v>
      </c>
      <c r="M347" t="s">
        <v>59</v>
      </c>
      <c r="N347">
        <v>3</v>
      </c>
      <c r="O347">
        <v>2</v>
      </c>
      <c r="P347" t="s">
        <v>145</v>
      </c>
      <c r="Q347">
        <v>3</v>
      </c>
      <c r="R347" t="s">
        <v>113</v>
      </c>
      <c r="S347">
        <v>94179</v>
      </c>
      <c r="T347" t="s">
        <v>70</v>
      </c>
      <c r="U347">
        <v>588.62</v>
      </c>
      <c r="V347">
        <v>7</v>
      </c>
      <c r="W347" t="s">
        <v>47</v>
      </c>
      <c r="X347">
        <v>12</v>
      </c>
      <c r="Y347">
        <v>3</v>
      </c>
      <c r="Z347">
        <v>2</v>
      </c>
      <c r="AA347">
        <v>1</v>
      </c>
      <c r="AB347">
        <v>4</v>
      </c>
      <c r="AC347">
        <v>2</v>
      </c>
      <c r="AD347">
        <v>4</v>
      </c>
      <c r="AE347">
        <v>2</v>
      </c>
      <c r="AF347">
        <v>2</v>
      </c>
      <c r="AG347">
        <v>2</v>
      </c>
      <c r="AH347">
        <v>2</v>
      </c>
      <c r="AI347">
        <f t="shared" si="35"/>
        <v>0</v>
      </c>
      <c r="AJ347" t="str">
        <f t="shared" si="36"/>
        <v>2-3 yrs</v>
      </c>
      <c r="AK347" t="str">
        <f t="shared" si="37"/>
        <v>Recent</v>
      </c>
      <c r="AL347">
        <f t="shared" si="38"/>
        <v>1</v>
      </c>
      <c r="AM347" t="str">
        <f t="shared" si="39"/>
        <v>Low Risk</v>
      </c>
      <c r="AN347" s="6">
        <f t="shared" si="40"/>
        <v>0.91974924275430725</v>
      </c>
      <c r="AO347" s="7">
        <f t="shared" si="41"/>
        <v>1130148</v>
      </c>
    </row>
    <row r="348" spans="1:41" x14ac:dyDescent="0.3">
      <c r="A348" t="s">
        <v>418</v>
      </c>
      <c r="B348">
        <v>30</v>
      </c>
      <c r="C348" t="s">
        <v>196</v>
      </c>
      <c r="D348" t="s">
        <v>55</v>
      </c>
      <c r="E348" t="s">
        <v>48</v>
      </c>
      <c r="F348">
        <v>202</v>
      </c>
      <c r="G348" t="s">
        <v>57</v>
      </c>
      <c r="H348">
        <v>2</v>
      </c>
      <c r="I348">
        <v>1</v>
      </c>
      <c r="J348" t="s">
        <v>77</v>
      </c>
      <c r="K348">
        <v>508</v>
      </c>
      <c r="L348">
        <v>3</v>
      </c>
      <c r="M348" t="s">
        <v>51</v>
      </c>
      <c r="N348">
        <v>3</v>
      </c>
      <c r="O348">
        <v>1</v>
      </c>
      <c r="P348" t="s">
        <v>60</v>
      </c>
      <c r="Q348">
        <v>2</v>
      </c>
      <c r="R348" t="s">
        <v>113</v>
      </c>
      <c r="S348">
        <v>41764</v>
      </c>
      <c r="T348" t="s">
        <v>72</v>
      </c>
      <c r="U348">
        <v>261.02</v>
      </c>
      <c r="V348">
        <v>1</v>
      </c>
      <c r="W348" t="s">
        <v>55</v>
      </c>
      <c r="X348">
        <v>18</v>
      </c>
      <c r="Y348">
        <v>3</v>
      </c>
      <c r="Z348">
        <v>1</v>
      </c>
      <c r="AA348">
        <v>1</v>
      </c>
      <c r="AB348">
        <v>1</v>
      </c>
      <c r="AC348">
        <v>3</v>
      </c>
      <c r="AD348">
        <v>3</v>
      </c>
      <c r="AE348">
        <v>1</v>
      </c>
      <c r="AF348">
        <v>0</v>
      </c>
      <c r="AG348">
        <v>0</v>
      </c>
      <c r="AH348">
        <v>0</v>
      </c>
      <c r="AI348">
        <f t="shared" si="35"/>
        <v>0</v>
      </c>
      <c r="AJ348" t="str">
        <f t="shared" si="36"/>
        <v>0-1 yr</v>
      </c>
      <c r="AK348" t="str">
        <f t="shared" si="37"/>
        <v>Recent</v>
      </c>
      <c r="AL348">
        <f t="shared" si="38"/>
        <v>1</v>
      </c>
      <c r="AM348" t="str">
        <f t="shared" si="39"/>
        <v>Low Risk</v>
      </c>
      <c r="AN348" s="6">
        <f t="shared" si="40"/>
        <v>-0.15332026371254298</v>
      </c>
      <c r="AO348" s="7">
        <f t="shared" si="41"/>
        <v>501168</v>
      </c>
    </row>
    <row r="349" spans="1:41" x14ac:dyDescent="0.3">
      <c r="A349" t="s">
        <v>419</v>
      </c>
      <c r="B349">
        <v>30</v>
      </c>
      <c r="C349" t="s">
        <v>196</v>
      </c>
      <c r="D349" t="s">
        <v>47</v>
      </c>
      <c r="E349" t="s">
        <v>62</v>
      </c>
      <c r="F349">
        <v>464</v>
      </c>
      <c r="G349" t="s">
        <v>49</v>
      </c>
      <c r="H349">
        <v>4</v>
      </c>
      <c r="I349">
        <v>3</v>
      </c>
      <c r="J349" t="s">
        <v>77</v>
      </c>
      <c r="K349">
        <v>514</v>
      </c>
      <c r="L349">
        <v>3</v>
      </c>
      <c r="M349" t="s">
        <v>51</v>
      </c>
      <c r="N349">
        <v>3</v>
      </c>
      <c r="O349">
        <v>1</v>
      </c>
      <c r="P349" t="s">
        <v>67</v>
      </c>
      <c r="Q349">
        <v>4</v>
      </c>
      <c r="R349" t="s">
        <v>53</v>
      </c>
      <c r="S349">
        <v>75543</v>
      </c>
      <c r="T349" t="s">
        <v>64</v>
      </c>
      <c r="U349">
        <v>472.14</v>
      </c>
      <c r="V349">
        <v>9</v>
      </c>
      <c r="W349" t="s">
        <v>47</v>
      </c>
      <c r="X349">
        <v>23</v>
      </c>
      <c r="Y349">
        <v>4</v>
      </c>
      <c r="Z349">
        <v>3</v>
      </c>
      <c r="AA349">
        <v>0</v>
      </c>
      <c r="AB349">
        <v>3</v>
      </c>
      <c r="AC349">
        <v>4</v>
      </c>
      <c r="AD349">
        <v>3</v>
      </c>
      <c r="AE349">
        <v>1</v>
      </c>
      <c r="AF349">
        <v>0</v>
      </c>
      <c r="AG349">
        <v>0</v>
      </c>
      <c r="AH349">
        <v>0</v>
      </c>
      <c r="AI349">
        <f t="shared" si="35"/>
        <v>1</v>
      </c>
      <c r="AJ349" t="str">
        <f t="shared" si="36"/>
        <v>0-1 yr</v>
      </c>
      <c r="AK349" t="str">
        <f t="shared" si="37"/>
        <v>Recent</v>
      </c>
      <c r="AL349">
        <f t="shared" si="38"/>
        <v>1</v>
      </c>
      <c r="AM349" t="str">
        <f t="shared" si="39"/>
        <v>Low Risk</v>
      </c>
      <c r="AN349" s="6">
        <f t="shared" si="40"/>
        <v>0.51491687500615979</v>
      </c>
      <c r="AO349" s="7">
        <f t="shared" si="41"/>
        <v>906516</v>
      </c>
    </row>
    <row r="350" spans="1:41" x14ac:dyDescent="0.3">
      <c r="A350" t="s">
        <v>420</v>
      </c>
      <c r="B350">
        <v>30</v>
      </c>
      <c r="C350" t="s">
        <v>196</v>
      </c>
      <c r="D350" t="s">
        <v>55</v>
      </c>
      <c r="E350" t="s">
        <v>48</v>
      </c>
      <c r="F350">
        <v>1082</v>
      </c>
      <c r="G350" t="s">
        <v>57</v>
      </c>
      <c r="H350">
        <v>12</v>
      </c>
      <c r="I350">
        <v>3</v>
      </c>
      <c r="J350" t="s">
        <v>77</v>
      </c>
      <c r="K350">
        <v>533</v>
      </c>
      <c r="L350">
        <v>2</v>
      </c>
      <c r="M350" t="s">
        <v>59</v>
      </c>
      <c r="N350">
        <v>3</v>
      </c>
      <c r="O350">
        <v>2</v>
      </c>
      <c r="P350" t="s">
        <v>145</v>
      </c>
      <c r="Q350">
        <v>3</v>
      </c>
      <c r="R350" t="s">
        <v>53</v>
      </c>
      <c r="S350">
        <v>46714</v>
      </c>
      <c r="T350" t="s">
        <v>72</v>
      </c>
      <c r="U350">
        <v>291.95999999999998</v>
      </c>
      <c r="V350">
        <v>0</v>
      </c>
      <c r="W350" t="s">
        <v>55</v>
      </c>
      <c r="X350">
        <v>11</v>
      </c>
      <c r="Y350">
        <v>3</v>
      </c>
      <c r="Z350">
        <v>2</v>
      </c>
      <c r="AA350">
        <v>0</v>
      </c>
      <c r="AB350">
        <v>6</v>
      </c>
      <c r="AC350">
        <v>6</v>
      </c>
      <c r="AD350">
        <v>3</v>
      </c>
      <c r="AE350">
        <v>5</v>
      </c>
      <c r="AF350">
        <v>4</v>
      </c>
      <c r="AG350">
        <v>4</v>
      </c>
      <c r="AH350">
        <v>4</v>
      </c>
      <c r="AI350">
        <f t="shared" si="35"/>
        <v>0</v>
      </c>
      <c r="AJ350" t="str">
        <f t="shared" si="36"/>
        <v>4-5 yrs</v>
      </c>
      <c r="AK350" t="str">
        <f t="shared" si="37"/>
        <v>Overdue</v>
      </c>
      <c r="AL350">
        <f t="shared" si="38"/>
        <v>1</v>
      </c>
      <c r="AM350" t="str">
        <f t="shared" si="39"/>
        <v>Low Risk</v>
      </c>
      <c r="AN350" s="6">
        <f t="shared" si="40"/>
        <v>-4.7779588591674249E-2</v>
      </c>
      <c r="AO350" s="7">
        <f t="shared" si="41"/>
        <v>560568</v>
      </c>
    </row>
    <row r="351" spans="1:41" x14ac:dyDescent="0.3">
      <c r="A351" t="s">
        <v>421</v>
      </c>
      <c r="B351">
        <v>30</v>
      </c>
      <c r="C351" t="s">
        <v>196</v>
      </c>
      <c r="D351" t="s">
        <v>55</v>
      </c>
      <c r="E351" t="s">
        <v>48</v>
      </c>
      <c r="F351">
        <v>317</v>
      </c>
      <c r="G351" t="s">
        <v>49</v>
      </c>
      <c r="H351">
        <v>2</v>
      </c>
      <c r="I351">
        <v>3</v>
      </c>
      <c r="J351" t="s">
        <v>50</v>
      </c>
      <c r="K351">
        <v>548</v>
      </c>
      <c r="L351">
        <v>3</v>
      </c>
      <c r="M351" t="s">
        <v>59</v>
      </c>
      <c r="N351">
        <v>1</v>
      </c>
      <c r="O351">
        <v>2</v>
      </c>
      <c r="P351" t="s">
        <v>120</v>
      </c>
      <c r="Q351">
        <v>4</v>
      </c>
      <c r="R351" t="s">
        <v>53</v>
      </c>
      <c r="S351">
        <v>57835</v>
      </c>
      <c r="T351" t="s">
        <v>64</v>
      </c>
      <c r="U351">
        <v>361.47</v>
      </c>
      <c r="V351">
        <v>2</v>
      </c>
      <c r="W351" t="s">
        <v>55</v>
      </c>
      <c r="X351">
        <v>20</v>
      </c>
      <c r="Y351">
        <v>4</v>
      </c>
      <c r="Z351">
        <v>3</v>
      </c>
      <c r="AA351">
        <v>0</v>
      </c>
      <c r="AB351">
        <v>11</v>
      </c>
      <c r="AC351">
        <v>2</v>
      </c>
      <c r="AD351">
        <v>3</v>
      </c>
      <c r="AE351">
        <v>5</v>
      </c>
      <c r="AF351">
        <v>4</v>
      </c>
      <c r="AG351">
        <v>0</v>
      </c>
      <c r="AH351">
        <v>2</v>
      </c>
      <c r="AI351">
        <f t="shared" si="35"/>
        <v>0</v>
      </c>
      <c r="AJ351" t="str">
        <f t="shared" si="36"/>
        <v>4-5 yrs</v>
      </c>
      <c r="AK351" t="str">
        <f t="shared" si="37"/>
        <v>Recent</v>
      </c>
      <c r="AL351">
        <f t="shared" si="38"/>
        <v>0</v>
      </c>
      <c r="AM351" t="str">
        <f t="shared" si="39"/>
        <v>Minimal Risk</v>
      </c>
      <c r="AN351" s="6">
        <f t="shared" si="40"/>
        <v>0.30566794889656423</v>
      </c>
      <c r="AO351" s="7">
        <f t="shared" si="41"/>
        <v>694020</v>
      </c>
    </row>
    <row r="352" spans="1:41" x14ac:dyDescent="0.3">
      <c r="A352" t="s">
        <v>422</v>
      </c>
      <c r="B352">
        <v>30</v>
      </c>
      <c r="C352" t="s">
        <v>196</v>
      </c>
      <c r="D352" t="s">
        <v>55</v>
      </c>
      <c r="E352" t="s">
        <v>66</v>
      </c>
      <c r="F352">
        <v>1400</v>
      </c>
      <c r="G352" t="s">
        <v>49</v>
      </c>
      <c r="H352">
        <v>3</v>
      </c>
      <c r="I352">
        <v>3</v>
      </c>
      <c r="J352" t="s">
        <v>50</v>
      </c>
      <c r="K352">
        <v>562</v>
      </c>
      <c r="L352">
        <v>3</v>
      </c>
      <c r="M352" t="s">
        <v>51</v>
      </c>
      <c r="N352">
        <v>3</v>
      </c>
      <c r="O352">
        <v>1</v>
      </c>
      <c r="P352" t="s">
        <v>52</v>
      </c>
      <c r="Q352">
        <v>4</v>
      </c>
      <c r="R352" t="s">
        <v>113</v>
      </c>
      <c r="S352">
        <v>74744</v>
      </c>
      <c r="T352" t="s">
        <v>64</v>
      </c>
      <c r="U352">
        <v>467.15</v>
      </c>
      <c r="V352">
        <v>4</v>
      </c>
      <c r="W352" t="s">
        <v>55</v>
      </c>
      <c r="X352">
        <v>15</v>
      </c>
      <c r="Y352">
        <v>3</v>
      </c>
      <c r="Z352">
        <v>3</v>
      </c>
      <c r="AA352">
        <v>1</v>
      </c>
      <c r="AB352">
        <v>9</v>
      </c>
      <c r="AC352">
        <v>3</v>
      </c>
      <c r="AD352">
        <v>1</v>
      </c>
      <c r="AE352">
        <v>5</v>
      </c>
      <c r="AF352">
        <v>3</v>
      </c>
      <c r="AG352">
        <v>1</v>
      </c>
      <c r="AH352">
        <v>4</v>
      </c>
      <c r="AI352">
        <f t="shared" si="35"/>
        <v>0</v>
      </c>
      <c r="AJ352" t="str">
        <f t="shared" si="36"/>
        <v>4-5 yrs</v>
      </c>
      <c r="AK352" t="str">
        <f t="shared" si="37"/>
        <v>Recent</v>
      </c>
      <c r="AL352">
        <f t="shared" si="38"/>
        <v>1</v>
      </c>
      <c r="AM352" t="str">
        <f t="shared" si="39"/>
        <v>Low Risk</v>
      </c>
      <c r="AN352" s="6">
        <f t="shared" si="40"/>
        <v>0.44514955804633377</v>
      </c>
      <c r="AO352" s="7">
        <f t="shared" si="41"/>
        <v>896928</v>
      </c>
    </row>
    <row r="353" spans="1:41" x14ac:dyDescent="0.3">
      <c r="A353" t="s">
        <v>423</v>
      </c>
      <c r="B353">
        <v>30</v>
      </c>
      <c r="C353" t="s">
        <v>196</v>
      </c>
      <c r="D353" t="s">
        <v>55</v>
      </c>
      <c r="E353" t="s">
        <v>66</v>
      </c>
      <c r="F353">
        <v>1398</v>
      </c>
      <c r="G353" t="s">
        <v>57</v>
      </c>
      <c r="H353">
        <v>22</v>
      </c>
      <c r="I353">
        <v>4</v>
      </c>
      <c r="J353" t="s">
        <v>82</v>
      </c>
      <c r="K353">
        <v>567</v>
      </c>
      <c r="L353">
        <v>3</v>
      </c>
      <c r="M353" t="s">
        <v>59</v>
      </c>
      <c r="N353">
        <v>3</v>
      </c>
      <c r="O353">
        <v>3</v>
      </c>
      <c r="P353" t="s">
        <v>145</v>
      </c>
      <c r="Q353">
        <v>1</v>
      </c>
      <c r="R353" t="s">
        <v>113</v>
      </c>
      <c r="S353">
        <v>57491</v>
      </c>
      <c r="T353" t="s">
        <v>64</v>
      </c>
      <c r="U353">
        <v>359.32</v>
      </c>
      <c r="V353">
        <v>0</v>
      </c>
      <c r="W353" t="s">
        <v>55</v>
      </c>
      <c r="X353">
        <v>11</v>
      </c>
      <c r="Y353">
        <v>3</v>
      </c>
      <c r="Z353">
        <v>3</v>
      </c>
      <c r="AA353">
        <v>0</v>
      </c>
      <c r="AB353">
        <v>10</v>
      </c>
      <c r="AC353">
        <v>3</v>
      </c>
      <c r="AD353">
        <v>3</v>
      </c>
      <c r="AE353">
        <v>9</v>
      </c>
      <c r="AF353">
        <v>8</v>
      </c>
      <c r="AG353">
        <v>7</v>
      </c>
      <c r="AH353">
        <v>8</v>
      </c>
      <c r="AI353">
        <f t="shared" si="35"/>
        <v>0</v>
      </c>
      <c r="AJ353" t="str">
        <f t="shared" si="36"/>
        <v>6-10 yrs</v>
      </c>
      <c r="AK353" t="str">
        <f t="shared" si="37"/>
        <v>Overdue</v>
      </c>
      <c r="AL353">
        <f t="shared" si="38"/>
        <v>2</v>
      </c>
      <c r="AM353" t="str">
        <f t="shared" si="39"/>
        <v>Medium Risk</v>
      </c>
      <c r="AN353" s="6">
        <f t="shared" si="40"/>
        <v>0.17189929512086433</v>
      </c>
      <c r="AO353" s="7">
        <f t="shared" si="41"/>
        <v>689892</v>
      </c>
    </row>
    <row r="354" spans="1:41" x14ac:dyDescent="0.3">
      <c r="A354" t="s">
        <v>424</v>
      </c>
      <c r="B354">
        <v>30</v>
      </c>
      <c r="C354" t="s">
        <v>196</v>
      </c>
      <c r="D354" t="s">
        <v>55</v>
      </c>
      <c r="E354" t="s">
        <v>66</v>
      </c>
      <c r="F354">
        <v>1116</v>
      </c>
      <c r="G354" t="s">
        <v>49</v>
      </c>
      <c r="H354">
        <v>2</v>
      </c>
      <c r="I354">
        <v>3</v>
      </c>
      <c r="J354" t="s">
        <v>58</v>
      </c>
      <c r="K354">
        <v>571</v>
      </c>
      <c r="L354">
        <v>3</v>
      </c>
      <c r="M354" t="s">
        <v>59</v>
      </c>
      <c r="N354">
        <v>3</v>
      </c>
      <c r="O354">
        <v>1</v>
      </c>
      <c r="P354" t="s">
        <v>52</v>
      </c>
      <c r="Q354">
        <v>4</v>
      </c>
      <c r="R354" t="s">
        <v>53</v>
      </c>
      <c r="S354">
        <v>19589</v>
      </c>
      <c r="T354" t="s">
        <v>54</v>
      </c>
      <c r="U354">
        <v>122.43</v>
      </c>
      <c r="V354">
        <v>0</v>
      </c>
      <c r="W354" t="s">
        <v>55</v>
      </c>
      <c r="X354">
        <v>14</v>
      </c>
      <c r="Y354">
        <v>3</v>
      </c>
      <c r="Z354">
        <v>3</v>
      </c>
      <c r="AA354">
        <v>0</v>
      </c>
      <c r="AB354">
        <v>12</v>
      </c>
      <c r="AC354">
        <v>2</v>
      </c>
      <c r="AD354">
        <v>2</v>
      </c>
      <c r="AE354">
        <v>11</v>
      </c>
      <c r="AF354">
        <v>7</v>
      </c>
      <c r="AG354">
        <v>6</v>
      </c>
      <c r="AH354">
        <v>7</v>
      </c>
      <c r="AI354">
        <f t="shared" si="35"/>
        <v>0</v>
      </c>
      <c r="AJ354" t="str">
        <f t="shared" si="36"/>
        <v>10+ yrs</v>
      </c>
      <c r="AK354" t="str">
        <f t="shared" si="37"/>
        <v>Overdue</v>
      </c>
      <c r="AL354">
        <f t="shared" si="38"/>
        <v>2</v>
      </c>
      <c r="AM354" t="str">
        <f t="shared" si="39"/>
        <v>Medium Risk</v>
      </c>
      <c r="AN354" s="6">
        <f t="shared" si="40"/>
        <v>-0.62125341575819282</v>
      </c>
      <c r="AO354" s="7">
        <f t="shared" si="41"/>
        <v>235068</v>
      </c>
    </row>
    <row r="355" spans="1:41" x14ac:dyDescent="0.3">
      <c r="A355" t="s">
        <v>425</v>
      </c>
      <c r="B355">
        <v>30</v>
      </c>
      <c r="C355" t="s">
        <v>196</v>
      </c>
      <c r="D355" t="s">
        <v>55</v>
      </c>
      <c r="E355" t="s">
        <v>48</v>
      </c>
      <c r="F355">
        <v>413</v>
      </c>
      <c r="G355" t="s">
        <v>57</v>
      </c>
      <c r="H355">
        <v>7</v>
      </c>
      <c r="I355">
        <v>1</v>
      </c>
      <c r="J355" t="s">
        <v>63</v>
      </c>
      <c r="K355">
        <v>585</v>
      </c>
      <c r="L355">
        <v>4</v>
      </c>
      <c r="M355" t="s">
        <v>51</v>
      </c>
      <c r="N355">
        <v>3</v>
      </c>
      <c r="O355">
        <v>1</v>
      </c>
      <c r="P355" t="s">
        <v>60</v>
      </c>
      <c r="Q355">
        <v>2</v>
      </c>
      <c r="R355" t="s">
        <v>53</v>
      </c>
      <c r="S355">
        <v>44484</v>
      </c>
      <c r="T355" t="s">
        <v>72</v>
      </c>
      <c r="U355">
        <v>278.02</v>
      </c>
      <c r="V355">
        <v>0</v>
      </c>
      <c r="W355" t="s">
        <v>55</v>
      </c>
      <c r="X355">
        <v>14</v>
      </c>
      <c r="Y355">
        <v>3</v>
      </c>
      <c r="Z355">
        <v>1</v>
      </c>
      <c r="AA355">
        <v>0</v>
      </c>
      <c r="AB355">
        <v>4</v>
      </c>
      <c r="AC355">
        <v>3</v>
      </c>
      <c r="AD355">
        <v>3</v>
      </c>
      <c r="AE355">
        <v>3</v>
      </c>
      <c r="AF355">
        <v>2</v>
      </c>
      <c r="AG355">
        <v>1</v>
      </c>
      <c r="AH355">
        <v>2</v>
      </c>
      <c r="AI355">
        <f t="shared" si="35"/>
        <v>0</v>
      </c>
      <c r="AJ355" t="str">
        <f t="shared" si="36"/>
        <v>2-3 yrs</v>
      </c>
      <c r="AK355" t="str">
        <f t="shared" si="37"/>
        <v>Recent</v>
      </c>
      <c r="AL355">
        <f t="shared" si="38"/>
        <v>1</v>
      </c>
      <c r="AM355" t="str">
        <f t="shared" si="39"/>
        <v>Low Risk</v>
      </c>
      <c r="AN355" s="6">
        <f t="shared" si="40"/>
        <v>-9.8177823268574896E-2</v>
      </c>
      <c r="AO355" s="7">
        <f t="shared" si="41"/>
        <v>533808</v>
      </c>
    </row>
    <row r="356" spans="1:41" x14ac:dyDescent="0.3">
      <c r="A356" t="s">
        <v>426</v>
      </c>
      <c r="B356">
        <v>30</v>
      </c>
      <c r="C356" t="s">
        <v>196</v>
      </c>
      <c r="D356" t="s">
        <v>47</v>
      </c>
      <c r="E356" t="s">
        <v>62</v>
      </c>
      <c r="F356">
        <v>448</v>
      </c>
      <c r="G356" t="s">
        <v>57</v>
      </c>
      <c r="H356">
        <v>12</v>
      </c>
      <c r="I356">
        <v>4</v>
      </c>
      <c r="J356" t="s">
        <v>50</v>
      </c>
      <c r="K356">
        <v>648</v>
      </c>
      <c r="L356">
        <v>2</v>
      </c>
      <c r="M356" t="s">
        <v>51</v>
      </c>
      <c r="N356">
        <v>2</v>
      </c>
      <c r="O356">
        <v>1</v>
      </c>
      <c r="P356" t="s">
        <v>60</v>
      </c>
      <c r="Q356">
        <v>1</v>
      </c>
      <c r="R356" t="s">
        <v>113</v>
      </c>
      <c r="S356">
        <v>83989</v>
      </c>
      <c r="T356" t="s">
        <v>70</v>
      </c>
      <c r="U356">
        <v>524.92999999999995</v>
      </c>
      <c r="V356">
        <v>1</v>
      </c>
      <c r="W356" t="s">
        <v>55</v>
      </c>
      <c r="X356">
        <v>18</v>
      </c>
      <c r="Y356">
        <v>3</v>
      </c>
      <c r="Z356">
        <v>3</v>
      </c>
      <c r="AA356">
        <v>1</v>
      </c>
      <c r="AB356">
        <v>1</v>
      </c>
      <c r="AC356">
        <v>2</v>
      </c>
      <c r="AD356">
        <v>4</v>
      </c>
      <c r="AE356">
        <v>1</v>
      </c>
      <c r="AF356">
        <v>0</v>
      </c>
      <c r="AG356">
        <v>0</v>
      </c>
      <c r="AH356">
        <v>0</v>
      </c>
      <c r="AI356">
        <f t="shared" si="35"/>
        <v>1</v>
      </c>
      <c r="AJ356" t="str">
        <f t="shared" si="36"/>
        <v>0-1 yr</v>
      </c>
      <c r="AK356" t="str">
        <f t="shared" si="37"/>
        <v>Recent</v>
      </c>
      <c r="AL356">
        <f t="shared" si="38"/>
        <v>1</v>
      </c>
      <c r="AM356" t="str">
        <f t="shared" si="39"/>
        <v>Low Risk</v>
      </c>
      <c r="AN356" s="6">
        <f t="shared" si="40"/>
        <v>0.70270530531192477</v>
      </c>
      <c r="AO356" s="7">
        <f t="shared" si="41"/>
        <v>1007868</v>
      </c>
    </row>
    <row r="357" spans="1:41" x14ac:dyDescent="0.3">
      <c r="A357" t="s">
        <v>427</v>
      </c>
      <c r="B357">
        <v>30</v>
      </c>
      <c r="C357" t="s">
        <v>196</v>
      </c>
      <c r="D357" t="s">
        <v>55</v>
      </c>
      <c r="E357" t="s">
        <v>62</v>
      </c>
      <c r="F357">
        <v>160</v>
      </c>
      <c r="G357" t="s">
        <v>49</v>
      </c>
      <c r="H357">
        <v>3</v>
      </c>
      <c r="I357">
        <v>3</v>
      </c>
      <c r="J357" t="s">
        <v>58</v>
      </c>
      <c r="K357">
        <v>680</v>
      </c>
      <c r="L357">
        <v>3</v>
      </c>
      <c r="M357" t="s">
        <v>59</v>
      </c>
      <c r="N357">
        <v>3</v>
      </c>
      <c r="O357">
        <v>1</v>
      </c>
      <c r="P357" t="s">
        <v>67</v>
      </c>
      <c r="Q357">
        <v>3</v>
      </c>
      <c r="R357" t="s">
        <v>53</v>
      </c>
      <c r="S357">
        <v>37212</v>
      </c>
      <c r="T357" t="s">
        <v>72</v>
      </c>
      <c r="U357">
        <v>232.58</v>
      </c>
      <c r="V357">
        <v>1</v>
      </c>
      <c r="W357" t="s">
        <v>55</v>
      </c>
      <c r="X357">
        <v>20</v>
      </c>
      <c r="Y357">
        <v>4</v>
      </c>
      <c r="Z357">
        <v>3</v>
      </c>
      <c r="AA357">
        <v>1</v>
      </c>
      <c r="AB357">
        <v>1</v>
      </c>
      <c r="AC357">
        <v>2</v>
      </c>
      <c r="AD357">
        <v>3</v>
      </c>
      <c r="AE357">
        <v>1</v>
      </c>
      <c r="AF357">
        <v>0</v>
      </c>
      <c r="AG357">
        <v>0</v>
      </c>
      <c r="AH357">
        <v>0</v>
      </c>
      <c r="AI357">
        <f t="shared" si="35"/>
        <v>0</v>
      </c>
      <c r="AJ357" t="str">
        <f t="shared" si="36"/>
        <v>0-1 yr</v>
      </c>
      <c r="AK357" t="str">
        <f t="shared" si="37"/>
        <v>Recent</v>
      </c>
      <c r="AL357">
        <f t="shared" si="38"/>
        <v>0</v>
      </c>
      <c r="AM357" t="str">
        <f t="shared" si="39"/>
        <v>Minimal Risk</v>
      </c>
      <c r="AN357" s="6">
        <f t="shared" si="40"/>
        <v>-0.25376160924600272</v>
      </c>
      <c r="AO357" s="7">
        <f t="shared" si="41"/>
        <v>446544</v>
      </c>
    </row>
    <row r="358" spans="1:41" x14ac:dyDescent="0.3">
      <c r="A358" t="s">
        <v>428</v>
      </c>
      <c r="B358">
        <v>30</v>
      </c>
      <c r="C358" t="s">
        <v>196</v>
      </c>
      <c r="D358" t="s">
        <v>55</v>
      </c>
      <c r="E358" t="s">
        <v>48</v>
      </c>
      <c r="F358">
        <v>501</v>
      </c>
      <c r="G358" t="s">
        <v>57</v>
      </c>
      <c r="H358">
        <v>27</v>
      </c>
      <c r="I358">
        <v>5</v>
      </c>
      <c r="J358" t="s">
        <v>63</v>
      </c>
      <c r="K358">
        <v>747</v>
      </c>
      <c r="L358">
        <v>3</v>
      </c>
      <c r="M358" t="s">
        <v>51</v>
      </c>
      <c r="N358">
        <v>3</v>
      </c>
      <c r="O358">
        <v>2</v>
      </c>
      <c r="P358" t="s">
        <v>145</v>
      </c>
      <c r="Q358">
        <v>4</v>
      </c>
      <c r="R358" t="s">
        <v>53</v>
      </c>
      <c r="S358">
        <v>44525</v>
      </c>
      <c r="T358" t="s">
        <v>72</v>
      </c>
      <c r="U358">
        <v>278.27999999999997</v>
      </c>
      <c r="V358">
        <v>7</v>
      </c>
      <c r="W358" t="s">
        <v>55</v>
      </c>
      <c r="X358">
        <v>23</v>
      </c>
      <c r="Y358">
        <v>4</v>
      </c>
      <c r="Z358">
        <v>4</v>
      </c>
      <c r="AA358">
        <v>1</v>
      </c>
      <c r="AB358">
        <v>10</v>
      </c>
      <c r="AC358">
        <v>2</v>
      </c>
      <c r="AD358">
        <v>2</v>
      </c>
      <c r="AE358">
        <v>8</v>
      </c>
      <c r="AF358">
        <v>7</v>
      </c>
      <c r="AG358">
        <v>7</v>
      </c>
      <c r="AH358">
        <v>7</v>
      </c>
      <c r="AI358">
        <f t="shared" si="35"/>
        <v>0</v>
      </c>
      <c r="AJ358" t="str">
        <f t="shared" si="36"/>
        <v>6-10 yrs</v>
      </c>
      <c r="AK358" t="str">
        <f t="shared" si="37"/>
        <v>Overdue</v>
      </c>
      <c r="AL358">
        <f t="shared" si="38"/>
        <v>2</v>
      </c>
      <c r="AM358" t="str">
        <f t="shared" si="39"/>
        <v>Medium Risk</v>
      </c>
      <c r="AN358" s="6">
        <f t="shared" si="40"/>
        <v>-9.2400269342045122E-2</v>
      </c>
      <c r="AO358" s="7">
        <f t="shared" si="41"/>
        <v>534300</v>
      </c>
    </row>
    <row r="359" spans="1:41" x14ac:dyDescent="0.3">
      <c r="A359" t="s">
        <v>429</v>
      </c>
      <c r="B359">
        <v>30</v>
      </c>
      <c r="C359" t="s">
        <v>196</v>
      </c>
      <c r="D359" t="s">
        <v>55</v>
      </c>
      <c r="E359" t="s">
        <v>48</v>
      </c>
      <c r="F359">
        <v>921</v>
      </c>
      <c r="G359" t="s">
        <v>49</v>
      </c>
      <c r="H359">
        <v>1</v>
      </c>
      <c r="I359">
        <v>3</v>
      </c>
      <c r="J359" t="s">
        <v>50</v>
      </c>
      <c r="K359">
        <v>806</v>
      </c>
      <c r="L359">
        <v>4</v>
      </c>
      <c r="M359" t="s">
        <v>51</v>
      </c>
      <c r="N359">
        <v>1</v>
      </c>
      <c r="O359">
        <v>1</v>
      </c>
      <c r="P359" t="s">
        <v>52</v>
      </c>
      <c r="Q359">
        <v>3</v>
      </c>
      <c r="R359" t="s">
        <v>113</v>
      </c>
      <c r="S359">
        <v>48202</v>
      </c>
      <c r="T359" t="s">
        <v>72</v>
      </c>
      <c r="U359">
        <v>301.26</v>
      </c>
      <c r="V359">
        <v>3</v>
      </c>
      <c r="W359" t="s">
        <v>55</v>
      </c>
      <c r="X359">
        <v>21</v>
      </c>
      <c r="Y359">
        <v>4</v>
      </c>
      <c r="Z359">
        <v>3</v>
      </c>
      <c r="AA359">
        <v>2</v>
      </c>
      <c r="AB359">
        <v>7</v>
      </c>
      <c r="AC359">
        <v>2</v>
      </c>
      <c r="AD359">
        <v>3</v>
      </c>
      <c r="AE359">
        <v>2</v>
      </c>
      <c r="AF359">
        <v>2</v>
      </c>
      <c r="AG359">
        <v>0</v>
      </c>
      <c r="AH359">
        <v>2</v>
      </c>
      <c r="AI359">
        <f t="shared" si="35"/>
        <v>0</v>
      </c>
      <c r="AJ359" t="str">
        <f t="shared" si="36"/>
        <v>2-3 yrs</v>
      </c>
      <c r="AK359" t="str">
        <f t="shared" si="37"/>
        <v>Recent</v>
      </c>
      <c r="AL359">
        <f t="shared" si="38"/>
        <v>0</v>
      </c>
      <c r="AM359" t="str">
        <f t="shared" si="39"/>
        <v>Minimal Risk</v>
      </c>
      <c r="AN359" s="6">
        <f t="shared" si="40"/>
        <v>-6.8030892152555644E-2</v>
      </c>
      <c r="AO359" s="7">
        <f t="shared" si="41"/>
        <v>578424</v>
      </c>
    </row>
    <row r="360" spans="1:41" x14ac:dyDescent="0.3">
      <c r="A360" t="s">
        <v>430</v>
      </c>
      <c r="B360">
        <v>30</v>
      </c>
      <c r="C360" t="s">
        <v>196</v>
      </c>
      <c r="D360" t="s">
        <v>55</v>
      </c>
      <c r="E360" t="s">
        <v>48</v>
      </c>
      <c r="F360">
        <v>946</v>
      </c>
      <c r="G360" t="s">
        <v>49</v>
      </c>
      <c r="H360">
        <v>2</v>
      </c>
      <c r="I360">
        <v>3</v>
      </c>
      <c r="J360" t="s">
        <v>58</v>
      </c>
      <c r="K360">
        <v>833</v>
      </c>
      <c r="L360">
        <v>3</v>
      </c>
      <c r="M360" t="s">
        <v>59</v>
      </c>
      <c r="N360">
        <v>2</v>
      </c>
      <c r="O360">
        <v>2</v>
      </c>
      <c r="P360" t="s">
        <v>120</v>
      </c>
      <c r="Q360">
        <v>4</v>
      </c>
      <c r="R360" t="s">
        <v>53</v>
      </c>
      <c r="S360">
        <v>33635</v>
      </c>
      <c r="T360" t="s">
        <v>72</v>
      </c>
      <c r="U360">
        <v>210.22</v>
      </c>
      <c r="V360">
        <v>5</v>
      </c>
      <c r="W360" t="s">
        <v>47</v>
      </c>
      <c r="X360">
        <v>24</v>
      </c>
      <c r="Y360">
        <v>4</v>
      </c>
      <c r="Z360">
        <v>2</v>
      </c>
      <c r="AA360">
        <v>0</v>
      </c>
      <c r="AB360">
        <v>12</v>
      </c>
      <c r="AC360">
        <v>4</v>
      </c>
      <c r="AD360">
        <v>2</v>
      </c>
      <c r="AE360">
        <v>0</v>
      </c>
      <c r="AF360">
        <v>0</v>
      </c>
      <c r="AG360">
        <v>0</v>
      </c>
      <c r="AH360">
        <v>0</v>
      </c>
      <c r="AI360">
        <f t="shared" si="35"/>
        <v>0</v>
      </c>
      <c r="AJ360" t="str">
        <f t="shared" si="36"/>
        <v>0-1 yr</v>
      </c>
      <c r="AK360" t="str">
        <f t="shared" si="37"/>
        <v>Recent</v>
      </c>
      <c r="AL360">
        <f t="shared" si="38"/>
        <v>2</v>
      </c>
      <c r="AM360" t="str">
        <f t="shared" si="39"/>
        <v>Medium Risk</v>
      </c>
      <c r="AN360" s="6">
        <f t="shared" si="40"/>
        <v>-0.24066496998122353</v>
      </c>
      <c r="AO360" s="7">
        <f t="shared" si="41"/>
        <v>403620</v>
      </c>
    </row>
    <row r="361" spans="1:41" x14ac:dyDescent="0.3">
      <c r="A361" t="s">
        <v>431</v>
      </c>
      <c r="B361">
        <v>30</v>
      </c>
      <c r="C361" t="s">
        <v>196</v>
      </c>
      <c r="D361" t="s">
        <v>55</v>
      </c>
      <c r="E361" t="s">
        <v>62</v>
      </c>
      <c r="F361">
        <v>1012</v>
      </c>
      <c r="G361" t="s">
        <v>49</v>
      </c>
      <c r="H361">
        <v>5</v>
      </c>
      <c r="I361">
        <v>4</v>
      </c>
      <c r="J361" t="s">
        <v>50</v>
      </c>
      <c r="K361">
        <v>861</v>
      </c>
      <c r="L361">
        <v>2</v>
      </c>
      <c r="M361" t="s">
        <v>51</v>
      </c>
      <c r="N361">
        <v>2</v>
      </c>
      <c r="O361">
        <v>1</v>
      </c>
      <c r="P361" t="s">
        <v>67</v>
      </c>
      <c r="Q361">
        <v>4</v>
      </c>
      <c r="R361" t="s">
        <v>53</v>
      </c>
      <c r="S361">
        <v>64208</v>
      </c>
      <c r="T361" t="s">
        <v>64</v>
      </c>
      <c r="U361">
        <v>401.3</v>
      </c>
      <c r="V361">
        <v>9</v>
      </c>
      <c r="W361" t="s">
        <v>55</v>
      </c>
      <c r="X361">
        <v>12</v>
      </c>
      <c r="Y361">
        <v>3</v>
      </c>
      <c r="Z361">
        <v>2</v>
      </c>
      <c r="AA361">
        <v>1</v>
      </c>
      <c r="AB361">
        <v>10</v>
      </c>
      <c r="AC361">
        <v>3</v>
      </c>
      <c r="AD361">
        <v>2</v>
      </c>
      <c r="AE361">
        <v>5</v>
      </c>
      <c r="AF361">
        <v>4</v>
      </c>
      <c r="AG361">
        <v>0</v>
      </c>
      <c r="AH361">
        <v>3</v>
      </c>
      <c r="AI361">
        <f t="shared" si="35"/>
        <v>0</v>
      </c>
      <c r="AJ361" t="str">
        <f t="shared" si="36"/>
        <v>4-5 yrs</v>
      </c>
      <c r="AK361" t="str">
        <f t="shared" si="37"/>
        <v>Recent</v>
      </c>
      <c r="AL361">
        <f t="shared" si="38"/>
        <v>1</v>
      </c>
      <c r="AM361" t="str">
        <f t="shared" si="39"/>
        <v>Low Risk</v>
      </c>
      <c r="AN361" s="6">
        <f t="shared" si="40"/>
        <v>0.28760815311008969</v>
      </c>
      <c r="AO361" s="7">
        <f t="shared" si="41"/>
        <v>770496</v>
      </c>
    </row>
    <row r="362" spans="1:41" x14ac:dyDescent="0.3">
      <c r="A362" t="s">
        <v>432</v>
      </c>
      <c r="B362">
        <v>30</v>
      </c>
      <c r="C362" t="s">
        <v>196</v>
      </c>
      <c r="D362" t="s">
        <v>55</v>
      </c>
      <c r="E362" t="s">
        <v>48</v>
      </c>
      <c r="F362">
        <v>231</v>
      </c>
      <c r="G362" t="s">
        <v>57</v>
      </c>
      <c r="H362">
        <v>8</v>
      </c>
      <c r="I362">
        <v>2</v>
      </c>
      <c r="J362" t="s">
        <v>82</v>
      </c>
      <c r="K362">
        <v>982</v>
      </c>
      <c r="L362">
        <v>3</v>
      </c>
      <c r="M362" t="s">
        <v>51</v>
      </c>
      <c r="N362">
        <v>3</v>
      </c>
      <c r="O362">
        <v>3</v>
      </c>
      <c r="P362" t="s">
        <v>145</v>
      </c>
      <c r="Q362">
        <v>3</v>
      </c>
      <c r="R362" t="s">
        <v>53</v>
      </c>
      <c r="S362">
        <v>34828</v>
      </c>
      <c r="T362" t="s">
        <v>72</v>
      </c>
      <c r="U362">
        <v>217.68</v>
      </c>
      <c r="V362">
        <v>5</v>
      </c>
      <c r="W362" t="s">
        <v>55</v>
      </c>
      <c r="X362">
        <v>11</v>
      </c>
      <c r="Y362">
        <v>3</v>
      </c>
      <c r="Z362">
        <v>1</v>
      </c>
      <c r="AA362">
        <v>1</v>
      </c>
      <c r="AB362">
        <v>10</v>
      </c>
      <c r="AC362">
        <v>2</v>
      </c>
      <c r="AD362">
        <v>4</v>
      </c>
      <c r="AE362">
        <v>8</v>
      </c>
      <c r="AF362">
        <v>4</v>
      </c>
      <c r="AG362">
        <v>7</v>
      </c>
      <c r="AH362">
        <v>7</v>
      </c>
      <c r="AI362">
        <f t="shared" si="35"/>
        <v>0</v>
      </c>
      <c r="AJ362" t="str">
        <f t="shared" si="36"/>
        <v>6-10 yrs</v>
      </c>
      <c r="AK362" t="str">
        <f t="shared" si="37"/>
        <v>Overdue</v>
      </c>
      <c r="AL362">
        <f t="shared" si="38"/>
        <v>1</v>
      </c>
      <c r="AM362" t="str">
        <f t="shared" si="39"/>
        <v>Low Risk</v>
      </c>
      <c r="AN362" s="6">
        <f t="shared" si="40"/>
        <v>-0.29006438137326779</v>
      </c>
      <c r="AO362" s="7">
        <f t="shared" si="41"/>
        <v>417936</v>
      </c>
    </row>
    <row r="363" spans="1:41" x14ac:dyDescent="0.3">
      <c r="A363" t="s">
        <v>433</v>
      </c>
      <c r="B363">
        <v>30</v>
      </c>
      <c r="C363" t="s">
        <v>196</v>
      </c>
      <c r="D363" t="s">
        <v>47</v>
      </c>
      <c r="E363" t="s">
        <v>48</v>
      </c>
      <c r="F363">
        <v>138</v>
      </c>
      <c r="G363" t="s">
        <v>49</v>
      </c>
      <c r="H363">
        <v>22</v>
      </c>
      <c r="I363">
        <v>3</v>
      </c>
      <c r="J363" t="s">
        <v>50</v>
      </c>
      <c r="K363">
        <v>1004</v>
      </c>
      <c r="L363">
        <v>1</v>
      </c>
      <c r="M363" t="s">
        <v>59</v>
      </c>
      <c r="N363">
        <v>3</v>
      </c>
      <c r="O363">
        <v>1</v>
      </c>
      <c r="P363" t="s">
        <v>67</v>
      </c>
      <c r="Q363">
        <v>3</v>
      </c>
      <c r="R363" t="s">
        <v>113</v>
      </c>
      <c r="S363">
        <v>19711</v>
      </c>
      <c r="T363" t="s">
        <v>54</v>
      </c>
      <c r="U363">
        <v>123.19</v>
      </c>
      <c r="V363">
        <v>4</v>
      </c>
      <c r="W363" t="s">
        <v>47</v>
      </c>
      <c r="X363">
        <v>11</v>
      </c>
      <c r="Y363">
        <v>3</v>
      </c>
      <c r="Z363">
        <v>2</v>
      </c>
      <c r="AA363">
        <v>0</v>
      </c>
      <c r="AB363">
        <v>7</v>
      </c>
      <c r="AC363">
        <v>2</v>
      </c>
      <c r="AD363">
        <v>3</v>
      </c>
      <c r="AE363">
        <v>5</v>
      </c>
      <c r="AF363">
        <v>2</v>
      </c>
      <c r="AG363">
        <v>0</v>
      </c>
      <c r="AH363">
        <v>1</v>
      </c>
      <c r="AI363">
        <f t="shared" si="35"/>
        <v>1</v>
      </c>
      <c r="AJ363" t="str">
        <f t="shared" si="36"/>
        <v>4-5 yrs</v>
      </c>
      <c r="AK363" t="str">
        <f t="shared" si="37"/>
        <v>Recent</v>
      </c>
      <c r="AL363">
        <f t="shared" si="38"/>
        <v>1</v>
      </c>
      <c r="AM363" t="str">
        <f t="shared" si="39"/>
        <v>Low Risk</v>
      </c>
      <c r="AN363" s="6">
        <f t="shared" si="40"/>
        <v>-0.60472146296484897</v>
      </c>
      <c r="AO363" s="7">
        <f t="shared" si="41"/>
        <v>236532</v>
      </c>
    </row>
    <row r="364" spans="1:41" x14ac:dyDescent="0.3">
      <c r="A364" t="s">
        <v>434</v>
      </c>
      <c r="B364">
        <v>30</v>
      </c>
      <c r="C364" t="s">
        <v>196</v>
      </c>
      <c r="D364" t="s">
        <v>55</v>
      </c>
      <c r="E364" t="s">
        <v>48</v>
      </c>
      <c r="F364">
        <v>153</v>
      </c>
      <c r="G364" t="s">
        <v>49</v>
      </c>
      <c r="H364">
        <v>8</v>
      </c>
      <c r="I364">
        <v>2</v>
      </c>
      <c r="J364" t="s">
        <v>50</v>
      </c>
      <c r="K364">
        <v>1015</v>
      </c>
      <c r="L364">
        <v>2</v>
      </c>
      <c r="M364" t="s">
        <v>59</v>
      </c>
      <c r="N364">
        <v>4</v>
      </c>
      <c r="O364">
        <v>3</v>
      </c>
      <c r="P364" t="s">
        <v>257</v>
      </c>
      <c r="Q364">
        <v>1</v>
      </c>
      <c r="R364" t="s">
        <v>113</v>
      </c>
      <c r="S364">
        <v>4420</v>
      </c>
      <c r="T364" t="s">
        <v>54</v>
      </c>
      <c r="U364">
        <v>27.62</v>
      </c>
      <c r="V364">
        <v>0</v>
      </c>
      <c r="W364" t="s">
        <v>47</v>
      </c>
      <c r="X364">
        <v>12</v>
      </c>
      <c r="Y364">
        <v>3</v>
      </c>
      <c r="Z364">
        <v>3</v>
      </c>
      <c r="AA364">
        <v>3</v>
      </c>
      <c r="AB364">
        <v>9</v>
      </c>
      <c r="AC364">
        <v>4</v>
      </c>
      <c r="AD364">
        <v>2</v>
      </c>
      <c r="AE364">
        <v>8</v>
      </c>
      <c r="AF364">
        <v>7</v>
      </c>
      <c r="AG364">
        <v>1</v>
      </c>
      <c r="AH364">
        <v>7</v>
      </c>
      <c r="AI364">
        <f t="shared" si="35"/>
        <v>0</v>
      </c>
      <c r="AJ364" t="str">
        <f t="shared" si="36"/>
        <v>6-10 yrs</v>
      </c>
      <c r="AK364" t="str">
        <f t="shared" si="37"/>
        <v>Recent</v>
      </c>
      <c r="AL364">
        <f t="shared" si="38"/>
        <v>3</v>
      </c>
      <c r="AM364" t="str">
        <f t="shared" si="39"/>
        <v>High Risk</v>
      </c>
      <c r="AN364" s="6">
        <f t="shared" si="40"/>
        <v>-0.91275697339729178</v>
      </c>
      <c r="AO364" s="7">
        <f t="shared" si="41"/>
        <v>53040</v>
      </c>
    </row>
    <row r="365" spans="1:41" x14ac:dyDescent="0.3">
      <c r="A365" t="s">
        <v>435</v>
      </c>
      <c r="B365">
        <v>30</v>
      </c>
      <c r="C365" t="s">
        <v>196</v>
      </c>
      <c r="D365" t="s">
        <v>47</v>
      </c>
      <c r="E365" t="s">
        <v>62</v>
      </c>
      <c r="F365">
        <v>109</v>
      </c>
      <c r="G365" t="s">
        <v>49</v>
      </c>
      <c r="H365">
        <v>5</v>
      </c>
      <c r="I365">
        <v>3</v>
      </c>
      <c r="J365" t="s">
        <v>58</v>
      </c>
      <c r="K365">
        <v>1017</v>
      </c>
      <c r="L365">
        <v>2</v>
      </c>
      <c r="M365" t="s">
        <v>59</v>
      </c>
      <c r="N365">
        <v>3</v>
      </c>
      <c r="O365">
        <v>1</v>
      </c>
      <c r="P365" t="s">
        <v>52</v>
      </c>
      <c r="Q365">
        <v>2</v>
      </c>
      <c r="R365" t="s">
        <v>53</v>
      </c>
      <c r="S365">
        <v>97752</v>
      </c>
      <c r="T365" t="s">
        <v>70</v>
      </c>
      <c r="U365">
        <v>610.95000000000005</v>
      </c>
      <c r="V365">
        <v>0</v>
      </c>
      <c r="W365" t="s">
        <v>55</v>
      </c>
      <c r="X365">
        <v>17</v>
      </c>
      <c r="Y365">
        <v>3</v>
      </c>
      <c r="Z365">
        <v>1</v>
      </c>
      <c r="AA365">
        <v>0</v>
      </c>
      <c r="AB365">
        <v>4</v>
      </c>
      <c r="AC365">
        <v>3</v>
      </c>
      <c r="AD365">
        <v>3</v>
      </c>
      <c r="AE365">
        <v>3</v>
      </c>
      <c r="AF365">
        <v>2</v>
      </c>
      <c r="AG365">
        <v>1</v>
      </c>
      <c r="AH365">
        <v>2</v>
      </c>
      <c r="AI365">
        <f t="shared" si="35"/>
        <v>1</v>
      </c>
      <c r="AJ365" t="str">
        <f t="shared" si="36"/>
        <v>2-3 yrs</v>
      </c>
      <c r="AK365" t="str">
        <f t="shared" si="37"/>
        <v>Recent</v>
      </c>
      <c r="AL365">
        <f t="shared" si="38"/>
        <v>1</v>
      </c>
      <c r="AM365" t="str">
        <f t="shared" si="39"/>
        <v>Low Risk</v>
      </c>
      <c r="AN365" s="6">
        <f t="shared" si="40"/>
        <v>0.89000133252361691</v>
      </c>
      <c r="AO365" s="7">
        <f t="shared" si="41"/>
        <v>1173024</v>
      </c>
    </row>
    <row r="366" spans="1:41" x14ac:dyDescent="0.3">
      <c r="A366" t="s">
        <v>436</v>
      </c>
      <c r="B366">
        <v>30</v>
      </c>
      <c r="C366" t="s">
        <v>196</v>
      </c>
      <c r="D366" t="s">
        <v>55</v>
      </c>
      <c r="E366" t="s">
        <v>48</v>
      </c>
      <c r="F366">
        <v>1176</v>
      </c>
      <c r="G366" t="s">
        <v>49</v>
      </c>
      <c r="H366">
        <v>20</v>
      </c>
      <c r="I366">
        <v>3</v>
      </c>
      <c r="J366" t="s">
        <v>82</v>
      </c>
      <c r="K366">
        <v>1084</v>
      </c>
      <c r="L366">
        <v>3</v>
      </c>
      <c r="M366" t="s">
        <v>51</v>
      </c>
      <c r="N366">
        <v>3</v>
      </c>
      <c r="O366">
        <v>2</v>
      </c>
      <c r="P366" t="s">
        <v>120</v>
      </c>
      <c r="Q366">
        <v>1</v>
      </c>
      <c r="R366" t="s">
        <v>113</v>
      </c>
      <c r="S366">
        <v>1301</v>
      </c>
      <c r="T366" t="s">
        <v>54</v>
      </c>
      <c r="U366">
        <v>8.1300000000000008</v>
      </c>
      <c r="V366">
        <v>0</v>
      </c>
      <c r="W366" t="s">
        <v>55</v>
      </c>
      <c r="X366">
        <v>15</v>
      </c>
      <c r="Y366">
        <v>3</v>
      </c>
      <c r="Z366">
        <v>3</v>
      </c>
      <c r="AA366">
        <v>1</v>
      </c>
      <c r="AB366">
        <v>7</v>
      </c>
      <c r="AC366">
        <v>1</v>
      </c>
      <c r="AD366">
        <v>2</v>
      </c>
      <c r="AE366">
        <v>6</v>
      </c>
      <c r="AF366">
        <v>2</v>
      </c>
      <c r="AG366">
        <v>0</v>
      </c>
      <c r="AH366">
        <v>2</v>
      </c>
      <c r="AI366">
        <f t="shared" si="35"/>
        <v>0</v>
      </c>
      <c r="AJ366" t="str">
        <f t="shared" si="36"/>
        <v>6-10 yrs</v>
      </c>
      <c r="AK366" t="str">
        <f t="shared" si="37"/>
        <v>Recent</v>
      </c>
      <c r="AL366">
        <f t="shared" si="38"/>
        <v>2</v>
      </c>
      <c r="AM366" t="str">
        <f t="shared" si="39"/>
        <v>Medium Risk</v>
      </c>
      <c r="AN366" s="6">
        <f t="shared" si="40"/>
        <v>-0.97062896167520651</v>
      </c>
      <c r="AO366" s="7">
        <f t="shared" si="41"/>
        <v>15612</v>
      </c>
    </row>
    <row r="367" spans="1:41" x14ac:dyDescent="0.3">
      <c r="A367" t="s">
        <v>437</v>
      </c>
      <c r="B367">
        <v>30</v>
      </c>
      <c r="C367" t="s">
        <v>196</v>
      </c>
      <c r="D367" t="s">
        <v>55</v>
      </c>
      <c r="E367" t="s">
        <v>48</v>
      </c>
      <c r="F367">
        <v>852</v>
      </c>
      <c r="G367" t="s">
        <v>57</v>
      </c>
      <c r="H367">
        <v>10</v>
      </c>
      <c r="I367">
        <v>3</v>
      </c>
      <c r="J367" t="s">
        <v>63</v>
      </c>
      <c r="K367">
        <v>1179</v>
      </c>
      <c r="L367">
        <v>3</v>
      </c>
      <c r="M367" t="s">
        <v>51</v>
      </c>
      <c r="N367">
        <v>2</v>
      </c>
      <c r="O367">
        <v>2</v>
      </c>
      <c r="P367" t="s">
        <v>145</v>
      </c>
      <c r="Q367">
        <v>3</v>
      </c>
      <c r="R367" t="s">
        <v>113</v>
      </c>
      <c r="S367">
        <v>46236</v>
      </c>
      <c r="T367" t="s">
        <v>72</v>
      </c>
      <c r="U367">
        <v>288.98</v>
      </c>
      <c r="V367">
        <v>1</v>
      </c>
      <c r="W367" t="s">
        <v>55</v>
      </c>
      <c r="X367">
        <v>18</v>
      </c>
      <c r="Y367">
        <v>3</v>
      </c>
      <c r="Z367">
        <v>1</v>
      </c>
      <c r="AA367">
        <v>1</v>
      </c>
      <c r="AB367">
        <v>10</v>
      </c>
      <c r="AC367">
        <v>3</v>
      </c>
      <c r="AD367">
        <v>3</v>
      </c>
      <c r="AE367">
        <v>10</v>
      </c>
      <c r="AF367">
        <v>3</v>
      </c>
      <c r="AG367">
        <v>1</v>
      </c>
      <c r="AH367">
        <v>4</v>
      </c>
      <c r="AI367">
        <f t="shared" si="35"/>
        <v>0</v>
      </c>
      <c r="AJ367" t="str">
        <f t="shared" si="36"/>
        <v>6-10 yrs</v>
      </c>
      <c r="AK367" t="str">
        <f t="shared" si="37"/>
        <v>Recent</v>
      </c>
      <c r="AL367">
        <f t="shared" si="38"/>
        <v>0</v>
      </c>
      <c r="AM367" t="str">
        <f t="shared" si="39"/>
        <v>Minimal Risk</v>
      </c>
      <c r="AN367" s="6">
        <f t="shared" si="40"/>
        <v>-5.7523163465441847E-2</v>
      </c>
      <c r="AO367" s="7">
        <f t="shared" si="41"/>
        <v>554832</v>
      </c>
    </row>
    <row r="368" spans="1:41" x14ac:dyDescent="0.3">
      <c r="A368" t="s">
        <v>438</v>
      </c>
      <c r="B368">
        <v>30</v>
      </c>
      <c r="C368" t="s">
        <v>196</v>
      </c>
      <c r="D368" t="s">
        <v>55</v>
      </c>
      <c r="E368" t="s">
        <v>48</v>
      </c>
      <c r="F368">
        <v>1329</v>
      </c>
      <c r="G368" t="s">
        <v>57</v>
      </c>
      <c r="H368">
        <v>29</v>
      </c>
      <c r="I368">
        <v>4</v>
      </c>
      <c r="J368" t="s">
        <v>50</v>
      </c>
      <c r="K368">
        <v>1211</v>
      </c>
      <c r="L368">
        <v>3</v>
      </c>
      <c r="M368" t="s">
        <v>51</v>
      </c>
      <c r="N368">
        <v>3</v>
      </c>
      <c r="O368">
        <v>2</v>
      </c>
      <c r="P368" t="s">
        <v>145</v>
      </c>
      <c r="Q368">
        <v>1</v>
      </c>
      <c r="R368" t="s">
        <v>53</v>
      </c>
      <c r="S368">
        <v>67235</v>
      </c>
      <c r="T368" t="s">
        <v>64</v>
      </c>
      <c r="U368">
        <v>420.22</v>
      </c>
      <c r="V368">
        <v>8</v>
      </c>
      <c r="W368" t="s">
        <v>55</v>
      </c>
      <c r="X368">
        <v>19</v>
      </c>
      <c r="Y368">
        <v>3</v>
      </c>
      <c r="Z368">
        <v>3</v>
      </c>
      <c r="AA368">
        <v>3</v>
      </c>
      <c r="AB368">
        <v>8</v>
      </c>
      <c r="AC368">
        <v>3</v>
      </c>
      <c r="AD368">
        <v>3</v>
      </c>
      <c r="AE368">
        <v>4</v>
      </c>
      <c r="AF368">
        <v>3</v>
      </c>
      <c r="AG368">
        <v>0</v>
      </c>
      <c r="AH368">
        <v>3</v>
      </c>
      <c r="AI368">
        <f t="shared" si="35"/>
        <v>0</v>
      </c>
      <c r="AJ368" t="str">
        <f t="shared" si="36"/>
        <v>4-5 yrs</v>
      </c>
      <c r="AK368" t="str">
        <f t="shared" si="37"/>
        <v>Recent</v>
      </c>
      <c r="AL368">
        <f t="shared" si="38"/>
        <v>1</v>
      </c>
      <c r="AM368" t="str">
        <f t="shared" si="39"/>
        <v>Low Risk</v>
      </c>
      <c r="AN368" s="6">
        <f t="shared" si="40"/>
        <v>0.37052145740118125</v>
      </c>
      <c r="AO368" s="7">
        <f t="shared" si="41"/>
        <v>806820</v>
      </c>
    </row>
    <row r="369" spans="1:41" x14ac:dyDescent="0.3">
      <c r="A369" t="s">
        <v>439</v>
      </c>
      <c r="B369">
        <v>30</v>
      </c>
      <c r="C369" t="s">
        <v>196</v>
      </c>
      <c r="D369" t="s">
        <v>55</v>
      </c>
      <c r="E369" t="s">
        <v>48</v>
      </c>
      <c r="F369">
        <v>853</v>
      </c>
      <c r="G369" t="s">
        <v>49</v>
      </c>
      <c r="H369">
        <v>7</v>
      </c>
      <c r="I369">
        <v>4</v>
      </c>
      <c r="J369" t="s">
        <v>50</v>
      </c>
      <c r="K369">
        <v>1224</v>
      </c>
      <c r="L369">
        <v>3</v>
      </c>
      <c r="M369" t="s">
        <v>51</v>
      </c>
      <c r="N369">
        <v>3</v>
      </c>
      <c r="O369">
        <v>2</v>
      </c>
      <c r="P369" t="s">
        <v>52</v>
      </c>
      <c r="Q369">
        <v>3</v>
      </c>
      <c r="R369" t="s">
        <v>53</v>
      </c>
      <c r="S369">
        <v>55240</v>
      </c>
      <c r="T369" t="s">
        <v>64</v>
      </c>
      <c r="U369">
        <v>345.25</v>
      </c>
      <c r="V369">
        <v>1</v>
      </c>
      <c r="W369" t="s">
        <v>55</v>
      </c>
      <c r="X369">
        <v>13</v>
      </c>
      <c r="Y369">
        <v>3</v>
      </c>
      <c r="Z369">
        <v>1</v>
      </c>
      <c r="AA369">
        <v>3</v>
      </c>
      <c r="AB369">
        <v>10</v>
      </c>
      <c r="AC369">
        <v>4</v>
      </c>
      <c r="AD369">
        <v>2</v>
      </c>
      <c r="AE369">
        <v>10</v>
      </c>
      <c r="AF369">
        <v>7</v>
      </c>
      <c r="AG369">
        <v>8</v>
      </c>
      <c r="AH369">
        <v>9</v>
      </c>
      <c r="AI369">
        <f t="shared" si="35"/>
        <v>0</v>
      </c>
      <c r="AJ369" t="str">
        <f t="shared" si="36"/>
        <v>6-10 yrs</v>
      </c>
      <c r="AK369" t="str">
        <f t="shared" si="37"/>
        <v>Overdue</v>
      </c>
      <c r="AL369">
        <f t="shared" si="38"/>
        <v>2</v>
      </c>
      <c r="AM369" t="str">
        <f t="shared" si="39"/>
        <v>Medium Risk</v>
      </c>
      <c r="AN369" s="6">
        <f t="shared" si="40"/>
        <v>6.8046419598623009E-2</v>
      </c>
      <c r="AO369" s="7">
        <f t="shared" si="41"/>
        <v>662880</v>
      </c>
    </row>
    <row r="370" spans="1:41" x14ac:dyDescent="0.3">
      <c r="A370" t="s">
        <v>440</v>
      </c>
      <c r="B370">
        <v>30</v>
      </c>
      <c r="C370" t="s">
        <v>196</v>
      </c>
      <c r="D370" t="s">
        <v>55</v>
      </c>
      <c r="E370" t="s">
        <v>48</v>
      </c>
      <c r="F370">
        <v>1465</v>
      </c>
      <c r="G370" t="s">
        <v>49</v>
      </c>
      <c r="H370">
        <v>1</v>
      </c>
      <c r="I370">
        <v>3</v>
      </c>
      <c r="J370" t="s">
        <v>58</v>
      </c>
      <c r="K370">
        <v>1241</v>
      </c>
      <c r="L370">
        <v>4</v>
      </c>
      <c r="M370" t="s">
        <v>51</v>
      </c>
      <c r="N370">
        <v>3</v>
      </c>
      <c r="O370">
        <v>1</v>
      </c>
      <c r="P370" t="s">
        <v>67</v>
      </c>
      <c r="Q370">
        <v>2</v>
      </c>
      <c r="R370" t="s">
        <v>113</v>
      </c>
      <c r="S370">
        <v>66726</v>
      </c>
      <c r="T370" t="s">
        <v>64</v>
      </c>
      <c r="U370">
        <v>417.04</v>
      </c>
      <c r="V370">
        <v>0</v>
      </c>
      <c r="W370" t="s">
        <v>47</v>
      </c>
      <c r="X370">
        <v>21</v>
      </c>
      <c r="Y370">
        <v>4</v>
      </c>
      <c r="Z370">
        <v>1</v>
      </c>
      <c r="AA370">
        <v>1</v>
      </c>
      <c r="AB370">
        <v>12</v>
      </c>
      <c r="AC370">
        <v>2</v>
      </c>
      <c r="AD370">
        <v>3</v>
      </c>
      <c r="AE370">
        <v>11</v>
      </c>
      <c r="AF370">
        <v>9</v>
      </c>
      <c r="AG370">
        <v>5</v>
      </c>
      <c r="AH370">
        <v>7</v>
      </c>
      <c r="AI370">
        <f t="shared" si="35"/>
        <v>0</v>
      </c>
      <c r="AJ370" t="str">
        <f t="shared" si="36"/>
        <v>10+ yrs</v>
      </c>
      <c r="AK370" t="str">
        <f t="shared" si="37"/>
        <v>Overdue</v>
      </c>
      <c r="AL370">
        <f t="shared" si="38"/>
        <v>3</v>
      </c>
      <c r="AM370" t="str">
        <f t="shared" si="39"/>
        <v>High Risk</v>
      </c>
      <c r="AN370" s="6">
        <f t="shared" si="40"/>
        <v>0.33810337690667591</v>
      </c>
      <c r="AO370" s="7">
        <f t="shared" si="41"/>
        <v>800712</v>
      </c>
    </row>
    <row r="371" spans="1:41" x14ac:dyDescent="0.3">
      <c r="A371" t="s">
        <v>441</v>
      </c>
      <c r="B371">
        <v>30</v>
      </c>
      <c r="C371" t="s">
        <v>196</v>
      </c>
      <c r="D371" t="s">
        <v>55</v>
      </c>
      <c r="E371" t="s">
        <v>66</v>
      </c>
      <c r="F371">
        <v>879</v>
      </c>
      <c r="G371" t="s">
        <v>49</v>
      </c>
      <c r="H371">
        <v>9</v>
      </c>
      <c r="I371">
        <v>2</v>
      </c>
      <c r="J371" t="s">
        <v>58</v>
      </c>
      <c r="K371">
        <v>1298</v>
      </c>
      <c r="L371">
        <v>3</v>
      </c>
      <c r="M371" t="s">
        <v>59</v>
      </c>
      <c r="N371">
        <v>3</v>
      </c>
      <c r="O371">
        <v>2</v>
      </c>
      <c r="P371" t="s">
        <v>120</v>
      </c>
      <c r="Q371">
        <v>3</v>
      </c>
      <c r="R371" t="s">
        <v>53</v>
      </c>
      <c r="S371">
        <v>11492</v>
      </c>
      <c r="T371" t="s">
        <v>54</v>
      </c>
      <c r="U371">
        <v>71.819999999999993</v>
      </c>
      <c r="V371">
        <v>7</v>
      </c>
      <c r="W371" t="s">
        <v>47</v>
      </c>
      <c r="X371">
        <v>18</v>
      </c>
      <c r="Y371">
        <v>3</v>
      </c>
      <c r="Z371">
        <v>3</v>
      </c>
      <c r="AA371">
        <v>0</v>
      </c>
      <c r="AB371">
        <v>10</v>
      </c>
      <c r="AC371">
        <v>3</v>
      </c>
      <c r="AD371">
        <v>3</v>
      </c>
      <c r="AE371">
        <v>8</v>
      </c>
      <c r="AF371">
        <v>4</v>
      </c>
      <c r="AG371">
        <v>1</v>
      </c>
      <c r="AH371">
        <v>7</v>
      </c>
      <c r="AI371">
        <f t="shared" si="35"/>
        <v>0</v>
      </c>
      <c r="AJ371" t="str">
        <f t="shared" si="36"/>
        <v>6-10 yrs</v>
      </c>
      <c r="AK371" t="str">
        <f t="shared" si="37"/>
        <v>Recent</v>
      </c>
      <c r="AL371">
        <f t="shared" si="38"/>
        <v>1</v>
      </c>
      <c r="AM371" t="str">
        <f t="shared" si="39"/>
        <v>Low Risk</v>
      </c>
      <c r="AN371" s="6">
        <f t="shared" si="40"/>
        <v>-0.74055959075439926</v>
      </c>
      <c r="AO371" s="7">
        <f t="shared" si="41"/>
        <v>137904</v>
      </c>
    </row>
    <row r="372" spans="1:41" x14ac:dyDescent="0.3">
      <c r="A372" t="s">
        <v>442</v>
      </c>
      <c r="B372">
        <v>30</v>
      </c>
      <c r="C372" t="s">
        <v>196</v>
      </c>
      <c r="D372" t="s">
        <v>55</v>
      </c>
      <c r="E372" t="s">
        <v>48</v>
      </c>
      <c r="F372">
        <v>1138</v>
      </c>
      <c r="G372" t="s">
        <v>49</v>
      </c>
      <c r="H372">
        <v>6</v>
      </c>
      <c r="I372">
        <v>3</v>
      </c>
      <c r="J372" t="s">
        <v>77</v>
      </c>
      <c r="K372">
        <v>1311</v>
      </c>
      <c r="L372">
        <v>1</v>
      </c>
      <c r="M372" t="s">
        <v>59</v>
      </c>
      <c r="N372">
        <v>2</v>
      </c>
      <c r="O372">
        <v>2</v>
      </c>
      <c r="P372" t="s">
        <v>52</v>
      </c>
      <c r="Q372">
        <v>4</v>
      </c>
      <c r="R372" t="s">
        <v>113</v>
      </c>
      <c r="S372">
        <v>7102</v>
      </c>
      <c r="T372" t="s">
        <v>54</v>
      </c>
      <c r="U372">
        <v>44.39</v>
      </c>
      <c r="V372">
        <v>0</v>
      </c>
      <c r="W372" t="s">
        <v>55</v>
      </c>
      <c r="X372">
        <v>12</v>
      </c>
      <c r="Y372">
        <v>3</v>
      </c>
      <c r="Z372">
        <v>1</v>
      </c>
      <c r="AA372">
        <v>1</v>
      </c>
      <c r="AB372">
        <v>10</v>
      </c>
      <c r="AC372">
        <v>6</v>
      </c>
      <c r="AD372">
        <v>3</v>
      </c>
      <c r="AE372">
        <v>9</v>
      </c>
      <c r="AF372">
        <v>2</v>
      </c>
      <c r="AG372">
        <v>6</v>
      </c>
      <c r="AH372">
        <v>7</v>
      </c>
      <c r="AI372">
        <f t="shared" si="35"/>
        <v>0</v>
      </c>
      <c r="AJ372" t="str">
        <f t="shared" si="36"/>
        <v>6-10 yrs</v>
      </c>
      <c r="AK372" t="str">
        <f t="shared" si="37"/>
        <v>Overdue</v>
      </c>
      <c r="AL372">
        <f t="shared" si="38"/>
        <v>1</v>
      </c>
      <c r="AM372" t="str">
        <f t="shared" si="39"/>
        <v>Low Risk</v>
      </c>
      <c r="AN372" s="6">
        <f t="shared" si="40"/>
        <v>-0.86268527023914876</v>
      </c>
      <c r="AO372" s="7">
        <f t="shared" si="41"/>
        <v>85224</v>
      </c>
    </row>
    <row r="373" spans="1:41" x14ac:dyDescent="0.3">
      <c r="A373" t="s">
        <v>443</v>
      </c>
      <c r="B373">
        <v>30</v>
      </c>
      <c r="C373" t="s">
        <v>196</v>
      </c>
      <c r="D373" t="s">
        <v>55</v>
      </c>
      <c r="E373" t="s">
        <v>48</v>
      </c>
      <c r="F373">
        <v>634</v>
      </c>
      <c r="G373" t="s">
        <v>49</v>
      </c>
      <c r="H373">
        <v>17</v>
      </c>
      <c r="I373">
        <v>4</v>
      </c>
      <c r="J373" t="s">
        <v>58</v>
      </c>
      <c r="K373">
        <v>1321</v>
      </c>
      <c r="L373">
        <v>2</v>
      </c>
      <c r="M373" t="s">
        <v>59</v>
      </c>
      <c r="N373">
        <v>3</v>
      </c>
      <c r="O373">
        <v>3</v>
      </c>
      <c r="P373" t="s">
        <v>444</v>
      </c>
      <c r="Q373">
        <v>1</v>
      </c>
      <c r="R373" t="s">
        <v>113</v>
      </c>
      <c r="S373">
        <v>51336</v>
      </c>
      <c r="T373" t="s">
        <v>64</v>
      </c>
      <c r="U373">
        <v>320.85000000000002</v>
      </c>
      <c r="V373">
        <v>1</v>
      </c>
      <c r="W373" t="s">
        <v>47</v>
      </c>
      <c r="X373">
        <v>23</v>
      </c>
      <c r="Y373">
        <v>4</v>
      </c>
      <c r="Z373">
        <v>4</v>
      </c>
      <c r="AA373">
        <v>2</v>
      </c>
      <c r="AB373">
        <v>9</v>
      </c>
      <c r="AC373">
        <v>2</v>
      </c>
      <c r="AD373">
        <v>3</v>
      </c>
      <c r="AE373">
        <v>9</v>
      </c>
      <c r="AF373">
        <v>1</v>
      </c>
      <c r="AG373">
        <v>0</v>
      </c>
      <c r="AH373">
        <v>8</v>
      </c>
      <c r="AI373">
        <f t="shared" si="35"/>
        <v>0</v>
      </c>
      <c r="AJ373" t="str">
        <f t="shared" si="36"/>
        <v>6-10 yrs</v>
      </c>
      <c r="AK373" t="str">
        <f t="shared" si="37"/>
        <v>Recent</v>
      </c>
      <c r="AL373">
        <f t="shared" si="38"/>
        <v>2</v>
      </c>
      <c r="AM373" t="str">
        <f t="shared" si="39"/>
        <v>Medium Risk</v>
      </c>
      <c r="AN373" s="6">
        <f t="shared" si="40"/>
        <v>-1.6519953690938852E-2</v>
      </c>
      <c r="AO373" s="7">
        <f t="shared" si="41"/>
        <v>616032</v>
      </c>
    </row>
    <row r="374" spans="1:41" x14ac:dyDescent="0.3">
      <c r="A374" t="s">
        <v>445</v>
      </c>
      <c r="B374">
        <v>30</v>
      </c>
      <c r="C374" t="s">
        <v>196</v>
      </c>
      <c r="D374" t="s">
        <v>55</v>
      </c>
      <c r="E374" t="s">
        <v>48</v>
      </c>
      <c r="F374">
        <v>855</v>
      </c>
      <c r="G374" t="s">
        <v>57</v>
      </c>
      <c r="H374">
        <v>7</v>
      </c>
      <c r="I374">
        <v>4</v>
      </c>
      <c r="J374" t="s">
        <v>63</v>
      </c>
      <c r="K374">
        <v>1428</v>
      </c>
      <c r="L374">
        <v>4</v>
      </c>
      <c r="M374" t="s">
        <v>59</v>
      </c>
      <c r="N374">
        <v>3</v>
      </c>
      <c r="O374">
        <v>2</v>
      </c>
      <c r="P374" t="s">
        <v>145</v>
      </c>
      <c r="Q374">
        <v>1</v>
      </c>
      <c r="R374" t="s">
        <v>53</v>
      </c>
      <c r="S374">
        <v>86314</v>
      </c>
      <c r="T374" t="s">
        <v>70</v>
      </c>
      <c r="U374">
        <v>539.46</v>
      </c>
      <c r="V374">
        <v>7</v>
      </c>
      <c r="W374" t="s">
        <v>55</v>
      </c>
      <c r="X374">
        <v>14</v>
      </c>
      <c r="Y374">
        <v>3</v>
      </c>
      <c r="Z374">
        <v>2</v>
      </c>
      <c r="AA374">
        <v>2</v>
      </c>
      <c r="AB374">
        <v>8</v>
      </c>
      <c r="AC374">
        <v>3</v>
      </c>
      <c r="AD374">
        <v>3</v>
      </c>
      <c r="AE374">
        <v>3</v>
      </c>
      <c r="AF374">
        <v>2</v>
      </c>
      <c r="AG374">
        <v>0</v>
      </c>
      <c r="AH374">
        <v>2</v>
      </c>
      <c r="AI374">
        <f t="shared" si="35"/>
        <v>0</v>
      </c>
      <c r="AJ374" t="str">
        <f t="shared" si="36"/>
        <v>2-3 yrs</v>
      </c>
      <c r="AK374" t="str">
        <f t="shared" si="37"/>
        <v>Recent</v>
      </c>
      <c r="AL374">
        <f t="shared" si="38"/>
        <v>1</v>
      </c>
      <c r="AM374" t="str">
        <f t="shared" si="39"/>
        <v>Low Risk</v>
      </c>
      <c r="AN374" s="6">
        <f t="shared" si="40"/>
        <v>0.75942870638990945</v>
      </c>
      <c r="AO374" s="7">
        <f t="shared" si="41"/>
        <v>1035768</v>
      </c>
    </row>
    <row r="375" spans="1:41" x14ac:dyDescent="0.3">
      <c r="A375" t="s">
        <v>446</v>
      </c>
      <c r="B375">
        <v>30</v>
      </c>
      <c r="C375" t="s">
        <v>196</v>
      </c>
      <c r="D375" t="s">
        <v>55</v>
      </c>
      <c r="E375" t="s">
        <v>48</v>
      </c>
      <c r="F375">
        <v>1358</v>
      </c>
      <c r="G375" t="s">
        <v>57</v>
      </c>
      <c r="H375">
        <v>16</v>
      </c>
      <c r="I375">
        <v>1</v>
      </c>
      <c r="J375" t="s">
        <v>50</v>
      </c>
      <c r="K375">
        <v>1479</v>
      </c>
      <c r="L375">
        <v>4</v>
      </c>
      <c r="M375" t="s">
        <v>51</v>
      </c>
      <c r="N375">
        <v>3</v>
      </c>
      <c r="O375">
        <v>2</v>
      </c>
      <c r="P375" t="s">
        <v>145</v>
      </c>
      <c r="Q375">
        <v>3</v>
      </c>
      <c r="R375" t="s">
        <v>113</v>
      </c>
      <c r="S375">
        <v>27641</v>
      </c>
      <c r="T375" t="s">
        <v>72</v>
      </c>
      <c r="U375">
        <v>172.76</v>
      </c>
      <c r="V375">
        <v>8</v>
      </c>
      <c r="W375" t="s">
        <v>55</v>
      </c>
      <c r="X375">
        <v>15</v>
      </c>
      <c r="Y375">
        <v>3</v>
      </c>
      <c r="Z375">
        <v>3</v>
      </c>
      <c r="AA375">
        <v>2</v>
      </c>
      <c r="AB375">
        <v>4</v>
      </c>
      <c r="AC375">
        <v>2</v>
      </c>
      <c r="AD375">
        <v>2</v>
      </c>
      <c r="AE375">
        <v>2</v>
      </c>
      <c r="AF375">
        <v>1</v>
      </c>
      <c r="AG375">
        <v>2</v>
      </c>
      <c r="AH375">
        <v>2</v>
      </c>
      <c r="AI375">
        <f t="shared" si="35"/>
        <v>0</v>
      </c>
      <c r="AJ375" t="str">
        <f t="shared" si="36"/>
        <v>2-3 yrs</v>
      </c>
      <c r="AK375" t="str">
        <f t="shared" si="37"/>
        <v>Recent</v>
      </c>
      <c r="AL375">
        <f t="shared" si="38"/>
        <v>1</v>
      </c>
      <c r="AM375" t="str">
        <f t="shared" si="39"/>
        <v>Low Risk</v>
      </c>
      <c r="AN375" s="6">
        <f t="shared" si="40"/>
        <v>-0.43656453329328399</v>
      </c>
      <c r="AO375" s="7">
        <f t="shared" si="41"/>
        <v>331692</v>
      </c>
    </row>
    <row r="376" spans="1:41" x14ac:dyDescent="0.3">
      <c r="A376" t="s">
        <v>447</v>
      </c>
      <c r="B376">
        <v>30</v>
      </c>
      <c r="C376" t="s">
        <v>196</v>
      </c>
      <c r="D376" t="s">
        <v>55</v>
      </c>
      <c r="E376" t="s">
        <v>66</v>
      </c>
      <c r="F376">
        <v>990</v>
      </c>
      <c r="G376" t="s">
        <v>49</v>
      </c>
      <c r="H376">
        <v>7</v>
      </c>
      <c r="I376">
        <v>3</v>
      </c>
      <c r="J376" t="s">
        <v>77</v>
      </c>
      <c r="K376">
        <v>1482</v>
      </c>
      <c r="L376">
        <v>3</v>
      </c>
      <c r="M376" t="s">
        <v>51</v>
      </c>
      <c r="N376">
        <v>3</v>
      </c>
      <c r="O376">
        <v>1</v>
      </c>
      <c r="P376" t="s">
        <v>67</v>
      </c>
      <c r="Q376">
        <v>3</v>
      </c>
      <c r="R376" t="s">
        <v>53</v>
      </c>
      <c r="S376">
        <v>35584</v>
      </c>
      <c r="T376" t="s">
        <v>72</v>
      </c>
      <c r="U376">
        <v>222.4</v>
      </c>
      <c r="V376">
        <v>1</v>
      </c>
      <c r="W376" t="s">
        <v>55</v>
      </c>
      <c r="X376">
        <v>13</v>
      </c>
      <c r="Y376">
        <v>3</v>
      </c>
      <c r="Z376">
        <v>2</v>
      </c>
      <c r="AA376">
        <v>2</v>
      </c>
      <c r="AB376">
        <v>1</v>
      </c>
      <c r="AC376">
        <v>2</v>
      </c>
      <c r="AD376">
        <v>2</v>
      </c>
      <c r="AE376">
        <v>1</v>
      </c>
      <c r="AF376">
        <v>0</v>
      </c>
      <c r="AG376">
        <v>0</v>
      </c>
      <c r="AH376">
        <v>0</v>
      </c>
      <c r="AI376">
        <f t="shared" si="35"/>
        <v>0</v>
      </c>
      <c r="AJ376" t="str">
        <f t="shared" si="36"/>
        <v>0-1 yr</v>
      </c>
      <c r="AK376" t="str">
        <f t="shared" si="37"/>
        <v>Recent</v>
      </c>
      <c r="AL376">
        <f t="shared" si="38"/>
        <v>1</v>
      </c>
      <c r="AM376" t="str">
        <f t="shared" si="39"/>
        <v>Low Risk</v>
      </c>
      <c r="AN376" s="6">
        <f t="shared" si="40"/>
        <v>-0.28640903749891861</v>
      </c>
      <c r="AO376" s="7">
        <f t="shared" si="41"/>
        <v>427008</v>
      </c>
    </row>
    <row r="377" spans="1:41" x14ac:dyDescent="0.3">
      <c r="A377" t="s">
        <v>448</v>
      </c>
      <c r="B377">
        <v>30</v>
      </c>
      <c r="C377" t="s">
        <v>196</v>
      </c>
      <c r="D377" t="s">
        <v>55</v>
      </c>
      <c r="E377" t="s">
        <v>48</v>
      </c>
      <c r="F377">
        <v>330</v>
      </c>
      <c r="G377" t="s">
        <v>406</v>
      </c>
      <c r="H377">
        <v>1</v>
      </c>
      <c r="I377">
        <v>3</v>
      </c>
      <c r="J377" t="s">
        <v>50</v>
      </c>
      <c r="K377">
        <v>1499</v>
      </c>
      <c r="L377">
        <v>3</v>
      </c>
      <c r="M377" t="s">
        <v>51</v>
      </c>
      <c r="N377">
        <v>3</v>
      </c>
      <c r="O377">
        <v>1</v>
      </c>
      <c r="P377" t="s">
        <v>80</v>
      </c>
      <c r="Q377">
        <v>3</v>
      </c>
      <c r="R377" t="s">
        <v>53</v>
      </c>
      <c r="S377">
        <v>33745</v>
      </c>
      <c r="T377" t="s">
        <v>72</v>
      </c>
      <c r="U377">
        <v>210.91</v>
      </c>
      <c r="V377">
        <v>0</v>
      </c>
      <c r="W377" t="s">
        <v>55</v>
      </c>
      <c r="X377">
        <v>21</v>
      </c>
      <c r="Y377">
        <v>4</v>
      </c>
      <c r="Z377">
        <v>1</v>
      </c>
      <c r="AA377">
        <v>1</v>
      </c>
      <c r="AB377">
        <v>6</v>
      </c>
      <c r="AC377">
        <v>3</v>
      </c>
      <c r="AD377">
        <v>4</v>
      </c>
      <c r="AE377">
        <v>5</v>
      </c>
      <c r="AF377">
        <v>3</v>
      </c>
      <c r="AG377">
        <v>1</v>
      </c>
      <c r="AH377">
        <v>3</v>
      </c>
      <c r="AI377">
        <f t="shared" si="35"/>
        <v>0</v>
      </c>
      <c r="AJ377" t="str">
        <f t="shared" si="36"/>
        <v>4-5 yrs</v>
      </c>
      <c r="AK377" t="str">
        <f t="shared" si="37"/>
        <v>Recent</v>
      </c>
      <c r="AL377">
        <f t="shared" si="38"/>
        <v>0</v>
      </c>
      <c r="AM377" t="str">
        <f t="shared" si="39"/>
        <v>Minimal Risk</v>
      </c>
      <c r="AN377" s="6">
        <f t="shared" si="40"/>
        <v>-0.3349957744183667</v>
      </c>
      <c r="AO377" s="7">
        <f t="shared" si="41"/>
        <v>404940</v>
      </c>
    </row>
    <row r="378" spans="1:41" x14ac:dyDescent="0.3">
      <c r="A378" t="s">
        <v>449</v>
      </c>
      <c r="B378">
        <v>30</v>
      </c>
      <c r="C378" t="s">
        <v>196</v>
      </c>
      <c r="D378" t="s">
        <v>47</v>
      </c>
      <c r="E378" t="s">
        <v>48</v>
      </c>
      <c r="F378">
        <v>740</v>
      </c>
      <c r="G378" t="s">
        <v>57</v>
      </c>
      <c r="H378">
        <v>1</v>
      </c>
      <c r="I378">
        <v>3</v>
      </c>
      <c r="J378" t="s">
        <v>50</v>
      </c>
      <c r="K378">
        <v>1562</v>
      </c>
      <c r="L378">
        <v>2</v>
      </c>
      <c r="M378" t="s">
        <v>51</v>
      </c>
      <c r="N378">
        <v>2</v>
      </c>
      <c r="O378">
        <v>2</v>
      </c>
      <c r="P378" t="s">
        <v>145</v>
      </c>
      <c r="Q378">
        <v>1</v>
      </c>
      <c r="R378" t="s">
        <v>113</v>
      </c>
      <c r="S378">
        <v>24093</v>
      </c>
      <c r="T378" t="s">
        <v>54</v>
      </c>
      <c r="U378">
        <v>150.58000000000001</v>
      </c>
      <c r="V378">
        <v>1</v>
      </c>
      <c r="W378" t="s">
        <v>55</v>
      </c>
      <c r="X378">
        <v>11</v>
      </c>
      <c r="Y378">
        <v>3</v>
      </c>
      <c r="Z378">
        <v>4</v>
      </c>
      <c r="AA378">
        <v>1</v>
      </c>
      <c r="AB378">
        <v>10</v>
      </c>
      <c r="AC378">
        <v>4</v>
      </c>
      <c r="AD378">
        <v>3</v>
      </c>
      <c r="AE378">
        <v>10</v>
      </c>
      <c r="AF378">
        <v>8</v>
      </c>
      <c r="AG378">
        <v>6</v>
      </c>
      <c r="AH378">
        <v>7</v>
      </c>
      <c r="AI378">
        <f t="shared" si="35"/>
        <v>1</v>
      </c>
      <c r="AJ378" t="str">
        <f t="shared" si="36"/>
        <v>6-10 yrs</v>
      </c>
      <c r="AK378" t="str">
        <f t="shared" si="37"/>
        <v>Overdue</v>
      </c>
      <c r="AL378">
        <f t="shared" si="38"/>
        <v>2</v>
      </c>
      <c r="AM378" t="str">
        <f t="shared" si="39"/>
        <v>Medium Risk</v>
      </c>
      <c r="AN378" s="6">
        <f t="shared" si="40"/>
        <v>-0.50888713507597738</v>
      </c>
      <c r="AO378" s="7">
        <f t="shared" si="41"/>
        <v>289116</v>
      </c>
    </row>
    <row r="379" spans="1:41" x14ac:dyDescent="0.3">
      <c r="A379" t="s">
        <v>450</v>
      </c>
      <c r="B379">
        <v>30</v>
      </c>
      <c r="C379" t="s">
        <v>196</v>
      </c>
      <c r="D379" t="s">
        <v>55</v>
      </c>
      <c r="E379" t="s">
        <v>48</v>
      </c>
      <c r="F379">
        <v>1288</v>
      </c>
      <c r="G379" t="s">
        <v>57</v>
      </c>
      <c r="H379">
        <v>29</v>
      </c>
      <c r="I379">
        <v>4</v>
      </c>
      <c r="J379" t="s">
        <v>77</v>
      </c>
      <c r="K379">
        <v>1568</v>
      </c>
      <c r="L379">
        <v>3</v>
      </c>
      <c r="M379" t="s">
        <v>51</v>
      </c>
      <c r="N379">
        <v>3</v>
      </c>
      <c r="O379">
        <v>3</v>
      </c>
      <c r="P379" t="s">
        <v>145</v>
      </c>
      <c r="Q379">
        <v>2</v>
      </c>
      <c r="R379" t="s">
        <v>113</v>
      </c>
      <c r="S379">
        <v>67105</v>
      </c>
      <c r="T379" t="s">
        <v>64</v>
      </c>
      <c r="U379">
        <v>419.41</v>
      </c>
      <c r="V379">
        <v>3</v>
      </c>
      <c r="W379" t="s">
        <v>55</v>
      </c>
      <c r="X379">
        <v>12</v>
      </c>
      <c r="Y379">
        <v>3</v>
      </c>
      <c r="Z379">
        <v>2</v>
      </c>
      <c r="AA379">
        <v>1</v>
      </c>
      <c r="AB379">
        <v>9</v>
      </c>
      <c r="AC379">
        <v>3</v>
      </c>
      <c r="AD379">
        <v>3</v>
      </c>
      <c r="AE379">
        <v>4</v>
      </c>
      <c r="AF379">
        <v>2</v>
      </c>
      <c r="AG379">
        <v>1</v>
      </c>
      <c r="AH379">
        <v>3</v>
      </c>
      <c r="AI379">
        <f t="shared" si="35"/>
        <v>0</v>
      </c>
      <c r="AJ379" t="str">
        <f t="shared" si="36"/>
        <v>4-5 yrs</v>
      </c>
      <c r="AK379" t="str">
        <f t="shared" si="37"/>
        <v>Recent</v>
      </c>
      <c r="AL379">
        <f t="shared" si="38"/>
        <v>1</v>
      </c>
      <c r="AM379" t="str">
        <f t="shared" si="39"/>
        <v>Low Risk</v>
      </c>
      <c r="AN379" s="6">
        <f t="shared" si="40"/>
        <v>0.36787153118028215</v>
      </c>
      <c r="AO379" s="7">
        <f t="shared" si="41"/>
        <v>805260</v>
      </c>
    </row>
    <row r="380" spans="1:41" x14ac:dyDescent="0.3">
      <c r="A380" t="s">
        <v>451</v>
      </c>
      <c r="B380">
        <v>30</v>
      </c>
      <c r="C380" t="s">
        <v>196</v>
      </c>
      <c r="D380" t="s">
        <v>55</v>
      </c>
      <c r="E380" t="s">
        <v>48</v>
      </c>
      <c r="F380">
        <v>241</v>
      </c>
      <c r="G380" t="s">
        <v>49</v>
      </c>
      <c r="H380">
        <v>7</v>
      </c>
      <c r="I380">
        <v>3</v>
      </c>
      <c r="J380" t="s">
        <v>58</v>
      </c>
      <c r="K380">
        <v>1609</v>
      </c>
      <c r="L380">
        <v>2</v>
      </c>
      <c r="M380" t="s">
        <v>51</v>
      </c>
      <c r="N380">
        <v>2</v>
      </c>
      <c r="O380">
        <v>1</v>
      </c>
      <c r="P380" t="s">
        <v>67</v>
      </c>
      <c r="Q380">
        <v>2</v>
      </c>
      <c r="R380" t="s">
        <v>113</v>
      </c>
      <c r="S380">
        <v>52885</v>
      </c>
      <c r="T380" t="s">
        <v>64</v>
      </c>
      <c r="U380">
        <v>330.53</v>
      </c>
      <c r="V380">
        <v>1</v>
      </c>
      <c r="W380" t="s">
        <v>55</v>
      </c>
      <c r="X380">
        <v>12</v>
      </c>
      <c r="Y380">
        <v>3</v>
      </c>
      <c r="Z380">
        <v>2</v>
      </c>
      <c r="AA380">
        <v>1</v>
      </c>
      <c r="AB380">
        <v>6</v>
      </c>
      <c r="AC380">
        <v>3</v>
      </c>
      <c r="AD380">
        <v>2</v>
      </c>
      <c r="AE380">
        <v>6</v>
      </c>
      <c r="AF380">
        <v>4</v>
      </c>
      <c r="AG380">
        <v>1</v>
      </c>
      <c r="AH380">
        <v>1</v>
      </c>
      <c r="AI380">
        <f t="shared" si="35"/>
        <v>0</v>
      </c>
      <c r="AJ380" t="str">
        <f t="shared" si="36"/>
        <v>6-10 yrs</v>
      </c>
      <c r="AK380" t="str">
        <f t="shared" si="37"/>
        <v>Recent</v>
      </c>
      <c r="AL380">
        <f t="shared" si="38"/>
        <v>2</v>
      </c>
      <c r="AM380" t="str">
        <f t="shared" si="39"/>
        <v>Medium Risk</v>
      </c>
      <c r="AN380" s="6">
        <f t="shared" si="40"/>
        <v>6.054007564831633E-2</v>
      </c>
      <c r="AO380" s="7">
        <f t="shared" si="41"/>
        <v>634620</v>
      </c>
    </row>
    <row r="381" spans="1:41" x14ac:dyDescent="0.3">
      <c r="A381" t="s">
        <v>452</v>
      </c>
      <c r="B381">
        <v>30</v>
      </c>
      <c r="C381" t="s">
        <v>196</v>
      </c>
      <c r="D381" t="s">
        <v>55</v>
      </c>
      <c r="E381" t="s">
        <v>48</v>
      </c>
      <c r="F381">
        <v>793</v>
      </c>
      <c r="G381" t="s">
        <v>49</v>
      </c>
      <c r="H381">
        <v>16</v>
      </c>
      <c r="I381">
        <v>1</v>
      </c>
      <c r="J381" t="s">
        <v>50</v>
      </c>
      <c r="K381">
        <v>1729</v>
      </c>
      <c r="L381">
        <v>2</v>
      </c>
      <c r="M381" t="s">
        <v>51</v>
      </c>
      <c r="N381">
        <v>3</v>
      </c>
      <c r="O381">
        <v>1</v>
      </c>
      <c r="P381" t="s">
        <v>67</v>
      </c>
      <c r="Q381">
        <v>4</v>
      </c>
      <c r="R381" t="s">
        <v>113</v>
      </c>
      <c r="S381">
        <v>37631</v>
      </c>
      <c r="T381" t="s">
        <v>72</v>
      </c>
      <c r="U381">
        <v>235.19</v>
      </c>
      <c r="V381">
        <v>1</v>
      </c>
      <c r="W381" t="s">
        <v>55</v>
      </c>
      <c r="X381">
        <v>12</v>
      </c>
      <c r="Y381">
        <v>3</v>
      </c>
      <c r="Z381">
        <v>2</v>
      </c>
      <c r="AA381">
        <v>1</v>
      </c>
      <c r="AB381">
        <v>10</v>
      </c>
      <c r="AC381">
        <v>2</v>
      </c>
      <c r="AD381">
        <v>2</v>
      </c>
      <c r="AE381">
        <v>10</v>
      </c>
      <c r="AF381">
        <v>0</v>
      </c>
      <c r="AG381">
        <v>0</v>
      </c>
      <c r="AH381">
        <v>8</v>
      </c>
      <c r="AI381">
        <f t="shared" si="35"/>
        <v>0</v>
      </c>
      <c r="AJ381" t="str">
        <f t="shared" si="36"/>
        <v>6-10 yrs</v>
      </c>
      <c r="AK381" t="str">
        <f t="shared" si="37"/>
        <v>Recent</v>
      </c>
      <c r="AL381">
        <f t="shared" si="38"/>
        <v>1</v>
      </c>
      <c r="AM381" t="str">
        <f t="shared" si="39"/>
        <v>Low Risk</v>
      </c>
      <c r="AN381" s="6">
        <f t="shared" si="40"/>
        <v>-0.24535910774847705</v>
      </c>
      <c r="AO381" s="7">
        <f t="shared" si="41"/>
        <v>451572</v>
      </c>
    </row>
    <row r="382" spans="1:41" x14ac:dyDescent="0.3">
      <c r="A382" t="s">
        <v>453</v>
      </c>
      <c r="B382">
        <v>30</v>
      </c>
      <c r="C382" t="s">
        <v>196</v>
      </c>
      <c r="D382" t="s">
        <v>55</v>
      </c>
      <c r="E382" t="s">
        <v>62</v>
      </c>
      <c r="F382">
        <v>1312</v>
      </c>
      <c r="G382" t="s">
        <v>49</v>
      </c>
      <c r="H382">
        <v>2</v>
      </c>
      <c r="I382">
        <v>4</v>
      </c>
      <c r="J382" t="s">
        <v>77</v>
      </c>
      <c r="K382">
        <v>1745</v>
      </c>
      <c r="L382">
        <v>4</v>
      </c>
      <c r="M382" t="s">
        <v>59</v>
      </c>
      <c r="N382">
        <v>2</v>
      </c>
      <c r="O382">
        <v>1</v>
      </c>
      <c r="P382" t="s">
        <v>67</v>
      </c>
      <c r="Q382">
        <v>1</v>
      </c>
      <c r="R382" t="s">
        <v>53</v>
      </c>
      <c r="S382">
        <v>73991</v>
      </c>
      <c r="T382" t="s">
        <v>64</v>
      </c>
      <c r="U382">
        <v>462.44</v>
      </c>
      <c r="V382">
        <v>0</v>
      </c>
      <c r="W382" t="s">
        <v>55</v>
      </c>
      <c r="X382">
        <v>16</v>
      </c>
      <c r="Y382">
        <v>3</v>
      </c>
      <c r="Z382">
        <v>4</v>
      </c>
      <c r="AA382">
        <v>0</v>
      </c>
      <c r="AB382">
        <v>10</v>
      </c>
      <c r="AC382">
        <v>2</v>
      </c>
      <c r="AD382">
        <v>3</v>
      </c>
      <c r="AE382">
        <v>9</v>
      </c>
      <c r="AF382">
        <v>7</v>
      </c>
      <c r="AG382">
        <v>0</v>
      </c>
      <c r="AH382">
        <v>7</v>
      </c>
      <c r="AI382">
        <f t="shared" si="35"/>
        <v>0</v>
      </c>
      <c r="AJ382" t="str">
        <f t="shared" si="36"/>
        <v>6-10 yrs</v>
      </c>
      <c r="AK382" t="str">
        <f t="shared" si="37"/>
        <v>Recent</v>
      </c>
      <c r="AL382">
        <f t="shared" si="38"/>
        <v>1</v>
      </c>
      <c r="AM382" t="str">
        <f t="shared" si="39"/>
        <v>Low Risk</v>
      </c>
      <c r="AN382" s="6">
        <f t="shared" si="40"/>
        <v>0.48379352817045618</v>
      </c>
      <c r="AO382" s="7">
        <f t="shared" si="41"/>
        <v>887892</v>
      </c>
    </row>
    <row r="383" spans="1:41" x14ac:dyDescent="0.3">
      <c r="A383" t="s">
        <v>454</v>
      </c>
      <c r="B383">
        <v>30</v>
      </c>
      <c r="C383" t="s">
        <v>196</v>
      </c>
      <c r="D383" t="s">
        <v>47</v>
      </c>
      <c r="E383" t="s">
        <v>62</v>
      </c>
      <c r="F383">
        <v>600</v>
      </c>
      <c r="G383" t="s">
        <v>80</v>
      </c>
      <c r="H383">
        <v>8</v>
      </c>
      <c r="I383">
        <v>3</v>
      </c>
      <c r="J383" t="s">
        <v>80</v>
      </c>
      <c r="K383">
        <v>1747</v>
      </c>
      <c r="L383">
        <v>3</v>
      </c>
      <c r="M383" t="s">
        <v>59</v>
      </c>
      <c r="N383">
        <v>2</v>
      </c>
      <c r="O383">
        <v>1</v>
      </c>
      <c r="P383" t="s">
        <v>80</v>
      </c>
      <c r="Q383">
        <v>4</v>
      </c>
      <c r="R383" t="s">
        <v>53</v>
      </c>
      <c r="S383">
        <v>5014</v>
      </c>
      <c r="T383" t="s">
        <v>54</v>
      </c>
      <c r="U383">
        <v>31.34</v>
      </c>
      <c r="V383">
        <v>6</v>
      </c>
      <c r="W383" t="s">
        <v>55</v>
      </c>
      <c r="X383">
        <v>11</v>
      </c>
      <c r="Y383">
        <v>3</v>
      </c>
      <c r="Z383">
        <v>3</v>
      </c>
      <c r="AA383">
        <v>1</v>
      </c>
      <c r="AB383">
        <v>6</v>
      </c>
      <c r="AC383">
        <v>0</v>
      </c>
      <c r="AD383">
        <v>2</v>
      </c>
      <c r="AE383">
        <v>4</v>
      </c>
      <c r="AF383">
        <v>2</v>
      </c>
      <c r="AG383">
        <v>1</v>
      </c>
      <c r="AH383">
        <v>2</v>
      </c>
      <c r="AI383">
        <f t="shared" si="35"/>
        <v>1</v>
      </c>
      <c r="AJ383" t="str">
        <f t="shared" si="36"/>
        <v>4-5 yrs</v>
      </c>
      <c r="AK383" t="str">
        <f t="shared" si="37"/>
        <v>Recent</v>
      </c>
      <c r="AL383">
        <f t="shared" si="38"/>
        <v>1</v>
      </c>
      <c r="AM383" t="str">
        <f t="shared" si="39"/>
        <v>Low Risk</v>
      </c>
      <c r="AN383" s="6">
        <f t="shared" si="40"/>
        <v>-0.90119036340002046</v>
      </c>
      <c r="AO383" s="7">
        <f t="shared" si="41"/>
        <v>60168</v>
      </c>
    </row>
    <row r="384" spans="1:41" x14ac:dyDescent="0.3">
      <c r="A384" t="s">
        <v>455</v>
      </c>
      <c r="B384">
        <v>30</v>
      </c>
      <c r="C384" t="s">
        <v>196</v>
      </c>
      <c r="D384" t="s">
        <v>55</v>
      </c>
      <c r="E384" t="s">
        <v>48</v>
      </c>
      <c r="F384">
        <v>979</v>
      </c>
      <c r="G384" t="s">
        <v>57</v>
      </c>
      <c r="H384">
        <v>15</v>
      </c>
      <c r="I384">
        <v>2</v>
      </c>
      <c r="J384" t="s">
        <v>63</v>
      </c>
      <c r="K384">
        <v>1754</v>
      </c>
      <c r="L384">
        <v>3</v>
      </c>
      <c r="M384" t="s">
        <v>51</v>
      </c>
      <c r="N384">
        <v>2</v>
      </c>
      <c r="O384">
        <v>3</v>
      </c>
      <c r="P384" t="s">
        <v>145</v>
      </c>
      <c r="Q384">
        <v>1</v>
      </c>
      <c r="R384" t="s">
        <v>53</v>
      </c>
      <c r="S384">
        <v>12093</v>
      </c>
      <c r="T384" t="s">
        <v>54</v>
      </c>
      <c r="U384">
        <v>75.58</v>
      </c>
      <c r="V384">
        <v>2</v>
      </c>
      <c r="W384" t="s">
        <v>55</v>
      </c>
      <c r="X384">
        <v>11</v>
      </c>
      <c r="Y384">
        <v>3</v>
      </c>
      <c r="Z384">
        <v>1</v>
      </c>
      <c r="AA384">
        <v>1</v>
      </c>
      <c r="AB384">
        <v>12</v>
      </c>
      <c r="AC384">
        <v>2</v>
      </c>
      <c r="AD384">
        <v>3</v>
      </c>
      <c r="AE384">
        <v>7</v>
      </c>
      <c r="AF384">
        <v>7</v>
      </c>
      <c r="AG384">
        <v>1</v>
      </c>
      <c r="AH384">
        <v>7</v>
      </c>
      <c r="AI384">
        <f t="shared" si="35"/>
        <v>0</v>
      </c>
      <c r="AJ384" t="str">
        <f t="shared" si="36"/>
        <v>6-10 yrs</v>
      </c>
      <c r="AK384" t="str">
        <f t="shared" si="37"/>
        <v>Recent</v>
      </c>
      <c r="AL384">
        <f t="shared" si="38"/>
        <v>1</v>
      </c>
      <c r="AM384" t="str">
        <f t="shared" si="39"/>
        <v>Low Risk</v>
      </c>
      <c r="AN384" s="6">
        <f t="shared" si="40"/>
        <v>-0.75349570931282095</v>
      </c>
      <c r="AO384" s="7">
        <f t="shared" si="41"/>
        <v>145116</v>
      </c>
    </row>
    <row r="385" spans="1:41" x14ac:dyDescent="0.3">
      <c r="A385" t="s">
        <v>456</v>
      </c>
      <c r="B385">
        <v>30</v>
      </c>
      <c r="C385" t="s">
        <v>196</v>
      </c>
      <c r="D385" t="s">
        <v>55</v>
      </c>
      <c r="E385" t="s">
        <v>48</v>
      </c>
      <c r="F385">
        <v>305</v>
      </c>
      <c r="G385" t="s">
        <v>49</v>
      </c>
      <c r="H385">
        <v>16</v>
      </c>
      <c r="I385">
        <v>3</v>
      </c>
      <c r="J385" t="s">
        <v>50</v>
      </c>
      <c r="K385">
        <v>1763</v>
      </c>
      <c r="L385">
        <v>3</v>
      </c>
      <c r="M385" t="s">
        <v>51</v>
      </c>
      <c r="N385">
        <v>4</v>
      </c>
      <c r="O385">
        <v>2</v>
      </c>
      <c r="P385" t="s">
        <v>168</v>
      </c>
      <c r="Q385">
        <v>3</v>
      </c>
      <c r="R385" t="s">
        <v>113</v>
      </c>
      <c r="S385">
        <v>19070</v>
      </c>
      <c r="T385" t="s">
        <v>54</v>
      </c>
      <c r="U385">
        <v>119.19</v>
      </c>
      <c r="V385">
        <v>3</v>
      </c>
      <c r="W385" t="s">
        <v>55</v>
      </c>
      <c r="X385">
        <v>16</v>
      </c>
      <c r="Y385">
        <v>3</v>
      </c>
      <c r="Z385">
        <v>3</v>
      </c>
      <c r="AA385">
        <v>1</v>
      </c>
      <c r="AB385">
        <v>10</v>
      </c>
      <c r="AC385">
        <v>3</v>
      </c>
      <c r="AD385">
        <v>3</v>
      </c>
      <c r="AE385">
        <v>7</v>
      </c>
      <c r="AF385">
        <v>0</v>
      </c>
      <c r="AG385">
        <v>1</v>
      </c>
      <c r="AH385">
        <v>7</v>
      </c>
      <c r="AI385">
        <f t="shared" si="35"/>
        <v>0</v>
      </c>
      <c r="AJ385" t="str">
        <f t="shared" si="36"/>
        <v>6-10 yrs</v>
      </c>
      <c r="AK385" t="str">
        <f t="shared" si="37"/>
        <v>Recent</v>
      </c>
      <c r="AL385">
        <f t="shared" si="38"/>
        <v>0</v>
      </c>
      <c r="AM385" t="str">
        <f t="shared" si="39"/>
        <v>Minimal Risk</v>
      </c>
      <c r="AN385" s="6">
        <f t="shared" si="40"/>
        <v>-0.60426770701165644</v>
      </c>
      <c r="AO385" s="7">
        <f t="shared" si="41"/>
        <v>228840</v>
      </c>
    </row>
    <row r="386" spans="1:41" x14ac:dyDescent="0.3">
      <c r="A386" t="s">
        <v>457</v>
      </c>
      <c r="B386">
        <v>30</v>
      </c>
      <c r="C386" t="s">
        <v>196</v>
      </c>
      <c r="D386" t="s">
        <v>55</v>
      </c>
      <c r="E386" t="s">
        <v>48</v>
      </c>
      <c r="F386">
        <v>1092</v>
      </c>
      <c r="G386" t="s">
        <v>49</v>
      </c>
      <c r="H386">
        <v>10</v>
      </c>
      <c r="I386">
        <v>3</v>
      </c>
      <c r="J386" t="s">
        <v>58</v>
      </c>
      <c r="K386">
        <v>1816</v>
      </c>
      <c r="L386">
        <v>1</v>
      </c>
      <c r="M386" t="s">
        <v>59</v>
      </c>
      <c r="N386">
        <v>3</v>
      </c>
      <c r="O386">
        <v>3</v>
      </c>
      <c r="P386" t="s">
        <v>120</v>
      </c>
      <c r="Q386">
        <v>3</v>
      </c>
      <c r="R386" t="s">
        <v>53</v>
      </c>
      <c r="S386">
        <v>36777</v>
      </c>
      <c r="T386" t="s">
        <v>72</v>
      </c>
      <c r="U386">
        <v>229.86</v>
      </c>
      <c r="V386">
        <v>9</v>
      </c>
      <c r="W386" t="s">
        <v>55</v>
      </c>
      <c r="X386">
        <v>14</v>
      </c>
      <c r="Y386">
        <v>3</v>
      </c>
      <c r="Z386">
        <v>2</v>
      </c>
      <c r="AA386">
        <v>0</v>
      </c>
      <c r="AB386">
        <v>9</v>
      </c>
      <c r="AC386">
        <v>3</v>
      </c>
      <c r="AD386">
        <v>3</v>
      </c>
      <c r="AE386">
        <v>7</v>
      </c>
      <c r="AF386">
        <v>7</v>
      </c>
      <c r="AG386">
        <v>0</v>
      </c>
      <c r="AH386">
        <v>2</v>
      </c>
      <c r="AI386">
        <f t="shared" ref="AI386:AI449" si="42">IF(D386="Yes",1,0)</f>
        <v>0</v>
      </c>
      <c r="AJ386" t="str">
        <f t="shared" ref="AJ386:AJ449" si="43">IF(AE386&lt;=1,"0-1 yr",IF(AE386&lt;=3,"2-3 yrs",IF(AE386&lt;=5,"4-5 yrs",IF(AE386&lt;=10,"6-10 yrs","10+ yrs"))))</f>
        <v>6-10 yrs</v>
      </c>
      <c r="AK386" t="str">
        <f t="shared" ref="AK386:AK449" si="44">IF(AG386&gt;=3,"Overdue","Recent")</f>
        <v>Recent</v>
      </c>
      <c r="AL386">
        <f t="shared" ref="AL386:AL449" si="45">IF(W386="Yes",1,0)+IF(AD386&lt;=2,1,0)+IF(Q386&lt;=2,1,0)+IF(AG386&gt;=3,1,0)</f>
        <v>0</v>
      </c>
      <c r="AM386" t="str">
        <f t="shared" ref="AM386:AM449" si="46">IF(AL386&gt;=3,"High Risk",IF(AL386=2,"Medium Risk",IF(AL386=1,"Low Risk","Minimal Risk")))</f>
        <v>Minimal Risk</v>
      </c>
      <c r="AN386" s="6">
        <f t="shared" ref="AN386:AN449" si="47">IFERROR((S386-AVERAGEIF(P$2:P$1479,P386,S$2:S$1479))/AVERAGEIF(P$2:P$1479,P386,S$2:S$1479),0)</f>
        <v>-0.16973199348890911</v>
      </c>
      <c r="AO386" s="7">
        <f t="shared" ref="AO386:AO449" si="48">S386*12</f>
        <v>441324</v>
      </c>
    </row>
    <row r="387" spans="1:41" x14ac:dyDescent="0.3">
      <c r="A387" t="s">
        <v>458</v>
      </c>
      <c r="B387">
        <v>30</v>
      </c>
      <c r="C387" t="s">
        <v>196</v>
      </c>
      <c r="D387" t="s">
        <v>47</v>
      </c>
      <c r="E387" t="s">
        <v>48</v>
      </c>
      <c r="F387">
        <v>945</v>
      </c>
      <c r="G387" t="s">
        <v>57</v>
      </c>
      <c r="H387">
        <v>9</v>
      </c>
      <c r="I387">
        <v>3</v>
      </c>
      <c r="J387" t="s">
        <v>58</v>
      </c>
      <c r="K387">
        <v>1876</v>
      </c>
      <c r="L387">
        <v>2</v>
      </c>
      <c r="M387" t="s">
        <v>51</v>
      </c>
      <c r="N387">
        <v>3</v>
      </c>
      <c r="O387">
        <v>1</v>
      </c>
      <c r="P387" t="s">
        <v>60</v>
      </c>
      <c r="Q387">
        <v>4</v>
      </c>
      <c r="R387" t="s">
        <v>53</v>
      </c>
      <c r="S387">
        <v>57958</v>
      </c>
      <c r="T387" t="s">
        <v>64</v>
      </c>
      <c r="U387">
        <v>362.24</v>
      </c>
      <c r="V387">
        <v>1</v>
      </c>
      <c r="W387" t="s">
        <v>55</v>
      </c>
      <c r="X387">
        <v>13</v>
      </c>
      <c r="Y387">
        <v>3</v>
      </c>
      <c r="Z387">
        <v>3</v>
      </c>
      <c r="AA387">
        <v>0</v>
      </c>
      <c r="AB387">
        <v>1</v>
      </c>
      <c r="AC387">
        <v>3</v>
      </c>
      <c r="AD387">
        <v>2</v>
      </c>
      <c r="AE387">
        <v>1</v>
      </c>
      <c r="AF387">
        <v>0</v>
      </c>
      <c r="AG387">
        <v>0</v>
      </c>
      <c r="AH387">
        <v>0</v>
      </c>
      <c r="AI387">
        <f t="shared" si="42"/>
        <v>1</v>
      </c>
      <c r="AJ387" t="str">
        <f t="shared" si="43"/>
        <v>0-1 yr</v>
      </c>
      <c r="AK387" t="str">
        <f t="shared" si="44"/>
        <v>Recent</v>
      </c>
      <c r="AL387">
        <f t="shared" si="45"/>
        <v>1</v>
      </c>
      <c r="AM387" t="str">
        <f t="shared" si="46"/>
        <v>Low Risk</v>
      </c>
      <c r="AN387" s="6">
        <f t="shared" si="47"/>
        <v>0.17497998648952287</v>
      </c>
      <c r="AO387" s="7">
        <f t="shared" si="48"/>
        <v>695496</v>
      </c>
    </row>
    <row r="388" spans="1:41" x14ac:dyDescent="0.3">
      <c r="A388" t="s">
        <v>459</v>
      </c>
      <c r="B388">
        <v>30</v>
      </c>
      <c r="C388" t="s">
        <v>196</v>
      </c>
      <c r="D388" t="s">
        <v>55</v>
      </c>
      <c r="E388" t="s">
        <v>48</v>
      </c>
      <c r="F388">
        <v>911</v>
      </c>
      <c r="G388" t="s">
        <v>49</v>
      </c>
      <c r="H388">
        <v>1</v>
      </c>
      <c r="I388">
        <v>2</v>
      </c>
      <c r="J388" t="s">
        <v>58</v>
      </c>
      <c r="K388">
        <v>1989</v>
      </c>
      <c r="L388">
        <v>4</v>
      </c>
      <c r="M388" t="s">
        <v>51</v>
      </c>
      <c r="N388">
        <v>3</v>
      </c>
      <c r="O388">
        <v>1</v>
      </c>
      <c r="P388" t="s">
        <v>52</v>
      </c>
      <c r="Q388">
        <v>2</v>
      </c>
      <c r="R388" t="s">
        <v>113</v>
      </c>
      <c r="S388">
        <v>83074</v>
      </c>
      <c r="T388" t="s">
        <v>64</v>
      </c>
      <c r="U388">
        <v>519.21</v>
      </c>
      <c r="V388">
        <v>1</v>
      </c>
      <c r="W388" t="s">
        <v>55</v>
      </c>
      <c r="X388">
        <v>13</v>
      </c>
      <c r="Y388">
        <v>3</v>
      </c>
      <c r="Z388">
        <v>3</v>
      </c>
      <c r="AA388">
        <v>0</v>
      </c>
      <c r="AB388">
        <v>12</v>
      </c>
      <c r="AC388">
        <v>6</v>
      </c>
      <c r="AD388">
        <v>2</v>
      </c>
      <c r="AE388">
        <v>12</v>
      </c>
      <c r="AF388">
        <v>8</v>
      </c>
      <c r="AG388">
        <v>1</v>
      </c>
      <c r="AH388">
        <v>7</v>
      </c>
      <c r="AI388">
        <f t="shared" si="42"/>
        <v>0</v>
      </c>
      <c r="AJ388" t="str">
        <f t="shared" si="43"/>
        <v>10+ yrs</v>
      </c>
      <c r="AK388" t="str">
        <f t="shared" si="44"/>
        <v>Recent</v>
      </c>
      <c r="AL388">
        <f t="shared" si="45"/>
        <v>2</v>
      </c>
      <c r="AM388" t="str">
        <f t="shared" si="46"/>
        <v>Medium Risk</v>
      </c>
      <c r="AN388" s="6">
        <f t="shared" si="47"/>
        <v>0.60620724586777708</v>
      </c>
      <c r="AO388" s="7">
        <f t="shared" si="48"/>
        <v>996888</v>
      </c>
    </row>
    <row r="389" spans="1:41" x14ac:dyDescent="0.3">
      <c r="A389" t="s">
        <v>460</v>
      </c>
      <c r="B389">
        <v>31</v>
      </c>
      <c r="C389" t="s">
        <v>196</v>
      </c>
      <c r="D389" t="s">
        <v>55</v>
      </c>
      <c r="E389" t="s">
        <v>48</v>
      </c>
      <c r="F389">
        <v>670</v>
      </c>
      <c r="G389" t="s">
        <v>49</v>
      </c>
      <c r="H389">
        <v>26</v>
      </c>
      <c r="I389">
        <v>1</v>
      </c>
      <c r="J389" t="s">
        <v>50</v>
      </c>
      <c r="K389">
        <v>16</v>
      </c>
      <c r="L389">
        <v>1</v>
      </c>
      <c r="M389" t="s">
        <v>51</v>
      </c>
      <c r="N389">
        <v>3</v>
      </c>
      <c r="O389">
        <v>1</v>
      </c>
      <c r="P389" t="s">
        <v>67</v>
      </c>
      <c r="Q389">
        <v>3</v>
      </c>
      <c r="R389" t="s">
        <v>53</v>
      </c>
      <c r="S389">
        <v>11729</v>
      </c>
      <c r="T389" t="s">
        <v>54</v>
      </c>
      <c r="U389">
        <v>73.31</v>
      </c>
      <c r="V389">
        <v>1</v>
      </c>
      <c r="W389" t="s">
        <v>55</v>
      </c>
      <c r="X389">
        <v>17</v>
      </c>
      <c r="Y389">
        <v>3</v>
      </c>
      <c r="Z389">
        <v>4</v>
      </c>
      <c r="AA389">
        <v>1</v>
      </c>
      <c r="AB389">
        <v>5</v>
      </c>
      <c r="AC389">
        <v>1</v>
      </c>
      <c r="AD389">
        <v>2</v>
      </c>
      <c r="AE389">
        <v>5</v>
      </c>
      <c r="AF389">
        <v>2</v>
      </c>
      <c r="AG389">
        <v>4</v>
      </c>
      <c r="AH389">
        <v>3</v>
      </c>
      <c r="AI389">
        <f t="shared" si="42"/>
        <v>0</v>
      </c>
      <c r="AJ389" t="str">
        <f t="shared" si="43"/>
        <v>4-5 yrs</v>
      </c>
      <c r="AK389" t="str">
        <f t="shared" si="44"/>
        <v>Overdue</v>
      </c>
      <c r="AL389">
        <f t="shared" si="45"/>
        <v>2</v>
      </c>
      <c r="AM389" t="str">
        <f t="shared" si="46"/>
        <v>Medium Risk</v>
      </c>
      <c r="AN389" s="6">
        <f t="shared" si="47"/>
        <v>-0.76479011917785567</v>
      </c>
      <c r="AO389" s="7">
        <f t="shared" si="48"/>
        <v>140748</v>
      </c>
    </row>
    <row r="390" spans="1:41" x14ac:dyDescent="0.3">
      <c r="A390" t="s">
        <v>461</v>
      </c>
      <c r="B390">
        <v>31</v>
      </c>
      <c r="C390" t="s">
        <v>196</v>
      </c>
      <c r="D390" t="s">
        <v>55</v>
      </c>
      <c r="E390" t="s">
        <v>48</v>
      </c>
      <c r="F390">
        <v>655</v>
      </c>
      <c r="G390" t="s">
        <v>49</v>
      </c>
      <c r="H390">
        <v>7</v>
      </c>
      <c r="I390">
        <v>4</v>
      </c>
      <c r="J390" t="s">
        <v>50</v>
      </c>
      <c r="K390">
        <v>76</v>
      </c>
      <c r="L390">
        <v>4</v>
      </c>
      <c r="M390" t="s">
        <v>51</v>
      </c>
      <c r="N390">
        <v>3</v>
      </c>
      <c r="O390">
        <v>2</v>
      </c>
      <c r="P390" t="s">
        <v>52</v>
      </c>
      <c r="Q390">
        <v>4</v>
      </c>
      <c r="R390" t="s">
        <v>53</v>
      </c>
      <c r="S390">
        <v>46017</v>
      </c>
      <c r="T390" t="s">
        <v>72</v>
      </c>
      <c r="U390">
        <v>287.61</v>
      </c>
      <c r="V390">
        <v>3</v>
      </c>
      <c r="W390" t="s">
        <v>55</v>
      </c>
      <c r="X390">
        <v>22</v>
      </c>
      <c r="Y390">
        <v>4</v>
      </c>
      <c r="Z390">
        <v>4</v>
      </c>
      <c r="AA390">
        <v>1</v>
      </c>
      <c r="AB390">
        <v>10</v>
      </c>
      <c r="AC390">
        <v>3</v>
      </c>
      <c r="AD390">
        <v>2</v>
      </c>
      <c r="AE390">
        <v>7</v>
      </c>
      <c r="AF390">
        <v>7</v>
      </c>
      <c r="AG390">
        <v>1</v>
      </c>
      <c r="AH390">
        <v>7</v>
      </c>
      <c r="AI390">
        <f t="shared" si="42"/>
        <v>0</v>
      </c>
      <c r="AJ390" t="str">
        <f t="shared" si="43"/>
        <v>6-10 yrs</v>
      </c>
      <c r="AK390" t="str">
        <f t="shared" si="44"/>
        <v>Recent</v>
      </c>
      <c r="AL390">
        <f t="shared" si="45"/>
        <v>1</v>
      </c>
      <c r="AM390" t="str">
        <f t="shared" si="46"/>
        <v>Low Risk</v>
      </c>
      <c r="AN390" s="6">
        <f t="shared" si="47"/>
        <v>-0.11027711638903268</v>
      </c>
      <c r="AO390" s="7">
        <f t="shared" si="48"/>
        <v>552204</v>
      </c>
    </row>
    <row r="391" spans="1:41" x14ac:dyDescent="0.3">
      <c r="A391" t="s">
        <v>462</v>
      </c>
      <c r="B391">
        <v>31</v>
      </c>
      <c r="C391" t="s">
        <v>196</v>
      </c>
      <c r="D391" t="s">
        <v>55</v>
      </c>
      <c r="E391" t="s">
        <v>48</v>
      </c>
      <c r="F391">
        <v>1082</v>
      </c>
      <c r="G391" t="s">
        <v>49</v>
      </c>
      <c r="H391">
        <v>1</v>
      </c>
      <c r="I391">
        <v>4</v>
      </c>
      <c r="J391" t="s">
        <v>58</v>
      </c>
      <c r="K391">
        <v>95</v>
      </c>
      <c r="L391">
        <v>3</v>
      </c>
      <c r="M391" t="s">
        <v>51</v>
      </c>
      <c r="N391">
        <v>3</v>
      </c>
      <c r="O391">
        <v>1</v>
      </c>
      <c r="P391" t="s">
        <v>67</v>
      </c>
      <c r="Q391">
        <v>2</v>
      </c>
      <c r="R391" t="s">
        <v>53</v>
      </c>
      <c r="S391">
        <v>67320</v>
      </c>
      <c r="T391" t="s">
        <v>64</v>
      </c>
      <c r="U391">
        <v>420.75</v>
      </c>
      <c r="V391">
        <v>1</v>
      </c>
      <c r="W391" t="s">
        <v>55</v>
      </c>
      <c r="X391">
        <v>17</v>
      </c>
      <c r="Y391">
        <v>3</v>
      </c>
      <c r="Z391">
        <v>2</v>
      </c>
      <c r="AA391">
        <v>0</v>
      </c>
      <c r="AB391">
        <v>1</v>
      </c>
      <c r="AC391">
        <v>4</v>
      </c>
      <c r="AD391">
        <v>3</v>
      </c>
      <c r="AE391">
        <v>1</v>
      </c>
      <c r="AF391">
        <v>1</v>
      </c>
      <c r="AG391">
        <v>1</v>
      </c>
      <c r="AH391">
        <v>1</v>
      </c>
      <c r="AI391">
        <f t="shared" si="42"/>
        <v>0</v>
      </c>
      <c r="AJ391" t="str">
        <f t="shared" si="43"/>
        <v>0-1 yr</v>
      </c>
      <c r="AK391" t="str">
        <f t="shared" si="44"/>
        <v>Recent</v>
      </c>
      <c r="AL391">
        <f t="shared" si="45"/>
        <v>1</v>
      </c>
      <c r="AM391" t="str">
        <f t="shared" si="46"/>
        <v>Low Risk</v>
      </c>
      <c r="AN391" s="6">
        <f t="shared" si="47"/>
        <v>0.35001527640436148</v>
      </c>
      <c r="AO391" s="7">
        <f t="shared" si="48"/>
        <v>807840</v>
      </c>
    </row>
    <row r="392" spans="1:41" x14ac:dyDescent="0.3">
      <c r="A392" t="s">
        <v>463</v>
      </c>
      <c r="B392">
        <v>31</v>
      </c>
      <c r="C392" t="s">
        <v>196</v>
      </c>
      <c r="D392" t="s">
        <v>55</v>
      </c>
      <c r="E392" t="s">
        <v>48</v>
      </c>
      <c r="F392">
        <v>746</v>
      </c>
      <c r="G392" t="s">
        <v>49</v>
      </c>
      <c r="H392">
        <v>8</v>
      </c>
      <c r="I392">
        <v>4</v>
      </c>
      <c r="J392" t="s">
        <v>50</v>
      </c>
      <c r="K392">
        <v>98</v>
      </c>
      <c r="L392">
        <v>3</v>
      </c>
      <c r="M392" t="s">
        <v>59</v>
      </c>
      <c r="N392">
        <v>3</v>
      </c>
      <c r="O392">
        <v>2</v>
      </c>
      <c r="P392" t="s">
        <v>120</v>
      </c>
      <c r="Q392">
        <v>4</v>
      </c>
      <c r="R392" t="s">
        <v>53</v>
      </c>
      <c r="S392">
        <v>28751</v>
      </c>
      <c r="T392" t="s">
        <v>72</v>
      </c>
      <c r="U392">
        <v>179.69</v>
      </c>
      <c r="V392">
        <v>1</v>
      </c>
      <c r="W392" t="s">
        <v>55</v>
      </c>
      <c r="X392">
        <v>23</v>
      </c>
      <c r="Y392">
        <v>4</v>
      </c>
      <c r="Z392">
        <v>4</v>
      </c>
      <c r="AA392">
        <v>0</v>
      </c>
      <c r="AB392">
        <v>11</v>
      </c>
      <c r="AC392">
        <v>2</v>
      </c>
      <c r="AD392">
        <v>3</v>
      </c>
      <c r="AE392">
        <v>11</v>
      </c>
      <c r="AF392">
        <v>7</v>
      </c>
      <c r="AG392">
        <v>1</v>
      </c>
      <c r="AH392">
        <v>7</v>
      </c>
      <c r="AI392">
        <f t="shared" si="42"/>
        <v>0</v>
      </c>
      <c r="AJ392" t="str">
        <f t="shared" si="43"/>
        <v>10+ yrs</v>
      </c>
      <c r="AK392" t="str">
        <f t="shared" si="44"/>
        <v>Recent</v>
      </c>
      <c r="AL392">
        <f t="shared" si="45"/>
        <v>0</v>
      </c>
      <c r="AM392" t="str">
        <f t="shared" si="46"/>
        <v>Minimal Risk</v>
      </c>
      <c r="AN392" s="6">
        <f t="shared" si="47"/>
        <v>-0.35092488633655888</v>
      </c>
      <c r="AO392" s="7">
        <f t="shared" si="48"/>
        <v>345012</v>
      </c>
    </row>
    <row r="393" spans="1:41" x14ac:dyDescent="0.3">
      <c r="A393" t="s">
        <v>464</v>
      </c>
      <c r="B393">
        <v>31</v>
      </c>
      <c r="C393" t="s">
        <v>196</v>
      </c>
      <c r="D393" t="s">
        <v>47</v>
      </c>
      <c r="E393" t="s">
        <v>48</v>
      </c>
      <c r="F393">
        <v>249</v>
      </c>
      <c r="G393" t="s">
        <v>57</v>
      </c>
      <c r="H393">
        <v>6</v>
      </c>
      <c r="I393">
        <v>4</v>
      </c>
      <c r="J393" t="s">
        <v>50</v>
      </c>
      <c r="K393">
        <v>163</v>
      </c>
      <c r="L393">
        <v>2</v>
      </c>
      <c r="M393" t="s">
        <v>51</v>
      </c>
      <c r="N393">
        <v>1</v>
      </c>
      <c r="O393">
        <v>2</v>
      </c>
      <c r="P393" t="s">
        <v>145</v>
      </c>
      <c r="Q393">
        <v>3</v>
      </c>
      <c r="R393" t="s">
        <v>113</v>
      </c>
      <c r="S393">
        <v>79069</v>
      </c>
      <c r="T393" t="s">
        <v>64</v>
      </c>
      <c r="U393">
        <v>494.18</v>
      </c>
      <c r="V393">
        <v>4</v>
      </c>
      <c r="W393" t="s">
        <v>47</v>
      </c>
      <c r="X393">
        <v>18</v>
      </c>
      <c r="Y393">
        <v>3</v>
      </c>
      <c r="Z393">
        <v>2</v>
      </c>
      <c r="AA393">
        <v>0</v>
      </c>
      <c r="AB393">
        <v>12</v>
      </c>
      <c r="AC393">
        <v>3</v>
      </c>
      <c r="AD393">
        <v>2</v>
      </c>
      <c r="AE393">
        <v>7</v>
      </c>
      <c r="AF393">
        <v>7</v>
      </c>
      <c r="AG393">
        <v>7</v>
      </c>
      <c r="AH393">
        <v>7</v>
      </c>
      <c r="AI393">
        <f t="shared" si="42"/>
        <v>1</v>
      </c>
      <c r="AJ393" t="str">
        <f t="shared" si="43"/>
        <v>6-10 yrs</v>
      </c>
      <c r="AK393" t="str">
        <f t="shared" si="44"/>
        <v>Overdue</v>
      </c>
      <c r="AL393">
        <f t="shared" si="45"/>
        <v>3</v>
      </c>
      <c r="AM393" t="str">
        <f t="shared" si="46"/>
        <v>High Risk</v>
      </c>
      <c r="AN393" s="6">
        <f t="shared" si="47"/>
        <v>0.6117462796944152</v>
      </c>
      <c r="AO393" s="7">
        <f t="shared" si="48"/>
        <v>948828</v>
      </c>
    </row>
    <row r="394" spans="1:41" x14ac:dyDescent="0.3">
      <c r="A394" t="s">
        <v>465</v>
      </c>
      <c r="B394">
        <v>31</v>
      </c>
      <c r="C394" t="s">
        <v>196</v>
      </c>
      <c r="D394" t="s">
        <v>47</v>
      </c>
      <c r="E394" t="s">
        <v>48</v>
      </c>
      <c r="F394">
        <v>542</v>
      </c>
      <c r="G394" t="s">
        <v>57</v>
      </c>
      <c r="H394">
        <v>20</v>
      </c>
      <c r="I394">
        <v>3</v>
      </c>
      <c r="J394" t="s">
        <v>50</v>
      </c>
      <c r="K394">
        <v>175</v>
      </c>
      <c r="L394">
        <v>2</v>
      </c>
      <c r="M394" t="s">
        <v>59</v>
      </c>
      <c r="N394">
        <v>1</v>
      </c>
      <c r="O394">
        <v>2</v>
      </c>
      <c r="P394" t="s">
        <v>145</v>
      </c>
      <c r="Q394">
        <v>3</v>
      </c>
      <c r="R394" t="s">
        <v>113</v>
      </c>
      <c r="S394">
        <v>55748</v>
      </c>
      <c r="T394" t="s">
        <v>64</v>
      </c>
      <c r="U394">
        <v>348.42</v>
      </c>
      <c r="V394">
        <v>3</v>
      </c>
      <c r="W394" t="s">
        <v>47</v>
      </c>
      <c r="X394">
        <v>11</v>
      </c>
      <c r="Y394">
        <v>3</v>
      </c>
      <c r="Z394">
        <v>3</v>
      </c>
      <c r="AA394">
        <v>1</v>
      </c>
      <c r="AB394">
        <v>4</v>
      </c>
      <c r="AC394">
        <v>2</v>
      </c>
      <c r="AD394">
        <v>3</v>
      </c>
      <c r="AE394">
        <v>2</v>
      </c>
      <c r="AF394">
        <v>2</v>
      </c>
      <c r="AG394">
        <v>2</v>
      </c>
      <c r="AH394">
        <v>2</v>
      </c>
      <c r="AI394">
        <f t="shared" si="42"/>
        <v>1</v>
      </c>
      <c r="AJ394" t="str">
        <f t="shared" si="43"/>
        <v>2-3 yrs</v>
      </c>
      <c r="AK394" t="str">
        <f t="shared" si="44"/>
        <v>Recent</v>
      </c>
      <c r="AL394">
        <f t="shared" si="45"/>
        <v>1</v>
      </c>
      <c r="AM394" t="str">
        <f t="shared" si="46"/>
        <v>Low Risk</v>
      </c>
      <c r="AN394" s="6">
        <f t="shared" si="47"/>
        <v>0.13636989971296279</v>
      </c>
      <c r="AO394" s="7">
        <f t="shared" si="48"/>
        <v>668976</v>
      </c>
    </row>
    <row r="395" spans="1:41" x14ac:dyDescent="0.3">
      <c r="A395" t="s">
        <v>466</v>
      </c>
      <c r="B395">
        <v>31</v>
      </c>
      <c r="C395" t="s">
        <v>196</v>
      </c>
      <c r="D395" t="s">
        <v>55</v>
      </c>
      <c r="E395" t="s">
        <v>48</v>
      </c>
      <c r="F395">
        <v>140</v>
      </c>
      <c r="G395" t="s">
        <v>49</v>
      </c>
      <c r="H395">
        <v>12</v>
      </c>
      <c r="I395">
        <v>1</v>
      </c>
      <c r="J395" t="s">
        <v>58</v>
      </c>
      <c r="K395">
        <v>246</v>
      </c>
      <c r="L395">
        <v>3</v>
      </c>
      <c r="M395" t="s">
        <v>59</v>
      </c>
      <c r="N395">
        <v>3</v>
      </c>
      <c r="O395">
        <v>1</v>
      </c>
      <c r="P395" t="s">
        <v>67</v>
      </c>
      <c r="Q395">
        <v>4</v>
      </c>
      <c r="R395" t="s">
        <v>113</v>
      </c>
      <c r="S395">
        <v>6801</v>
      </c>
      <c r="T395" t="s">
        <v>54</v>
      </c>
      <c r="U395">
        <v>42.51</v>
      </c>
      <c r="V395">
        <v>8</v>
      </c>
      <c r="W395" t="s">
        <v>47</v>
      </c>
      <c r="X395">
        <v>23</v>
      </c>
      <c r="Y395">
        <v>4</v>
      </c>
      <c r="Z395">
        <v>3</v>
      </c>
      <c r="AA395">
        <v>1</v>
      </c>
      <c r="AB395">
        <v>7</v>
      </c>
      <c r="AC395">
        <v>0</v>
      </c>
      <c r="AD395">
        <v>3</v>
      </c>
      <c r="AE395">
        <v>4</v>
      </c>
      <c r="AF395">
        <v>2</v>
      </c>
      <c r="AG395">
        <v>0</v>
      </c>
      <c r="AH395">
        <v>2</v>
      </c>
      <c r="AI395">
        <f t="shared" si="42"/>
        <v>0</v>
      </c>
      <c r="AJ395" t="str">
        <f t="shared" si="43"/>
        <v>4-5 yrs</v>
      </c>
      <c r="AK395" t="str">
        <f t="shared" si="44"/>
        <v>Recent</v>
      </c>
      <c r="AL395">
        <f t="shared" si="45"/>
        <v>1</v>
      </c>
      <c r="AM395" t="str">
        <f t="shared" si="46"/>
        <v>Low Risk</v>
      </c>
      <c r="AN395" s="6">
        <f t="shared" si="47"/>
        <v>-0.86361476686235794</v>
      </c>
      <c r="AO395" s="7">
        <f t="shared" si="48"/>
        <v>81612</v>
      </c>
    </row>
    <row r="396" spans="1:41" x14ac:dyDescent="0.3">
      <c r="A396" t="s">
        <v>467</v>
      </c>
      <c r="B396">
        <v>31</v>
      </c>
      <c r="C396" t="s">
        <v>196</v>
      </c>
      <c r="D396" t="s">
        <v>55</v>
      </c>
      <c r="E396" t="s">
        <v>66</v>
      </c>
      <c r="F396">
        <v>979</v>
      </c>
      <c r="G396" t="s">
        <v>49</v>
      </c>
      <c r="H396">
        <v>1</v>
      </c>
      <c r="I396">
        <v>4</v>
      </c>
      <c r="J396" t="s">
        <v>58</v>
      </c>
      <c r="K396">
        <v>308</v>
      </c>
      <c r="L396">
        <v>3</v>
      </c>
      <c r="M396" t="s">
        <v>51</v>
      </c>
      <c r="N396">
        <v>1</v>
      </c>
      <c r="O396">
        <v>2</v>
      </c>
      <c r="P396" t="s">
        <v>120</v>
      </c>
      <c r="Q396">
        <v>3</v>
      </c>
      <c r="R396" t="s">
        <v>113</v>
      </c>
      <c r="S396">
        <v>20190</v>
      </c>
      <c r="T396" t="s">
        <v>54</v>
      </c>
      <c r="U396">
        <v>126.19</v>
      </c>
      <c r="V396">
        <v>0</v>
      </c>
      <c r="W396" t="s">
        <v>55</v>
      </c>
      <c r="X396">
        <v>12</v>
      </c>
      <c r="Y396">
        <v>3</v>
      </c>
      <c r="Z396">
        <v>4</v>
      </c>
      <c r="AA396">
        <v>1</v>
      </c>
      <c r="AB396">
        <v>6</v>
      </c>
      <c r="AC396">
        <v>2</v>
      </c>
      <c r="AD396">
        <v>3</v>
      </c>
      <c r="AE396">
        <v>5</v>
      </c>
      <c r="AF396">
        <v>4</v>
      </c>
      <c r="AG396">
        <v>1</v>
      </c>
      <c r="AH396">
        <v>4</v>
      </c>
      <c r="AI396">
        <f t="shared" si="42"/>
        <v>0</v>
      </c>
      <c r="AJ396" t="str">
        <f t="shared" si="43"/>
        <v>4-5 yrs</v>
      </c>
      <c r="AK396" t="str">
        <f t="shared" si="44"/>
        <v>Recent</v>
      </c>
      <c r="AL396">
        <f t="shared" si="45"/>
        <v>0</v>
      </c>
      <c r="AM396" t="str">
        <f t="shared" si="46"/>
        <v>Minimal Risk</v>
      </c>
      <c r="AN396" s="6">
        <f t="shared" si="47"/>
        <v>-0.54419580032468862</v>
      </c>
      <c r="AO396" s="7">
        <f t="shared" si="48"/>
        <v>242280</v>
      </c>
    </row>
    <row r="397" spans="1:41" x14ac:dyDescent="0.3">
      <c r="A397" t="s">
        <v>468</v>
      </c>
      <c r="B397">
        <v>31</v>
      </c>
      <c r="C397" t="s">
        <v>196</v>
      </c>
      <c r="D397" t="s">
        <v>55</v>
      </c>
      <c r="E397" t="s">
        <v>62</v>
      </c>
      <c r="F397">
        <v>1327</v>
      </c>
      <c r="G397" t="s">
        <v>49</v>
      </c>
      <c r="H397">
        <v>3</v>
      </c>
      <c r="I397">
        <v>4</v>
      </c>
      <c r="J397" t="s">
        <v>58</v>
      </c>
      <c r="K397">
        <v>337</v>
      </c>
      <c r="L397">
        <v>2</v>
      </c>
      <c r="M397" t="s">
        <v>51</v>
      </c>
      <c r="N397">
        <v>3</v>
      </c>
      <c r="O397">
        <v>3</v>
      </c>
      <c r="P397" t="s">
        <v>257</v>
      </c>
      <c r="Q397">
        <v>3</v>
      </c>
      <c r="R397" t="s">
        <v>53</v>
      </c>
      <c r="S397">
        <v>50689</v>
      </c>
      <c r="T397" t="s">
        <v>64</v>
      </c>
      <c r="U397">
        <v>316.81</v>
      </c>
      <c r="V397">
        <v>9</v>
      </c>
      <c r="W397" t="s">
        <v>55</v>
      </c>
      <c r="X397">
        <v>12</v>
      </c>
      <c r="Y397">
        <v>3</v>
      </c>
      <c r="Z397">
        <v>1</v>
      </c>
      <c r="AA397">
        <v>1</v>
      </c>
      <c r="AB397">
        <v>9</v>
      </c>
      <c r="AC397">
        <v>3</v>
      </c>
      <c r="AD397">
        <v>3</v>
      </c>
      <c r="AE397">
        <v>2</v>
      </c>
      <c r="AF397">
        <v>2</v>
      </c>
      <c r="AG397">
        <v>2</v>
      </c>
      <c r="AH397">
        <v>2</v>
      </c>
      <c r="AI397">
        <f t="shared" si="42"/>
        <v>0</v>
      </c>
      <c r="AJ397" t="str">
        <f t="shared" si="43"/>
        <v>2-3 yrs</v>
      </c>
      <c r="AK397" t="str">
        <f t="shared" si="44"/>
        <v>Recent</v>
      </c>
      <c r="AL397">
        <f t="shared" si="45"/>
        <v>0</v>
      </c>
      <c r="AM397" t="str">
        <f t="shared" si="46"/>
        <v>Minimal Risk</v>
      </c>
      <c r="AN397" s="6">
        <f t="shared" si="47"/>
        <v>5.1171390603517279E-4</v>
      </c>
      <c r="AO397" s="7">
        <f t="shared" si="48"/>
        <v>608268</v>
      </c>
    </row>
    <row r="398" spans="1:41" x14ac:dyDescent="0.3">
      <c r="A398" t="s">
        <v>469</v>
      </c>
      <c r="B398">
        <v>31</v>
      </c>
      <c r="C398" t="s">
        <v>196</v>
      </c>
      <c r="D398" t="s">
        <v>47</v>
      </c>
      <c r="E398" t="s">
        <v>62</v>
      </c>
      <c r="F398">
        <v>307</v>
      </c>
      <c r="G398" t="s">
        <v>49</v>
      </c>
      <c r="H398">
        <v>29</v>
      </c>
      <c r="I398">
        <v>2</v>
      </c>
      <c r="J398" t="s">
        <v>58</v>
      </c>
      <c r="K398">
        <v>355</v>
      </c>
      <c r="L398">
        <v>3</v>
      </c>
      <c r="M398" t="s">
        <v>51</v>
      </c>
      <c r="N398">
        <v>2</v>
      </c>
      <c r="O398">
        <v>1</v>
      </c>
      <c r="P398" t="s">
        <v>52</v>
      </c>
      <c r="Q398">
        <v>2</v>
      </c>
      <c r="R398" t="s">
        <v>53</v>
      </c>
      <c r="S398">
        <v>51993</v>
      </c>
      <c r="T398" t="s">
        <v>64</v>
      </c>
      <c r="U398">
        <v>324.95999999999998</v>
      </c>
      <c r="V398">
        <v>0</v>
      </c>
      <c r="W398" t="s">
        <v>55</v>
      </c>
      <c r="X398">
        <v>11</v>
      </c>
      <c r="Y398">
        <v>3</v>
      </c>
      <c r="Z398">
        <v>2</v>
      </c>
      <c r="AA398">
        <v>0</v>
      </c>
      <c r="AB398">
        <v>6</v>
      </c>
      <c r="AC398">
        <v>2</v>
      </c>
      <c r="AD398">
        <v>4</v>
      </c>
      <c r="AE398">
        <v>5</v>
      </c>
      <c r="AF398">
        <v>4</v>
      </c>
      <c r="AG398">
        <v>1</v>
      </c>
      <c r="AH398">
        <v>4</v>
      </c>
      <c r="AI398">
        <f t="shared" si="42"/>
        <v>1</v>
      </c>
      <c r="AJ398" t="str">
        <f t="shared" si="43"/>
        <v>4-5 yrs</v>
      </c>
      <c r="AK398" t="str">
        <f t="shared" si="44"/>
        <v>Recent</v>
      </c>
      <c r="AL398">
        <f t="shared" si="45"/>
        <v>1</v>
      </c>
      <c r="AM398" t="str">
        <f t="shared" si="46"/>
        <v>Low Risk</v>
      </c>
      <c r="AN398" s="6">
        <f t="shared" si="47"/>
        <v>5.2667902641420411E-3</v>
      </c>
      <c r="AO398" s="7">
        <f t="shared" si="48"/>
        <v>623916</v>
      </c>
    </row>
    <row r="399" spans="1:41" x14ac:dyDescent="0.3">
      <c r="A399" t="s">
        <v>470</v>
      </c>
      <c r="B399">
        <v>31</v>
      </c>
      <c r="C399" t="s">
        <v>196</v>
      </c>
      <c r="D399" t="s">
        <v>55</v>
      </c>
      <c r="E399" t="s">
        <v>48</v>
      </c>
      <c r="F399">
        <v>1463</v>
      </c>
      <c r="G399" t="s">
        <v>49</v>
      </c>
      <c r="H399">
        <v>23</v>
      </c>
      <c r="I399">
        <v>3</v>
      </c>
      <c r="J399" t="s">
        <v>58</v>
      </c>
      <c r="K399">
        <v>367</v>
      </c>
      <c r="L399">
        <v>2</v>
      </c>
      <c r="M399" t="s">
        <v>51</v>
      </c>
      <c r="N399">
        <v>2</v>
      </c>
      <c r="O399">
        <v>2</v>
      </c>
      <c r="P399" t="s">
        <v>168</v>
      </c>
      <c r="Q399">
        <v>4</v>
      </c>
      <c r="R399" t="s">
        <v>113</v>
      </c>
      <c r="S399">
        <v>30592</v>
      </c>
      <c r="T399" t="s">
        <v>72</v>
      </c>
      <c r="U399">
        <v>191.2</v>
      </c>
      <c r="V399">
        <v>0</v>
      </c>
      <c r="W399" t="s">
        <v>55</v>
      </c>
      <c r="X399">
        <v>21</v>
      </c>
      <c r="Y399">
        <v>4</v>
      </c>
      <c r="Z399">
        <v>2</v>
      </c>
      <c r="AA399">
        <v>1</v>
      </c>
      <c r="AB399">
        <v>10</v>
      </c>
      <c r="AC399">
        <v>2</v>
      </c>
      <c r="AD399">
        <v>3</v>
      </c>
      <c r="AE399">
        <v>9</v>
      </c>
      <c r="AF399">
        <v>0</v>
      </c>
      <c r="AG399">
        <v>7</v>
      </c>
      <c r="AH399">
        <v>8</v>
      </c>
      <c r="AI399">
        <f t="shared" si="42"/>
        <v>0</v>
      </c>
      <c r="AJ399" t="str">
        <f t="shared" si="43"/>
        <v>6-10 yrs</v>
      </c>
      <c r="AK399" t="str">
        <f t="shared" si="44"/>
        <v>Overdue</v>
      </c>
      <c r="AL399">
        <f t="shared" si="45"/>
        <v>1</v>
      </c>
      <c r="AM399" t="str">
        <f t="shared" si="46"/>
        <v>Low Risk</v>
      </c>
      <c r="AN399" s="6">
        <f t="shared" si="47"/>
        <v>-0.36516820623495511</v>
      </c>
      <c r="AO399" s="7">
        <f t="shared" si="48"/>
        <v>367104</v>
      </c>
    </row>
    <row r="400" spans="1:41" x14ac:dyDescent="0.3">
      <c r="A400" t="s">
        <v>471</v>
      </c>
      <c r="B400">
        <v>31</v>
      </c>
      <c r="C400" t="s">
        <v>196</v>
      </c>
      <c r="D400" t="s">
        <v>55</v>
      </c>
      <c r="E400" t="s">
        <v>62</v>
      </c>
      <c r="F400">
        <v>444</v>
      </c>
      <c r="G400" t="s">
        <v>57</v>
      </c>
      <c r="H400">
        <v>5</v>
      </c>
      <c r="I400">
        <v>3</v>
      </c>
      <c r="J400" t="s">
        <v>63</v>
      </c>
      <c r="K400">
        <v>399</v>
      </c>
      <c r="L400">
        <v>4</v>
      </c>
      <c r="M400" t="s">
        <v>59</v>
      </c>
      <c r="N400">
        <v>3</v>
      </c>
      <c r="O400">
        <v>1</v>
      </c>
      <c r="P400" t="s">
        <v>60</v>
      </c>
      <c r="Q400">
        <v>2</v>
      </c>
      <c r="R400" t="s">
        <v>53</v>
      </c>
      <c r="S400">
        <v>11647</v>
      </c>
      <c r="T400" t="s">
        <v>54</v>
      </c>
      <c r="U400">
        <v>72.790000000000006</v>
      </c>
      <c r="V400">
        <v>1</v>
      </c>
      <c r="W400" t="s">
        <v>55</v>
      </c>
      <c r="X400">
        <v>11</v>
      </c>
      <c r="Y400">
        <v>3</v>
      </c>
      <c r="Z400">
        <v>3</v>
      </c>
      <c r="AA400">
        <v>1</v>
      </c>
      <c r="AB400">
        <v>2</v>
      </c>
      <c r="AC400">
        <v>5</v>
      </c>
      <c r="AD400">
        <v>2</v>
      </c>
      <c r="AE400">
        <v>2</v>
      </c>
      <c r="AF400">
        <v>2</v>
      </c>
      <c r="AG400">
        <v>2</v>
      </c>
      <c r="AH400">
        <v>2</v>
      </c>
      <c r="AI400">
        <f t="shared" si="42"/>
        <v>0</v>
      </c>
      <c r="AJ400" t="str">
        <f t="shared" si="43"/>
        <v>2-3 yrs</v>
      </c>
      <c r="AK400" t="str">
        <f t="shared" si="44"/>
        <v>Recent</v>
      </c>
      <c r="AL400">
        <f t="shared" si="45"/>
        <v>2</v>
      </c>
      <c r="AM400" t="str">
        <f t="shared" si="46"/>
        <v>Medium Risk</v>
      </c>
      <c r="AN400" s="6">
        <f t="shared" si="47"/>
        <v>-0.76388088093717044</v>
      </c>
      <c r="AO400" s="7">
        <f t="shared" si="48"/>
        <v>139764</v>
      </c>
    </row>
    <row r="401" spans="1:41" x14ac:dyDescent="0.3">
      <c r="A401" t="s">
        <v>472</v>
      </c>
      <c r="B401">
        <v>31</v>
      </c>
      <c r="C401" t="s">
        <v>196</v>
      </c>
      <c r="D401" t="s">
        <v>55</v>
      </c>
      <c r="E401" t="s">
        <v>48</v>
      </c>
      <c r="F401">
        <v>218</v>
      </c>
      <c r="G401" t="s">
        <v>57</v>
      </c>
      <c r="H401">
        <v>7</v>
      </c>
      <c r="I401">
        <v>3</v>
      </c>
      <c r="J401" t="s">
        <v>77</v>
      </c>
      <c r="K401">
        <v>416</v>
      </c>
      <c r="L401">
        <v>2</v>
      </c>
      <c r="M401" t="s">
        <v>51</v>
      </c>
      <c r="N401">
        <v>4</v>
      </c>
      <c r="O401">
        <v>2</v>
      </c>
      <c r="P401" t="s">
        <v>145</v>
      </c>
      <c r="Q401">
        <v>4</v>
      </c>
      <c r="R401" t="s">
        <v>113</v>
      </c>
      <c r="S401">
        <v>9716</v>
      </c>
      <c r="T401" t="s">
        <v>54</v>
      </c>
      <c r="U401">
        <v>60.72</v>
      </c>
      <c r="V401">
        <v>4</v>
      </c>
      <c r="W401" t="s">
        <v>55</v>
      </c>
      <c r="X401">
        <v>11</v>
      </c>
      <c r="Y401">
        <v>3</v>
      </c>
      <c r="Z401">
        <v>2</v>
      </c>
      <c r="AA401">
        <v>1</v>
      </c>
      <c r="AB401">
        <v>10</v>
      </c>
      <c r="AC401">
        <v>3</v>
      </c>
      <c r="AD401">
        <v>2</v>
      </c>
      <c r="AE401">
        <v>8</v>
      </c>
      <c r="AF401">
        <v>7</v>
      </c>
      <c r="AG401">
        <v>7</v>
      </c>
      <c r="AH401">
        <v>7</v>
      </c>
      <c r="AI401">
        <f t="shared" si="42"/>
        <v>0</v>
      </c>
      <c r="AJ401" t="str">
        <f t="shared" si="43"/>
        <v>6-10 yrs</v>
      </c>
      <c r="AK401" t="str">
        <f t="shared" si="44"/>
        <v>Overdue</v>
      </c>
      <c r="AL401">
        <f t="shared" si="45"/>
        <v>2</v>
      </c>
      <c r="AM401" t="str">
        <f t="shared" si="46"/>
        <v>Medium Risk</v>
      </c>
      <c r="AN401" s="6">
        <f t="shared" si="47"/>
        <v>-0.80194859105956906</v>
      </c>
      <c r="AO401" s="7">
        <f t="shared" si="48"/>
        <v>116592</v>
      </c>
    </row>
    <row r="402" spans="1:41" x14ac:dyDescent="0.3">
      <c r="A402" t="s">
        <v>473</v>
      </c>
      <c r="B402">
        <v>31</v>
      </c>
      <c r="C402" t="s">
        <v>196</v>
      </c>
      <c r="D402" t="s">
        <v>55</v>
      </c>
      <c r="E402" t="s">
        <v>48</v>
      </c>
      <c r="F402">
        <v>691</v>
      </c>
      <c r="G402" t="s">
        <v>49</v>
      </c>
      <c r="H402">
        <v>5</v>
      </c>
      <c r="I402">
        <v>4</v>
      </c>
      <c r="J402" t="s">
        <v>77</v>
      </c>
      <c r="K402">
        <v>423</v>
      </c>
      <c r="L402">
        <v>3</v>
      </c>
      <c r="M402" t="s">
        <v>51</v>
      </c>
      <c r="N402">
        <v>3</v>
      </c>
      <c r="O402">
        <v>1</v>
      </c>
      <c r="P402" t="s">
        <v>67</v>
      </c>
      <c r="Q402">
        <v>4</v>
      </c>
      <c r="R402" t="s">
        <v>113</v>
      </c>
      <c r="S402">
        <v>89891</v>
      </c>
      <c r="T402" t="s">
        <v>70</v>
      </c>
      <c r="U402">
        <v>561.82000000000005</v>
      </c>
      <c r="V402">
        <v>0</v>
      </c>
      <c r="W402" t="s">
        <v>47</v>
      </c>
      <c r="X402">
        <v>12</v>
      </c>
      <c r="Y402">
        <v>3</v>
      </c>
      <c r="Z402">
        <v>3</v>
      </c>
      <c r="AA402">
        <v>1</v>
      </c>
      <c r="AB402">
        <v>6</v>
      </c>
      <c r="AC402">
        <v>4</v>
      </c>
      <c r="AD402">
        <v>3</v>
      </c>
      <c r="AE402">
        <v>5</v>
      </c>
      <c r="AF402">
        <v>2</v>
      </c>
      <c r="AG402">
        <v>0</v>
      </c>
      <c r="AH402">
        <v>3</v>
      </c>
      <c r="AI402">
        <f t="shared" si="42"/>
        <v>0</v>
      </c>
      <c r="AJ402" t="str">
        <f t="shared" si="43"/>
        <v>4-5 yrs</v>
      </c>
      <c r="AK402" t="str">
        <f t="shared" si="44"/>
        <v>Recent</v>
      </c>
      <c r="AL402">
        <f t="shared" si="45"/>
        <v>1</v>
      </c>
      <c r="AM402" t="str">
        <f t="shared" si="46"/>
        <v>Low Risk</v>
      </c>
      <c r="AN402" s="6">
        <f t="shared" si="47"/>
        <v>0.80264740361355402</v>
      </c>
      <c r="AO402" s="7">
        <f t="shared" si="48"/>
        <v>1078692</v>
      </c>
    </row>
    <row r="403" spans="1:41" x14ac:dyDescent="0.3">
      <c r="A403" t="s">
        <v>474</v>
      </c>
      <c r="B403">
        <v>31</v>
      </c>
      <c r="C403" t="s">
        <v>196</v>
      </c>
      <c r="D403" t="s">
        <v>55</v>
      </c>
      <c r="E403" t="s">
        <v>48</v>
      </c>
      <c r="F403">
        <v>106</v>
      </c>
      <c r="G403" t="s">
        <v>406</v>
      </c>
      <c r="H403">
        <v>2</v>
      </c>
      <c r="I403">
        <v>3</v>
      </c>
      <c r="J403" t="s">
        <v>80</v>
      </c>
      <c r="K403">
        <v>424</v>
      </c>
      <c r="L403">
        <v>1</v>
      </c>
      <c r="M403" t="s">
        <v>51</v>
      </c>
      <c r="N403">
        <v>2</v>
      </c>
      <c r="O403">
        <v>2</v>
      </c>
      <c r="P403" t="s">
        <v>80</v>
      </c>
      <c r="Q403">
        <v>1</v>
      </c>
      <c r="R403" t="s">
        <v>113</v>
      </c>
      <c r="S403">
        <v>88545</v>
      </c>
      <c r="T403" t="s">
        <v>70</v>
      </c>
      <c r="U403">
        <v>553.41</v>
      </c>
      <c r="V403">
        <v>3</v>
      </c>
      <c r="W403" t="s">
        <v>55</v>
      </c>
      <c r="X403">
        <v>12</v>
      </c>
      <c r="Y403">
        <v>3</v>
      </c>
      <c r="Z403">
        <v>4</v>
      </c>
      <c r="AA403">
        <v>0</v>
      </c>
      <c r="AB403">
        <v>9</v>
      </c>
      <c r="AC403">
        <v>1</v>
      </c>
      <c r="AD403">
        <v>3</v>
      </c>
      <c r="AE403">
        <v>2</v>
      </c>
      <c r="AF403">
        <v>2</v>
      </c>
      <c r="AG403">
        <v>1</v>
      </c>
      <c r="AH403">
        <v>0</v>
      </c>
      <c r="AI403">
        <f t="shared" si="42"/>
        <v>0</v>
      </c>
      <c r="AJ403" t="str">
        <f t="shared" si="43"/>
        <v>2-3 yrs</v>
      </c>
      <c r="AK403" t="str">
        <f t="shared" si="44"/>
        <v>Recent</v>
      </c>
      <c r="AL403">
        <f t="shared" si="45"/>
        <v>1</v>
      </c>
      <c r="AM403" t="str">
        <f t="shared" si="46"/>
        <v>Low Risk</v>
      </c>
      <c r="AN403" s="6">
        <f t="shared" si="47"/>
        <v>0.7449340392391679</v>
      </c>
      <c r="AO403" s="7">
        <f t="shared" si="48"/>
        <v>1062540</v>
      </c>
    </row>
    <row r="404" spans="1:41" x14ac:dyDescent="0.3">
      <c r="A404" t="s">
        <v>475</v>
      </c>
      <c r="B404">
        <v>31</v>
      </c>
      <c r="C404" t="s">
        <v>196</v>
      </c>
      <c r="D404" t="s">
        <v>55</v>
      </c>
      <c r="E404" t="s">
        <v>48</v>
      </c>
      <c r="F404">
        <v>192</v>
      </c>
      <c r="G404" t="s">
        <v>49</v>
      </c>
      <c r="H404">
        <v>2</v>
      </c>
      <c r="I404">
        <v>4</v>
      </c>
      <c r="J404" t="s">
        <v>50</v>
      </c>
      <c r="K404">
        <v>426</v>
      </c>
      <c r="L404">
        <v>3</v>
      </c>
      <c r="M404" t="s">
        <v>51</v>
      </c>
      <c r="N404">
        <v>3</v>
      </c>
      <c r="O404">
        <v>1</v>
      </c>
      <c r="P404" t="s">
        <v>67</v>
      </c>
      <c r="Q404">
        <v>4</v>
      </c>
      <c r="R404" t="s">
        <v>53</v>
      </c>
      <c r="S404">
        <v>90912</v>
      </c>
      <c r="T404" t="s">
        <v>70</v>
      </c>
      <c r="U404">
        <v>568.20000000000005</v>
      </c>
      <c r="V404">
        <v>0</v>
      </c>
      <c r="W404" t="s">
        <v>47</v>
      </c>
      <c r="X404">
        <v>18</v>
      </c>
      <c r="Y404">
        <v>3</v>
      </c>
      <c r="Z404">
        <v>2</v>
      </c>
      <c r="AA404">
        <v>1</v>
      </c>
      <c r="AB404">
        <v>3</v>
      </c>
      <c r="AC404">
        <v>2</v>
      </c>
      <c r="AD404">
        <v>1</v>
      </c>
      <c r="AE404">
        <v>2</v>
      </c>
      <c r="AF404">
        <v>2</v>
      </c>
      <c r="AG404">
        <v>2</v>
      </c>
      <c r="AH404">
        <v>2</v>
      </c>
      <c r="AI404">
        <f t="shared" si="42"/>
        <v>0</v>
      </c>
      <c r="AJ404" t="str">
        <f t="shared" si="43"/>
        <v>2-3 yrs</v>
      </c>
      <c r="AK404" t="str">
        <f t="shared" si="44"/>
        <v>Recent</v>
      </c>
      <c r="AL404">
        <f t="shared" si="45"/>
        <v>2</v>
      </c>
      <c r="AM404" t="str">
        <f t="shared" si="46"/>
        <v>Medium Risk</v>
      </c>
      <c r="AN404" s="6">
        <f t="shared" si="47"/>
        <v>0.82312223423162967</v>
      </c>
      <c r="AO404" s="7">
        <f t="shared" si="48"/>
        <v>1090944</v>
      </c>
    </row>
    <row r="405" spans="1:41" x14ac:dyDescent="0.3">
      <c r="A405" t="s">
        <v>476</v>
      </c>
      <c r="B405">
        <v>31</v>
      </c>
      <c r="C405" t="s">
        <v>196</v>
      </c>
      <c r="D405" t="s">
        <v>55</v>
      </c>
      <c r="E405" t="s">
        <v>48</v>
      </c>
      <c r="F405">
        <v>691</v>
      </c>
      <c r="G405" t="s">
        <v>57</v>
      </c>
      <c r="H405">
        <v>7</v>
      </c>
      <c r="I405">
        <v>3</v>
      </c>
      <c r="J405" t="s">
        <v>63</v>
      </c>
      <c r="K405">
        <v>438</v>
      </c>
      <c r="L405">
        <v>4</v>
      </c>
      <c r="M405" t="s">
        <v>51</v>
      </c>
      <c r="N405">
        <v>3</v>
      </c>
      <c r="O405">
        <v>2</v>
      </c>
      <c r="P405" t="s">
        <v>145</v>
      </c>
      <c r="Q405">
        <v>4</v>
      </c>
      <c r="R405" t="s">
        <v>53</v>
      </c>
      <c r="S405">
        <v>71316</v>
      </c>
      <c r="T405" t="s">
        <v>64</v>
      </c>
      <c r="U405">
        <v>445.72</v>
      </c>
      <c r="V405">
        <v>4</v>
      </c>
      <c r="W405" t="s">
        <v>55</v>
      </c>
      <c r="X405">
        <v>12</v>
      </c>
      <c r="Y405">
        <v>3</v>
      </c>
      <c r="Z405">
        <v>4</v>
      </c>
      <c r="AA405">
        <v>3</v>
      </c>
      <c r="AB405">
        <v>13</v>
      </c>
      <c r="AC405">
        <v>3</v>
      </c>
      <c r="AD405">
        <v>3</v>
      </c>
      <c r="AE405">
        <v>7</v>
      </c>
      <c r="AF405">
        <v>7</v>
      </c>
      <c r="AG405">
        <v>1</v>
      </c>
      <c r="AH405">
        <v>7</v>
      </c>
      <c r="AI405">
        <f t="shared" si="42"/>
        <v>0</v>
      </c>
      <c r="AJ405" t="str">
        <f t="shared" si="43"/>
        <v>6-10 yrs</v>
      </c>
      <c r="AK405" t="str">
        <f t="shared" si="44"/>
        <v>Recent</v>
      </c>
      <c r="AL405">
        <f t="shared" si="45"/>
        <v>0</v>
      </c>
      <c r="AM405" t="str">
        <f t="shared" si="46"/>
        <v>Minimal Risk</v>
      </c>
      <c r="AN405" s="6">
        <f t="shared" si="47"/>
        <v>0.45370875668956112</v>
      </c>
      <c r="AO405" s="7">
        <f t="shared" si="48"/>
        <v>855792</v>
      </c>
    </row>
    <row r="406" spans="1:41" x14ac:dyDescent="0.3">
      <c r="A406" t="s">
        <v>477</v>
      </c>
      <c r="B406">
        <v>31</v>
      </c>
      <c r="C406" t="s">
        <v>196</v>
      </c>
      <c r="D406" t="s">
        <v>55</v>
      </c>
      <c r="E406" t="s">
        <v>62</v>
      </c>
      <c r="F406">
        <v>798</v>
      </c>
      <c r="G406" t="s">
        <v>49</v>
      </c>
      <c r="H406">
        <v>7</v>
      </c>
      <c r="I406">
        <v>2</v>
      </c>
      <c r="J406" t="s">
        <v>50</v>
      </c>
      <c r="K406">
        <v>442</v>
      </c>
      <c r="L406">
        <v>3</v>
      </c>
      <c r="M406" t="s">
        <v>59</v>
      </c>
      <c r="N406">
        <v>2</v>
      </c>
      <c r="O406">
        <v>3</v>
      </c>
      <c r="P406" t="s">
        <v>120</v>
      </c>
      <c r="Q406">
        <v>3</v>
      </c>
      <c r="R406" t="s">
        <v>113</v>
      </c>
      <c r="S406">
        <v>3368</v>
      </c>
      <c r="T406" t="s">
        <v>54</v>
      </c>
      <c r="U406">
        <v>21.05</v>
      </c>
      <c r="V406">
        <v>1</v>
      </c>
      <c r="W406" t="s">
        <v>55</v>
      </c>
      <c r="X406">
        <v>24</v>
      </c>
      <c r="Y406">
        <v>4</v>
      </c>
      <c r="Z406">
        <v>1</v>
      </c>
      <c r="AA406">
        <v>1</v>
      </c>
      <c r="AB406">
        <v>10</v>
      </c>
      <c r="AC406">
        <v>2</v>
      </c>
      <c r="AD406">
        <v>3</v>
      </c>
      <c r="AE406">
        <v>10</v>
      </c>
      <c r="AF406">
        <v>9</v>
      </c>
      <c r="AG406">
        <v>8</v>
      </c>
      <c r="AH406">
        <v>9</v>
      </c>
      <c r="AI406">
        <f t="shared" si="42"/>
        <v>0</v>
      </c>
      <c r="AJ406" t="str">
        <f t="shared" si="43"/>
        <v>6-10 yrs</v>
      </c>
      <c r="AK406" t="str">
        <f t="shared" si="44"/>
        <v>Overdue</v>
      </c>
      <c r="AL406">
        <f t="shared" si="45"/>
        <v>1</v>
      </c>
      <c r="AM406" t="str">
        <f t="shared" si="46"/>
        <v>Low Risk</v>
      </c>
      <c r="AN406" s="6">
        <f t="shared" si="47"/>
        <v>-0.92396490616609961</v>
      </c>
      <c r="AO406" s="7">
        <f t="shared" si="48"/>
        <v>40416</v>
      </c>
    </row>
    <row r="407" spans="1:41" x14ac:dyDescent="0.3">
      <c r="A407" t="s">
        <v>478</v>
      </c>
      <c r="B407">
        <v>31</v>
      </c>
      <c r="C407" t="s">
        <v>196</v>
      </c>
      <c r="D407" t="s">
        <v>55</v>
      </c>
      <c r="E407" t="s">
        <v>48</v>
      </c>
      <c r="F407">
        <v>1232</v>
      </c>
      <c r="G407" t="s">
        <v>49</v>
      </c>
      <c r="H407">
        <v>7</v>
      </c>
      <c r="I407">
        <v>4</v>
      </c>
      <c r="J407" t="s">
        <v>58</v>
      </c>
      <c r="K407">
        <v>462</v>
      </c>
      <c r="L407">
        <v>3</v>
      </c>
      <c r="M407" t="s">
        <v>59</v>
      </c>
      <c r="N407">
        <v>3</v>
      </c>
      <c r="O407">
        <v>3</v>
      </c>
      <c r="P407" t="s">
        <v>120</v>
      </c>
      <c r="Q407">
        <v>4</v>
      </c>
      <c r="R407" t="s">
        <v>53</v>
      </c>
      <c r="S407">
        <v>78575</v>
      </c>
      <c r="T407" t="s">
        <v>64</v>
      </c>
      <c r="U407">
        <v>491.09</v>
      </c>
      <c r="V407">
        <v>1</v>
      </c>
      <c r="W407" t="s">
        <v>47</v>
      </c>
      <c r="X407">
        <v>14</v>
      </c>
      <c r="Y407">
        <v>3</v>
      </c>
      <c r="Z407">
        <v>3</v>
      </c>
      <c r="AA407">
        <v>0</v>
      </c>
      <c r="AB407">
        <v>11</v>
      </c>
      <c r="AC407">
        <v>2</v>
      </c>
      <c r="AD407">
        <v>2</v>
      </c>
      <c r="AE407">
        <v>11</v>
      </c>
      <c r="AF407">
        <v>9</v>
      </c>
      <c r="AG407">
        <v>4</v>
      </c>
      <c r="AH407">
        <v>10</v>
      </c>
      <c r="AI407">
        <f t="shared" si="42"/>
        <v>0</v>
      </c>
      <c r="AJ407" t="str">
        <f t="shared" si="43"/>
        <v>10+ yrs</v>
      </c>
      <c r="AK407" t="str">
        <f t="shared" si="44"/>
        <v>Overdue</v>
      </c>
      <c r="AL407">
        <f t="shared" si="45"/>
        <v>3</v>
      </c>
      <c r="AM407" t="str">
        <f t="shared" si="46"/>
        <v>High Risk</v>
      </c>
      <c r="AN407" s="6">
        <f t="shared" si="47"/>
        <v>0.77388880581909802</v>
      </c>
      <c r="AO407" s="7">
        <f t="shared" si="48"/>
        <v>942900</v>
      </c>
    </row>
    <row r="408" spans="1:41" x14ac:dyDescent="0.3">
      <c r="A408" t="s">
        <v>479</v>
      </c>
      <c r="B408">
        <v>31</v>
      </c>
      <c r="C408" t="s">
        <v>196</v>
      </c>
      <c r="D408" t="s">
        <v>55</v>
      </c>
      <c r="E408" t="s">
        <v>48</v>
      </c>
      <c r="F408">
        <v>408</v>
      </c>
      <c r="G408" t="s">
        <v>49</v>
      </c>
      <c r="H408">
        <v>9</v>
      </c>
      <c r="I408">
        <v>4</v>
      </c>
      <c r="J408" t="s">
        <v>50</v>
      </c>
      <c r="K408">
        <v>493</v>
      </c>
      <c r="L408">
        <v>3</v>
      </c>
      <c r="M408" t="s">
        <v>51</v>
      </c>
      <c r="N408">
        <v>2</v>
      </c>
      <c r="O408">
        <v>1</v>
      </c>
      <c r="P408" t="s">
        <v>67</v>
      </c>
      <c r="Q408">
        <v>2</v>
      </c>
      <c r="R408" t="s">
        <v>53</v>
      </c>
      <c r="S408">
        <v>7655</v>
      </c>
      <c r="T408" t="s">
        <v>54</v>
      </c>
      <c r="U408">
        <v>47.84</v>
      </c>
      <c r="V408">
        <v>0</v>
      </c>
      <c r="W408" t="s">
        <v>47</v>
      </c>
      <c r="X408">
        <v>16</v>
      </c>
      <c r="Y408">
        <v>3</v>
      </c>
      <c r="Z408">
        <v>4</v>
      </c>
      <c r="AA408">
        <v>0</v>
      </c>
      <c r="AB408">
        <v>3</v>
      </c>
      <c r="AC408">
        <v>5</v>
      </c>
      <c r="AD408">
        <v>3</v>
      </c>
      <c r="AE408">
        <v>2</v>
      </c>
      <c r="AF408">
        <v>2</v>
      </c>
      <c r="AG408">
        <v>2</v>
      </c>
      <c r="AH408">
        <v>2</v>
      </c>
      <c r="AI408">
        <f t="shared" si="42"/>
        <v>0</v>
      </c>
      <c r="AJ408" t="str">
        <f t="shared" si="43"/>
        <v>2-3 yrs</v>
      </c>
      <c r="AK408" t="str">
        <f t="shared" si="44"/>
        <v>Recent</v>
      </c>
      <c r="AL408">
        <f t="shared" si="45"/>
        <v>2</v>
      </c>
      <c r="AM408" t="str">
        <f t="shared" si="46"/>
        <v>Medium Risk</v>
      </c>
      <c r="AN408" s="6">
        <f t="shared" si="47"/>
        <v>-0.84648890462157778</v>
      </c>
      <c r="AO408" s="7">
        <f t="shared" si="48"/>
        <v>91860</v>
      </c>
    </row>
    <row r="409" spans="1:41" x14ac:dyDescent="0.3">
      <c r="A409" t="s">
        <v>480</v>
      </c>
      <c r="B409">
        <v>31</v>
      </c>
      <c r="C409" t="s">
        <v>196</v>
      </c>
      <c r="D409" t="s">
        <v>55</v>
      </c>
      <c r="E409" t="s">
        <v>48</v>
      </c>
      <c r="F409">
        <v>480</v>
      </c>
      <c r="G409" t="s">
        <v>49</v>
      </c>
      <c r="H409">
        <v>7</v>
      </c>
      <c r="I409">
        <v>2</v>
      </c>
      <c r="J409" t="s">
        <v>58</v>
      </c>
      <c r="K409">
        <v>524</v>
      </c>
      <c r="L409">
        <v>2</v>
      </c>
      <c r="M409" t="s">
        <v>59</v>
      </c>
      <c r="N409">
        <v>3</v>
      </c>
      <c r="O409">
        <v>2</v>
      </c>
      <c r="P409" t="s">
        <v>120</v>
      </c>
      <c r="Q409">
        <v>1</v>
      </c>
      <c r="R409" t="s">
        <v>113</v>
      </c>
      <c r="S409">
        <v>71031</v>
      </c>
      <c r="T409" t="s">
        <v>64</v>
      </c>
      <c r="U409">
        <v>443.94</v>
      </c>
      <c r="V409">
        <v>1</v>
      </c>
      <c r="W409" t="s">
        <v>55</v>
      </c>
      <c r="X409">
        <v>12</v>
      </c>
      <c r="Y409">
        <v>3</v>
      </c>
      <c r="Z409">
        <v>2</v>
      </c>
      <c r="AA409">
        <v>1</v>
      </c>
      <c r="AB409">
        <v>13</v>
      </c>
      <c r="AC409">
        <v>5</v>
      </c>
      <c r="AD409">
        <v>1</v>
      </c>
      <c r="AE409">
        <v>13</v>
      </c>
      <c r="AF409">
        <v>10</v>
      </c>
      <c r="AG409">
        <v>3</v>
      </c>
      <c r="AH409">
        <v>12</v>
      </c>
      <c r="AI409">
        <f t="shared" si="42"/>
        <v>0</v>
      </c>
      <c r="AJ409" t="str">
        <f t="shared" si="43"/>
        <v>10+ yrs</v>
      </c>
      <c r="AK409" t="str">
        <f t="shared" si="44"/>
        <v>Overdue</v>
      </c>
      <c r="AL409">
        <f t="shared" si="45"/>
        <v>3</v>
      </c>
      <c r="AM409" t="str">
        <f t="shared" si="46"/>
        <v>High Risk</v>
      </c>
      <c r="AN409" s="6">
        <f t="shared" si="47"/>
        <v>0.60357741986810498</v>
      </c>
      <c r="AO409" s="7">
        <f t="shared" si="48"/>
        <v>852372</v>
      </c>
    </row>
    <row r="410" spans="1:41" x14ac:dyDescent="0.3">
      <c r="A410" t="s">
        <v>481</v>
      </c>
      <c r="B410">
        <v>31</v>
      </c>
      <c r="C410" t="s">
        <v>196</v>
      </c>
      <c r="D410" t="s">
        <v>55</v>
      </c>
      <c r="E410" t="s">
        <v>48</v>
      </c>
      <c r="F410">
        <v>329</v>
      </c>
      <c r="G410" t="s">
        <v>49</v>
      </c>
      <c r="H410">
        <v>1</v>
      </c>
      <c r="I410">
        <v>2</v>
      </c>
      <c r="J410" t="s">
        <v>50</v>
      </c>
      <c r="K410">
        <v>530</v>
      </c>
      <c r="L410">
        <v>4</v>
      </c>
      <c r="M410" t="s">
        <v>51</v>
      </c>
      <c r="N410">
        <v>2</v>
      </c>
      <c r="O410">
        <v>1</v>
      </c>
      <c r="P410" t="s">
        <v>52</v>
      </c>
      <c r="Q410">
        <v>1</v>
      </c>
      <c r="R410" t="s">
        <v>113</v>
      </c>
      <c r="S410">
        <v>77429</v>
      </c>
      <c r="T410" t="s">
        <v>64</v>
      </c>
      <c r="U410">
        <v>483.93</v>
      </c>
      <c r="V410">
        <v>1</v>
      </c>
      <c r="W410" t="s">
        <v>55</v>
      </c>
      <c r="X410">
        <v>12</v>
      </c>
      <c r="Y410">
        <v>3</v>
      </c>
      <c r="Z410">
        <v>3</v>
      </c>
      <c r="AA410">
        <v>1</v>
      </c>
      <c r="AB410">
        <v>4</v>
      </c>
      <c r="AC410">
        <v>3</v>
      </c>
      <c r="AD410">
        <v>3</v>
      </c>
      <c r="AE410">
        <v>4</v>
      </c>
      <c r="AF410">
        <v>2</v>
      </c>
      <c r="AG410">
        <v>3</v>
      </c>
      <c r="AH410">
        <v>2</v>
      </c>
      <c r="AI410">
        <f t="shared" si="42"/>
        <v>0</v>
      </c>
      <c r="AJ410" t="str">
        <f t="shared" si="43"/>
        <v>4-5 yrs</v>
      </c>
      <c r="AK410" t="str">
        <f t="shared" si="44"/>
        <v>Overdue</v>
      </c>
      <c r="AL410">
        <f t="shared" si="45"/>
        <v>2</v>
      </c>
      <c r="AM410" t="str">
        <f t="shared" si="46"/>
        <v>Medium Risk</v>
      </c>
      <c r="AN410" s="6">
        <f t="shared" si="47"/>
        <v>0.49706311048337765</v>
      </c>
      <c r="AO410" s="7">
        <f t="shared" si="48"/>
        <v>929148</v>
      </c>
    </row>
    <row r="411" spans="1:41" x14ac:dyDescent="0.3">
      <c r="A411" t="s">
        <v>482</v>
      </c>
      <c r="B411">
        <v>31</v>
      </c>
      <c r="C411" t="s">
        <v>196</v>
      </c>
      <c r="D411" t="s">
        <v>55</v>
      </c>
      <c r="E411" t="s">
        <v>48</v>
      </c>
      <c r="F411">
        <v>1274</v>
      </c>
      <c r="G411" t="s">
        <v>49</v>
      </c>
      <c r="H411">
        <v>9</v>
      </c>
      <c r="I411">
        <v>1</v>
      </c>
      <c r="J411" t="s">
        <v>50</v>
      </c>
      <c r="K411">
        <v>581</v>
      </c>
      <c r="L411">
        <v>3</v>
      </c>
      <c r="M411" t="s">
        <v>51</v>
      </c>
      <c r="N411">
        <v>3</v>
      </c>
      <c r="O411">
        <v>3</v>
      </c>
      <c r="P411" t="s">
        <v>120</v>
      </c>
      <c r="Q411">
        <v>2</v>
      </c>
      <c r="R411" t="s">
        <v>53</v>
      </c>
      <c r="S411">
        <v>92083</v>
      </c>
      <c r="T411" t="s">
        <v>70</v>
      </c>
      <c r="U411">
        <v>575.52</v>
      </c>
      <c r="V411">
        <v>1</v>
      </c>
      <c r="W411" t="s">
        <v>55</v>
      </c>
      <c r="X411">
        <v>25</v>
      </c>
      <c r="Y411">
        <v>4</v>
      </c>
      <c r="Z411">
        <v>4</v>
      </c>
      <c r="AA411">
        <v>1</v>
      </c>
      <c r="AB411">
        <v>13</v>
      </c>
      <c r="AC411">
        <v>6</v>
      </c>
      <c r="AD411">
        <v>4</v>
      </c>
      <c r="AE411">
        <v>13</v>
      </c>
      <c r="AF411">
        <v>8</v>
      </c>
      <c r="AG411">
        <v>0</v>
      </c>
      <c r="AH411">
        <v>8</v>
      </c>
      <c r="AI411">
        <f t="shared" si="42"/>
        <v>0</v>
      </c>
      <c r="AJ411" t="str">
        <f t="shared" si="43"/>
        <v>10+ yrs</v>
      </c>
      <c r="AK411" t="str">
        <f t="shared" si="44"/>
        <v>Recent</v>
      </c>
      <c r="AL411">
        <f t="shared" si="45"/>
        <v>1</v>
      </c>
      <c r="AM411" t="str">
        <f t="shared" si="46"/>
        <v>Low Risk</v>
      </c>
      <c r="AN411" s="6">
        <f t="shared" si="47"/>
        <v>1.0788419078108813</v>
      </c>
      <c r="AO411" s="7">
        <f t="shared" si="48"/>
        <v>1104996</v>
      </c>
    </row>
    <row r="412" spans="1:41" x14ac:dyDescent="0.3">
      <c r="A412" t="s">
        <v>483</v>
      </c>
      <c r="B412">
        <v>31</v>
      </c>
      <c r="C412" t="s">
        <v>196</v>
      </c>
      <c r="D412" t="s">
        <v>47</v>
      </c>
      <c r="E412" t="s">
        <v>62</v>
      </c>
      <c r="F412">
        <v>534</v>
      </c>
      <c r="G412" t="s">
        <v>49</v>
      </c>
      <c r="H412">
        <v>20</v>
      </c>
      <c r="I412">
        <v>3</v>
      </c>
      <c r="J412" t="s">
        <v>50</v>
      </c>
      <c r="K412">
        <v>587</v>
      </c>
      <c r="L412">
        <v>1</v>
      </c>
      <c r="M412" t="s">
        <v>51</v>
      </c>
      <c r="N412">
        <v>3</v>
      </c>
      <c r="O412">
        <v>3</v>
      </c>
      <c r="P412" t="s">
        <v>168</v>
      </c>
      <c r="Q412">
        <v>3</v>
      </c>
      <c r="R412" t="s">
        <v>113</v>
      </c>
      <c r="S412">
        <v>88922</v>
      </c>
      <c r="T412" t="s">
        <v>70</v>
      </c>
      <c r="U412">
        <v>555.76</v>
      </c>
      <c r="V412">
        <v>3</v>
      </c>
      <c r="W412" t="s">
        <v>55</v>
      </c>
      <c r="X412">
        <v>12</v>
      </c>
      <c r="Y412">
        <v>3</v>
      </c>
      <c r="Z412">
        <v>1</v>
      </c>
      <c r="AA412">
        <v>0</v>
      </c>
      <c r="AB412">
        <v>12</v>
      </c>
      <c r="AC412">
        <v>2</v>
      </c>
      <c r="AD412">
        <v>3</v>
      </c>
      <c r="AE412">
        <v>1</v>
      </c>
      <c r="AF412">
        <v>0</v>
      </c>
      <c r="AG412">
        <v>0</v>
      </c>
      <c r="AH412">
        <v>0</v>
      </c>
      <c r="AI412">
        <f t="shared" si="42"/>
        <v>1</v>
      </c>
      <c r="AJ412" t="str">
        <f t="shared" si="43"/>
        <v>0-1 yr</v>
      </c>
      <c r="AK412" t="str">
        <f t="shared" si="44"/>
        <v>Recent</v>
      </c>
      <c r="AL412">
        <f t="shared" si="45"/>
        <v>0</v>
      </c>
      <c r="AM412" t="str">
        <f t="shared" si="46"/>
        <v>Minimal Risk</v>
      </c>
      <c r="AN412" s="6">
        <f t="shared" si="47"/>
        <v>0.84527042250180839</v>
      </c>
      <c r="AO412" s="7">
        <f t="shared" si="48"/>
        <v>1067064</v>
      </c>
    </row>
    <row r="413" spans="1:41" x14ac:dyDescent="0.3">
      <c r="A413" t="s">
        <v>484</v>
      </c>
      <c r="B413">
        <v>31</v>
      </c>
      <c r="C413" t="s">
        <v>196</v>
      </c>
      <c r="D413" t="s">
        <v>55</v>
      </c>
      <c r="E413" t="s">
        <v>48</v>
      </c>
      <c r="F413">
        <v>828</v>
      </c>
      <c r="G413" t="s">
        <v>57</v>
      </c>
      <c r="H413">
        <v>2</v>
      </c>
      <c r="I413">
        <v>1</v>
      </c>
      <c r="J413" t="s">
        <v>50</v>
      </c>
      <c r="K413">
        <v>604</v>
      </c>
      <c r="L413">
        <v>2</v>
      </c>
      <c r="M413" t="s">
        <v>51</v>
      </c>
      <c r="N413">
        <v>3</v>
      </c>
      <c r="O413">
        <v>2</v>
      </c>
      <c r="P413" t="s">
        <v>145</v>
      </c>
      <c r="Q413">
        <v>4</v>
      </c>
      <c r="R413" t="s">
        <v>53</v>
      </c>
      <c r="S413">
        <v>56766</v>
      </c>
      <c r="T413" t="s">
        <v>64</v>
      </c>
      <c r="U413">
        <v>354.79</v>
      </c>
      <c r="V413">
        <v>4</v>
      </c>
      <c r="W413" t="s">
        <v>47</v>
      </c>
      <c r="X413">
        <v>13</v>
      </c>
      <c r="Y413">
        <v>3</v>
      </c>
      <c r="Z413">
        <v>3</v>
      </c>
      <c r="AA413">
        <v>0</v>
      </c>
      <c r="AB413">
        <v>10</v>
      </c>
      <c r="AC413">
        <v>2</v>
      </c>
      <c r="AD413">
        <v>4</v>
      </c>
      <c r="AE413">
        <v>6</v>
      </c>
      <c r="AF413">
        <v>5</v>
      </c>
      <c r="AG413">
        <v>0</v>
      </c>
      <c r="AH413">
        <v>5</v>
      </c>
      <c r="AI413">
        <f t="shared" si="42"/>
        <v>0</v>
      </c>
      <c r="AJ413" t="str">
        <f t="shared" si="43"/>
        <v>6-10 yrs</v>
      </c>
      <c r="AK413" t="str">
        <f t="shared" si="44"/>
        <v>Recent</v>
      </c>
      <c r="AL413">
        <f t="shared" si="45"/>
        <v>1</v>
      </c>
      <c r="AM413" t="str">
        <f t="shared" si="46"/>
        <v>Low Risk</v>
      </c>
      <c r="AN413" s="6">
        <f t="shared" si="47"/>
        <v>0.15712086042738835</v>
      </c>
      <c r="AO413" s="7">
        <f t="shared" si="48"/>
        <v>681192</v>
      </c>
    </row>
    <row r="414" spans="1:41" x14ac:dyDescent="0.3">
      <c r="A414" t="s">
        <v>485</v>
      </c>
      <c r="B414">
        <v>31</v>
      </c>
      <c r="C414" t="s">
        <v>196</v>
      </c>
      <c r="D414" t="s">
        <v>55</v>
      </c>
      <c r="E414" t="s">
        <v>48</v>
      </c>
      <c r="F414">
        <v>688</v>
      </c>
      <c r="G414" t="s">
        <v>57</v>
      </c>
      <c r="H414">
        <v>7</v>
      </c>
      <c r="I414">
        <v>3</v>
      </c>
      <c r="J414" t="s">
        <v>50</v>
      </c>
      <c r="K414">
        <v>613</v>
      </c>
      <c r="L414">
        <v>3</v>
      </c>
      <c r="M414" t="s">
        <v>51</v>
      </c>
      <c r="N414">
        <v>2</v>
      </c>
      <c r="O414">
        <v>3</v>
      </c>
      <c r="P414" t="s">
        <v>444</v>
      </c>
      <c r="Q414">
        <v>4</v>
      </c>
      <c r="R414" t="s">
        <v>53</v>
      </c>
      <c r="S414">
        <v>14403</v>
      </c>
      <c r="T414" t="s">
        <v>54</v>
      </c>
      <c r="U414">
        <v>90.02</v>
      </c>
      <c r="V414">
        <v>9</v>
      </c>
      <c r="W414" t="s">
        <v>55</v>
      </c>
      <c r="X414">
        <v>21</v>
      </c>
      <c r="Y414">
        <v>4</v>
      </c>
      <c r="Z414">
        <v>3</v>
      </c>
      <c r="AA414">
        <v>1</v>
      </c>
      <c r="AB414">
        <v>10</v>
      </c>
      <c r="AC414">
        <v>3</v>
      </c>
      <c r="AD414">
        <v>2</v>
      </c>
      <c r="AE414">
        <v>5</v>
      </c>
      <c r="AF414">
        <v>4</v>
      </c>
      <c r="AG414">
        <v>0</v>
      </c>
      <c r="AH414">
        <v>1</v>
      </c>
      <c r="AI414">
        <f t="shared" si="42"/>
        <v>0</v>
      </c>
      <c r="AJ414" t="str">
        <f t="shared" si="43"/>
        <v>4-5 yrs</v>
      </c>
      <c r="AK414" t="str">
        <f t="shared" si="44"/>
        <v>Recent</v>
      </c>
      <c r="AL414">
        <f t="shared" si="45"/>
        <v>1</v>
      </c>
      <c r="AM414" t="str">
        <f t="shared" si="46"/>
        <v>Low Risk</v>
      </c>
      <c r="AN414" s="6">
        <f t="shared" si="47"/>
        <v>-0.72407154614715974</v>
      </c>
      <c r="AO414" s="7">
        <f t="shared" si="48"/>
        <v>172836</v>
      </c>
    </row>
    <row r="415" spans="1:41" x14ac:dyDescent="0.3">
      <c r="A415" t="s">
        <v>486</v>
      </c>
      <c r="B415">
        <v>31</v>
      </c>
      <c r="C415" t="s">
        <v>196</v>
      </c>
      <c r="D415" t="s">
        <v>47</v>
      </c>
      <c r="E415" t="s">
        <v>48</v>
      </c>
      <c r="F415">
        <v>1365</v>
      </c>
      <c r="G415" t="s">
        <v>57</v>
      </c>
      <c r="H415">
        <v>13</v>
      </c>
      <c r="I415">
        <v>4</v>
      </c>
      <c r="J415" t="s">
        <v>58</v>
      </c>
      <c r="K415">
        <v>650</v>
      </c>
      <c r="L415">
        <v>2</v>
      </c>
      <c r="M415" t="s">
        <v>51</v>
      </c>
      <c r="N415">
        <v>3</v>
      </c>
      <c r="O415">
        <v>2</v>
      </c>
      <c r="P415" t="s">
        <v>145</v>
      </c>
      <c r="Q415">
        <v>1</v>
      </c>
      <c r="R415" t="s">
        <v>53</v>
      </c>
      <c r="S415">
        <v>33097</v>
      </c>
      <c r="T415" t="s">
        <v>72</v>
      </c>
      <c r="U415">
        <v>206.86</v>
      </c>
      <c r="V415">
        <v>2</v>
      </c>
      <c r="W415" t="s">
        <v>55</v>
      </c>
      <c r="X415">
        <v>17</v>
      </c>
      <c r="Y415">
        <v>3</v>
      </c>
      <c r="Z415">
        <v>3</v>
      </c>
      <c r="AA415">
        <v>0</v>
      </c>
      <c r="AB415">
        <v>9</v>
      </c>
      <c r="AC415">
        <v>2</v>
      </c>
      <c r="AD415">
        <v>1</v>
      </c>
      <c r="AE415">
        <v>3</v>
      </c>
      <c r="AF415">
        <v>1</v>
      </c>
      <c r="AG415">
        <v>1</v>
      </c>
      <c r="AH415">
        <v>2</v>
      </c>
      <c r="AI415">
        <f t="shared" si="42"/>
        <v>1</v>
      </c>
      <c r="AJ415" t="str">
        <f t="shared" si="43"/>
        <v>2-3 yrs</v>
      </c>
      <c r="AK415" t="str">
        <f t="shared" si="44"/>
        <v>Recent</v>
      </c>
      <c r="AL415">
        <f t="shared" si="45"/>
        <v>2</v>
      </c>
      <c r="AM415" t="str">
        <f t="shared" si="46"/>
        <v>Medium Risk</v>
      </c>
      <c r="AN415" s="6">
        <f t="shared" si="47"/>
        <v>-0.32534916820693244</v>
      </c>
      <c r="AO415" s="7">
        <f t="shared" si="48"/>
        <v>397164</v>
      </c>
    </row>
    <row r="416" spans="1:41" x14ac:dyDescent="0.3">
      <c r="A416" t="s">
        <v>487</v>
      </c>
      <c r="B416">
        <v>31</v>
      </c>
      <c r="C416" t="s">
        <v>196</v>
      </c>
      <c r="D416" t="s">
        <v>55</v>
      </c>
      <c r="E416" t="s">
        <v>48</v>
      </c>
      <c r="F416">
        <v>525</v>
      </c>
      <c r="G416" t="s">
        <v>57</v>
      </c>
      <c r="H416">
        <v>6</v>
      </c>
      <c r="I416">
        <v>4</v>
      </c>
      <c r="J416" t="s">
        <v>58</v>
      </c>
      <c r="K416">
        <v>653</v>
      </c>
      <c r="L416">
        <v>1</v>
      </c>
      <c r="M416" t="s">
        <v>51</v>
      </c>
      <c r="N416">
        <v>4</v>
      </c>
      <c r="O416">
        <v>2</v>
      </c>
      <c r="P416" t="s">
        <v>145</v>
      </c>
      <c r="Q416">
        <v>4</v>
      </c>
      <c r="R416" t="s">
        <v>53</v>
      </c>
      <c r="S416">
        <v>79657</v>
      </c>
      <c r="T416" t="s">
        <v>64</v>
      </c>
      <c r="U416">
        <v>497.86</v>
      </c>
      <c r="V416">
        <v>4</v>
      </c>
      <c r="W416" t="s">
        <v>55</v>
      </c>
      <c r="X416">
        <v>22</v>
      </c>
      <c r="Y416">
        <v>4</v>
      </c>
      <c r="Z416">
        <v>4</v>
      </c>
      <c r="AA416">
        <v>2</v>
      </c>
      <c r="AB416">
        <v>13</v>
      </c>
      <c r="AC416">
        <v>4</v>
      </c>
      <c r="AD416">
        <v>4</v>
      </c>
      <c r="AE416">
        <v>7</v>
      </c>
      <c r="AF416">
        <v>7</v>
      </c>
      <c r="AG416">
        <v>5</v>
      </c>
      <c r="AH416">
        <v>7</v>
      </c>
      <c r="AI416">
        <f t="shared" si="42"/>
        <v>0</v>
      </c>
      <c r="AJ416" t="str">
        <f t="shared" si="43"/>
        <v>6-10 yrs</v>
      </c>
      <c r="AK416" t="str">
        <f t="shared" si="44"/>
        <v>Overdue</v>
      </c>
      <c r="AL416">
        <f t="shared" si="45"/>
        <v>1</v>
      </c>
      <c r="AM416" t="str">
        <f t="shared" si="46"/>
        <v>Low Risk</v>
      </c>
      <c r="AN416" s="6">
        <f t="shared" si="47"/>
        <v>0.62373209983202049</v>
      </c>
      <c r="AO416" s="7">
        <f t="shared" si="48"/>
        <v>955884</v>
      </c>
    </row>
    <row r="417" spans="1:41" x14ac:dyDescent="0.3">
      <c r="A417" t="s">
        <v>488</v>
      </c>
      <c r="B417">
        <v>31</v>
      </c>
      <c r="C417" t="s">
        <v>196</v>
      </c>
      <c r="D417" t="s">
        <v>55</v>
      </c>
      <c r="E417" t="s">
        <v>48</v>
      </c>
      <c r="F417">
        <v>1222</v>
      </c>
      <c r="G417" t="s">
        <v>49</v>
      </c>
      <c r="H417">
        <v>11</v>
      </c>
      <c r="I417">
        <v>4</v>
      </c>
      <c r="J417" t="s">
        <v>50</v>
      </c>
      <c r="K417">
        <v>895</v>
      </c>
      <c r="L417">
        <v>4</v>
      </c>
      <c r="M417" t="s">
        <v>51</v>
      </c>
      <c r="N417">
        <v>3</v>
      </c>
      <c r="O417">
        <v>1</v>
      </c>
      <c r="P417" t="s">
        <v>67</v>
      </c>
      <c r="Q417">
        <v>4</v>
      </c>
      <c r="R417" t="s">
        <v>113</v>
      </c>
      <c r="S417">
        <v>11966</v>
      </c>
      <c r="T417" t="s">
        <v>54</v>
      </c>
      <c r="U417">
        <v>74.790000000000006</v>
      </c>
      <c r="V417">
        <v>3</v>
      </c>
      <c r="W417" t="s">
        <v>47</v>
      </c>
      <c r="X417">
        <v>19</v>
      </c>
      <c r="Y417">
        <v>3</v>
      </c>
      <c r="Z417">
        <v>2</v>
      </c>
      <c r="AA417">
        <v>1</v>
      </c>
      <c r="AB417">
        <v>8</v>
      </c>
      <c r="AC417">
        <v>2</v>
      </c>
      <c r="AD417">
        <v>3</v>
      </c>
      <c r="AE417">
        <v>6</v>
      </c>
      <c r="AF417">
        <v>4</v>
      </c>
      <c r="AG417">
        <v>0</v>
      </c>
      <c r="AH417">
        <v>2</v>
      </c>
      <c r="AI417">
        <f t="shared" si="42"/>
        <v>0</v>
      </c>
      <c r="AJ417" t="str">
        <f t="shared" si="43"/>
        <v>6-10 yrs</v>
      </c>
      <c r="AK417" t="str">
        <f t="shared" si="44"/>
        <v>Recent</v>
      </c>
      <c r="AL417">
        <f t="shared" si="45"/>
        <v>1</v>
      </c>
      <c r="AM417" t="str">
        <f t="shared" si="46"/>
        <v>Low Risk</v>
      </c>
      <c r="AN417" s="6">
        <f t="shared" si="47"/>
        <v>-0.76003739160049633</v>
      </c>
      <c r="AO417" s="7">
        <f t="shared" si="48"/>
        <v>143592</v>
      </c>
    </row>
    <row r="418" spans="1:41" x14ac:dyDescent="0.3">
      <c r="A418" t="s">
        <v>489</v>
      </c>
      <c r="B418">
        <v>31</v>
      </c>
      <c r="C418" t="s">
        <v>196</v>
      </c>
      <c r="D418" t="s">
        <v>55</v>
      </c>
      <c r="E418" t="s">
        <v>48</v>
      </c>
      <c r="F418">
        <v>154</v>
      </c>
      <c r="G418" t="s">
        <v>57</v>
      </c>
      <c r="H418">
        <v>7</v>
      </c>
      <c r="I418">
        <v>4</v>
      </c>
      <c r="J418" t="s">
        <v>50</v>
      </c>
      <c r="K418">
        <v>941</v>
      </c>
      <c r="L418">
        <v>2</v>
      </c>
      <c r="M418" t="s">
        <v>51</v>
      </c>
      <c r="N418">
        <v>2</v>
      </c>
      <c r="O418">
        <v>1</v>
      </c>
      <c r="P418" t="s">
        <v>60</v>
      </c>
      <c r="Q418">
        <v>3</v>
      </c>
      <c r="R418" t="s">
        <v>113</v>
      </c>
      <c r="S418">
        <v>94848</v>
      </c>
      <c r="T418" t="s">
        <v>70</v>
      </c>
      <c r="U418">
        <v>592.79999999999995</v>
      </c>
      <c r="V418">
        <v>3</v>
      </c>
      <c r="W418" t="s">
        <v>55</v>
      </c>
      <c r="X418">
        <v>15</v>
      </c>
      <c r="Y418">
        <v>3</v>
      </c>
      <c r="Z418">
        <v>2</v>
      </c>
      <c r="AA418">
        <v>0</v>
      </c>
      <c r="AB418">
        <v>13</v>
      </c>
      <c r="AC418">
        <v>2</v>
      </c>
      <c r="AD418">
        <v>4</v>
      </c>
      <c r="AE418">
        <v>7</v>
      </c>
      <c r="AF418">
        <v>7</v>
      </c>
      <c r="AG418">
        <v>5</v>
      </c>
      <c r="AH418">
        <v>2</v>
      </c>
      <c r="AI418">
        <f t="shared" si="42"/>
        <v>0</v>
      </c>
      <c r="AJ418" t="str">
        <f t="shared" si="43"/>
        <v>6-10 yrs</v>
      </c>
      <c r="AK418" t="str">
        <f t="shared" si="44"/>
        <v>Overdue</v>
      </c>
      <c r="AL418">
        <f t="shared" si="45"/>
        <v>1</v>
      </c>
      <c r="AM418" t="str">
        <f t="shared" si="46"/>
        <v>Low Risk</v>
      </c>
      <c r="AN418" s="6">
        <f t="shared" si="47"/>
        <v>0.92284933501083999</v>
      </c>
      <c r="AO418" s="7">
        <f t="shared" si="48"/>
        <v>1138176</v>
      </c>
    </row>
    <row r="419" spans="1:41" x14ac:dyDescent="0.3">
      <c r="A419" t="s">
        <v>490</v>
      </c>
      <c r="B419">
        <v>31</v>
      </c>
      <c r="C419" t="s">
        <v>196</v>
      </c>
      <c r="D419" t="s">
        <v>55</v>
      </c>
      <c r="E419" t="s">
        <v>66</v>
      </c>
      <c r="F419">
        <v>1188</v>
      </c>
      <c r="G419" t="s">
        <v>57</v>
      </c>
      <c r="H419">
        <v>20</v>
      </c>
      <c r="I419">
        <v>2</v>
      </c>
      <c r="J419" t="s">
        <v>63</v>
      </c>
      <c r="K419">
        <v>947</v>
      </c>
      <c r="L419">
        <v>4</v>
      </c>
      <c r="M419" t="s">
        <v>59</v>
      </c>
      <c r="N419">
        <v>3</v>
      </c>
      <c r="O419">
        <v>2</v>
      </c>
      <c r="P419" t="s">
        <v>145</v>
      </c>
      <c r="Q419">
        <v>3</v>
      </c>
      <c r="R419" t="s">
        <v>113</v>
      </c>
      <c r="S419">
        <v>53921</v>
      </c>
      <c r="T419" t="s">
        <v>64</v>
      </c>
      <c r="U419">
        <v>337.01</v>
      </c>
      <c r="V419">
        <v>1</v>
      </c>
      <c r="W419" t="s">
        <v>55</v>
      </c>
      <c r="X419">
        <v>13</v>
      </c>
      <c r="Y419">
        <v>3</v>
      </c>
      <c r="Z419">
        <v>4</v>
      </c>
      <c r="AA419">
        <v>1</v>
      </c>
      <c r="AB419">
        <v>9</v>
      </c>
      <c r="AC419">
        <v>2</v>
      </c>
      <c r="AD419">
        <v>2</v>
      </c>
      <c r="AE419">
        <v>9</v>
      </c>
      <c r="AF419">
        <v>8</v>
      </c>
      <c r="AG419">
        <v>0</v>
      </c>
      <c r="AH419">
        <v>0</v>
      </c>
      <c r="AI419">
        <f t="shared" si="42"/>
        <v>0</v>
      </c>
      <c r="AJ419" t="str">
        <f t="shared" si="43"/>
        <v>6-10 yrs</v>
      </c>
      <c r="AK419" t="str">
        <f t="shared" si="44"/>
        <v>Recent</v>
      </c>
      <c r="AL419">
        <f t="shared" si="45"/>
        <v>1</v>
      </c>
      <c r="AM419" t="str">
        <f t="shared" si="46"/>
        <v>Low Risk</v>
      </c>
      <c r="AN419" s="6">
        <f t="shared" si="47"/>
        <v>9.9128244285403372E-2</v>
      </c>
      <c r="AO419" s="7">
        <f t="shared" si="48"/>
        <v>647052</v>
      </c>
    </row>
    <row r="420" spans="1:41" x14ac:dyDescent="0.3">
      <c r="A420" t="s">
        <v>491</v>
      </c>
      <c r="B420">
        <v>31</v>
      </c>
      <c r="C420" t="s">
        <v>196</v>
      </c>
      <c r="D420" t="s">
        <v>55</v>
      </c>
      <c r="E420" t="s">
        <v>48</v>
      </c>
      <c r="F420">
        <v>616</v>
      </c>
      <c r="G420" t="s">
        <v>49</v>
      </c>
      <c r="H420">
        <v>12</v>
      </c>
      <c r="I420">
        <v>3</v>
      </c>
      <c r="J420" t="s">
        <v>58</v>
      </c>
      <c r="K420">
        <v>961</v>
      </c>
      <c r="L420">
        <v>4</v>
      </c>
      <c r="M420" t="s">
        <v>59</v>
      </c>
      <c r="N420">
        <v>3</v>
      </c>
      <c r="O420">
        <v>2</v>
      </c>
      <c r="P420" t="s">
        <v>168</v>
      </c>
      <c r="Q420">
        <v>4</v>
      </c>
      <c r="R420" t="s">
        <v>113</v>
      </c>
      <c r="S420">
        <v>50726</v>
      </c>
      <c r="T420" t="s">
        <v>64</v>
      </c>
      <c r="U420">
        <v>317.04000000000002</v>
      </c>
      <c r="V420">
        <v>0</v>
      </c>
      <c r="W420" t="s">
        <v>47</v>
      </c>
      <c r="X420">
        <v>11</v>
      </c>
      <c r="Y420">
        <v>3</v>
      </c>
      <c r="Z420">
        <v>3</v>
      </c>
      <c r="AA420">
        <v>2</v>
      </c>
      <c r="AB420">
        <v>10</v>
      </c>
      <c r="AC420">
        <v>2</v>
      </c>
      <c r="AD420">
        <v>1</v>
      </c>
      <c r="AE420">
        <v>9</v>
      </c>
      <c r="AF420">
        <v>7</v>
      </c>
      <c r="AG420">
        <v>8</v>
      </c>
      <c r="AH420">
        <v>5</v>
      </c>
      <c r="AI420">
        <f t="shared" si="42"/>
        <v>0</v>
      </c>
      <c r="AJ420" t="str">
        <f t="shared" si="43"/>
        <v>6-10 yrs</v>
      </c>
      <c r="AK420" t="str">
        <f t="shared" si="44"/>
        <v>Overdue</v>
      </c>
      <c r="AL420">
        <f t="shared" si="45"/>
        <v>3</v>
      </c>
      <c r="AM420" t="str">
        <f t="shared" si="46"/>
        <v>High Risk</v>
      </c>
      <c r="AN420" s="6">
        <f t="shared" si="47"/>
        <v>5.2643749036534654E-2</v>
      </c>
      <c r="AO420" s="7">
        <f t="shared" si="48"/>
        <v>608712</v>
      </c>
    </row>
    <row r="421" spans="1:41" x14ac:dyDescent="0.3">
      <c r="A421" t="s">
        <v>492</v>
      </c>
      <c r="B421">
        <v>31</v>
      </c>
      <c r="C421" t="s">
        <v>196</v>
      </c>
      <c r="D421" t="s">
        <v>47</v>
      </c>
      <c r="E421" t="s">
        <v>66</v>
      </c>
      <c r="F421">
        <v>335</v>
      </c>
      <c r="G421" t="s">
        <v>49</v>
      </c>
      <c r="H421">
        <v>9</v>
      </c>
      <c r="I421">
        <v>2</v>
      </c>
      <c r="J421" t="s">
        <v>58</v>
      </c>
      <c r="K421">
        <v>991</v>
      </c>
      <c r="L421">
        <v>3</v>
      </c>
      <c r="M421" t="s">
        <v>51</v>
      </c>
      <c r="N421">
        <v>2</v>
      </c>
      <c r="O421">
        <v>1</v>
      </c>
      <c r="P421" t="s">
        <v>67</v>
      </c>
      <c r="Q421">
        <v>1</v>
      </c>
      <c r="R421" t="s">
        <v>53</v>
      </c>
      <c r="S421">
        <v>51300</v>
      </c>
      <c r="T421" t="s">
        <v>64</v>
      </c>
      <c r="U421">
        <v>320.62</v>
      </c>
      <c r="V421">
        <v>0</v>
      </c>
      <c r="W421" t="s">
        <v>47</v>
      </c>
      <c r="X421">
        <v>22</v>
      </c>
      <c r="Y421">
        <v>4</v>
      </c>
      <c r="Z421">
        <v>1</v>
      </c>
      <c r="AA421">
        <v>0</v>
      </c>
      <c r="AB421">
        <v>4</v>
      </c>
      <c r="AC421">
        <v>0</v>
      </c>
      <c r="AD421">
        <v>3</v>
      </c>
      <c r="AE421">
        <v>3</v>
      </c>
      <c r="AF421">
        <v>2</v>
      </c>
      <c r="AG421">
        <v>1</v>
      </c>
      <c r="AH421">
        <v>2</v>
      </c>
      <c r="AI421">
        <f t="shared" si="42"/>
        <v>1</v>
      </c>
      <c r="AJ421" t="str">
        <f t="shared" si="43"/>
        <v>2-3 yrs</v>
      </c>
      <c r="AK421" t="str">
        <f t="shared" si="44"/>
        <v>Recent</v>
      </c>
      <c r="AL421">
        <f t="shared" si="45"/>
        <v>2</v>
      </c>
      <c r="AM421" t="str">
        <f t="shared" si="46"/>
        <v>Medium Risk</v>
      </c>
      <c r="AN421" s="6">
        <f t="shared" si="47"/>
        <v>2.8754956618296825E-2</v>
      </c>
      <c r="AO421" s="7">
        <f t="shared" si="48"/>
        <v>615600</v>
      </c>
    </row>
    <row r="422" spans="1:41" x14ac:dyDescent="0.3">
      <c r="A422" t="s">
        <v>493</v>
      </c>
      <c r="B422">
        <v>31</v>
      </c>
      <c r="C422" t="s">
        <v>196</v>
      </c>
      <c r="D422" t="s">
        <v>55</v>
      </c>
      <c r="E422" t="s">
        <v>62</v>
      </c>
      <c r="F422">
        <v>853</v>
      </c>
      <c r="G422" t="s">
        <v>49</v>
      </c>
      <c r="H422">
        <v>1</v>
      </c>
      <c r="I422">
        <v>1</v>
      </c>
      <c r="J422" t="s">
        <v>50</v>
      </c>
      <c r="K422">
        <v>1011</v>
      </c>
      <c r="L422">
        <v>3</v>
      </c>
      <c r="M422" t="s">
        <v>59</v>
      </c>
      <c r="N422">
        <v>3</v>
      </c>
      <c r="O422">
        <v>2</v>
      </c>
      <c r="P422" t="s">
        <v>120</v>
      </c>
      <c r="Q422">
        <v>1</v>
      </c>
      <c r="R422" t="s">
        <v>113</v>
      </c>
      <c r="S422">
        <v>23677</v>
      </c>
      <c r="T422" t="s">
        <v>54</v>
      </c>
      <c r="U422">
        <v>147.97999999999999</v>
      </c>
      <c r="V422">
        <v>1</v>
      </c>
      <c r="W422" t="s">
        <v>55</v>
      </c>
      <c r="X422">
        <v>12</v>
      </c>
      <c r="Y422">
        <v>3</v>
      </c>
      <c r="Z422">
        <v>3</v>
      </c>
      <c r="AA422">
        <v>1</v>
      </c>
      <c r="AB422">
        <v>4</v>
      </c>
      <c r="AC422">
        <v>1</v>
      </c>
      <c r="AD422">
        <v>3</v>
      </c>
      <c r="AE422">
        <v>4</v>
      </c>
      <c r="AF422">
        <v>3</v>
      </c>
      <c r="AG422">
        <v>0</v>
      </c>
      <c r="AH422">
        <v>3</v>
      </c>
      <c r="AI422">
        <f t="shared" si="42"/>
        <v>0</v>
      </c>
      <c r="AJ422" t="str">
        <f t="shared" si="43"/>
        <v>4-5 yrs</v>
      </c>
      <c r="AK422" t="str">
        <f t="shared" si="44"/>
        <v>Recent</v>
      </c>
      <c r="AL422">
        <f t="shared" si="45"/>
        <v>1</v>
      </c>
      <c r="AM422" t="str">
        <f t="shared" si="46"/>
        <v>Low Risk</v>
      </c>
      <c r="AN422" s="6">
        <f t="shared" si="47"/>
        <v>-0.46547419337729834</v>
      </c>
      <c r="AO422" s="7">
        <f t="shared" si="48"/>
        <v>284124</v>
      </c>
    </row>
    <row r="423" spans="1:41" x14ac:dyDescent="0.3">
      <c r="A423" t="s">
        <v>494</v>
      </c>
      <c r="B423">
        <v>31</v>
      </c>
      <c r="C423" t="s">
        <v>196</v>
      </c>
      <c r="D423" t="s">
        <v>55</v>
      </c>
      <c r="E423" t="s">
        <v>62</v>
      </c>
      <c r="F423">
        <v>793</v>
      </c>
      <c r="G423" t="s">
        <v>57</v>
      </c>
      <c r="H423">
        <v>20</v>
      </c>
      <c r="I423">
        <v>3</v>
      </c>
      <c r="J423" t="s">
        <v>50</v>
      </c>
      <c r="K423">
        <v>1135</v>
      </c>
      <c r="L423">
        <v>3</v>
      </c>
      <c r="M423" t="s">
        <v>51</v>
      </c>
      <c r="N423">
        <v>4</v>
      </c>
      <c r="O423">
        <v>1</v>
      </c>
      <c r="P423" t="s">
        <v>60</v>
      </c>
      <c r="Q423">
        <v>4</v>
      </c>
      <c r="R423" t="s">
        <v>113</v>
      </c>
      <c r="S423">
        <v>56609</v>
      </c>
      <c r="T423" t="s">
        <v>64</v>
      </c>
      <c r="U423">
        <v>353.81</v>
      </c>
      <c r="V423">
        <v>0</v>
      </c>
      <c r="W423" t="s">
        <v>55</v>
      </c>
      <c r="X423">
        <v>12</v>
      </c>
      <c r="Y423">
        <v>3</v>
      </c>
      <c r="Z423">
        <v>1</v>
      </c>
      <c r="AA423">
        <v>1</v>
      </c>
      <c r="AB423">
        <v>3</v>
      </c>
      <c r="AC423">
        <v>4</v>
      </c>
      <c r="AD423">
        <v>3</v>
      </c>
      <c r="AE423">
        <v>2</v>
      </c>
      <c r="AF423">
        <v>2</v>
      </c>
      <c r="AG423">
        <v>2</v>
      </c>
      <c r="AH423">
        <v>2</v>
      </c>
      <c r="AI423">
        <f t="shared" si="42"/>
        <v>0</v>
      </c>
      <c r="AJ423" t="str">
        <f t="shared" si="43"/>
        <v>2-3 yrs</v>
      </c>
      <c r="AK423" t="str">
        <f t="shared" si="44"/>
        <v>Recent</v>
      </c>
      <c r="AL423">
        <f t="shared" si="45"/>
        <v>0</v>
      </c>
      <c r="AM423" t="str">
        <f t="shared" si="46"/>
        <v>Minimal Risk</v>
      </c>
      <c r="AN423" s="6">
        <f t="shared" si="47"/>
        <v>0.14763176878404019</v>
      </c>
      <c r="AO423" s="7">
        <f t="shared" si="48"/>
        <v>679308</v>
      </c>
    </row>
    <row r="424" spans="1:41" x14ac:dyDescent="0.3">
      <c r="A424" t="s">
        <v>495</v>
      </c>
      <c r="B424">
        <v>31</v>
      </c>
      <c r="C424" t="s">
        <v>196</v>
      </c>
      <c r="D424" t="s">
        <v>47</v>
      </c>
      <c r="E424" t="s">
        <v>62</v>
      </c>
      <c r="F424">
        <v>874</v>
      </c>
      <c r="G424" t="s">
        <v>49</v>
      </c>
      <c r="H424">
        <v>15</v>
      </c>
      <c r="I424">
        <v>3</v>
      </c>
      <c r="J424" t="s">
        <v>58</v>
      </c>
      <c r="K424">
        <v>1160</v>
      </c>
      <c r="L424">
        <v>3</v>
      </c>
      <c r="M424" t="s">
        <v>51</v>
      </c>
      <c r="N424">
        <v>3</v>
      </c>
      <c r="O424">
        <v>1</v>
      </c>
      <c r="P424" t="s">
        <v>52</v>
      </c>
      <c r="Q424">
        <v>3</v>
      </c>
      <c r="R424" t="s">
        <v>113</v>
      </c>
      <c r="S424">
        <v>97825</v>
      </c>
      <c r="T424" t="s">
        <v>70</v>
      </c>
      <c r="U424">
        <v>611.41</v>
      </c>
      <c r="V424">
        <v>1</v>
      </c>
      <c r="W424" t="s">
        <v>55</v>
      </c>
      <c r="X424">
        <v>12</v>
      </c>
      <c r="Y424">
        <v>3</v>
      </c>
      <c r="Z424">
        <v>3</v>
      </c>
      <c r="AA424">
        <v>1</v>
      </c>
      <c r="AB424">
        <v>2</v>
      </c>
      <c r="AC424">
        <v>5</v>
      </c>
      <c r="AD424">
        <v>2</v>
      </c>
      <c r="AE424">
        <v>2</v>
      </c>
      <c r="AF424">
        <v>2</v>
      </c>
      <c r="AG424">
        <v>2</v>
      </c>
      <c r="AH424">
        <v>2</v>
      </c>
      <c r="AI424">
        <f t="shared" si="42"/>
        <v>1</v>
      </c>
      <c r="AJ424" t="str">
        <f t="shared" si="43"/>
        <v>2-3 yrs</v>
      </c>
      <c r="AK424" t="str">
        <f t="shared" si="44"/>
        <v>Recent</v>
      </c>
      <c r="AL424">
        <f t="shared" si="45"/>
        <v>1</v>
      </c>
      <c r="AM424" t="str">
        <f t="shared" si="46"/>
        <v>Low Risk</v>
      </c>
      <c r="AN424" s="6">
        <f t="shared" si="47"/>
        <v>0.89141276244089962</v>
      </c>
      <c r="AO424" s="7">
        <f t="shared" si="48"/>
        <v>1173900</v>
      </c>
    </row>
    <row r="425" spans="1:41" x14ac:dyDescent="0.3">
      <c r="A425" t="s">
        <v>496</v>
      </c>
      <c r="B425">
        <v>31</v>
      </c>
      <c r="C425" t="s">
        <v>196</v>
      </c>
      <c r="D425" t="s">
        <v>55</v>
      </c>
      <c r="E425" t="s">
        <v>48</v>
      </c>
      <c r="F425">
        <v>1332</v>
      </c>
      <c r="G425" t="s">
        <v>49</v>
      </c>
      <c r="H425">
        <v>11</v>
      </c>
      <c r="I425">
        <v>2</v>
      </c>
      <c r="J425" t="s">
        <v>58</v>
      </c>
      <c r="K425">
        <v>1251</v>
      </c>
      <c r="L425">
        <v>3</v>
      </c>
      <c r="M425" t="s">
        <v>51</v>
      </c>
      <c r="N425">
        <v>3</v>
      </c>
      <c r="O425">
        <v>2</v>
      </c>
      <c r="P425" t="s">
        <v>168</v>
      </c>
      <c r="Q425">
        <v>1</v>
      </c>
      <c r="R425" t="s">
        <v>113</v>
      </c>
      <c r="S425">
        <v>57661</v>
      </c>
      <c r="T425" t="s">
        <v>64</v>
      </c>
      <c r="U425">
        <v>360.38</v>
      </c>
      <c r="V425">
        <v>1</v>
      </c>
      <c r="W425" t="s">
        <v>47</v>
      </c>
      <c r="X425">
        <v>12</v>
      </c>
      <c r="Y425">
        <v>3</v>
      </c>
      <c r="Z425">
        <v>4</v>
      </c>
      <c r="AA425">
        <v>0</v>
      </c>
      <c r="AB425">
        <v>6</v>
      </c>
      <c r="AC425">
        <v>2</v>
      </c>
      <c r="AD425">
        <v>2</v>
      </c>
      <c r="AE425">
        <v>6</v>
      </c>
      <c r="AF425">
        <v>5</v>
      </c>
      <c r="AG425">
        <v>0</v>
      </c>
      <c r="AH425">
        <v>1</v>
      </c>
      <c r="AI425">
        <f t="shared" si="42"/>
        <v>0</v>
      </c>
      <c r="AJ425" t="str">
        <f t="shared" si="43"/>
        <v>6-10 yrs</v>
      </c>
      <c r="AK425" t="str">
        <f t="shared" si="44"/>
        <v>Recent</v>
      </c>
      <c r="AL425">
        <f t="shared" si="45"/>
        <v>3</v>
      </c>
      <c r="AM425" t="str">
        <f t="shared" si="46"/>
        <v>High Risk</v>
      </c>
      <c r="AN425" s="6">
        <f t="shared" si="47"/>
        <v>0.1965558335606124</v>
      </c>
      <c r="AO425" s="7">
        <f t="shared" si="48"/>
        <v>691932</v>
      </c>
    </row>
    <row r="426" spans="1:41" x14ac:dyDescent="0.3">
      <c r="A426" t="s">
        <v>497</v>
      </c>
      <c r="B426">
        <v>31</v>
      </c>
      <c r="C426" t="s">
        <v>196</v>
      </c>
      <c r="D426" t="s">
        <v>55</v>
      </c>
      <c r="E426" t="s">
        <v>48</v>
      </c>
      <c r="F426">
        <v>1062</v>
      </c>
      <c r="G426" t="s">
        <v>49</v>
      </c>
      <c r="H426">
        <v>24</v>
      </c>
      <c r="I426">
        <v>3</v>
      </c>
      <c r="J426" t="s">
        <v>58</v>
      </c>
      <c r="K426">
        <v>1252</v>
      </c>
      <c r="L426">
        <v>3</v>
      </c>
      <c r="M426" t="s">
        <v>59</v>
      </c>
      <c r="N426">
        <v>2</v>
      </c>
      <c r="O426">
        <v>2</v>
      </c>
      <c r="P426" t="s">
        <v>168</v>
      </c>
      <c r="Q426">
        <v>1</v>
      </c>
      <c r="R426" t="s">
        <v>53</v>
      </c>
      <c r="S426">
        <v>32024</v>
      </c>
      <c r="T426" t="s">
        <v>72</v>
      </c>
      <c r="U426">
        <v>200.15</v>
      </c>
      <c r="V426">
        <v>1</v>
      </c>
      <c r="W426" t="s">
        <v>55</v>
      </c>
      <c r="X426">
        <v>19</v>
      </c>
      <c r="Y426">
        <v>3</v>
      </c>
      <c r="Z426">
        <v>2</v>
      </c>
      <c r="AA426">
        <v>0</v>
      </c>
      <c r="AB426">
        <v>10</v>
      </c>
      <c r="AC426">
        <v>2</v>
      </c>
      <c r="AD426">
        <v>3</v>
      </c>
      <c r="AE426">
        <v>10</v>
      </c>
      <c r="AF426">
        <v>9</v>
      </c>
      <c r="AG426">
        <v>1</v>
      </c>
      <c r="AH426">
        <v>8</v>
      </c>
      <c r="AI426">
        <f t="shared" si="42"/>
        <v>0</v>
      </c>
      <c r="AJ426" t="str">
        <f t="shared" si="43"/>
        <v>6-10 yrs</v>
      </c>
      <c r="AK426" t="str">
        <f t="shared" si="44"/>
        <v>Recent</v>
      </c>
      <c r="AL426">
        <f t="shared" si="45"/>
        <v>1</v>
      </c>
      <c r="AM426" t="str">
        <f t="shared" si="46"/>
        <v>Low Risk</v>
      </c>
      <c r="AN426" s="6">
        <f t="shared" si="47"/>
        <v>-0.33545196902681101</v>
      </c>
      <c r="AO426" s="7">
        <f t="shared" si="48"/>
        <v>384288</v>
      </c>
    </row>
    <row r="427" spans="1:41" x14ac:dyDescent="0.3">
      <c r="A427" t="s">
        <v>498</v>
      </c>
      <c r="B427">
        <v>31</v>
      </c>
      <c r="C427" t="s">
        <v>196</v>
      </c>
      <c r="D427" t="s">
        <v>55</v>
      </c>
      <c r="E427" t="s">
        <v>66</v>
      </c>
      <c r="F427">
        <v>587</v>
      </c>
      <c r="G427" t="s">
        <v>57</v>
      </c>
      <c r="H427">
        <v>2</v>
      </c>
      <c r="I427">
        <v>4</v>
      </c>
      <c r="J427" t="s">
        <v>50</v>
      </c>
      <c r="K427">
        <v>1324</v>
      </c>
      <c r="L427">
        <v>4</v>
      </c>
      <c r="M427" t="s">
        <v>59</v>
      </c>
      <c r="N427">
        <v>3</v>
      </c>
      <c r="O427">
        <v>3</v>
      </c>
      <c r="P427" t="s">
        <v>145</v>
      </c>
      <c r="Q427">
        <v>3</v>
      </c>
      <c r="R427" t="s">
        <v>53</v>
      </c>
      <c r="S427">
        <v>71313</v>
      </c>
      <c r="T427" t="s">
        <v>64</v>
      </c>
      <c r="U427">
        <v>445.71</v>
      </c>
      <c r="V427">
        <v>1</v>
      </c>
      <c r="W427" t="s">
        <v>47</v>
      </c>
      <c r="X427">
        <v>19</v>
      </c>
      <c r="Y427">
        <v>3</v>
      </c>
      <c r="Z427">
        <v>1</v>
      </c>
      <c r="AA427">
        <v>1</v>
      </c>
      <c r="AB427">
        <v>10</v>
      </c>
      <c r="AC427">
        <v>5</v>
      </c>
      <c r="AD427">
        <v>2</v>
      </c>
      <c r="AE427">
        <v>10</v>
      </c>
      <c r="AF427">
        <v>8</v>
      </c>
      <c r="AG427">
        <v>9</v>
      </c>
      <c r="AH427">
        <v>6</v>
      </c>
      <c r="AI427">
        <f t="shared" si="42"/>
        <v>0</v>
      </c>
      <c r="AJ427" t="str">
        <f t="shared" si="43"/>
        <v>6-10 yrs</v>
      </c>
      <c r="AK427" t="str">
        <f t="shared" si="44"/>
        <v>Overdue</v>
      </c>
      <c r="AL427">
        <f t="shared" si="45"/>
        <v>3</v>
      </c>
      <c r="AM427" t="str">
        <f t="shared" si="46"/>
        <v>High Risk</v>
      </c>
      <c r="AN427" s="6">
        <f t="shared" si="47"/>
        <v>0.45364760454600195</v>
      </c>
      <c r="AO427" s="7">
        <f t="shared" si="48"/>
        <v>855756</v>
      </c>
    </row>
    <row r="428" spans="1:41" x14ac:dyDescent="0.3">
      <c r="A428" t="s">
        <v>499</v>
      </c>
      <c r="B428">
        <v>31</v>
      </c>
      <c r="C428" t="s">
        <v>196</v>
      </c>
      <c r="D428" t="s">
        <v>47</v>
      </c>
      <c r="E428" t="s">
        <v>62</v>
      </c>
      <c r="F428">
        <v>1060</v>
      </c>
      <c r="G428" t="s">
        <v>57</v>
      </c>
      <c r="H428">
        <v>1</v>
      </c>
      <c r="I428">
        <v>3</v>
      </c>
      <c r="J428" t="s">
        <v>50</v>
      </c>
      <c r="K428">
        <v>1331</v>
      </c>
      <c r="L428">
        <v>4</v>
      </c>
      <c r="M428" t="s">
        <v>59</v>
      </c>
      <c r="N428">
        <v>3</v>
      </c>
      <c r="O428">
        <v>1</v>
      </c>
      <c r="P428" t="s">
        <v>60</v>
      </c>
      <c r="Q428">
        <v>2</v>
      </c>
      <c r="R428" t="s">
        <v>53</v>
      </c>
      <c r="S428">
        <v>54006</v>
      </c>
      <c r="T428" t="s">
        <v>64</v>
      </c>
      <c r="U428">
        <v>337.54</v>
      </c>
      <c r="V428">
        <v>1</v>
      </c>
      <c r="W428" t="s">
        <v>47</v>
      </c>
      <c r="X428">
        <v>11</v>
      </c>
      <c r="Y428">
        <v>3</v>
      </c>
      <c r="Z428">
        <v>1</v>
      </c>
      <c r="AA428">
        <v>0</v>
      </c>
      <c r="AB428">
        <v>3</v>
      </c>
      <c r="AC428">
        <v>2</v>
      </c>
      <c r="AD428">
        <v>4</v>
      </c>
      <c r="AE428">
        <v>3</v>
      </c>
      <c r="AF428">
        <v>2</v>
      </c>
      <c r="AG428">
        <v>2</v>
      </c>
      <c r="AH428">
        <v>2</v>
      </c>
      <c r="AI428">
        <f t="shared" si="42"/>
        <v>1</v>
      </c>
      <c r="AJ428" t="str">
        <f t="shared" si="43"/>
        <v>2-3 yrs</v>
      </c>
      <c r="AK428" t="str">
        <f t="shared" si="44"/>
        <v>Recent</v>
      </c>
      <c r="AL428">
        <f t="shared" si="45"/>
        <v>2</v>
      </c>
      <c r="AM428" t="str">
        <f t="shared" si="46"/>
        <v>Medium Risk</v>
      </c>
      <c r="AN428" s="6">
        <f t="shared" si="47"/>
        <v>9.4861264197404552E-2</v>
      </c>
      <c r="AO428" s="7">
        <f t="shared" si="48"/>
        <v>648072</v>
      </c>
    </row>
    <row r="429" spans="1:41" x14ac:dyDescent="0.3">
      <c r="A429" t="s">
        <v>499</v>
      </c>
      <c r="B429">
        <v>31</v>
      </c>
      <c r="C429" t="s">
        <v>196</v>
      </c>
      <c r="D429" t="s">
        <v>47</v>
      </c>
      <c r="E429" t="s">
        <v>62</v>
      </c>
      <c r="F429">
        <v>1060</v>
      </c>
      <c r="G429" t="s">
        <v>57</v>
      </c>
      <c r="H429">
        <v>1</v>
      </c>
      <c r="I429">
        <v>3</v>
      </c>
      <c r="J429" t="s">
        <v>50</v>
      </c>
      <c r="K429">
        <v>1331</v>
      </c>
      <c r="L429">
        <v>4</v>
      </c>
      <c r="M429" t="s">
        <v>59</v>
      </c>
      <c r="N429">
        <v>3</v>
      </c>
      <c r="O429">
        <v>1</v>
      </c>
      <c r="P429" t="s">
        <v>60</v>
      </c>
      <c r="Q429">
        <v>2</v>
      </c>
      <c r="R429" t="s">
        <v>53</v>
      </c>
      <c r="S429">
        <v>54006</v>
      </c>
      <c r="T429" t="s">
        <v>64</v>
      </c>
      <c r="U429">
        <v>337.54</v>
      </c>
      <c r="V429">
        <v>1</v>
      </c>
      <c r="W429" t="s">
        <v>47</v>
      </c>
      <c r="X429">
        <v>11</v>
      </c>
      <c r="Y429">
        <v>3</v>
      </c>
      <c r="Z429">
        <v>1</v>
      </c>
      <c r="AA429">
        <v>0</v>
      </c>
      <c r="AB429">
        <v>3</v>
      </c>
      <c r="AC429">
        <v>2</v>
      </c>
      <c r="AD429">
        <v>4</v>
      </c>
      <c r="AE429">
        <v>3</v>
      </c>
      <c r="AF429">
        <v>2</v>
      </c>
      <c r="AG429">
        <v>2</v>
      </c>
      <c r="AH429">
        <v>0</v>
      </c>
      <c r="AI429">
        <f t="shared" si="42"/>
        <v>1</v>
      </c>
      <c r="AJ429" t="str">
        <f t="shared" si="43"/>
        <v>2-3 yrs</v>
      </c>
      <c r="AK429" t="str">
        <f t="shared" si="44"/>
        <v>Recent</v>
      </c>
      <c r="AL429">
        <f t="shared" si="45"/>
        <v>2</v>
      </c>
      <c r="AM429" t="str">
        <f t="shared" si="46"/>
        <v>Medium Risk</v>
      </c>
      <c r="AN429" s="6">
        <f t="shared" si="47"/>
        <v>9.4861264197404552E-2</v>
      </c>
      <c r="AO429" s="7">
        <f t="shared" si="48"/>
        <v>648072</v>
      </c>
    </row>
    <row r="430" spans="1:41" x14ac:dyDescent="0.3">
      <c r="A430" t="s">
        <v>500</v>
      </c>
      <c r="B430">
        <v>31</v>
      </c>
      <c r="C430" t="s">
        <v>196</v>
      </c>
      <c r="D430" t="s">
        <v>47</v>
      </c>
      <c r="E430" t="s">
        <v>48</v>
      </c>
      <c r="F430">
        <v>330</v>
      </c>
      <c r="G430" t="s">
        <v>49</v>
      </c>
      <c r="H430">
        <v>22</v>
      </c>
      <c r="I430">
        <v>4</v>
      </c>
      <c r="J430" t="s">
        <v>58</v>
      </c>
      <c r="K430">
        <v>1389</v>
      </c>
      <c r="L430">
        <v>4</v>
      </c>
      <c r="M430" t="s">
        <v>51</v>
      </c>
      <c r="N430">
        <v>3</v>
      </c>
      <c r="O430">
        <v>2</v>
      </c>
      <c r="P430" t="s">
        <v>120</v>
      </c>
      <c r="Q430">
        <v>3</v>
      </c>
      <c r="R430" t="s">
        <v>113</v>
      </c>
      <c r="S430">
        <v>16338</v>
      </c>
      <c r="T430" t="s">
        <v>54</v>
      </c>
      <c r="U430">
        <v>102.11</v>
      </c>
      <c r="V430">
        <v>1</v>
      </c>
      <c r="W430" t="s">
        <v>47</v>
      </c>
      <c r="X430">
        <v>15</v>
      </c>
      <c r="Y430">
        <v>3</v>
      </c>
      <c r="Z430">
        <v>4</v>
      </c>
      <c r="AA430">
        <v>2</v>
      </c>
      <c r="AB430">
        <v>10</v>
      </c>
      <c r="AC430">
        <v>3</v>
      </c>
      <c r="AD430">
        <v>2</v>
      </c>
      <c r="AE430">
        <v>10</v>
      </c>
      <c r="AF430">
        <v>2</v>
      </c>
      <c r="AG430">
        <v>6</v>
      </c>
      <c r="AH430">
        <v>7</v>
      </c>
      <c r="AI430">
        <f t="shared" si="42"/>
        <v>1</v>
      </c>
      <c r="AJ430" t="str">
        <f t="shared" si="43"/>
        <v>6-10 yrs</v>
      </c>
      <c r="AK430" t="str">
        <f t="shared" si="44"/>
        <v>Overdue</v>
      </c>
      <c r="AL430">
        <f t="shared" si="45"/>
        <v>3</v>
      </c>
      <c r="AM430" t="str">
        <f t="shared" si="46"/>
        <v>High Risk</v>
      </c>
      <c r="AN430" s="6">
        <f t="shared" si="47"/>
        <v>-0.63115755253614481</v>
      </c>
      <c r="AO430" s="7">
        <f t="shared" si="48"/>
        <v>196056</v>
      </c>
    </row>
    <row r="431" spans="1:41" x14ac:dyDescent="0.3">
      <c r="A431" t="s">
        <v>501</v>
      </c>
      <c r="B431">
        <v>31</v>
      </c>
      <c r="C431" t="s">
        <v>196</v>
      </c>
      <c r="D431" t="s">
        <v>47</v>
      </c>
      <c r="E431" t="s">
        <v>62</v>
      </c>
      <c r="F431">
        <v>667</v>
      </c>
      <c r="G431" t="s">
        <v>57</v>
      </c>
      <c r="H431">
        <v>1</v>
      </c>
      <c r="I431">
        <v>4</v>
      </c>
      <c r="J431" t="s">
        <v>50</v>
      </c>
      <c r="K431">
        <v>1427</v>
      </c>
      <c r="L431">
        <v>2</v>
      </c>
      <c r="M431" t="s">
        <v>59</v>
      </c>
      <c r="N431">
        <v>1</v>
      </c>
      <c r="O431">
        <v>1</v>
      </c>
      <c r="P431" t="s">
        <v>60</v>
      </c>
      <c r="Q431">
        <v>3</v>
      </c>
      <c r="R431" t="s">
        <v>53</v>
      </c>
      <c r="S431">
        <v>69027</v>
      </c>
      <c r="T431" t="s">
        <v>64</v>
      </c>
      <c r="U431">
        <v>431.42</v>
      </c>
      <c r="V431">
        <v>1</v>
      </c>
      <c r="W431" t="s">
        <v>55</v>
      </c>
      <c r="X431">
        <v>12</v>
      </c>
      <c r="Y431">
        <v>3</v>
      </c>
      <c r="Z431">
        <v>2</v>
      </c>
      <c r="AA431">
        <v>0</v>
      </c>
      <c r="AB431">
        <v>1</v>
      </c>
      <c r="AC431">
        <v>3</v>
      </c>
      <c r="AD431">
        <v>3</v>
      </c>
      <c r="AE431">
        <v>1</v>
      </c>
      <c r="AF431">
        <v>0</v>
      </c>
      <c r="AG431">
        <v>0</v>
      </c>
      <c r="AH431">
        <v>0</v>
      </c>
      <c r="AI431">
        <f t="shared" si="42"/>
        <v>1</v>
      </c>
      <c r="AJ431" t="str">
        <f t="shared" si="43"/>
        <v>0-1 yr</v>
      </c>
      <c r="AK431" t="str">
        <f t="shared" si="44"/>
        <v>Recent</v>
      </c>
      <c r="AL431">
        <f t="shared" si="45"/>
        <v>0</v>
      </c>
      <c r="AM431" t="str">
        <f t="shared" si="46"/>
        <v>Minimal Risk</v>
      </c>
      <c r="AN431" s="6">
        <f t="shared" si="47"/>
        <v>0.3993813369580092</v>
      </c>
      <c r="AO431" s="7">
        <f t="shared" si="48"/>
        <v>828324</v>
      </c>
    </row>
    <row r="432" spans="1:41" x14ac:dyDescent="0.3">
      <c r="A432" t="s">
        <v>502</v>
      </c>
      <c r="B432">
        <v>31</v>
      </c>
      <c r="C432" t="s">
        <v>196</v>
      </c>
      <c r="D432" t="s">
        <v>55</v>
      </c>
      <c r="E432" t="s">
        <v>48</v>
      </c>
      <c r="F432">
        <v>182</v>
      </c>
      <c r="G432" t="s">
        <v>49</v>
      </c>
      <c r="H432">
        <v>8</v>
      </c>
      <c r="I432">
        <v>5</v>
      </c>
      <c r="J432" t="s">
        <v>50</v>
      </c>
      <c r="K432">
        <v>1430</v>
      </c>
      <c r="L432">
        <v>1</v>
      </c>
      <c r="M432" t="s">
        <v>59</v>
      </c>
      <c r="N432">
        <v>3</v>
      </c>
      <c r="O432">
        <v>4</v>
      </c>
      <c r="P432" t="s">
        <v>257</v>
      </c>
      <c r="Q432">
        <v>2</v>
      </c>
      <c r="R432" t="s">
        <v>53</v>
      </c>
      <c r="S432">
        <v>93772</v>
      </c>
      <c r="T432" t="s">
        <v>70</v>
      </c>
      <c r="U432">
        <v>586.08000000000004</v>
      </c>
      <c r="V432">
        <v>3</v>
      </c>
      <c r="W432" t="s">
        <v>55</v>
      </c>
      <c r="X432">
        <v>11</v>
      </c>
      <c r="Y432">
        <v>3</v>
      </c>
      <c r="Z432">
        <v>3</v>
      </c>
      <c r="AA432">
        <v>0</v>
      </c>
      <c r="AB432">
        <v>9</v>
      </c>
      <c r="AC432">
        <v>3</v>
      </c>
      <c r="AD432">
        <v>4</v>
      </c>
      <c r="AE432">
        <v>3</v>
      </c>
      <c r="AF432">
        <v>2</v>
      </c>
      <c r="AG432">
        <v>1</v>
      </c>
      <c r="AH432">
        <v>0</v>
      </c>
      <c r="AI432">
        <f t="shared" si="42"/>
        <v>0</v>
      </c>
      <c r="AJ432" t="str">
        <f t="shared" si="43"/>
        <v>2-3 yrs</v>
      </c>
      <c r="AK432" t="str">
        <f t="shared" si="44"/>
        <v>Recent</v>
      </c>
      <c r="AL432">
        <f t="shared" si="45"/>
        <v>1</v>
      </c>
      <c r="AM432" t="str">
        <f t="shared" si="46"/>
        <v>Low Risk</v>
      </c>
      <c r="AN432" s="6">
        <f t="shared" si="47"/>
        <v>0.85089436438668609</v>
      </c>
      <c r="AO432" s="7">
        <f t="shared" si="48"/>
        <v>1125264</v>
      </c>
    </row>
    <row r="433" spans="1:41" x14ac:dyDescent="0.3">
      <c r="A433" t="s">
        <v>503</v>
      </c>
      <c r="B433">
        <v>31</v>
      </c>
      <c r="C433" t="s">
        <v>196</v>
      </c>
      <c r="D433" t="s">
        <v>47</v>
      </c>
      <c r="E433" t="s">
        <v>48</v>
      </c>
      <c r="F433">
        <v>202</v>
      </c>
      <c r="G433" t="s">
        <v>49</v>
      </c>
      <c r="H433">
        <v>8</v>
      </c>
      <c r="I433">
        <v>3</v>
      </c>
      <c r="J433" t="s">
        <v>50</v>
      </c>
      <c r="K433">
        <v>1433</v>
      </c>
      <c r="L433">
        <v>1</v>
      </c>
      <c r="M433" t="s">
        <v>59</v>
      </c>
      <c r="N433">
        <v>2</v>
      </c>
      <c r="O433">
        <v>1</v>
      </c>
      <c r="P433" t="s">
        <v>67</v>
      </c>
      <c r="Q433">
        <v>2</v>
      </c>
      <c r="R433" t="s">
        <v>53</v>
      </c>
      <c r="S433">
        <v>81135</v>
      </c>
      <c r="T433" t="s">
        <v>64</v>
      </c>
      <c r="U433">
        <v>507.09</v>
      </c>
      <c r="V433">
        <v>1</v>
      </c>
      <c r="W433" t="s">
        <v>55</v>
      </c>
      <c r="X433">
        <v>12</v>
      </c>
      <c r="Y433">
        <v>3</v>
      </c>
      <c r="Z433">
        <v>3</v>
      </c>
      <c r="AA433">
        <v>0</v>
      </c>
      <c r="AB433">
        <v>1</v>
      </c>
      <c r="AC433">
        <v>3</v>
      </c>
      <c r="AD433">
        <v>4</v>
      </c>
      <c r="AE433">
        <v>1</v>
      </c>
      <c r="AF433">
        <v>0</v>
      </c>
      <c r="AG433">
        <v>0</v>
      </c>
      <c r="AH433">
        <v>0</v>
      </c>
      <c r="AI433">
        <f t="shared" si="42"/>
        <v>1</v>
      </c>
      <c r="AJ433" t="str">
        <f t="shared" si="43"/>
        <v>0-1 yr</v>
      </c>
      <c r="AK433" t="str">
        <f t="shared" si="44"/>
        <v>Recent</v>
      </c>
      <c r="AL433">
        <f t="shared" si="45"/>
        <v>1</v>
      </c>
      <c r="AM433" t="str">
        <f t="shared" si="46"/>
        <v>Low Risk</v>
      </c>
      <c r="AN433" s="6">
        <f t="shared" si="47"/>
        <v>0.6270571813884116</v>
      </c>
      <c r="AO433" s="7">
        <f t="shared" si="48"/>
        <v>973620</v>
      </c>
    </row>
    <row r="434" spans="1:41" x14ac:dyDescent="0.3">
      <c r="A434" t="s">
        <v>504</v>
      </c>
      <c r="B434">
        <v>31</v>
      </c>
      <c r="C434" t="s">
        <v>196</v>
      </c>
      <c r="D434" t="s">
        <v>55</v>
      </c>
      <c r="E434" t="s">
        <v>48</v>
      </c>
      <c r="F434">
        <v>326</v>
      </c>
      <c r="G434" t="s">
        <v>57</v>
      </c>
      <c r="H434">
        <v>8</v>
      </c>
      <c r="I434">
        <v>2</v>
      </c>
      <c r="J434" t="s">
        <v>50</v>
      </c>
      <c r="K434">
        <v>1453</v>
      </c>
      <c r="L434">
        <v>1</v>
      </c>
      <c r="M434" t="s">
        <v>51</v>
      </c>
      <c r="N434">
        <v>3</v>
      </c>
      <c r="O434">
        <v>3</v>
      </c>
      <c r="P434" t="s">
        <v>145</v>
      </c>
      <c r="Q434">
        <v>4</v>
      </c>
      <c r="R434" t="s">
        <v>53</v>
      </c>
      <c r="S434">
        <v>20508</v>
      </c>
      <c r="T434" t="s">
        <v>54</v>
      </c>
      <c r="U434">
        <v>128.18</v>
      </c>
      <c r="V434">
        <v>1</v>
      </c>
      <c r="W434" t="s">
        <v>55</v>
      </c>
      <c r="X434">
        <v>18</v>
      </c>
      <c r="Y434">
        <v>3</v>
      </c>
      <c r="Z434">
        <v>1</v>
      </c>
      <c r="AA434">
        <v>1</v>
      </c>
      <c r="AB434">
        <v>13</v>
      </c>
      <c r="AC434">
        <v>5</v>
      </c>
      <c r="AD434">
        <v>3</v>
      </c>
      <c r="AE434">
        <v>13</v>
      </c>
      <c r="AF434">
        <v>7</v>
      </c>
      <c r="AG434">
        <v>9</v>
      </c>
      <c r="AH434">
        <v>9</v>
      </c>
      <c r="AI434">
        <f t="shared" si="42"/>
        <v>0</v>
      </c>
      <c r="AJ434" t="str">
        <f t="shared" si="43"/>
        <v>10+ yrs</v>
      </c>
      <c r="AK434" t="str">
        <f t="shared" si="44"/>
        <v>Overdue</v>
      </c>
      <c r="AL434">
        <f t="shared" si="45"/>
        <v>1</v>
      </c>
      <c r="AM434" t="str">
        <f t="shared" si="46"/>
        <v>Low Risk</v>
      </c>
      <c r="AN434" s="6">
        <f t="shared" si="47"/>
        <v>-0.58196394662923434</v>
      </c>
      <c r="AO434" s="7">
        <f t="shared" si="48"/>
        <v>246096</v>
      </c>
    </row>
    <row r="435" spans="1:41" x14ac:dyDescent="0.3">
      <c r="A435" t="s">
        <v>505</v>
      </c>
      <c r="B435">
        <v>31</v>
      </c>
      <c r="C435" t="s">
        <v>196</v>
      </c>
      <c r="D435" t="s">
        <v>47</v>
      </c>
      <c r="E435" t="s">
        <v>62</v>
      </c>
      <c r="F435">
        <v>1445</v>
      </c>
      <c r="G435" t="s">
        <v>49</v>
      </c>
      <c r="H435">
        <v>1</v>
      </c>
      <c r="I435">
        <v>5</v>
      </c>
      <c r="J435" t="s">
        <v>50</v>
      </c>
      <c r="K435">
        <v>1459</v>
      </c>
      <c r="L435">
        <v>3</v>
      </c>
      <c r="M435" t="s">
        <v>59</v>
      </c>
      <c r="N435">
        <v>4</v>
      </c>
      <c r="O435">
        <v>3</v>
      </c>
      <c r="P435" t="s">
        <v>120</v>
      </c>
      <c r="Q435">
        <v>2</v>
      </c>
      <c r="R435" t="s">
        <v>53</v>
      </c>
      <c r="S435">
        <v>4051</v>
      </c>
      <c r="T435" t="s">
        <v>54</v>
      </c>
      <c r="U435">
        <v>25.32</v>
      </c>
      <c r="V435">
        <v>1</v>
      </c>
      <c r="W435" t="s">
        <v>55</v>
      </c>
      <c r="X435">
        <v>11</v>
      </c>
      <c r="Y435">
        <v>3</v>
      </c>
      <c r="Z435">
        <v>1</v>
      </c>
      <c r="AA435">
        <v>0</v>
      </c>
      <c r="AB435">
        <v>10</v>
      </c>
      <c r="AC435">
        <v>2</v>
      </c>
      <c r="AD435">
        <v>3</v>
      </c>
      <c r="AE435">
        <v>10</v>
      </c>
      <c r="AF435">
        <v>8</v>
      </c>
      <c r="AG435">
        <v>4</v>
      </c>
      <c r="AH435">
        <v>7</v>
      </c>
      <c r="AI435">
        <f t="shared" si="42"/>
        <v>1</v>
      </c>
      <c r="AJ435" t="str">
        <f t="shared" si="43"/>
        <v>6-10 yrs</v>
      </c>
      <c r="AK435" t="str">
        <f t="shared" si="44"/>
        <v>Overdue</v>
      </c>
      <c r="AL435">
        <f t="shared" si="45"/>
        <v>2</v>
      </c>
      <c r="AM435" t="str">
        <f t="shared" si="46"/>
        <v>Medium Risk</v>
      </c>
      <c r="AN435" s="6">
        <f t="shared" si="47"/>
        <v>-0.90854567543909426</v>
      </c>
      <c r="AO435" s="7">
        <f t="shared" si="48"/>
        <v>48612</v>
      </c>
    </row>
    <row r="436" spans="1:41" x14ac:dyDescent="0.3">
      <c r="A436" t="s">
        <v>506</v>
      </c>
      <c r="B436">
        <v>31</v>
      </c>
      <c r="C436" t="s">
        <v>196</v>
      </c>
      <c r="D436" t="s">
        <v>55</v>
      </c>
      <c r="E436" t="s">
        <v>48</v>
      </c>
      <c r="F436">
        <v>1398</v>
      </c>
      <c r="G436" t="s">
        <v>406</v>
      </c>
      <c r="H436">
        <v>8</v>
      </c>
      <c r="I436">
        <v>2</v>
      </c>
      <c r="J436" t="s">
        <v>58</v>
      </c>
      <c r="K436">
        <v>1461</v>
      </c>
      <c r="L436">
        <v>4</v>
      </c>
      <c r="M436" t="s">
        <v>59</v>
      </c>
      <c r="N436">
        <v>4</v>
      </c>
      <c r="O436">
        <v>1</v>
      </c>
      <c r="P436" t="s">
        <v>80</v>
      </c>
      <c r="Q436">
        <v>2</v>
      </c>
      <c r="R436" t="s">
        <v>53</v>
      </c>
      <c r="S436">
        <v>49747</v>
      </c>
      <c r="T436" t="s">
        <v>72</v>
      </c>
      <c r="U436">
        <v>310.92</v>
      </c>
      <c r="V436">
        <v>9</v>
      </c>
      <c r="W436" t="s">
        <v>55</v>
      </c>
      <c r="X436">
        <v>18</v>
      </c>
      <c r="Y436">
        <v>3</v>
      </c>
      <c r="Z436">
        <v>4</v>
      </c>
      <c r="AA436">
        <v>0</v>
      </c>
      <c r="AB436">
        <v>8</v>
      </c>
      <c r="AC436">
        <v>3</v>
      </c>
      <c r="AD436">
        <v>3</v>
      </c>
      <c r="AE436">
        <v>3</v>
      </c>
      <c r="AF436">
        <v>2</v>
      </c>
      <c r="AG436">
        <v>0</v>
      </c>
      <c r="AH436">
        <v>2</v>
      </c>
      <c r="AI436">
        <f t="shared" si="42"/>
        <v>0</v>
      </c>
      <c r="AJ436" t="str">
        <f t="shared" si="43"/>
        <v>2-3 yrs</v>
      </c>
      <c r="AK436" t="str">
        <f t="shared" si="44"/>
        <v>Recent</v>
      </c>
      <c r="AL436">
        <f t="shared" si="45"/>
        <v>1</v>
      </c>
      <c r="AM436" t="str">
        <f t="shared" si="46"/>
        <v>Low Risk</v>
      </c>
      <c r="AN436" s="6">
        <f t="shared" si="47"/>
        <v>-1.9648386130996811E-2</v>
      </c>
      <c r="AO436" s="7">
        <f t="shared" si="48"/>
        <v>596964</v>
      </c>
    </row>
    <row r="437" spans="1:41" x14ac:dyDescent="0.3">
      <c r="A437" t="s">
        <v>507</v>
      </c>
      <c r="B437">
        <v>31</v>
      </c>
      <c r="C437" t="s">
        <v>196</v>
      </c>
      <c r="D437" t="s">
        <v>47</v>
      </c>
      <c r="E437" t="s">
        <v>62</v>
      </c>
      <c r="F437">
        <v>523</v>
      </c>
      <c r="G437" t="s">
        <v>49</v>
      </c>
      <c r="H437">
        <v>2</v>
      </c>
      <c r="I437">
        <v>3</v>
      </c>
      <c r="J437" t="s">
        <v>50</v>
      </c>
      <c r="K437">
        <v>1464</v>
      </c>
      <c r="L437">
        <v>2</v>
      </c>
      <c r="M437" t="s">
        <v>51</v>
      </c>
      <c r="N437">
        <v>3</v>
      </c>
      <c r="O437">
        <v>1</v>
      </c>
      <c r="P437" t="s">
        <v>52</v>
      </c>
      <c r="Q437">
        <v>4</v>
      </c>
      <c r="R437" t="s">
        <v>113</v>
      </c>
      <c r="S437">
        <v>88142</v>
      </c>
      <c r="T437" t="s">
        <v>70</v>
      </c>
      <c r="U437">
        <v>550.89</v>
      </c>
      <c r="V437">
        <v>6</v>
      </c>
      <c r="W437" t="s">
        <v>47</v>
      </c>
      <c r="X437">
        <v>13</v>
      </c>
      <c r="Y437">
        <v>3</v>
      </c>
      <c r="Z437">
        <v>3</v>
      </c>
      <c r="AA437">
        <v>1</v>
      </c>
      <c r="AB437">
        <v>7</v>
      </c>
      <c r="AC437">
        <v>2</v>
      </c>
      <c r="AD437">
        <v>1</v>
      </c>
      <c r="AE437">
        <v>2</v>
      </c>
      <c r="AF437">
        <v>2</v>
      </c>
      <c r="AG437">
        <v>2</v>
      </c>
      <c r="AH437">
        <v>2</v>
      </c>
      <c r="AI437">
        <f t="shared" si="42"/>
        <v>1</v>
      </c>
      <c r="AJ437" t="str">
        <f t="shared" si="43"/>
        <v>2-3 yrs</v>
      </c>
      <c r="AK437" t="str">
        <f t="shared" si="44"/>
        <v>Recent</v>
      </c>
      <c r="AL437">
        <f t="shared" si="45"/>
        <v>2</v>
      </c>
      <c r="AM437" t="str">
        <f t="shared" si="46"/>
        <v>Medium Risk</v>
      </c>
      <c r="AN437" s="6">
        <f t="shared" si="47"/>
        <v>0.70419528450872249</v>
      </c>
      <c r="AO437" s="7">
        <f t="shared" si="48"/>
        <v>1057704</v>
      </c>
    </row>
    <row r="438" spans="1:41" x14ac:dyDescent="0.3">
      <c r="A438" t="s">
        <v>508</v>
      </c>
      <c r="B438">
        <v>31</v>
      </c>
      <c r="C438" t="s">
        <v>196</v>
      </c>
      <c r="D438" t="s">
        <v>47</v>
      </c>
      <c r="E438" t="s">
        <v>62</v>
      </c>
      <c r="F438">
        <v>561</v>
      </c>
      <c r="G438" t="s">
        <v>49</v>
      </c>
      <c r="H438">
        <v>3</v>
      </c>
      <c r="I438">
        <v>3</v>
      </c>
      <c r="J438" t="s">
        <v>50</v>
      </c>
      <c r="K438">
        <v>1537</v>
      </c>
      <c r="L438">
        <v>4</v>
      </c>
      <c r="M438" t="s">
        <v>59</v>
      </c>
      <c r="N438">
        <v>3</v>
      </c>
      <c r="O438">
        <v>1</v>
      </c>
      <c r="P438" t="s">
        <v>67</v>
      </c>
      <c r="Q438">
        <v>3</v>
      </c>
      <c r="R438" t="s">
        <v>53</v>
      </c>
      <c r="S438">
        <v>88235</v>
      </c>
      <c r="T438" t="s">
        <v>70</v>
      </c>
      <c r="U438">
        <v>551.47</v>
      </c>
      <c r="V438">
        <v>1</v>
      </c>
      <c r="W438" t="s">
        <v>55</v>
      </c>
      <c r="X438">
        <v>12</v>
      </c>
      <c r="Y438">
        <v>3</v>
      </c>
      <c r="Z438">
        <v>1</v>
      </c>
      <c r="AA438">
        <v>0</v>
      </c>
      <c r="AB438">
        <v>7</v>
      </c>
      <c r="AC438">
        <v>2</v>
      </c>
      <c r="AD438">
        <v>1</v>
      </c>
      <c r="AE438">
        <v>7</v>
      </c>
      <c r="AF438">
        <v>2</v>
      </c>
      <c r="AG438">
        <v>7</v>
      </c>
      <c r="AH438">
        <v>7</v>
      </c>
      <c r="AI438">
        <f t="shared" si="42"/>
        <v>1</v>
      </c>
      <c r="AJ438" t="str">
        <f t="shared" si="43"/>
        <v>6-10 yrs</v>
      </c>
      <c r="AK438" t="str">
        <f t="shared" si="44"/>
        <v>Overdue</v>
      </c>
      <c r="AL438">
        <f t="shared" si="45"/>
        <v>2</v>
      </c>
      <c r="AM438" t="str">
        <f t="shared" si="46"/>
        <v>Medium Risk</v>
      </c>
      <c r="AN438" s="6">
        <f t="shared" si="47"/>
        <v>0.76943847168061252</v>
      </c>
      <c r="AO438" s="7">
        <f t="shared" si="48"/>
        <v>1058820</v>
      </c>
    </row>
    <row r="439" spans="1:41" x14ac:dyDescent="0.3">
      <c r="A439" t="s">
        <v>509</v>
      </c>
      <c r="B439">
        <v>31</v>
      </c>
      <c r="C439" t="s">
        <v>196</v>
      </c>
      <c r="D439" t="s">
        <v>55</v>
      </c>
      <c r="E439" t="s">
        <v>62</v>
      </c>
      <c r="F439">
        <v>715</v>
      </c>
      <c r="G439" t="s">
        <v>57</v>
      </c>
      <c r="H439">
        <v>2</v>
      </c>
      <c r="I439">
        <v>4</v>
      </c>
      <c r="J439" t="s">
        <v>82</v>
      </c>
      <c r="K439">
        <v>1613</v>
      </c>
      <c r="L439">
        <v>4</v>
      </c>
      <c r="M439" t="s">
        <v>51</v>
      </c>
      <c r="N439">
        <v>3</v>
      </c>
      <c r="O439">
        <v>2</v>
      </c>
      <c r="P439" t="s">
        <v>145</v>
      </c>
      <c r="Q439">
        <v>1</v>
      </c>
      <c r="R439" t="s">
        <v>53</v>
      </c>
      <c r="S439">
        <v>55021</v>
      </c>
      <c r="T439" t="s">
        <v>64</v>
      </c>
      <c r="U439">
        <v>343.88</v>
      </c>
      <c r="V439">
        <v>7</v>
      </c>
      <c r="W439" t="s">
        <v>55</v>
      </c>
      <c r="X439">
        <v>13</v>
      </c>
      <c r="Y439">
        <v>3</v>
      </c>
      <c r="Z439">
        <v>4</v>
      </c>
      <c r="AA439">
        <v>0</v>
      </c>
      <c r="AB439">
        <v>10</v>
      </c>
      <c r="AC439">
        <v>3</v>
      </c>
      <c r="AD439">
        <v>3</v>
      </c>
      <c r="AE439">
        <v>5</v>
      </c>
      <c r="AF439">
        <v>2</v>
      </c>
      <c r="AG439">
        <v>0</v>
      </c>
      <c r="AH439">
        <v>3</v>
      </c>
      <c r="AI439">
        <f t="shared" si="42"/>
        <v>0</v>
      </c>
      <c r="AJ439" t="str">
        <f t="shared" si="43"/>
        <v>4-5 yrs</v>
      </c>
      <c r="AK439" t="str">
        <f t="shared" si="44"/>
        <v>Recent</v>
      </c>
      <c r="AL439">
        <f t="shared" si="45"/>
        <v>1</v>
      </c>
      <c r="AM439" t="str">
        <f t="shared" si="46"/>
        <v>Low Risk</v>
      </c>
      <c r="AN439" s="6">
        <f t="shared" si="47"/>
        <v>0.12155069692378069</v>
      </c>
      <c r="AO439" s="7">
        <f t="shared" si="48"/>
        <v>660252</v>
      </c>
    </row>
    <row r="440" spans="1:41" x14ac:dyDescent="0.3">
      <c r="A440" t="s">
        <v>510</v>
      </c>
      <c r="B440">
        <v>31</v>
      </c>
      <c r="C440" t="s">
        <v>196</v>
      </c>
      <c r="D440" t="s">
        <v>55</v>
      </c>
      <c r="E440" t="s">
        <v>48</v>
      </c>
      <c r="F440">
        <v>1112</v>
      </c>
      <c r="G440" t="s">
        <v>57</v>
      </c>
      <c r="H440">
        <v>5</v>
      </c>
      <c r="I440">
        <v>4</v>
      </c>
      <c r="J440" t="s">
        <v>50</v>
      </c>
      <c r="K440">
        <v>1673</v>
      </c>
      <c r="L440">
        <v>1</v>
      </c>
      <c r="M440" t="s">
        <v>59</v>
      </c>
      <c r="N440">
        <v>3</v>
      </c>
      <c r="O440">
        <v>2</v>
      </c>
      <c r="P440" t="s">
        <v>145</v>
      </c>
      <c r="Q440">
        <v>4</v>
      </c>
      <c r="R440" t="s">
        <v>113</v>
      </c>
      <c r="S440">
        <v>67412</v>
      </c>
      <c r="T440" t="s">
        <v>64</v>
      </c>
      <c r="U440">
        <v>421.32</v>
      </c>
      <c r="V440">
        <v>1</v>
      </c>
      <c r="W440" t="s">
        <v>55</v>
      </c>
      <c r="X440">
        <v>11</v>
      </c>
      <c r="Y440">
        <v>3</v>
      </c>
      <c r="Z440">
        <v>1</v>
      </c>
      <c r="AA440">
        <v>2</v>
      </c>
      <c r="AB440">
        <v>10</v>
      </c>
      <c r="AC440">
        <v>2</v>
      </c>
      <c r="AD440">
        <v>3</v>
      </c>
      <c r="AE440">
        <v>10</v>
      </c>
      <c r="AF440">
        <v>0</v>
      </c>
      <c r="AG440">
        <v>0</v>
      </c>
      <c r="AH440">
        <v>2</v>
      </c>
      <c r="AI440">
        <f t="shared" si="42"/>
        <v>0</v>
      </c>
      <c r="AJ440" t="str">
        <f t="shared" si="43"/>
        <v>6-10 yrs</v>
      </c>
      <c r="AK440" t="str">
        <f t="shared" si="44"/>
        <v>Recent</v>
      </c>
      <c r="AL440">
        <f t="shared" si="45"/>
        <v>0</v>
      </c>
      <c r="AM440" t="str">
        <f t="shared" si="46"/>
        <v>Minimal Risk</v>
      </c>
      <c r="AN440" s="6">
        <f t="shared" si="47"/>
        <v>0.3741294338711747</v>
      </c>
      <c r="AO440" s="7">
        <f t="shared" si="48"/>
        <v>808944</v>
      </c>
    </row>
    <row r="441" spans="1:41" x14ac:dyDescent="0.3">
      <c r="A441" t="s">
        <v>511</v>
      </c>
      <c r="B441">
        <v>31</v>
      </c>
      <c r="C441" t="s">
        <v>196</v>
      </c>
      <c r="D441" t="s">
        <v>55</v>
      </c>
      <c r="E441" t="s">
        <v>48</v>
      </c>
      <c r="F441">
        <v>741</v>
      </c>
      <c r="G441" t="s">
        <v>49</v>
      </c>
      <c r="H441">
        <v>2</v>
      </c>
      <c r="I441">
        <v>4</v>
      </c>
      <c r="J441" t="s">
        <v>50</v>
      </c>
      <c r="K441">
        <v>1721</v>
      </c>
      <c r="L441">
        <v>2</v>
      </c>
      <c r="M441" t="s">
        <v>51</v>
      </c>
      <c r="N441">
        <v>3</v>
      </c>
      <c r="O441">
        <v>1</v>
      </c>
      <c r="P441" t="s">
        <v>52</v>
      </c>
      <c r="Q441">
        <v>3</v>
      </c>
      <c r="R441" t="s">
        <v>113</v>
      </c>
      <c r="S441">
        <v>59335</v>
      </c>
      <c r="T441" t="s">
        <v>64</v>
      </c>
      <c r="U441">
        <v>370.84</v>
      </c>
      <c r="V441">
        <v>1</v>
      </c>
      <c r="W441" t="s">
        <v>55</v>
      </c>
      <c r="X441">
        <v>14</v>
      </c>
      <c r="Y441">
        <v>3</v>
      </c>
      <c r="Z441">
        <v>4</v>
      </c>
      <c r="AA441">
        <v>1</v>
      </c>
      <c r="AB441">
        <v>6</v>
      </c>
      <c r="AC441">
        <v>2</v>
      </c>
      <c r="AD441">
        <v>4</v>
      </c>
      <c r="AE441">
        <v>5</v>
      </c>
      <c r="AF441">
        <v>2</v>
      </c>
      <c r="AG441">
        <v>0</v>
      </c>
      <c r="AH441">
        <v>3</v>
      </c>
      <c r="AI441">
        <f t="shared" si="42"/>
        <v>0</v>
      </c>
      <c r="AJ441" t="str">
        <f t="shared" si="43"/>
        <v>4-5 yrs</v>
      </c>
      <c r="AK441" t="str">
        <f t="shared" si="44"/>
        <v>Recent</v>
      </c>
      <c r="AL441">
        <f t="shared" si="45"/>
        <v>0</v>
      </c>
      <c r="AM441" t="str">
        <f t="shared" si="46"/>
        <v>Minimal Risk</v>
      </c>
      <c r="AN441" s="6">
        <f t="shared" si="47"/>
        <v>0.14722183756126533</v>
      </c>
      <c r="AO441" s="7">
        <f t="shared" si="48"/>
        <v>712020</v>
      </c>
    </row>
    <row r="442" spans="1:41" x14ac:dyDescent="0.3">
      <c r="A442" t="s">
        <v>512</v>
      </c>
      <c r="B442">
        <v>31</v>
      </c>
      <c r="C442" t="s">
        <v>196</v>
      </c>
      <c r="D442" t="s">
        <v>55</v>
      </c>
      <c r="E442" t="s">
        <v>62</v>
      </c>
      <c r="F442">
        <v>163</v>
      </c>
      <c r="G442" t="s">
        <v>49</v>
      </c>
      <c r="H442">
        <v>24</v>
      </c>
      <c r="I442">
        <v>1</v>
      </c>
      <c r="J442" t="s">
        <v>77</v>
      </c>
      <c r="K442">
        <v>1736</v>
      </c>
      <c r="L442">
        <v>4</v>
      </c>
      <c r="M442" t="s">
        <v>59</v>
      </c>
      <c r="N442">
        <v>3</v>
      </c>
      <c r="O442">
        <v>2</v>
      </c>
      <c r="P442" t="s">
        <v>120</v>
      </c>
      <c r="Q442">
        <v>4</v>
      </c>
      <c r="R442" t="s">
        <v>53</v>
      </c>
      <c r="S442">
        <v>57179</v>
      </c>
      <c r="T442" t="s">
        <v>64</v>
      </c>
      <c r="U442">
        <v>357.37</v>
      </c>
      <c r="V442">
        <v>2</v>
      </c>
      <c r="W442" t="s">
        <v>55</v>
      </c>
      <c r="X442">
        <v>20</v>
      </c>
      <c r="Y442">
        <v>4</v>
      </c>
      <c r="Z442">
        <v>4</v>
      </c>
      <c r="AA442">
        <v>0</v>
      </c>
      <c r="AB442">
        <v>9</v>
      </c>
      <c r="AC442">
        <v>3</v>
      </c>
      <c r="AD442">
        <v>2</v>
      </c>
      <c r="AE442">
        <v>5</v>
      </c>
      <c r="AF442">
        <v>4</v>
      </c>
      <c r="AG442">
        <v>1</v>
      </c>
      <c r="AH442">
        <v>4</v>
      </c>
      <c r="AI442">
        <f t="shared" si="42"/>
        <v>0</v>
      </c>
      <c r="AJ442" t="str">
        <f t="shared" si="43"/>
        <v>4-5 yrs</v>
      </c>
      <c r="AK442" t="str">
        <f t="shared" si="44"/>
        <v>Recent</v>
      </c>
      <c r="AL442">
        <f t="shared" si="45"/>
        <v>1</v>
      </c>
      <c r="AM442" t="str">
        <f t="shared" si="46"/>
        <v>Low Risk</v>
      </c>
      <c r="AN442" s="6">
        <f t="shared" si="47"/>
        <v>0.29085826316169527</v>
      </c>
      <c r="AO442" s="7">
        <f t="shared" si="48"/>
        <v>686148</v>
      </c>
    </row>
    <row r="443" spans="1:41" x14ac:dyDescent="0.3">
      <c r="A443" t="s">
        <v>513</v>
      </c>
      <c r="B443">
        <v>31</v>
      </c>
      <c r="C443" t="s">
        <v>196</v>
      </c>
      <c r="D443" t="s">
        <v>55</v>
      </c>
      <c r="E443" t="s">
        <v>48</v>
      </c>
      <c r="F443">
        <v>1003</v>
      </c>
      <c r="G443" t="s">
        <v>57</v>
      </c>
      <c r="H443">
        <v>5</v>
      </c>
      <c r="I443">
        <v>3</v>
      </c>
      <c r="J443" t="s">
        <v>77</v>
      </c>
      <c r="K443">
        <v>1749</v>
      </c>
      <c r="L443">
        <v>1</v>
      </c>
      <c r="M443" t="s">
        <v>51</v>
      </c>
      <c r="N443">
        <v>3</v>
      </c>
      <c r="O443">
        <v>2</v>
      </c>
      <c r="P443" t="s">
        <v>145</v>
      </c>
      <c r="Q443">
        <v>3</v>
      </c>
      <c r="R443" t="s">
        <v>113</v>
      </c>
      <c r="S443">
        <v>33093</v>
      </c>
      <c r="T443" t="s">
        <v>72</v>
      </c>
      <c r="U443">
        <v>206.83</v>
      </c>
      <c r="V443">
        <v>1</v>
      </c>
      <c r="W443" t="s">
        <v>55</v>
      </c>
      <c r="X443">
        <v>19</v>
      </c>
      <c r="Y443">
        <v>3</v>
      </c>
      <c r="Z443">
        <v>3</v>
      </c>
      <c r="AA443">
        <v>1</v>
      </c>
      <c r="AB443">
        <v>6</v>
      </c>
      <c r="AC443">
        <v>3</v>
      </c>
      <c r="AD443">
        <v>3</v>
      </c>
      <c r="AE443">
        <v>5</v>
      </c>
      <c r="AF443">
        <v>2</v>
      </c>
      <c r="AG443">
        <v>0</v>
      </c>
      <c r="AH443">
        <v>2</v>
      </c>
      <c r="AI443">
        <f t="shared" si="42"/>
        <v>0</v>
      </c>
      <c r="AJ443" t="str">
        <f t="shared" si="43"/>
        <v>4-5 yrs</v>
      </c>
      <c r="AK443" t="str">
        <f t="shared" si="44"/>
        <v>Recent</v>
      </c>
      <c r="AL443">
        <f t="shared" si="45"/>
        <v>0</v>
      </c>
      <c r="AM443" t="str">
        <f t="shared" si="46"/>
        <v>Minimal Risk</v>
      </c>
      <c r="AN443" s="6">
        <f t="shared" si="47"/>
        <v>-0.32543070439834476</v>
      </c>
      <c r="AO443" s="7">
        <f t="shared" si="48"/>
        <v>397116</v>
      </c>
    </row>
    <row r="444" spans="1:41" x14ac:dyDescent="0.3">
      <c r="A444" t="s">
        <v>514</v>
      </c>
      <c r="B444">
        <v>31</v>
      </c>
      <c r="C444" t="s">
        <v>196</v>
      </c>
      <c r="D444" t="s">
        <v>47</v>
      </c>
      <c r="E444" t="s">
        <v>48</v>
      </c>
      <c r="F444">
        <v>1079</v>
      </c>
      <c r="G444" t="s">
        <v>57</v>
      </c>
      <c r="H444">
        <v>16</v>
      </c>
      <c r="I444">
        <v>4</v>
      </c>
      <c r="J444" t="s">
        <v>63</v>
      </c>
      <c r="K444">
        <v>1761</v>
      </c>
      <c r="L444">
        <v>1</v>
      </c>
      <c r="M444" t="s">
        <v>51</v>
      </c>
      <c r="N444">
        <v>3</v>
      </c>
      <c r="O444">
        <v>3</v>
      </c>
      <c r="P444" t="s">
        <v>145</v>
      </c>
      <c r="Q444">
        <v>3</v>
      </c>
      <c r="R444" t="s">
        <v>113</v>
      </c>
      <c r="S444">
        <v>70678</v>
      </c>
      <c r="T444" t="s">
        <v>64</v>
      </c>
      <c r="U444">
        <v>441.74</v>
      </c>
      <c r="V444">
        <v>2</v>
      </c>
      <c r="W444" t="s">
        <v>55</v>
      </c>
      <c r="X444">
        <v>13</v>
      </c>
      <c r="Y444">
        <v>3</v>
      </c>
      <c r="Z444">
        <v>1</v>
      </c>
      <c r="AA444">
        <v>3</v>
      </c>
      <c r="AB444">
        <v>10</v>
      </c>
      <c r="AC444">
        <v>2</v>
      </c>
      <c r="AD444">
        <v>3</v>
      </c>
      <c r="AE444">
        <v>1</v>
      </c>
      <c r="AF444">
        <v>0</v>
      </c>
      <c r="AG444">
        <v>0</v>
      </c>
      <c r="AH444">
        <v>0</v>
      </c>
      <c r="AI444">
        <f t="shared" si="42"/>
        <v>1</v>
      </c>
      <c r="AJ444" t="str">
        <f t="shared" si="43"/>
        <v>0-1 yr</v>
      </c>
      <c r="AK444" t="str">
        <f t="shared" si="44"/>
        <v>Recent</v>
      </c>
      <c r="AL444">
        <f t="shared" si="45"/>
        <v>0</v>
      </c>
      <c r="AM444" t="str">
        <f t="shared" si="46"/>
        <v>Minimal Risk</v>
      </c>
      <c r="AN444" s="6">
        <f t="shared" si="47"/>
        <v>0.44070373415930231</v>
      </c>
      <c r="AO444" s="7">
        <f t="shared" si="48"/>
        <v>848136</v>
      </c>
    </row>
    <row r="445" spans="1:41" x14ac:dyDescent="0.3">
      <c r="A445" t="s">
        <v>515</v>
      </c>
      <c r="B445">
        <v>31</v>
      </c>
      <c r="C445" t="s">
        <v>196</v>
      </c>
      <c r="D445" t="s">
        <v>55</v>
      </c>
      <c r="E445" t="s">
        <v>48</v>
      </c>
      <c r="F445">
        <v>196</v>
      </c>
      <c r="G445" t="s">
        <v>57</v>
      </c>
      <c r="H445">
        <v>29</v>
      </c>
      <c r="I445">
        <v>4</v>
      </c>
      <c r="J445" t="s">
        <v>63</v>
      </c>
      <c r="K445">
        <v>1784</v>
      </c>
      <c r="L445">
        <v>1</v>
      </c>
      <c r="M445" t="s">
        <v>59</v>
      </c>
      <c r="N445">
        <v>2</v>
      </c>
      <c r="O445">
        <v>2</v>
      </c>
      <c r="P445" t="s">
        <v>145</v>
      </c>
      <c r="Q445">
        <v>4</v>
      </c>
      <c r="R445" t="s">
        <v>113</v>
      </c>
      <c r="S445">
        <v>81738</v>
      </c>
      <c r="T445" t="s">
        <v>64</v>
      </c>
      <c r="U445">
        <v>510.86</v>
      </c>
      <c r="V445">
        <v>1</v>
      </c>
      <c r="W445" t="s">
        <v>55</v>
      </c>
      <c r="X445">
        <v>14</v>
      </c>
      <c r="Y445">
        <v>3</v>
      </c>
      <c r="Z445">
        <v>1</v>
      </c>
      <c r="AA445">
        <v>2</v>
      </c>
      <c r="AB445">
        <v>13</v>
      </c>
      <c r="AC445">
        <v>3</v>
      </c>
      <c r="AD445">
        <v>3</v>
      </c>
      <c r="AE445">
        <v>12</v>
      </c>
      <c r="AF445">
        <v>7</v>
      </c>
      <c r="AG445">
        <v>5</v>
      </c>
      <c r="AH445">
        <v>7</v>
      </c>
      <c r="AI445">
        <f t="shared" si="42"/>
        <v>0</v>
      </c>
      <c r="AJ445" t="str">
        <f t="shared" si="43"/>
        <v>10+ yrs</v>
      </c>
      <c r="AK445" t="str">
        <f t="shared" si="44"/>
        <v>Overdue</v>
      </c>
      <c r="AL445">
        <f t="shared" si="45"/>
        <v>1</v>
      </c>
      <c r="AM445" t="str">
        <f t="shared" si="46"/>
        <v>Low Risk</v>
      </c>
      <c r="AN445" s="6">
        <f t="shared" si="47"/>
        <v>0.66615130341425977</v>
      </c>
      <c r="AO445" s="7">
        <f t="shared" si="48"/>
        <v>980856</v>
      </c>
    </row>
    <row r="446" spans="1:41" x14ac:dyDescent="0.3">
      <c r="A446" t="s">
        <v>516</v>
      </c>
      <c r="B446">
        <v>31</v>
      </c>
      <c r="C446" t="s">
        <v>196</v>
      </c>
      <c r="D446" t="s">
        <v>55</v>
      </c>
      <c r="E446" t="s">
        <v>62</v>
      </c>
      <c r="F446">
        <v>1125</v>
      </c>
      <c r="G446" t="s">
        <v>57</v>
      </c>
      <c r="H446">
        <v>7</v>
      </c>
      <c r="I446">
        <v>4</v>
      </c>
      <c r="J446" t="s">
        <v>63</v>
      </c>
      <c r="K446">
        <v>1833</v>
      </c>
      <c r="L446">
        <v>1</v>
      </c>
      <c r="M446" t="s">
        <v>59</v>
      </c>
      <c r="N446">
        <v>3</v>
      </c>
      <c r="O446">
        <v>3</v>
      </c>
      <c r="P446" t="s">
        <v>145</v>
      </c>
      <c r="Q446">
        <v>1</v>
      </c>
      <c r="R446" t="s">
        <v>113</v>
      </c>
      <c r="S446">
        <v>40734</v>
      </c>
      <c r="T446" t="s">
        <v>72</v>
      </c>
      <c r="U446">
        <v>254.59</v>
      </c>
      <c r="V446">
        <v>2</v>
      </c>
      <c r="W446" t="s">
        <v>55</v>
      </c>
      <c r="X446">
        <v>14</v>
      </c>
      <c r="Y446">
        <v>3</v>
      </c>
      <c r="Z446">
        <v>4</v>
      </c>
      <c r="AA446">
        <v>2</v>
      </c>
      <c r="AB446">
        <v>9</v>
      </c>
      <c r="AC446">
        <v>3</v>
      </c>
      <c r="AD446">
        <v>3</v>
      </c>
      <c r="AE446">
        <v>3</v>
      </c>
      <c r="AF446">
        <v>2</v>
      </c>
      <c r="AG446">
        <v>2</v>
      </c>
      <c r="AH446">
        <v>2</v>
      </c>
      <c r="AI446">
        <f t="shared" si="42"/>
        <v>0</v>
      </c>
      <c r="AJ446" t="str">
        <f t="shared" si="43"/>
        <v>2-3 yrs</v>
      </c>
      <c r="AK446" t="str">
        <f t="shared" si="44"/>
        <v>Recent</v>
      </c>
      <c r="AL446">
        <f t="shared" si="45"/>
        <v>1</v>
      </c>
      <c r="AM446" t="str">
        <f t="shared" si="46"/>
        <v>Low Risk</v>
      </c>
      <c r="AN446" s="6">
        <f t="shared" si="47"/>
        <v>-0.16967619475303461</v>
      </c>
      <c r="AO446" s="7">
        <f t="shared" si="48"/>
        <v>488808</v>
      </c>
    </row>
    <row r="447" spans="1:41" x14ac:dyDescent="0.3">
      <c r="A447" t="s">
        <v>517</v>
      </c>
      <c r="B447">
        <v>31</v>
      </c>
      <c r="C447" t="s">
        <v>196</v>
      </c>
      <c r="D447" t="s">
        <v>47</v>
      </c>
      <c r="E447" t="s">
        <v>48</v>
      </c>
      <c r="F447">
        <v>359</v>
      </c>
      <c r="G447" t="s">
        <v>406</v>
      </c>
      <c r="H447">
        <v>18</v>
      </c>
      <c r="I447">
        <v>5</v>
      </c>
      <c r="J447" t="s">
        <v>80</v>
      </c>
      <c r="K447">
        <v>1842</v>
      </c>
      <c r="L447">
        <v>4</v>
      </c>
      <c r="M447" t="s">
        <v>51</v>
      </c>
      <c r="N447">
        <v>4</v>
      </c>
      <c r="O447">
        <v>1</v>
      </c>
      <c r="P447" t="s">
        <v>80</v>
      </c>
      <c r="Q447">
        <v>1</v>
      </c>
      <c r="R447" t="s">
        <v>113</v>
      </c>
      <c r="S447">
        <v>73615</v>
      </c>
      <c r="T447" t="s">
        <v>64</v>
      </c>
      <c r="U447">
        <v>460.09</v>
      </c>
      <c r="V447">
        <v>0</v>
      </c>
      <c r="W447" t="s">
        <v>55</v>
      </c>
      <c r="X447">
        <v>17</v>
      </c>
      <c r="Y447">
        <v>3</v>
      </c>
      <c r="Z447">
        <v>3</v>
      </c>
      <c r="AA447">
        <v>0</v>
      </c>
      <c r="AB447">
        <v>2</v>
      </c>
      <c r="AC447">
        <v>4</v>
      </c>
      <c r="AD447">
        <v>3</v>
      </c>
      <c r="AE447">
        <v>1</v>
      </c>
      <c r="AF447">
        <v>0</v>
      </c>
      <c r="AG447">
        <v>0</v>
      </c>
      <c r="AH447">
        <v>0</v>
      </c>
      <c r="AI447">
        <f t="shared" si="42"/>
        <v>1</v>
      </c>
      <c r="AJ447" t="str">
        <f t="shared" si="43"/>
        <v>0-1 yr</v>
      </c>
      <c r="AK447" t="str">
        <f t="shared" si="44"/>
        <v>Recent</v>
      </c>
      <c r="AL447">
        <f t="shared" si="45"/>
        <v>1</v>
      </c>
      <c r="AM447" t="str">
        <f t="shared" si="46"/>
        <v>Low Risk</v>
      </c>
      <c r="AN447" s="6">
        <f t="shared" si="47"/>
        <v>0.45071228526276297</v>
      </c>
      <c r="AO447" s="7">
        <f t="shared" si="48"/>
        <v>883380</v>
      </c>
    </row>
    <row r="448" spans="1:41" x14ac:dyDescent="0.3">
      <c r="A448" t="s">
        <v>518</v>
      </c>
      <c r="B448">
        <v>31</v>
      </c>
      <c r="C448" t="s">
        <v>196</v>
      </c>
      <c r="D448" t="s">
        <v>55</v>
      </c>
      <c r="E448" t="s">
        <v>48</v>
      </c>
      <c r="F448">
        <v>311</v>
      </c>
      <c r="G448" t="s">
        <v>49</v>
      </c>
      <c r="H448">
        <v>20</v>
      </c>
      <c r="I448">
        <v>3</v>
      </c>
      <c r="J448" t="s">
        <v>50</v>
      </c>
      <c r="K448">
        <v>1881</v>
      </c>
      <c r="L448">
        <v>2</v>
      </c>
      <c r="M448" t="s">
        <v>51</v>
      </c>
      <c r="N448">
        <v>3</v>
      </c>
      <c r="O448">
        <v>2</v>
      </c>
      <c r="P448" t="s">
        <v>52</v>
      </c>
      <c r="Q448">
        <v>3</v>
      </c>
      <c r="R448" t="s">
        <v>53</v>
      </c>
      <c r="S448">
        <v>74523</v>
      </c>
      <c r="T448" t="s">
        <v>64</v>
      </c>
      <c r="U448">
        <v>465.77</v>
      </c>
      <c r="V448">
        <v>1</v>
      </c>
      <c r="W448" t="s">
        <v>55</v>
      </c>
      <c r="X448">
        <v>11</v>
      </c>
      <c r="Y448">
        <v>3</v>
      </c>
      <c r="Z448">
        <v>1</v>
      </c>
      <c r="AA448">
        <v>1</v>
      </c>
      <c r="AB448">
        <v>10</v>
      </c>
      <c r="AC448">
        <v>2</v>
      </c>
      <c r="AD448">
        <v>3</v>
      </c>
      <c r="AE448">
        <v>10</v>
      </c>
      <c r="AF448">
        <v>8</v>
      </c>
      <c r="AG448">
        <v>0</v>
      </c>
      <c r="AH448">
        <v>2</v>
      </c>
      <c r="AI448">
        <f t="shared" si="42"/>
        <v>0</v>
      </c>
      <c r="AJ448" t="str">
        <f t="shared" si="43"/>
        <v>6-10 yrs</v>
      </c>
      <c r="AK448" t="str">
        <f t="shared" si="44"/>
        <v>Recent</v>
      </c>
      <c r="AL448">
        <f t="shared" si="45"/>
        <v>0</v>
      </c>
      <c r="AM448" t="str">
        <f t="shared" si="46"/>
        <v>Minimal Risk</v>
      </c>
      <c r="AN448" s="6">
        <f t="shared" si="47"/>
        <v>0.44087659898168324</v>
      </c>
      <c r="AO448" s="7">
        <f t="shared" si="48"/>
        <v>894276</v>
      </c>
    </row>
    <row r="449" spans="1:41" x14ac:dyDescent="0.3">
      <c r="A449" t="s">
        <v>519</v>
      </c>
      <c r="B449">
        <v>31</v>
      </c>
      <c r="C449" t="s">
        <v>196</v>
      </c>
      <c r="D449" t="s">
        <v>55</v>
      </c>
      <c r="E449" t="s">
        <v>48</v>
      </c>
      <c r="F449">
        <v>1079</v>
      </c>
      <c r="G449" t="s">
        <v>57</v>
      </c>
      <c r="H449">
        <v>10</v>
      </c>
      <c r="I449">
        <v>2</v>
      </c>
      <c r="J449" t="s">
        <v>58</v>
      </c>
      <c r="K449">
        <v>1912</v>
      </c>
      <c r="L449">
        <v>3</v>
      </c>
      <c r="M449" t="s">
        <v>59</v>
      </c>
      <c r="N449">
        <v>3</v>
      </c>
      <c r="O449">
        <v>2</v>
      </c>
      <c r="P449" t="s">
        <v>145</v>
      </c>
      <c r="Q449">
        <v>4</v>
      </c>
      <c r="R449" t="s">
        <v>53</v>
      </c>
      <c r="S449">
        <v>95476</v>
      </c>
      <c r="T449" t="s">
        <v>70</v>
      </c>
      <c r="U449">
        <v>596.72</v>
      </c>
      <c r="V449">
        <v>2</v>
      </c>
      <c r="W449" t="s">
        <v>47</v>
      </c>
      <c r="X449">
        <v>11</v>
      </c>
      <c r="Y449">
        <v>3</v>
      </c>
      <c r="Z449">
        <v>4</v>
      </c>
      <c r="AA449">
        <v>1</v>
      </c>
      <c r="AB449">
        <v>8</v>
      </c>
      <c r="AC449">
        <v>2</v>
      </c>
      <c r="AD449">
        <v>3</v>
      </c>
      <c r="AE449">
        <v>5</v>
      </c>
      <c r="AF449">
        <v>2</v>
      </c>
      <c r="AG449">
        <v>1</v>
      </c>
      <c r="AH449">
        <v>4</v>
      </c>
      <c r="AI449">
        <f t="shared" si="42"/>
        <v>0</v>
      </c>
      <c r="AJ449" t="str">
        <f t="shared" si="43"/>
        <v>4-5 yrs</v>
      </c>
      <c r="AK449" t="str">
        <f t="shared" si="44"/>
        <v>Recent</v>
      </c>
      <c r="AL449">
        <f t="shared" si="45"/>
        <v>1</v>
      </c>
      <c r="AM449" t="str">
        <f t="shared" si="46"/>
        <v>Low Risk</v>
      </c>
      <c r="AN449" s="6">
        <f t="shared" si="47"/>
        <v>0.94618735281973942</v>
      </c>
      <c r="AO449" s="7">
        <f t="shared" si="48"/>
        <v>1145712</v>
      </c>
    </row>
    <row r="450" spans="1:41" x14ac:dyDescent="0.3">
      <c r="A450" t="s">
        <v>520</v>
      </c>
      <c r="B450">
        <v>31</v>
      </c>
      <c r="C450" t="s">
        <v>196</v>
      </c>
      <c r="D450" t="s">
        <v>55</v>
      </c>
      <c r="E450" t="s">
        <v>48</v>
      </c>
      <c r="F450">
        <v>471</v>
      </c>
      <c r="G450" t="s">
        <v>49</v>
      </c>
      <c r="H450">
        <v>4</v>
      </c>
      <c r="I450">
        <v>3</v>
      </c>
      <c r="J450" t="s">
        <v>58</v>
      </c>
      <c r="K450">
        <v>1916</v>
      </c>
      <c r="L450">
        <v>1</v>
      </c>
      <c r="M450" t="s">
        <v>59</v>
      </c>
      <c r="N450">
        <v>4</v>
      </c>
      <c r="O450">
        <v>1</v>
      </c>
      <c r="P450" t="s">
        <v>52</v>
      </c>
      <c r="Q450">
        <v>3</v>
      </c>
      <c r="R450" t="s">
        <v>53</v>
      </c>
      <c r="S450">
        <v>18019</v>
      </c>
      <c r="T450" t="s">
        <v>54</v>
      </c>
      <c r="U450">
        <v>112.62</v>
      </c>
      <c r="V450">
        <v>8</v>
      </c>
      <c r="W450" t="s">
        <v>55</v>
      </c>
      <c r="X450">
        <v>12</v>
      </c>
      <c r="Y450">
        <v>3</v>
      </c>
      <c r="Z450">
        <v>2</v>
      </c>
      <c r="AA450">
        <v>1</v>
      </c>
      <c r="AB450">
        <v>4</v>
      </c>
      <c r="AC450">
        <v>0</v>
      </c>
      <c r="AD450">
        <v>2</v>
      </c>
      <c r="AE450">
        <v>2</v>
      </c>
      <c r="AF450">
        <v>2</v>
      </c>
      <c r="AG450">
        <v>2</v>
      </c>
      <c r="AH450">
        <v>2</v>
      </c>
      <c r="AI450">
        <f t="shared" ref="AI450:AI513" si="49">IF(D450="Yes",1,0)</f>
        <v>0</v>
      </c>
      <c r="AJ450" t="str">
        <f t="shared" ref="AJ450:AJ513" si="50">IF(AE450&lt;=1,"0-1 yr",IF(AE450&lt;=3,"2-3 yrs",IF(AE450&lt;=5,"4-5 yrs",IF(AE450&lt;=10,"6-10 yrs","10+ yrs"))))</f>
        <v>2-3 yrs</v>
      </c>
      <c r="AK450" t="str">
        <f t="shared" ref="AK450:AK513" si="51">IF(AG450&gt;=3,"Overdue","Recent")</f>
        <v>Recent</v>
      </c>
      <c r="AL450">
        <f t="shared" ref="AL450:AL513" si="52">IF(W450="Yes",1,0)+IF(AD450&lt;=2,1,0)+IF(Q450&lt;=2,1,0)+IF(AG450&gt;=3,1,0)</f>
        <v>1</v>
      </c>
      <c r="AM450" t="str">
        <f t="shared" ref="AM450:AM513" si="53">IF(AL450&gt;=3,"High Risk",IF(AL450=2,"Medium Risk",IF(AL450=1,"Low Risk","Minimal Risk")))</f>
        <v>Low Risk</v>
      </c>
      <c r="AN450" s="6">
        <f t="shared" ref="AN450:AN513" si="54">IFERROR((S450-AVERAGEIF(P$2:P$1479,P450,S$2:S$1479))/AVERAGEIF(P$2:P$1479,P450,S$2:S$1479),0)</f>
        <v>-0.65160882630797268</v>
      </c>
      <c r="AO450" s="7">
        <f t="shared" ref="AO450:AO513" si="55">S450*12</f>
        <v>216228</v>
      </c>
    </row>
    <row r="451" spans="1:41" x14ac:dyDescent="0.3">
      <c r="A451" t="s">
        <v>521</v>
      </c>
      <c r="B451">
        <v>31</v>
      </c>
      <c r="C451" t="s">
        <v>196</v>
      </c>
      <c r="D451" t="s">
        <v>55</v>
      </c>
      <c r="E451" t="s">
        <v>66</v>
      </c>
      <c r="F451">
        <v>976</v>
      </c>
      <c r="G451" t="s">
        <v>49</v>
      </c>
      <c r="H451">
        <v>3</v>
      </c>
      <c r="I451">
        <v>2</v>
      </c>
      <c r="J451" t="s">
        <v>58</v>
      </c>
      <c r="K451">
        <v>1948</v>
      </c>
      <c r="L451">
        <v>3</v>
      </c>
      <c r="M451" t="s">
        <v>51</v>
      </c>
      <c r="N451">
        <v>3</v>
      </c>
      <c r="O451">
        <v>1</v>
      </c>
      <c r="P451" t="s">
        <v>67</v>
      </c>
      <c r="Q451">
        <v>1</v>
      </c>
      <c r="R451" t="s">
        <v>53</v>
      </c>
      <c r="S451">
        <v>84613</v>
      </c>
      <c r="T451" t="s">
        <v>70</v>
      </c>
      <c r="U451">
        <v>528.83000000000004</v>
      </c>
      <c r="V451">
        <v>1</v>
      </c>
      <c r="W451" t="s">
        <v>47</v>
      </c>
      <c r="X451">
        <v>13</v>
      </c>
      <c r="Y451">
        <v>3</v>
      </c>
      <c r="Z451">
        <v>4</v>
      </c>
      <c r="AA451">
        <v>1</v>
      </c>
      <c r="AB451">
        <v>4</v>
      </c>
      <c r="AC451">
        <v>3</v>
      </c>
      <c r="AD451">
        <v>4</v>
      </c>
      <c r="AE451">
        <v>4</v>
      </c>
      <c r="AF451">
        <v>2</v>
      </c>
      <c r="AG451">
        <v>2</v>
      </c>
      <c r="AH451">
        <v>3</v>
      </c>
      <c r="AI451">
        <f t="shared" si="49"/>
        <v>0</v>
      </c>
      <c r="AJ451" t="str">
        <f t="shared" si="50"/>
        <v>4-5 yrs</v>
      </c>
      <c r="AK451" t="str">
        <f t="shared" si="51"/>
        <v>Recent</v>
      </c>
      <c r="AL451">
        <f t="shared" si="52"/>
        <v>2</v>
      </c>
      <c r="AM451" t="str">
        <f t="shared" si="53"/>
        <v>Medium Risk</v>
      </c>
      <c r="AN451" s="6">
        <f t="shared" si="54"/>
        <v>0.69680395992873201</v>
      </c>
      <c r="AO451" s="7">
        <f t="shared" si="55"/>
        <v>1015356</v>
      </c>
    </row>
    <row r="452" spans="1:41" x14ac:dyDescent="0.3">
      <c r="A452" t="s">
        <v>522</v>
      </c>
      <c r="B452">
        <v>31</v>
      </c>
      <c r="C452" t="s">
        <v>196</v>
      </c>
      <c r="D452" t="s">
        <v>55</v>
      </c>
      <c r="E452" t="s">
        <v>62</v>
      </c>
      <c r="F452">
        <v>1125</v>
      </c>
      <c r="G452" t="s">
        <v>49</v>
      </c>
      <c r="H452">
        <v>1</v>
      </c>
      <c r="I452">
        <v>3</v>
      </c>
      <c r="J452" t="s">
        <v>50</v>
      </c>
      <c r="K452">
        <v>1956</v>
      </c>
      <c r="L452">
        <v>4</v>
      </c>
      <c r="M452" t="s">
        <v>51</v>
      </c>
      <c r="N452">
        <v>1</v>
      </c>
      <c r="O452">
        <v>2</v>
      </c>
      <c r="P452" t="s">
        <v>67</v>
      </c>
      <c r="Q452">
        <v>1</v>
      </c>
      <c r="R452" t="s">
        <v>113</v>
      </c>
      <c r="S452">
        <v>92794</v>
      </c>
      <c r="T452" t="s">
        <v>70</v>
      </c>
      <c r="U452">
        <v>579.96</v>
      </c>
      <c r="V452">
        <v>1</v>
      </c>
      <c r="W452" t="s">
        <v>55</v>
      </c>
      <c r="X452">
        <v>21</v>
      </c>
      <c r="Y452">
        <v>4</v>
      </c>
      <c r="Z452">
        <v>2</v>
      </c>
      <c r="AA452">
        <v>0</v>
      </c>
      <c r="AB452">
        <v>10</v>
      </c>
      <c r="AC452">
        <v>6</v>
      </c>
      <c r="AD452">
        <v>3</v>
      </c>
      <c r="AE452">
        <v>10</v>
      </c>
      <c r="AF452">
        <v>8</v>
      </c>
      <c r="AG452">
        <v>8</v>
      </c>
      <c r="AH452">
        <v>7</v>
      </c>
      <c r="AI452">
        <f t="shared" si="49"/>
        <v>0</v>
      </c>
      <c r="AJ452" t="str">
        <f t="shared" si="50"/>
        <v>6-10 yrs</v>
      </c>
      <c r="AK452" t="str">
        <f t="shared" si="51"/>
        <v>Overdue</v>
      </c>
      <c r="AL452">
        <f t="shared" si="52"/>
        <v>2</v>
      </c>
      <c r="AM452" t="str">
        <f t="shared" si="53"/>
        <v>Medium Risk</v>
      </c>
      <c r="AN452" s="6">
        <f t="shared" si="54"/>
        <v>0.86086330301049196</v>
      </c>
      <c r="AO452" s="7">
        <f t="shared" si="55"/>
        <v>1113528</v>
      </c>
    </row>
    <row r="453" spans="1:41" x14ac:dyDescent="0.3">
      <c r="A453" t="s">
        <v>523</v>
      </c>
      <c r="B453">
        <v>31</v>
      </c>
      <c r="C453" t="s">
        <v>196</v>
      </c>
      <c r="D453" t="s">
        <v>47</v>
      </c>
      <c r="E453" t="s">
        <v>62</v>
      </c>
      <c r="F453">
        <v>754</v>
      </c>
      <c r="G453" t="s">
        <v>57</v>
      </c>
      <c r="H453">
        <v>26</v>
      </c>
      <c r="I453">
        <v>4</v>
      </c>
      <c r="J453" t="s">
        <v>63</v>
      </c>
      <c r="K453">
        <v>1967</v>
      </c>
      <c r="L453">
        <v>1</v>
      </c>
      <c r="M453" t="s">
        <v>51</v>
      </c>
      <c r="N453">
        <v>3</v>
      </c>
      <c r="O453">
        <v>2</v>
      </c>
      <c r="P453" t="s">
        <v>145</v>
      </c>
      <c r="Q453">
        <v>4</v>
      </c>
      <c r="R453" t="s">
        <v>113</v>
      </c>
      <c r="S453">
        <v>87672</v>
      </c>
      <c r="T453" t="s">
        <v>70</v>
      </c>
      <c r="U453">
        <v>547.95000000000005</v>
      </c>
      <c r="V453">
        <v>1</v>
      </c>
      <c r="W453" t="s">
        <v>47</v>
      </c>
      <c r="X453">
        <v>11</v>
      </c>
      <c r="Y453">
        <v>3</v>
      </c>
      <c r="Z453">
        <v>3</v>
      </c>
      <c r="AA453">
        <v>0</v>
      </c>
      <c r="AB453">
        <v>10</v>
      </c>
      <c r="AC453">
        <v>4</v>
      </c>
      <c r="AD453">
        <v>3</v>
      </c>
      <c r="AE453">
        <v>10</v>
      </c>
      <c r="AF453">
        <v>7</v>
      </c>
      <c r="AG453">
        <v>0</v>
      </c>
      <c r="AH453">
        <v>8</v>
      </c>
      <c r="AI453">
        <f t="shared" si="49"/>
        <v>1</v>
      </c>
      <c r="AJ453" t="str">
        <f t="shared" si="50"/>
        <v>6-10 yrs</v>
      </c>
      <c r="AK453" t="str">
        <f t="shared" si="51"/>
        <v>Recent</v>
      </c>
      <c r="AL453">
        <f t="shared" si="52"/>
        <v>1</v>
      </c>
      <c r="AM453" t="str">
        <f t="shared" si="53"/>
        <v>Low Risk</v>
      </c>
      <c r="AN453" s="6">
        <f t="shared" si="54"/>
        <v>0.78711024337437885</v>
      </c>
      <c r="AO453" s="7">
        <f t="shared" si="55"/>
        <v>1052064</v>
      </c>
    </row>
    <row r="454" spans="1:41" x14ac:dyDescent="0.3">
      <c r="A454" t="s">
        <v>524</v>
      </c>
      <c r="B454">
        <v>31</v>
      </c>
      <c r="C454" t="s">
        <v>196</v>
      </c>
      <c r="D454" t="s">
        <v>55</v>
      </c>
      <c r="E454" t="s">
        <v>48</v>
      </c>
      <c r="F454">
        <v>1276</v>
      </c>
      <c r="G454" t="s">
        <v>49</v>
      </c>
      <c r="H454">
        <v>2</v>
      </c>
      <c r="I454">
        <v>1</v>
      </c>
      <c r="J454" t="s">
        <v>58</v>
      </c>
      <c r="K454">
        <v>1974</v>
      </c>
      <c r="L454">
        <v>4</v>
      </c>
      <c r="M454" t="s">
        <v>59</v>
      </c>
      <c r="N454">
        <v>1</v>
      </c>
      <c r="O454">
        <v>1</v>
      </c>
      <c r="P454" t="s">
        <v>52</v>
      </c>
      <c r="Q454">
        <v>4</v>
      </c>
      <c r="R454" t="s">
        <v>53</v>
      </c>
      <c r="S454">
        <v>74847</v>
      </c>
      <c r="T454" t="s">
        <v>64</v>
      </c>
      <c r="U454">
        <v>467.79</v>
      </c>
      <c r="V454">
        <v>1</v>
      </c>
      <c r="W454" t="s">
        <v>47</v>
      </c>
      <c r="X454">
        <v>11</v>
      </c>
      <c r="Y454">
        <v>3</v>
      </c>
      <c r="Z454">
        <v>3</v>
      </c>
      <c r="AA454">
        <v>3</v>
      </c>
      <c r="AB454">
        <v>1</v>
      </c>
      <c r="AC454">
        <v>4</v>
      </c>
      <c r="AD454">
        <v>3</v>
      </c>
      <c r="AE454">
        <v>1</v>
      </c>
      <c r="AF454">
        <v>0</v>
      </c>
      <c r="AG454">
        <v>0</v>
      </c>
      <c r="AH454">
        <v>0</v>
      </c>
      <c r="AI454">
        <f t="shared" si="49"/>
        <v>0</v>
      </c>
      <c r="AJ454" t="str">
        <f t="shared" si="50"/>
        <v>0-1 yr</v>
      </c>
      <c r="AK454" t="str">
        <f t="shared" si="51"/>
        <v>Recent</v>
      </c>
      <c r="AL454">
        <f t="shared" si="52"/>
        <v>1</v>
      </c>
      <c r="AM454" t="str">
        <f t="shared" si="53"/>
        <v>Low Risk</v>
      </c>
      <c r="AN454" s="6">
        <f t="shared" si="54"/>
        <v>0.44714102765565056</v>
      </c>
      <c r="AO454" s="7">
        <f t="shared" si="55"/>
        <v>898164</v>
      </c>
    </row>
    <row r="455" spans="1:41" x14ac:dyDescent="0.3">
      <c r="A455" t="s">
        <v>525</v>
      </c>
      <c r="B455">
        <v>31</v>
      </c>
      <c r="C455" t="s">
        <v>196</v>
      </c>
      <c r="D455" t="s">
        <v>55</v>
      </c>
      <c r="E455" t="s">
        <v>66</v>
      </c>
      <c r="F455">
        <v>697</v>
      </c>
      <c r="G455" t="s">
        <v>49</v>
      </c>
      <c r="H455">
        <v>10</v>
      </c>
      <c r="I455">
        <v>3</v>
      </c>
      <c r="J455" t="s">
        <v>58</v>
      </c>
      <c r="K455">
        <v>1979</v>
      </c>
      <c r="L455">
        <v>3</v>
      </c>
      <c r="M455" t="s">
        <v>59</v>
      </c>
      <c r="N455">
        <v>3</v>
      </c>
      <c r="O455">
        <v>3</v>
      </c>
      <c r="P455" t="s">
        <v>257</v>
      </c>
      <c r="Q455">
        <v>3</v>
      </c>
      <c r="R455" t="s">
        <v>113</v>
      </c>
      <c r="S455">
        <v>83750</v>
      </c>
      <c r="T455" t="s">
        <v>70</v>
      </c>
      <c r="U455">
        <v>523.44000000000005</v>
      </c>
      <c r="V455">
        <v>4</v>
      </c>
      <c r="W455" t="s">
        <v>55</v>
      </c>
      <c r="X455">
        <v>20</v>
      </c>
      <c r="Y455">
        <v>4</v>
      </c>
      <c r="Z455">
        <v>3</v>
      </c>
      <c r="AA455">
        <v>1</v>
      </c>
      <c r="AB455">
        <v>13</v>
      </c>
      <c r="AC455">
        <v>2</v>
      </c>
      <c r="AD455">
        <v>4</v>
      </c>
      <c r="AE455">
        <v>11</v>
      </c>
      <c r="AF455">
        <v>7</v>
      </c>
      <c r="AG455">
        <v>4</v>
      </c>
      <c r="AH455">
        <v>8</v>
      </c>
      <c r="AI455">
        <f t="shared" si="49"/>
        <v>0</v>
      </c>
      <c r="AJ455" t="str">
        <f t="shared" si="50"/>
        <v>10+ yrs</v>
      </c>
      <c r="AK455" t="str">
        <f t="shared" si="51"/>
        <v>Overdue</v>
      </c>
      <c r="AL455">
        <f t="shared" si="52"/>
        <v>1</v>
      </c>
      <c r="AM455" t="str">
        <f t="shared" si="53"/>
        <v>Low Risk</v>
      </c>
      <c r="AN455" s="6">
        <f t="shared" si="54"/>
        <v>0.65307770994950476</v>
      </c>
      <c r="AO455" s="7">
        <f t="shared" si="55"/>
        <v>1005000</v>
      </c>
    </row>
    <row r="456" spans="1:41" x14ac:dyDescent="0.3">
      <c r="A456" t="s">
        <v>526</v>
      </c>
      <c r="B456">
        <v>31</v>
      </c>
      <c r="C456" t="s">
        <v>196</v>
      </c>
      <c r="D456" t="s">
        <v>55</v>
      </c>
      <c r="E456" t="s">
        <v>48</v>
      </c>
      <c r="F456">
        <v>1154</v>
      </c>
      <c r="G456" t="s">
        <v>57</v>
      </c>
      <c r="H456">
        <v>2</v>
      </c>
      <c r="I456">
        <v>2</v>
      </c>
      <c r="J456" t="s">
        <v>50</v>
      </c>
      <c r="K456">
        <v>1996</v>
      </c>
      <c r="L456">
        <v>1</v>
      </c>
      <c r="M456" t="s">
        <v>51</v>
      </c>
      <c r="N456">
        <v>3</v>
      </c>
      <c r="O456">
        <v>1</v>
      </c>
      <c r="P456" t="s">
        <v>60</v>
      </c>
      <c r="Q456">
        <v>3</v>
      </c>
      <c r="R456" t="s">
        <v>113</v>
      </c>
      <c r="S456">
        <v>80634</v>
      </c>
      <c r="T456" t="s">
        <v>64</v>
      </c>
      <c r="U456">
        <v>503.96</v>
      </c>
      <c r="V456">
        <v>0</v>
      </c>
      <c r="W456" t="s">
        <v>55</v>
      </c>
      <c r="X456">
        <v>19</v>
      </c>
      <c r="Y456">
        <v>3</v>
      </c>
      <c r="Z456">
        <v>3</v>
      </c>
      <c r="AA456">
        <v>1</v>
      </c>
      <c r="AB456">
        <v>3</v>
      </c>
      <c r="AC456">
        <v>1</v>
      </c>
      <c r="AD456">
        <v>3</v>
      </c>
      <c r="AE456">
        <v>2</v>
      </c>
      <c r="AF456">
        <v>2</v>
      </c>
      <c r="AG456">
        <v>1</v>
      </c>
      <c r="AH456">
        <v>2</v>
      </c>
      <c r="AI456">
        <f t="shared" si="49"/>
        <v>0</v>
      </c>
      <c r="AJ456" t="str">
        <f t="shared" si="50"/>
        <v>2-3 yrs</v>
      </c>
      <c r="AK456" t="str">
        <f t="shared" si="51"/>
        <v>Recent</v>
      </c>
      <c r="AL456">
        <f t="shared" si="52"/>
        <v>0</v>
      </c>
      <c r="AM456" t="str">
        <f t="shared" si="53"/>
        <v>Minimal Risk</v>
      </c>
      <c r="AN456" s="6">
        <f t="shared" si="54"/>
        <v>0.6346895377790156</v>
      </c>
      <c r="AO456" s="7">
        <f t="shared" si="55"/>
        <v>967608</v>
      </c>
    </row>
    <row r="457" spans="1:41" x14ac:dyDescent="0.3">
      <c r="A457" t="s">
        <v>527</v>
      </c>
      <c r="B457">
        <v>31</v>
      </c>
      <c r="C457" t="s">
        <v>196</v>
      </c>
      <c r="D457" t="s">
        <v>55</v>
      </c>
      <c r="E457" t="s">
        <v>66</v>
      </c>
      <c r="F457">
        <v>325</v>
      </c>
      <c r="G457" t="s">
        <v>49</v>
      </c>
      <c r="H457">
        <v>5</v>
      </c>
      <c r="I457">
        <v>3</v>
      </c>
      <c r="J457" t="s">
        <v>58</v>
      </c>
      <c r="K457">
        <v>2057</v>
      </c>
      <c r="L457">
        <v>2</v>
      </c>
      <c r="M457" t="s">
        <v>51</v>
      </c>
      <c r="N457">
        <v>3</v>
      </c>
      <c r="O457">
        <v>2</v>
      </c>
      <c r="P457" t="s">
        <v>120</v>
      </c>
      <c r="Q457">
        <v>1</v>
      </c>
      <c r="R457" t="s">
        <v>53</v>
      </c>
      <c r="S457">
        <v>29251</v>
      </c>
      <c r="T457" t="s">
        <v>72</v>
      </c>
      <c r="U457">
        <v>182.82</v>
      </c>
      <c r="V457">
        <v>0</v>
      </c>
      <c r="W457" t="s">
        <v>55</v>
      </c>
      <c r="X457">
        <v>19</v>
      </c>
      <c r="Y457">
        <v>3</v>
      </c>
      <c r="Z457">
        <v>2</v>
      </c>
      <c r="AA457">
        <v>0</v>
      </c>
      <c r="AB457">
        <v>10</v>
      </c>
      <c r="AC457">
        <v>2</v>
      </c>
      <c r="AD457">
        <v>3</v>
      </c>
      <c r="AE457">
        <v>9</v>
      </c>
      <c r="AF457">
        <v>4</v>
      </c>
      <c r="AG457">
        <v>1</v>
      </c>
      <c r="AH457">
        <v>7</v>
      </c>
      <c r="AI457">
        <f t="shared" si="49"/>
        <v>0</v>
      </c>
      <c r="AJ457" t="str">
        <f t="shared" si="50"/>
        <v>6-10 yrs</v>
      </c>
      <c r="AK457" t="str">
        <f t="shared" si="51"/>
        <v>Recent</v>
      </c>
      <c r="AL457">
        <f t="shared" si="52"/>
        <v>1</v>
      </c>
      <c r="AM457" t="str">
        <f t="shared" si="53"/>
        <v>Low Risk</v>
      </c>
      <c r="AN457" s="6">
        <f t="shared" si="54"/>
        <v>-0.33963701611181119</v>
      </c>
      <c r="AO457" s="7">
        <f t="shared" si="55"/>
        <v>351012</v>
      </c>
    </row>
    <row r="458" spans="1:41" x14ac:dyDescent="0.3">
      <c r="A458" t="s">
        <v>527</v>
      </c>
      <c r="B458">
        <v>31</v>
      </c>
      <c r="C458" t="s">
        <v>196</v>
      </c>
      <c r="D458" t="s">
        <v>55</v>
      </c>
      <c r="E458" t="s">
        <v>66</v>
      </c>
      <c r="F458">
        <v>325</v>
      </c>
      <c r="G458" t="s">
        <v>49</v>
      </c>
      <c r="H458">
        <v>5</v>
      </c>
      <c r="I458">
        <v>3</v>
      </c>
      <c r="J458" t="s">
        <v>58</v>
      </c>
      <c r="K458">
        <v>2057</v>
      </c>
      <c r="L458">
        <v>2</v>
      </c>
      <c r="M458" t="s">
        <v>51</v>
      </c>
      <c r="N458">
        <v>3</v>
      </c>
      <c r="O458">
        <v>2</v>
      </c>
      <c r="P458" t="s">
        <v>120</v>
      </c>
      <c r="Q458">
        <v>1</v>
      </c>
      <c r="R458" t="s">
        <v>53</v>
      </c>
      <c r="S458">
        <v>26945</v>
      </c>
      <c r="T458" t="s">
        <v>72</v>
      </c>
      <c r="U458">
        <v>168.41</v>
      </c>
      <c r="V458">
        <v>0</v>
      </c>
      <c r="W458" t="s">
        <v>55</v>
      </c>
      <c r="X458">
        <v>19</v>
      </c>
      <c r="Y458">
        <v>3</v>
      </c>
      <c r="Z458">
        <v>2</v>
      </c>
      <c r="AA458">
        <v>0</v>
      </c>
      <c r="AB458">
        <v>10</v>
      </c>
      <c r="AC458">
        <v>2</v>
      </c>
      <c r="AD458">
        <v>3</v>
      </c>
      <c r="AE458">
        <v>9</v>
      </c>
      <c r="AF458">
        <v>4</v>
      </c>
      <c r="AG458">
        <v>1</v>
      </c>
      <c r="AH458">
        <v>7</v>
      </c>
      <c r="AI458">
        <f t="shared" si="49"/>
        <v>0</v>
      </c>
      <c r="AJ458" t="str">
        <f t="shared" si="50"/>
        <v>6-10 yrs</v>
      </c>
      <c r="AK458" t="str">
        <f t="shared" si="51"/>
        <v>Recent</v>
      </c>
      <c r="AL458">
        <f t="shared" si="52"/>
        <v>1</v>
      </c>
      <c r="AM458" t="str">
        <f t="shared" si="53"/>
        <v>Low Risk</v>
      </c>
      <c r="AN458" s="6">
        <f t="shared" si="54"/>
        <v>-0.39169667358834748</v>
      </c>
      <c r="AO458" s="7">
        <f t="shared" si="55"/>
        <v>323340</v>
      </c>
    </row>
    <row r="459" spans="1:41" x14ac:dyDescent="0.3">
      <c r="A459" t="s">
        <v>528</v>
      </c>
      <c r="B459">
        <v>32</v>
      </c>
      <c r="C459" t="s">
        <v>196</v>
      </c>
      <c r="D459" t="s">
        <v>55</v>
      </c>
      <c r="E459" t="s">
        <v>62</v>
      </c>
      <c r="F459">
        <v>1005</v>
      </c>
      <c r="G459" t="s">
        <v>49</v>
      </c>
      <c r="H459">
        <v>2</v>
      </c>
      <c r="I459">
        <v>2</v>
      </c>
      <c r="J459" t="s">
        <v>50</v>
      </c>
      <c r="K459">
        <v>8</v>
      </c>
      <c r="L459">
        <v>4</v>
      </c>
      <c r="M459" t="s">
        <v>51</v>
      </c>
      <c r="N459">
        <v>3</v>
      </c>
      <c r="O459">
        <v>1</v>
      </c>
      <c r="P459" t="s">
        <v>52</v>
      </c>
      <c r="Q459">
        <v>4</v>
      </c>
      <c r="R459" t="s">
        <v>53</v>
      </c>
      <c r="S459">
        <v>91852</v>
      </c>
      <c r="T459" t="s">
        <v>70</v>
      </c>
      <c r="U459">
        <v>574.08000000000004</v>
      </c>
      <c r="V459">
        <v>0</v>
      </c>
      <c r="W459" t="s">
        <v>55</v>
      </c>
      <c r="X459">
        <v>13</v>
      </c>
      <c r="Y459">
        <v>3</v>
      </c>
      <c r="Z459">
        <v>3</v>
      </c>
      <c r="AA459">
        <v>0</v>
      </c>
      <c r="AB459">
        <v>8</v>
      </c>
      <c r="AC459">
        <v>2</v>
      </c>
      <c r="AD459">
        <v>2</v>
      </c>
      <c r="AE459">
        <v>7</v>
      </c>
      <c r="AF459">
        <v>7</v>
      </c>
      <c r="AG459">
        <v>3</v>
      </c>
      <c r="AH459">
        <v>6</v>
      </c>
      <c r="AI459">
        <f t="shared" si="49"/>
        <v>0</v>
      </c>
      <c r="AJ459" t="str">
        <f t="shared" si="50"/>
        <v>6-10 yrs</v>
      </c>
      <c r="AK459" t="str">
        <f t="shared" si="51"/>
        <v>Overdue</v>
      </c>
      <c r="AL459">
        <f t="shared" si="52"/>
        <v>2</v>
      </c>
      <c r="AM459" t="str">
        <f t="shared" si="53"/>
        <v>Medium Risk</v>
      </c>
      <c r="AN459" s="6">
        <f t="shared" si="54"/>
        <v>0.77592685975692832</v>
      </c>
      <c r="AO459" s="7">
        <f t="shared" si="55"/>
        <v>1102224</v>
      </c>
    </row>
    <row r="460" spans="1:41" x14ac:dyDescent="0.3">
      <c r="A460" t="s">
        <v>529</v>
      </c>
      <c r="B460">
        <v>32</v>
      </c>
      <c r="C460" t="s">
        <v>196</v>
      </c>
      <c r="D460" t="s">
        <v>55</v>
      </c>
      <c r="E460" t="s">
        <v>48</v>
      </c>
      <c r="F460">
        <v>334</v>
      </c>
      <c r="G460" t="s">
        <v>49</v>
      </c>
      <c r="H460">
        <v>5</v>
      </c>
      <c r="I460">
        <v>2</v>
      </c>
      <c r="J460" t="s">
        <v>50</v>
      </c>
      <c r="K460">
        <v>21</v>
      </c>
      <c r="L460">
        <v>1</v>
      </c>
      <c r="M460" t="s">
        <v>51</v>
      </c>
      <c r="N460">
        <v>4</v>
      </c>
      <c r="O460">
        <v>1</v>
      </c>
      <c r="P460" t="s">
        <v>67</v>
      </c>
      <c r="Q460">
        <v>2</v>
      </c>
      <c r="R460" t="s">
        <v>53</v>
      </c>
      <c r="S460">
        <v>33217</v>
      </c>
      <c r="T460" t="s">
        <v>72</v>
      </c>
      <c r="U460">
        <v>207.61</v>
      </c>
      <c r="V460">
        <v>0</v>
      </c>
      <c r="W460" t="s">
        <v>47</v>
      </c>
      <c r="X460">
        <v>12</v>
      </c>
      <c r="Y460">
        <v>3</v>
      </c>
      <c r="Z460">
        <v>4</v>
      </c>
      <c r="AA460">
        <v>2</v>
      </c>
      <c r="AB460">
        <v>7</v>
      </c>
      <c r="AC460">
        <v>5</v>
      </c>
      <c r="AD460">
        <v>2</v>
      </c>
      <c r="AE460">
        <v>6</v>
      </c>
      <c r="AF460">
        <v>2</v>
      </c>
      <c r="AG460">
        <v>0</v>
      </c>
      <c r="AH460">
        <v>5</v>
      </c>
      <c r="AI460">
        <f t="shared" si="49"/>
        <v>0</v>
      </c>
      <c r="AJ460" t="str">
        <f t="shared" si="50"/>
        <v>6-10 yrs</v>
      </c>
      <c r="AK460" t="str">
        <f t="shared" si="51"/>
        <v>Recent</v>
      </c>
      <c r="AL460">
        <f t="shared" si="52"/>
        <v>3</v>
      </c>
      <c r="AM460" t="str">
        <f t="shared" si="53"/>
        <v>High Risk</v>
      </c>
      <c r="AN460" s="6">
        <f t="shared" si="54"/>
        <v>-0.33387615216393829</v>
      </c>
      <c r="AO460" s="7">
        <f t="shared" si="55"/>
        <v>398604</v>
      </c>
    </row>
    <row r="461" spans="1:41" x14ac:dyDescent="0.3">
      <c r="A461" t="s">
        <v>530</v>
      </c>
      <c r="B461">
        <v>32</v>
      </c>
      <c r="C461" t="s">
        <v>196</v>
      </c>
      <c r="D461" t="s">
        <v>47</v>
      </c>
      <c r="E461" t="s">
        <v>62</v>
      </c>
      <c r="F461">
        <v>1125</v>
      </c>
      <c r="G461" t="s">
        <v>49</v>
      </c>
      <c r="H461">
        <v>16</v>
      </c>
      <c r="I461">
        <v>1</v>
      </c>
      <c r="J461" t="s">
        <v>50</v>
      </c>
      <c r="K461">
        <v>33</v>
      </c>
      <c r="L461">
        <v>2</v>
      </c>
      <c r="M461" t="s">
        <v>59</v>
      </c>
      <c r="N461">
        <v>1</v>
      </c>
      <c r="O461">
        <v>1</v>
      </c>
      <c r="P461" t="s">
        <v>67</v>
      </c>
      <c r="Q461">
        <v>1</v>
      </c>
      <c r="R461" t="s">
        <v>53</v>
      </c>
      <c r="S461">
        <v>9308</v>
      </c>
      <c r="T461" t="s">
        <v>54</v>
      </c>
      <c r="U461">
        <v>58.18</v>
      </c>
      <c r="V461">
        <v>1</v>
      </c>
      <c r="W461" t="s">
        <v>47</v>
      </c>
      <c r="X461">
        <v>22</v>
      </c>
      <c r="Y461">
        <v>4</v>
      </c>
      <c r="Z461">
        <v>2</v>
      </c>
      <c r="AA461">
        <v>0</v>
      </c>
      <c r="AB461">
        <v>10</v>
      </c>
      <c r="AC461">
        <v>5</v>
      </c>
      <c r="AD461">
        <v>3</v>
      </c>
      <c r="AE461">
        <v>10</v>
      </c>
      <c r="AF461">
        <v>2</v>
      </c>
      <c r="AG461">
        <v>6</v>
      </c>
      <c r="AH461">
        <v>2</v>
      </c>
      <c r="AI461">
        <f t="shared" si="49"/>
        <v>1</v>
      </c>
      <c r="AJ461" t="str">
        <f t="shared" si="50"/>
        <v>6-10 yrs</v>
      </c>
      <c r="AK461" t="str">
        <f t="shared" si="51"/>
        <v>Overdue</v>
      </c>
      <c r="AL461">
        <f t="shared" si="52"/>
        <v>3</v>
      </c>
      <c r="AM461" t="str">
        <f t="shared" si="53"/>
        <v>High Risk</v>
      </c>
      <c r="AN461" s="6">
        <f t="shared" si="54"/>
        <v>-0.81334013379721037</v>
      </c>
      <c r="AO461" s="7">
        <f t="shared" si="55"/>
        <v>111696</v>
      </c>
    </row>
    <row r="462" spans="1:41" x14ac:dyDescent="0.3">
      <c r="A462" t="s">
        <v>531</v>
      </c>
      <c r="B462">
        <v>32</v>
      </c>
      <c r="C462" t="s">
        <v>196</v>
      </c>
      <c r="D462" t="s">
        <v>55</v>
      </c>
      <c r="E462" t="s">
        <v>48</v>
      </c>
      <c r="F462">
        <v>427</v>
      </c>
      <c r="G462" t="s">
        <v>49</v>
      </c>
      <c r="H462">
        <v>1</v>
      </c>
      <c r="I462">
        <v>3</v>
      </c>
      <c r="J462" t="s">
        <v>58</v>
      </c>
      <c r="K462">
        <v>78</v>
      </c>
      <c r="L462">
        <v>1</v>
      </c>
      <c r="M462" t="s">
        <v>51</v>
      </c>
      <c r="N462">
        <v>3</v>
      </c>
      <c r="O462">
        <v>2</v>
      </c>
      <c r="P462" t="s">
        <v>120</v>
      </c>
      <c r="Q462">
        <v>4</v>
      </c>
      <c r="R462" t="s">
        <v>113</v>
      </c>
      <c r="S462">
        <v>6949</v>
      </c>
      <c r="T462" t="s">
        <v>54</v>
      </c>
      <c r="U462">
        <v>43.43</v>
      </c>
      <c r="V462">
        <v>1</v>
      </c>
      <c r="W462" t="s">
        <v>47</v>
      </c>
      <c r="X462">
        <v>22</v>
      </c>
      <c r="Y462">
        <v>4</v>
      </c>
      <c r="Z462">
        <v>2</v>
      </c>
      <c r="AA462">
        <v>1</v>
      </c>
      <c r="AB462">
        <v>9</v>
      </c>
      <c r="AC462">
        <v>3</v>
      </c>
      <c r="AD462">
        <v>3</v>
      </c>
      <c r="AE462">
        <v>9</v>
      </c>
      <c r="AF462">
        <v>8</v>
      </c>
      <c r="AG462">
        <v>7</v>
      </c>
      <c r="AH462">
        <v>8</v>
      </c>
      <c r="AI462">
        <f t="shared" si="49"/>
        <v>0</v>
      </c>
      <c r="AJ462" t="str">
        <f t="shared" si="50"/>
        <v>6-10 yrs</v>
      </c>
      <c r="AK462" t="str">
        <f t="shared" si="51"/>
        <v>Overdue</v>
      </c>
      <c r="AL462">
        <f t="shared" si="52"/>
        <v>2</v>
      </c>
      <c r="AM462" t="str">
        <f t="shared" si="53"/>
        <v>Medium Risk</v>
      </c>
      <c r="AN462" s="6">
        <f t="shared" si="54"/>
        <v>-0.84312117961645672</v>
      </c>
      <c r="AO462" s="7">
        <f t="shared" si="55"/>
        <v>83388</v>
      </c>
    </row>
    <row r="463" spans="1:41" x14ac:dyDescent="0.3">
      <c r="A463" t="s">
        <v>532</v>
      </c>
      <c r="B463">
        <v>32</v>
      </c>
      <c r="C463" t="s">
        <v>196</v>
      </c>
      <c r="D463" t="s">
        <v>55</v>
      </c>
      <c r="E463" t="s">
        <v>48</v>
      </c>
      <c r="F463">
        <v>548</v>
      </c>
      <c r="G463" t="s">
        <v>49</v>
      </c>
      <c r="H463">
        <v>1</v>
      </c>
      <c r="I463">
        <v>3</v>
      </c>
      <c r="J463" t="s">
        <v>50</v>
      </c>
      <c r="K463">
        <v>96</v>
      </c>
      <c r="L463">
        <v>2</v>
      </c>
      <c r="M463" t="s">
        <v>51</v>
      </c>
      <c r="N463">
        <v>3</v>
      </c>
      <c r="O463">
        <v>2</v>
      </c>
      <c r="P463" t="s">
        <v>67</v>
      </c>
      <c r="Q463">
        <v>2</v>
      </c>
      <c r="R463" t="s">
        <v>113</v>
      </c>
      <c r="S463">
        <v>52990</v>
      </c>
      <c r="T463" t="s">
        <v>64</v>
      </c>
      <c r="U463">
        <v>331.19</v>
      </c>
      <c r="V463">
        <v>1</v>
      </c>
      <c r="W463" t="s">
        <v>55</v>
      </c>
      <c r="X463">
        <v>17</v>
      </c>
      <c r="Y463">
        <v>3</v>
      </c>
      <c r="Z463">
        <v>2</v>
      </c>
      <c r="AA463">
        <v>2</v>
      </c>
      <c r="AB463">
        <v>10</v>
      </c>
      <c r="AC463">
        <v>3</v>
      </c>
      <c r="AD463">
        <v>3</v>
      </c>
      <c r="AE463">
        <v>10</v>
      </c>
      <c r="AF463">
        <v>4</v>
      </c>
      <c r="AG463">
        <v>0</v>
      </c>
      <c r="AH463">
        <v>4</v>
      </c>
      <c r="AI463">
        <f t="shared" si="49"/>
        <v>0</v>
      </c>
      <c r="AJ463" t="str">
        <f t="shared" si="50"/>
        <v>6-10 yrs</v>
      </c>
      <c r="AK463" t="str">
        <f t="shared" si="51"/>
        <v>Recent</v>
      </c>
      <c r="AL463">
        <f t="shared" si="52"/>
        <v>1</v>
      </c>
      <c r="AM463" t="str">
        <f t="shared" si="53"/>
        <v>Low Risk</v>
      </c>
      <c r="AN463" s="6">
        <f t="shared" si="54"/>
        <v>6.2645714448412257E-2</v>
      </c>
      <c r="AO463" s="7">
        <f t="shared" si="55"/>
        <v>635880</v>
      </c>
    </row>
    <row r="464" spans="1:41" x14ac:dyDescent="0.3">
      <c r="A464" t="s">
        <v>533</v>
      </c>
      <c r="B464">
        <v>32</v>
      </c>
      <c r="C464" t="s">
        <v>196</v>
      </c>
      <c r="D464" t="s">
        <v>55</v>
      </c>
      <c r="E464" t="s">
        <v>48</v>
      </c>
      <c r="F464">
        <v>1093</v>
      </c>
      <c r="G464" t="s">
        <v>57</v>
      </c>
      <c r="H464">
        <v>6</v>
      </c>
      <c r="I464">
        <v>4</v>
      </c>
      <c r="J464" t="s">
        <v>58</v>
      </c>
      <c r="K464">
        <v>125</v>
      </c>
      <c r="L464">
        <v>2</v>
      </c>
      <c r="M464" t="s">
        <v>51</v>
      </c>
      <c r="N464">
        <v>3</v>
      </c>
      <c r="O464">
        <v>2</v>
      </c>
      <c r="P464" t="s">
        <v>145</v>
      </c>
      <c r="Q464">
        <v>3</v>
      </c>
      <c r="R464" t="s">
        <v>53</v>
      </c>
      <c r="S464">
        <v>2150</v>
      </c>
      <c r="T464" t="s">
        <v>54</v>
      </c>
      <c r="U464">
        <v>13.44</v>
      </c>
      <c r="V464">
        <v>1</v>
      </c>
      <c r="W464" t="s">
        <v>55</v>
      </c>
      <c r="X464">
        <v>16</v>
      </c>
      <c r="Y464">
        <v>3</v>
      </c>
      <c r="Z464">
        <v>1</v>
      </c>
      <c r="AA464">
        <v>0</v>
      </c>
      <c r="AB464">
        <v>12</v>
      </c>
      <c r="AC464">
        <v>0</v>
      </c>
      <c r="AD464">
        <v>3</v>
      </c>
      <c r="AE464">
        <v>11</v>
      </c>
      <c r="AF464">
        <v>8</v>
      </c>
      <c r="AG464">
        <v>5</v>
      </c>
      <c r="AH464">
        <v>7</v>
      </c>
      <c r="AI464">
        <f t="shared" si="49"/>
        <v>0</v>
      </c>
      <c r="AJ464" t="str">
        <f t="shared" si="50"/>
        <v>10+ yrs</v>
      </c>
      <c r="AK464" t="str">
        <f t="shared" si="51"/>
        <v>Overdue</v>
      </c>
      <c r="AL464">
        <f t="shared" si="52"/>
        <v>1</v>
      </c>
      <c r="AM464" t="str">
        <f t="shared" si="53"/>
        <v>Low Risk</v>
      </c>
      <c r="AN464" s="6">
        <f t="shared" si="54"/>
        <v>-0.95617429711589885</v>
      </c>
      <c r="AO464" s="7">
        <f t="shared" si="55"/>
        <v>25800</v>
      </c>
    </row>
    <row r="465" spans="1:41" x14ac:dyDescent="0.3">
      <c r="A465" t="s">
        <v>534</v>
      </c>
      <c r="B465">
        <v>32</v>
      </c>
      <c r="C465" t="s">
        <v>196</v>
      </c>
      <c r="D465" t="s">
        <v>55</v>
      </c>
      <c r="E465" t="s">
        <v>48</v>
      </c>
      <c r="F465">
        <v>827</v>
      </c>
      <c r="G465" t="s">
        <v>49</v>
      </c>
      <c r="H465">
        <v>1</v>
      </c>
      <c r="I465">
        <v>1</v>
      </c>
      <c r="J465" t="s">
        <v>50</v>
      </c>
      <c r="K465">
        <v>134</v>
      </c>
      <c r="L465">
        <v>4</v>
      </c>
      <c r="M465" t="s">
        <v>51</v>
      </c>
      <c r="N465">
        <v>3</v>
      </c>
      <c r="O465">
        <v>1</v>
      </c>
      <c r="P465" t="s">
        <v>67</v>
      </c>
      <c r="Q465">
        <v>1</v>
      </c>
      <c r="R465" t="s">
        <v>53</v>
      </c>
      <c r="S465">
        <v>90480</v>
      </c>
      <c r="T465" t="s">
        <v>70</v>
      </c>
      <c r="U465">
        <v>565.5</v>
      </c>
      <c r="V465">
        <v>1</v>
      </c>
      <c r="W465" t="s">
        <v>55</v>
      </c>
      <c r="X465">
        <v>13</v>
      </c>
      <c r="Y465">
        <v>3</v>
      </c>
      <c r="Z465">
        <v>4</v>
      </c>
      <c r="AA465">
        <v>0</v>
      </c>
      <c r="AB465">
        <v>1</v>
      </c>
      <c r="AC465">
        <v>2</v>
      </c>
      <c r="AD465">
        <v>3</v>
      </c>
      <c r="AE465">
        <v>1</v>
      </c>
      <c r="AF465">
        <v>0</v>
      </c>
      <c r="AG465">
        <v>0</v>
      </c>
      <c r="AH465">
        <v>0</v>
      </c>
      <c r="AI465">
        <f t="shared" si="49"/>
        <v>0</v>
      </c>
      <c r="AJ465" t="str">
        <f t="shared" si="50"/>
        <v>0-1 yr</v>
      </c>
      <c r="AK465" t="str">
        <f t="shared" si="51"/>
        <v>Recent</v>
      </c>
      <c r="AL465">
        <f t="shared" si="52"/>
        <v>1</v>
      </c>
      <c r="AM465" t="str">
        <f t="shared" si="53"/>
        <v>Low Risk</v>
      </c>
      <c r="AN465" s="6">
        <f t="shared" si="54"/>
        <v>0.81445903459694924</v>
      </c>
      <c r="AO465" s="7">
        <f t="shared" si="55"/>
        <v>1085760</v>
      </c>
    </row>
    <row r="466" spans="1:41" x14ac:dyDescent="0.3">
      <c r="A466" t="s">
        <v>535</v>
      </c>
      <c r="B466">
        <v>32</v>
      </c>
      <c r="C466" t="s">
        <v>196</v>
      </c>
      <c r="D466" t="s">
        <v>47</v>
      </c>
      <c r="E466" t="s">
        <v>48</v>
      </c>
      <c r="F466">
        <v>1033</v>
      </c>
      <c r="G466" t="s">
        <v>49</v>
      </c>
      <c r="H466">
        <v>9</v>
      </c>
      <c r="I466">
        <v>3</v>
      </c>
      <c r="J466" t="s">
        <v>58</v>
      </c>
      <c r="K466">
        <v>190</v>
      </c>
      <c r="L466">
        <v>1</v>
      </c>
      <c r="M466" t="s">
        <v>59</v>
      </c>
      <c r="N466">
        <v>3</v>
      </c>
      <c r="O466">
        <v>1</v>
      </c>
      <c r="P466" t="s">
        <v>52</v>
      </c>
      <c r="Q466">
        <v>1</v>
      </c>
      <c r="R466" t="s">
        <v>53</v>
      </c>
      <c r="S466">
        <v>75740</v>
      </c>
      <c r="T466" t="s">
        <v>64</v>
      </c>
      <c r="U466">
        <v>473.38</v>
      </c>
      <c r="V466">
        <v>7</v>
      </c>
      <c r="W466" t="s">
        <v>55</v>
      </c>
      <c r="X466">
        <v>22</v>
      </c>
      <c r="Y466">
        <v>4</v>
      </c>
      <c r="Z466">
        <v>1</v>
      </c>
      <c r="AA466">
        <v>0</v>
      </c>
      <c r="AB466">
        <v>10</v>
      </c>
      <c r="AC466">
        <v>2</v>
      </c>
      <c r="AD466">
        <v>4</v>
      </c>
      <c r="AE466">
        <v>5</v>
      </c>
      <c r="AF466">
        <v>4</v>
      </c>
      <c r="AG466">
        <v>0</v>
      </c>
      <c r="AH466">
        <v>4</v>
      </c>
      <c r="AI466">
        <f t="shared" si="49"/>
        <v>1</v>
      </c>
      <c r="AJ466" t="str">
        <f t="shared" si="50"/>
        <v>4-5 yrs</v>
      </c>
      <c r="AK466" t="str">
        <f t="shared" si="51"/>
        <v>Recent</v>
      </c>
      <c r="AL466">
        <f t="shared" si="52"/>
        <v>1</v>
      </c>
      <c r="AM466" t="str">
        <f t="shared" si="53"/>
        <v>Low Risk</v>
      </c>
      <c r="AN466" s="6">
        <f t="shared" si="54"/>
        <v>0.46440687582186291</v>
      </c>
      <c r="AO466" s="7">
        <f t="shared" si="55"/>
        <v>908880</v>
      </c>
    </row>
    <row r="467" spans="1:41" x14ac:dyDescent="0.3">
      <c r="A467" t="s">
        <v>536</v>
      </c>
      <c r="B467">
        <v>32</v>
      </c>
      <c r="C467" t="s">
        <v>196</v>
      </c>
      <c r="D467" t="s">
        <v>55</v>
      </c>
      <c r="E467" t="s">
        <v>62</v>
      </c>
      <c r="F467">
        <v>689</v>
      </c>
      <c r="G467" t="s">
        <v>57</v>
      </c>
      <c r="H467">
        <v>9</v>
      </c>
      <c r="I467">
        <v>2</v>
      </c>
      <c r="J467" t="s">
        <v>58</v>
      </c>
      <c r="K467">
        <v>195</v>
      </c>
      <c r="L467">
        <v>4</v>
      </c>
      <c r="M467" t="s">
        <v>51</v>
      </c>
      <c r="N467">
        <v>1</v>
      </c>
      <c r="O467">
        <v>2</v>
      </c>
      <c r="P467" t="s">
        <v>145</v>
      </c>
      <c r="Q467">
        <v>4</v>
      </c>
      <c r="R467" t="s">
        <v>53</v>
      </c>
      <c r="S467">
        <v>67617</v>
      </c>
      <c r="T467" t="s">
        <v>64</v>
      </c>
      <c r="U467">
        <v>422.61</v>
      </c>
      <c r="V467">
        <v>0</v>
      </c>
      <c r="W467" t="s">
        <v>55</v>
      </c>
      <c r="X467">
        <v>17</v>
      </c>
      <c r="Y467">
        <v>3</v>
      </c>
      <c r="Z467">
        <v>4</v>
      </c>
      <c r="AA467">
        <v>3</v>
      </c>
      <c r="AB467">
        <v>9</v>
      </c>
      <c r="AC467">
        <v>2</v>
      </c>
      <c r="AD467">
        <v>4</v>
      </c>
      <c r="AE467">
        <v>8</v>
      </c>
      <c r="AF467">
        <v>7</v>
      </c>
      <c r="AG467">
        <v>0</v>
      </c>
      <c r="AH467">
        <v>7</v>
      </c>
      <c r="AI467">
        <f t="shared" si="49"/>
        <v>0</v>
      </c>
      <c r="AJ467" t="str">
        <f t="shared" si="50"/>
        <v>6-10 yrs</v>
      </c>
      <c r="AK467" t="str">
        <f t="shared" si="51"/>
        <v>Recent</v>
      </c>
      <c r="AL467">
        <f t="shared" si="52"/>
        <v>0</v>
      </c>
      <c r="AM467" t="str">
        <f t="shared" si="53"/>
        <v>Minimal Risk</v>
      </c>
      <c r="AN467" s="6">
        <f t="shared" si="54"/>
        <v>0.37830816368105413</v>
      </c>
      <c r="AO467" s="7">
        <f t="shared" si="55"/>
        <v>811404</v>
      </c>
    </row>
    <row r="468" spans="1:41" x14ac:dyDescent="0.3">
      <c r="A468" t="s">
        <v>537</v>
      </c>
      <c r="B468">
        <v>32</v>
      </c>
      <c r="C468" t="s">
        <v>196</v>
      </c>
      <c r="D468" t="s">
        <v>55</v>
      </c>
      <c r="E468" t="s">
        <v>62</v>
      </c>
      <c r="F468">
        <v>967</v>
      </c>
      <c r="G468" t="s">
        <v>57</v>
      </c>
      <c r="H468">
        <v>8</v>
      </c>
      <c r="I468">
        <v>3</v>
      </c>
      <c r="J468" t="s">
        <v>63</v>
      </c>
      <c r="K468">
        <v>207</v>
      </c>
      <c r="L468">
        <v>2</v>
      </c>
      <c r="M468" t="s">
        <v>59</v>
      </c>
      <c r="N468">
        <v>3</v>
      </c>
      <c r="O468">
        <v>3</v>
      </c>
      <c r="P468" t="s">
        <v>145</v>
      </c>
      <c r="Q468">
        <v>4</v>
      </c>
      <c r="R468" t="s">
        <v>53</v>
      </c>
      <c r="S468">
        <v>95841</v>
      </c>
      <c r="T468" t="s">
        <v>70</v>
      </c>
      <c r="U468">
        <v>599.01</v>
      </c>
      <c r="V468">
        <v>1</v>
      </c>
      <c r="W468" t="s">
        <v>55</v>
      </c>
      <c r="X468">
        <v>14</v>
      </c>
      <c r="Y468">
        <v>3</v>
      </c>
      <c r="Z468">
        <v>4</v>
      </c>
      <c r="AA468">
        <v>0</v>
      </c>
      <c r="AB468">
        <v>9</v>
      </c>
      <c r="AC468">
        <v>2</v>
      </c>
      <c r="AD468">
        <v>3</v>
      </c>
      <c r="AE468">
        <v>9</v>
      </c>
      <c r="AF468">
        <v>8</v>
      </c>
      <c r="AG468">
        <v>3</v>
      </c>
      <c r="AH468">
        <v>7</v>
      </c>
      <c r="AI468">
        <f t="shared" si="49"/>
        <v>0</v>
      </c>
      <c r="AJ468" t="str">
        <f t="shared" si="50"/>
        <v>6-10 yrs</v>
      </c>
      <c r="AK468" t="str">
        <f t="shared" si="51"/>
        <v>Overdue</v>
      </c>
      <c r="AL468">
        <f t="shared" si="52"/>
        <v>1</v>
      </c>
      <c r="AM468" t="str">
        <f t="shared" si="53"/>
        <v>Low Risk</v>
      </c>
      <c r="AN468" s="6">
        <f t="shared" si="54"/>
        <v>0.95362753028611014</v>
      </c>
      <c r="AO468" s="7">
        <f t="shared" si="55"/>
        <v>1150092</v>
      </c>
    </row>
    <row r="469" spans="1:41" x14ac:dyDescent="0.3">
      <c r="A469" t="s">
        <v>538</v>
      </c>
      <c r="B469">
        <v>32</v>
      </c>
      <c r="C469" t="s">
        <v>196</v>
      </c>
      <c r="D469" t="s">
        <v>55</v>
      </c>
      <c r="E469" t="s">
        <v>48</v>
      </c>
      <c r="F469">
        <v>120</v>
      </c>
      <c r="G469" t="s">
        <v>49</v>
      </c>
      <c r="H469">
        <v>6</v>
      </c>
      <c r="I469">
        <v>5</v>
      </c>
      <c r="J469" t="s">
        <v>50</v>
      </c>
      <c r="K469">
        <v>231</v>
      </c>
      <c r="L469">
        <v>3</v>
      </c>
      <c r="M469" t="s">
        <v>51</v>
      </c>
      <c r="N469">
        <v>3</v>
      </c>
      <c r="O469">
        <v>1</v>
      </c>
      <c r="P469" t="s">
        <v>67</v>
      </c>
      <c r="Q469">
        <v>3</v>
      </c>
      <c r="R469" t="s">
        <v>53</v>
      </c>
      <c r="S469">
        <v>17896</v>
      </c>
      <c r="T469" t="s">
        <v>54</v>
      </c>
      <c r="U469">
        <v>111.85</v>
      </c>
      <c r="V469">
        <v>3</v>
      </c>
      <c r="W469" t="s">
        <v>55</v>
      </c>
      <c r="X469">
        <v>20</v>
      </c>
      <c r="Y469">
        <v>4</v>
      </c>
      <c r="Z469">
        <v>1</v>
      </c>
      <c r="AA469">
        <v>0</v>
      </c>
      <c r="AB469">
        <v>8</v>
      </c>
      <c r="AC469">
        <v>2</v>
      </c>
      <c r="AD469">
        <v>3</v>
      </c>
      <c r="AE469">
        <v>5</v>
      </c>
      <c r="AF469">
        <v>4</v>
      </c>
      <c r="AG469">
        <v>1</v>
      </c>
      <c r="AH469">
        <v>4</v>
      </c>
      <c r="AI469">
        <f t="shared" si="49"/>
        <v>0</v>
      </c>
      <c r="AJ469" t="str">
        <f t="shared" si="50"/>
        <v>4-5 yrs</v>
      </c>
      <c r="AK469" t="str">
        <f t="shared" si="51"/>
        <v>Recent</v>
      </c>
      <c r="AL469">
        <f t="shared" si="52"/>
        <v>0</v>
      </c>
      <c r="AM469" t="str">
        <f t="shared" si="53"/>
        <v>Minimal Risk</v>
      </c>
      <c r="AN469" s="6">
        <f t="shared" si="54"/>
        <v>-0.64111893365222139</v>
      </c>
      <c r="AO469" s="7">
        <f t="shared" si="55"/>
        <v>214752</v>
      </c>
    </row>
    <row r="470" spans="1:41" x14ac:dyDescent="0.3">
      <c r="A470" t="s">
        <v>539</v>
      </c>
      <c r="B470">
        <v>32</v>
      </c>
      <c r="C470" t="s">
        <v>196</v>
      </c>
      <c r="D470" t="s">
        <v>47</v>
      </c>
      <c r="E470" t="s">
        <v>48</v>
      </c>
      <c r="F470">
        <v>1045</v>
      </c>
      <c r="G470" t="s">
        <v>57</v>
      </c>
      <c r="H470">
        <v>4</v>
      </c>
      <c r="I470">
        <v>4</v>
      </c>
      <c r="J470" t="s">
        <v>58</v>
      </c>
      <c r="K470">
        <v>291</v>
      </c>
      <c r="L470">
        <v>4</v>
      </c>
      <c r="M470" t="s">
        <v>51</v>
      </c>
      <c r="N470">
        <v>1</v>
      </c>
      <c r="O470">
        <v>3</v>
      </c>
      <c r="P470" t="s">
        <v>145</v>
      </c>
      <c r="Q470">
        <v>4</v>
      </c>
      <c r="R470" t="s">
        <v>113</v>
      </c>
      <c r="S470">
        <v>47175</v>
      </c>
      <c r="T470" t="s">
        <v>72</v>
      </c>
      <c r="U470">
        <v>294.83999999999997</v>
      </c>
      <c r="V470">
        <v>1</v>
      </c>
      <c r="W470" t="s">
        <v>55</v>
      </c>
      <c r="X470">
        <v>11</v>
      </c>
      <c r="Y470">
        <v>3</v>
      </c>
      <c r="Z470">
        <v>3</v>
      </c>
      <c r="AA470">
        <v>0</v>
      </c>
      <c r="AB470">
        <v>14</v>
      </c>
      <c r="AC470">
        <v>2</v>
      </c>
      <c r="AD470">
        <v>2</v>
      </c>
      <c r="AE470">
        <v>14</v>
      </c>
      <c r="AF470">
        <v>8</v>
      </c>
      <c r="AG470">
        <v>9</v>
      </c>
      <c r="AH470">
        <v>8</v>
      </c>
      <c r="AI470">
        <f t="shared" si="49"/>
        <v>1</v>
      </c>
      <c r="AJ470" t="str">
        <f t="shared" si="50"/>
        <v>10+ yrs</v>
      </c>
      <c r="AK470" t="str">
        <f t="shared" si="51"/>
        <v>Overdue</v>
      </c>
      <c r="AL470">
        <f t="shared" si="52"/>
        <v>2</v>
      </c>
      <c r="AM470" t="str">
        <f t="shared" si="53"/>
        <v>Medium Risk</v>
      </c>
      <c r="AN470" s="6">
        <f t="shared" si="54"/>
        <v>-3.8382542531408839E-2</v>
      </c>
      <c r="AO470" s="7">
        <f t="shared" si="55"/>
        <v>566100</v>
      </c>
    </row>
    <row r="471" spans="1:41" x14ac:dyDescent="0.3">
      <c r="A471" t="s">
        <v>540</v>
      </c>
      <c r="B471">
        <v>32</v>
      </c>
      <c r="C471" t="s">
        <v>196</v>
      </c>
      <c r="D471" t="s">
        <v>55</v>
      </c>
      <c r="E471" t="s">
        <v>48</v>
      </c>
      <c r="F471">
        <v>1401</v>
      </c>
      <c r="G471" t="s">
        <v>57</v>
      </c>
      <c r="H471">
        <v>4</v>
      </c>
      <c r="I471">
        <v>2</v>
      </c>
      <c r="J471" t="s">
        <v>50</v>
      </c>
      <c r="K471">
        <v>330</v>
      </c>
      <c r="L471">
        <v>3</v>
      </c>
      <c r="M471" t="s">
        <v>59</v>
      </c>
      <c r="N471">
        <v>3</v>
      </c>
      <c r="O471">
        <v>1</v>
      </c>
      <c r="P471" t="s">
        <v>60</v>
      </c>
      <c r="Q471">
        <v>2</v>
      </c>
      <c r="R471" t="s">
        <v>113</v>
      </c>
      <c r="S471">
        <v>8805</v>
      </c>
      <c r="T471" t="s">
        <v>54</v>
      </c>
      <c r="U471">
        <v>55.03</v>
      </c>
      <c r="V471">
        <v>2</v>
      </c>
      <c r="W471" t="s">
        <v>55</v>
      </c>
      <c r="X471">
        <v>11</v>
      </c>
      <c r="Y471">
        <v>3</v>
      </c>
      <c r="Z471">
        <v>1</v>
      </c>
      <c r="AA471">
        <v>1</v>
      </c>
      <c r="AB471">
        <v>6</v>
      </c>
      <c r="AC471">
        <v>5</v>
      </c>
      <c r="AD471">
        <v>3</v>
      </c>
      <c r="AE471">
        <v>4</v>
      </c>
      <c r="AF471">
        <v>3</v>
      </c>
      <c r="AG471">
        <v>1</v>
      </c>
      <c r="AH471">
        <v>2</v>
      </c>
      <c r="AI471">
        <f t="shared" si="49"/>
        <v>0</v>
      </c>
      <c r="AJ471" t="str">
        <f t="shared" si="50"/>
        <v>4-5 yrs</v>
      </c>
      <c r="AK471" t="str">
        <f t="shared" si="51"/>
        <v>Recent</v>
      </c>
      <c r="AL471">
        <f t="shared" si="52"/>
        <v>1</v>
      </c>
      <c r="AM471" t="str">
        <f t="shared" si="53"/>
        <v>Low Risk</v>
      </c>
      <c r="AN471" s="6">
        <f t="shared" si="54"/>
        <v>-0.82149662201869889</v>
      </c>
      <c r="AO471" s="7">
        <f t="shared" si="55"/>
        <v>105660</v>
      </c>
    </row>
    <row r="472" spans="1:41" x14ac:dyDescent="0.3">
      <c r="A472" t="s">
        <v>541</v>
      </c>
      <c r="B472">
        <v>32</v>
      </c>
      <c r="C472" t="s">
        <v>196</v>
      </c>
      <c r="D472" t="s">
        <v>47</v>
      </c>
      <c r="E472" t="s">
        <v>48</v>
      </c>
      <c r="F472">
        <v>515</v>
      </c>
      <c r="G472" t="s">
        <v>49</v>
      </c>
      <c r="H472">
        <v>1</v>
      </c>
      <c r="I472">
        <v>3</v>
      </c>
      <c r="J472" t="s">
        <v>50</v>
      </c>
      <c r="K472">
        <v>331</v>
      </c>
      <c r="L472">
        <v>4</v>
      </c>
      <c r="M472" t="s">
        <v>51</v>
      </c>
      <c r="N472">
        <v>2</v>
      </c>
      <c r="O472">
        <v>1</v>
      </c>
      <c r="P472" t="s">
        <v>52</v>
      </c>
      <c r="Q472">
        <v>3</v>
      </c>
      <c r="R472" t="s">
        <v>53</v>
      </c>
      <c r="S472">
        <v>6237</v>
      </c>
      <c r="T472" t="s">
        <v>54</v>
      </c>
      <c r="U472">
        <v>38.979999999999997</v>
      </c>
      <c r="V472">
        <v>0</v>
      </c>
      <c r="W472" t="s">
        <v>47</v>
      </c>
      <c r="X472">
        <v>14</v>
      </c>
      <c r="Y472">
        <v>3</v>
      </c>
      <c r="Z472">
        <v>4</v>
      </c>
      <c r="AA472">
        <v>0</v>
      </c>
      <c r="AB472">
        <v>4</v>
      </c>
      <c r="AC472">
        <v>2</v>
      </c>
      <c r="AD472">
        <v>1</v>
      </c>
      <c r="AE472">
        <v>3</v>
      </c>
      <c r="AF472">
        <v>2</v>
      </c>
      <c r="AG472">
        <v>1</v>
      </c>
      <c r="AH472">
        <v>2</v>
      </c>
      <c r="AI472">
        <f t="shared" si="49"/>
        <v>1</v>
      </c>
      <c r="AJ472" t="str">
        <f t="shared" si="50"/>
        <v>2-3 yrs</v>
      </c>
      <c r="AK472" t="str">
        <f t="shared" si="51"/>
        <v>Recent</v>
      </c>
      <c r="AL472">
        <f t="shared" si="52"/>
        <v>2</v>
      </c>
      <c r="AM472" t="str">
        <f t="shared" si="53"/>
        <v>Medium Risk</v>
      </c>
      <c r="AN472" s="6">
        <f t="shared" si="54"/>
        <v>-0.87940974802612937</v>
      </c>
      <c r="AO472" s="7">
        <f t="shared" si="55"/>
        <v>74844</v>
      </c>
    </row>
    <row r="473" spans="1:41" x14ac:dyDescent="0.3">
      <c r="A473" t="s">
        <v>542</v>
      </c>
      <c r="B473">
        <v>32</v>
      </c>
      <c r="C473" t="s">
        <v>196</v>
      </c>
      <c r="D473" t="s">
        <v>55</v>
      </c>
      <c r="E473" t="s">
        <v>66</v>
      </c>
      <c r="F473">
        <v>976</v>
      </c>
      <c r="G473" t="s">
        <v>57</v>
      </c>
      <c r="H473">
        <v>26</v>
      </c>
      <c r="I473">
        <v>4</v>
      </c>
      <c r="J473" t="s">
        <v>63</v>
      </c>
      <c r="K473">
        <v>333</v>
      </c>
      <c r="L473">
        <v>3</v>
      </c>
      <c r="M473" t="s">
        <v>51</v>
      </c>
      <c r="N473">
        <v>3</v>
      </c>
      <c r="O473">
        <v>2</v>
      </c>
      <c r="P473" t="s">
        <v>145</v>
      </c>
      <c r="Q473">
        <v>4</v>
      </c>
      <c r="R473" t="s">
        <v>113</v>
      </c>
      <c r="S473">
        <v>21056</v>
      </c>
      <c r="T473" t="s">
        <v>54</v>
      </c>
      <c r="U473">
        <v>131.6</v>
      </c>
      <c r="V473">
        <v>0</v>
      </c>
      <c r="W473" t="s">
        <v>55</v>
      </c>
      <c r="X473">
        <v>18</v>
      </c>
      <c r="Y473">
        <v>3</v>
      </c>
      <c r="Z473">
        <v>1</v>
      </c>
      <c r="AA473">
        <v>0</v>
      </c>
      <c r="AB473">
        <v>4</v>
      </c>
      <c r="AC473">
        <v>2</v>
      </c>
      <c r="AD473">
        <v>3</v>
      </c>
      <c r="AE473">
        <v>3</v>
      </c>
      <c r="AF473">
        <v>2</v>
      </c>
      <c r="AG473">
        <v>2</v>
      </c>
      <c r="AH473">
        <v>2</v>
      </c>
      <c r="AI473">
        <f t="shared" si="49"/>
        <v>0</v>
      </c>
      <c r="AJ473" t="str">
        <f t="shared" si="50"/>
        <v>2-3 yrs</v>
      </c>
      <c r="AK473" t="str">
        <f t="shared" si="51"/>
        <v>Recent</v>
      </c>
      <c r="AL473">
        <f t="shared" si="52"/>
        <v>0</v>
      </c>
      <c r="AM473" t="str">
        <f t="shared" si="53"/>
        <v>Minimal Risk</v>
      </c>
      <c r="AN473" s="6">
        <f t="shared" si="54"/>
        <v>-0.57079348840575184</v>
      </c>
      <c r="AO473" s="7">
        <f t="shared" si="55"/>
        <v>252672</v>
      </c>
    </row>
    <row r="474" spans="1:41" x14ac:dyDescent="0.3">
      <c r="A474" t="s">
        <v>543</v>
      </c>
      <c r="B474">
        <v>32</v>
      </c>
      <c r="C474" t="s">
        <v>196</v>
      </c>
      <c r="D474" t="s">
        <v>55</v>
      </c>
      <c r="E474" t="s">
        <v>62</v>
      </c>
      <c r="F474">
        <v>1311</v>
      </c>
      <c r="G474" t="s">
        <v>49</v>
      </c>
      <c r="H474">
        <v>7</v>
      </c>
      <c r="I474">
        <v>3</v>
      </c>
      <c r="J474" t="s">
        <v>50</v>
      </c>
      <c r="K474">
        <v>359</v>
      </c>
      <c r="L474">
        <v>2</v>
      </c>
      <c r="M474" t="s">
        <v>51</v>
      </c>
      <c r="N474">
        <v>4</v>
      </c>
      <c r="O474">
        <v>1</v>
      </c>
      <c r="P474" t="s">
        <v>52</v>
      </c>
      <c r="Q474">
        <v>2</v>
      </c>
      <c r="R474" t="s">
        <v>113</v>
      </c>
      <c r="S474">
        <v>46543</v>
      </c>
      <c r="T474" t="s">
        <v>72</v>
      </c>
      <c r="U474">
        <v>290.89</v>
      </c>
      <c r="V474">
        <v>1</v>
      </c>
      <c r="W474" t="s">
        <v>55</v>
      </c>
      <c r="X474">
        <v>20</v>
      </c>
      <c r="Y474">
        <v>4</v>
      </c>
      <c r="Z474">
        <v>3</v>
      </c>
      <c r="AA474">
        <v>0</v>
      </c>
      <c r="AB474">
        <v>5</v>
      </c>
      <c r="AC474">
        <v>3</v>
      </c>
      <c r="AD474">
        <v>1</v>
      </c>
      <c r="AE474">
        <v>5</v>
      </c>
      <c r="AF474">
        <v>1</v>
      </c>
      <c r="AG474">
        <v>0</v>
      </c>
      <c r="AH474">
        <v>3</v>
      </c>
      <c r="AI474">
        <f t="shared" si="49"/>
        <v>0</v>
      </c>
      <c r="AJ474" t="str">
        <f t="shared" si="50"/>
        <v>4-5 yrs</v>
      </c>
      <c r="AK474" t="str">
        <f t="shared" si="51"/>
        <v>Recent</v>
      </c>
      <c r="AL474">
        <f t="shared" si="52"/>
        <v>2</v>
      </c>
      <c r="AM474" t="str">
        <f t="shared" si="53"/>
        <v>Medium Risk</v>
      </c>
      <c r="AN474" s="6">
        <f t="shared" si="54"/>
        <v>-0.10010708712203636</v>
      </c>
      <c r="AO474" s="7">
        <f t="shared" si="55"/>
        <v>558516</v>
      </c>
    </row>
    <row r="475" spans="1:41" x14ac:dyDescent="0.3">
      <c r="A475" t="s">
        <v>544</v>
      </c>
      <c r="B475">
        <v>32</v>
      </c>
      <c r="C475" t="s">
        <v>196</v>
      </c>
      <c r="D475" t="s">
        <v>55</v>
      </c>
      <c r="E475" t="s">
        <v>48</v>
      </c>
      <c r="F475">
        <v>128</v>
      </c>
      <c r="G475" t="s">
        <v>49</v>
      </c>
      <c r="H475">
        <v>2</v>
      </c>
      <c r="I475">
        <v>1</v>
      </c>
      <c r="J475" t="s">
        <v>77</v>
      </c>
      <c r="K475">
        <v>362</v>
      </c>
      <c r="L475">
        <v>4</v>
      </c>
      <c r="M475" t="s">
        <v>51</v>
      </c>
      <c r="N475">
        <v>2</v>
      </c>
      <c r="O475">
        <v>2</v>
      </c>
      <c r="P475" t="s">
        <v>52</v>
      </c>
      <c r="Q475">
        <v>1</v>
      </c>
      <c r="R475" t="s">
        <v>53</v>
      </c>
      <c r="S475">
        <v>57556</v>
      </c>
      <c r="T475" t="s">
        <v>64</v>
      </c>
      <c r="U475">
        <v>359.72</v>
      </c>
      <c r="V475">
        <v>4</v>
      </c>
      <c r="W475" t="s">
        <v>55</v>
      </c>
      <c r="X475">
        <v>13</v>
      </c>
      <c r="Y475">
        <v>3</v>
      </c>
      <c r="Z475">
        <v>4</v>
      </c>
      <c r="AA475">
        <v>0</v>
      </c>
      <c r="AB475">
        <v>9</v>
      </c>
      <c r="AC475">
        <v>5</v>
      </c>
      <c r="AD475">
        <v>3</v>
      </c>
      <c r="AE475">
        <v>6</v>
      </c>
      <c r="AF475">
        <v>2</v>
      </c>
      <c r="AG475">
        <v>0</v>
      </c>
      <c r="AH475">
        <v>4</v>
      </c>
      <c r="AI475">
        <f t="shared" si="49"/>
        <v>0</v>
      </c>
      <c r="AJ475" t="str">
        <f t="shared" si="50"/>
        <v>6-10 yrs</v>
      </c>
      <c r="AK475" t="str">
        <f t="shared" si="51"/>
        <v>Recent</v>
      </c>
      <c r="AL475">
        <f t="shared" si="52"/>
        <v>1</v>
      </c>
      <c r="AM475" t="str">
        <f t="shared" si="53"/>
        <v>Low Risk</v>
      </c>
      <c r="AN475" s="6">
        <f t="shared" si="54"/>
        <v>0.11282548382364856</v>
      </c>
      <c r="AO475" s="7">
        <f t="shared" si="55"/>
        <v>690672</v>
      </c>
    </row>
    <row r="476" spans="1:41" x14ac:dyDescent="0.3">
      <c r="A476" t="s">
        <v>545</v>
      </c>
      <c r="B476">
        <v>32</v>
      </c>
      <c r="C476" t="s">
        <v>196</v>
      </c>
      <c r="D476" t="s">
        <v>55</v>
      </c>
      <c r="E476" t="s">
        <v>48</v>
      </c>
      <c r="F476">
        <v>906</v>
      </c>
      <c r="G476" t="s">
        <v>57</v>
      </c>
      <c r="H476">
        <v>7</v>
      </c>
      <c r="I476">
        <v>3</v>
      </c>
      <c r="J476" t="s">
        <v>50</v>
      </c>
      <c r="K476">
        <v>420</v>
      </c>
      <c r="L476">
        <v>4</v>
      </c>
      <c r="M476" t="s">
        <v>51</v>
      </c>
      <c r="N476">
        <v>2</v>
      </c>
      <c r="O476">
        <v>2</v>
      </c>
      <c r="P476" t="s">
        <v>145</v>
      </c>
      <c r="Q476">
        <v>3</v>
      </c>
      <c r="R476" t="s">
        <v>113</v>
      </c>
      <c r="S476">
        <v>4343</v>
      </c>
      <c r="T476" t="s">
        <v>54</v>
      </c>
      <c r="U476">
        <v>27.14</v>
      </c>
      <c r="V476">
        <v>1</v>
      </c>
      <c r="W476" t="s">
        <v>55</v>
      </c>
      <c r="X476">
        <v>14</v>
      </c>
      <c r="Y476">
        <v>3</v>
      </c>
      <c r="Z476">
        <v>3</v>
      </c>
      <c r="AA476">
        <v>1</v>
      </c>
      <c r="AB476">
        <v>13</v>
      </c>
      <c r="AC476">
        <v>3</v>
      </c>
      <c r="AD476">
        <v>2</v>
      </c>
      <c r="AE476">
        <v>13</v>
      </c>
      <c r="AF476">
        <v>8</v>
      </c>
      <c r="AG476">
        <v>4</v>
      </c>
      <c r="AH476">
        <v>8</v>
      </c>
      <c r="AI476">
        <f t="shared" si="49"/>
        <v>0</v>
      </c>
      <c r="AJ476" t="str">
        <f t="shared" si="50"/>
        <v>10+ yrs</v>
      </c>
      <c r="AK476" t="str">
        <f t="shared" si="51"/>
        <v>Overdue</v>
      </c>
      <c r="AL476">
        <f t="shared" si="52"/>
        <v>2</v>
      </c>
      <c r="AM476" t="str">
        <f t="shared" si="53"/>
        <v>Medium Risk</v>
      </c>
      <c r="AN476" s="6">
        <f t="shared" si="54"/>
        <v>-0.91147208017411574</v>
      </c>
      <c r="AO476" s="7">
        <f t="shared" si="55"/>
        <v>52116</v>
      </c>
    </row>
    <row r="477" spans="1:41" x14ac:dyDescent="0.3">
      <c r="A477" t="s">
        <v>546</v>
      </c>
      <c r="B477">
        <v>32</v>
      </c>
      <c r="C477" t="s">
        <v>196</v>
      </c>
      <c r="D477" t="s">
        <v>55</v>
      </c>
      <c r="E477" t="s">
        <v>48</v>
      </c>
      <c r="F477">
        <v>588</v>
      </c>
      <c r="G477" t="s">
        <v>57</v>
      </c>
      <c r="H477">
        <v>8</v>
      </c>
      <c r="I477">
        <v>2</v>
      </c>
      <c r="J477" t="s">
        <v>77</v>
      </c>
      <c r="K477">
        <v>436</v>
      </c>
      <c r="L477">
        <v>3</v>
      </c>
      <c r="M477" t="s">
        <v>59</v>
      </c>
      <c r="N477">
        <v>2</v>
      </c>
      <c r="O477">
        <v>2</v>
      </c>
      <c r="P477" t="s">
        <v>145</v>
      </c>
      <c r="Q477">
        <v>2</v>
      </c>
      <c r="R477" t="s">
        <v>113</v>
      </c>
      <c r="S477">
        <v>14500</v>
      </c>
      <c r="T477" t="s">
        <v>54</v>
      </c>
      <c r="U477">
        <v>90.62</v>
      </c>
      <c r="V477">
        <v>1</v>
      </c>
      <c r="W477" t="s">
        <v>47</v>
      </c>
      <c r="X477">
        <v>11</v>
      </c>
      <c r="Y477">
        <v>3</v>
      </c>
      <c r="Z477">
        <v>4</v>
      </c>
      <c r="AA477">
        <v>0</v>
      </c>
      <c r="AB477">
        <v>13</v>
      </c>
      <c r="AC477">
        <v>2</v>
      </c>
      <c r="AD477">
        <v>3</v>
      </c>
      <c r="AE477">
        <v>13</v>
      </c>
      <c r="AF477">
        <v>12</v>
      </c>
      <c r="AG477">
        <v>11</v>
      </c>
      <c r="AH477">
        <v>9</v>
      </c>
      <c r="AI477">
        <f t="shared" si="49"/>
        <v>0</v>
      </c>
      <c r="AJ477" t="str">
        <f t="shared" si="50"/>
        <v>10+ yrs</v>
      </c>
      <c r="AK477" t="str">
        <f t="shared" si="51"/>
        <v>Overdue</v>
      </c>
      <c r="AL477">
        <f t="shared" si="52"/>
        <v>3</v>
      </c>
      <c r="AM477" t="str">
        <f t="shared" si="53"/>
        <v>High Risk</v>
      </c>
      <c r="AN477" s="6">
        <f t="shared" si="54"/>
        <v>-0.70443130613048077</v>
      </c>
      <c r="AO477" s="7">
        <f t="shared" si="55"/>
        <v>174000</v>
      </c>
    </row>
    <row r="478" spans="1:41" x14ac:dyDescent="0.3">
      <c r="A478" t="s">
        <v>547</v>
      </c>
      <c r="B478">
        <v>32</v>
      </c>
      <c r="C478" t="s">
        <v>196</v>
      </c>
      <c r="D478" t="s">
        <v>55</v>
      </c>
      <c r="E478" t="s">
        <v>48</v>
      </c>
      <c r="F478">
        <v>1018</v>
      </c>
      <c r="G478" t="s">
        <v>49</v>
      </c>
      <c r="H478">
        <v>2</v>
      </c>
      <c r="I478">
        <v>4</v>
      </c>
      <c r="J478" t="s">
        <v>58</v>
      </c>
      <c r="K478">
        <v>439</v>
      </c>
      <c r="L478">
        <v>1</v>
      </c>
      <c r="M478" t="s">
        <v>59</v>
      </c>
      <c r="N478">
        <v>4</v>
      </c>
      <c r="O478">
        <v>2</v>
      </c>
      <c r="P478" t="s">
        <v>67</v>
      </c>
      <c r="Q478">
        <v>4</v>
      </c>
      <c r="R478" t="s">
        <v>53</v>
      </c>
      <c r="S478">
        <v>54222</v>
      </c>
      <c r="T478" t="s">
        <v>64</v>
      </c>
      <c r="U478">
        <v>338.89</v>
      </c>
      <c r="V478">
        <v>7</v>
      </c>
      <c r="W478" t="s">
        <v>55</v>
      </c>
      <c r="X478">
        <v>16</v>
      </c>
      <c r="Y478">
        <v>3</v>
      </c>
      <c r="Z478">
        <v>3</v>
      </c>
      <c r="AA478">
        <v>0</v>
      </c>
      <c r="AB478">
        <v>10</v>
      </c>
      <c r="AC478">
        <v>0</v>
      </c>
      <c r="AD478">
        <v>2</v>
      </c>
      <c r="AE478">
        <v>7</v>
      </c>
      <c r="AF478">
        <v>7</v>
      </c>
      <c r="AG478">
        <v>0</v>
      </c>
      <c r="AH478">
        <v>7</v>
      </c>
      <c r="AI478">
        <f t="shared" si="49"/>
        <v>0</v>
      </c>
      <c r="AJ478" t="str">
        <f t="shared" si="50"/>
        <v>6-10 yrs</v>
      </c>
      <c r="AK478" t="str">
        <f t="shared" si="51"/>
        <v>Recent</v>
      </c>
      <c r="AL478">
        <f t="shared" si="52"/>
        <v>1</v>
      </c>
      <c r="AM478" t="str">
        <f t="shared" si="53"/>
        <v>Low Risk</v>
      </c>
      <c r="AN478" s="6">
        <f t="shared" si="54"/>
        <v>8.7351876369537826E-2</v>
      </c>
      <c r="AO478" s="7">
        <f t="shared" si="55"/>
        <v>650664</v>
      </c>
    </row>
    <row r="479" spans="1:41" x14ac:dyDescent="0.3">
      <c r="A479" t="s">
        <v>548</v>
      </c>
      <c r="B479">
        <v>32</v>
      </c>
      <c r="C479" t="s">
        <v>196</v>
      </c>
      <c r="D479" t="s">
        <v>55</v>
      </c>
      <c r="E479" t="s">
        <v>48</v>
      </c>
      <c r="F479">
        <v>1062</v>
      </c>
      <c r="G479" t="s">
        <v>49</v>
      </c>
      <c r="H479">
        <v>2</v>
      </c>
      <c r="I479">
        <v>3</v>
      </c>
      <c r="J479" t="s">
        <v>58</v>
      </c>
      <c r="K479">
        <v>471</v>
      </c>
      <c r="L479">
        <v>3</v>
      </c>
      <c r="M479" t="s">
        <v>59</v>
      </c>
      <c r="N479">
        <v>3</v>
      </c>
      <c r="O479">
        <v>1</v>
      </c>
      <c r="P479" t="s">
        <v>52</v>
      </c>
      <c r="Q479">
        <v>2</v>
      </c>
      <c r="R479" t="s">
        <v>113</v>
      </c>
      <c r="S479">
        <v>30375</v>
      </c>
      <c r="T479" t="s">
        <v>72</v>
      </c>
      <c r="U479">
        <v>189.84</v>
      </c>
      <c r="V479">
        <v>1</v>
      </c>
      <c r="W479" t="s">
        <v>55</v>
      </c>
      <c r="X479">
        <v>13</v>
      </c>
      <c r="Y479">
        <v>3</v>
      </c>
      <c r="Z479">
        <v>3</v>
      </c>
      <c r="AA479">
        <v>1</v>
      </c>
      <c r="AB479">
        <v>8</v>
      </c>
      <c r="AC479">
        <v>4</v>
      </c>
      <c r="AD479">
        <v>3</v>
      </c>
      <c r="AE479">
        <v>8</v>
      </c>
      <c r="AF479">
        <v>0</v>
      </c>
      <c r="AG479">
        <v>0</v>
      </c>
      <c r="AH479">
        <v>7</v>
      </c>
      <c r="AI479">
        <f t="shared" si="49"/>
        <v>0</v>
      </c>
      <c r="AJ479" t="str">
        <f t="shared" si="50"/>
        <v>6-10 yrs</v>
      </c>
      <c r="AK479" t="str">
        <f t="shared" si="51"/>
        <v>Recent</v>
      </c>
      <c r="AL479">
        <f t="shared" si="52"/>
        <v>1</v>
      </c>
      <c r="AM479" t="str">
        <f t="shared" si="53"/>
        <v>Low Risk</v>
      </c>
      <c r="AN479" s="6">
        <f t="shared" si="54"/>
        <v>-0.41270981181556526</v>
      </c>
      <c r="AO479" s="7">
        <f t="shared" si="55"/>
        <v>364500</v>
      </c>
    </row>
    <row r="480" spans="1:41" x14ac:dyDescent="0.3">
      <c r="A480" t="s">
        <v>549</v>
      </c>
      <c r="B480">
        <v>32</v>
      </c>
      <c r="C480" t="s">
        <v>196</v>
      </c>
      <c r="D480" t="s">
        <v>47</v>
      </c>
      <c r="E480" t="s">
        <v>66</v>
      </c>
      <c r="F480">
        <v>1474</v>
      </c>
      <c r="G480" t="s">
        <v>57</v>
      </c>
      <c r="H480">
        <v>11</v>
      </c>
      <c r="I480">
        <v>4</v>
      </c>
      <c r="J480" t="s">
        <v>82</v>
      </c>
      <c r="K480">
        <v>631</v>
      </c>
      <c r="L480">
        <v>4</v>
      </c>
      <c r="M480" t="s">
        <v>51</v>
      </c>
      <c r="N480">
        <v>4</v>
      </c>
      <c r="O480">
        <v>2</v>
      </c>
      <c r="P480" t="s">
        <v>145</v>
      </c>
      <c r="Q480">
        <v>3</v>
      </c>
      <c r="R480" t="s">
        <v>113</v>
      </c>
      <c r="S480">
        <v>10662</v>
      </c>
      <c r="T480" t="s">
        <v>54</v>
      </c>
      <c r="U480">
        <v>66.64</v>
      </c>
      <c r="V480">
        <v>8</v>
      </c>
      <c r="W480" t="s">
        <v>55</v>
      </c>
      <c r="X480">
        <v>12</v>
      </c>
      <c r="Y480">
        <v>3</v>
      </c>
      <c r="Z480">
        <v>4</v>
      </c>
      <c r="AA480">
        <v>0</v>
      </c>
      <c r="AB480">
        <v>6</v>
      </c>
      <c r="AC480">
        <v>2</v>
      </c>
      <c r="AD480">
        <v>3</v>
      </c>
      <c r="AE480">
        <v>4</v>
      </c>
      <c r="AF480">
        <v>2</v>
      </c>
      <c r="AG480">
        <v>1</v>
      </c>
      <c r="AH480">
        <v>2</v>
      </c>
      <c r="AI480">
        <f t="shared" si="49"/>
        <v>1</v>
      </c>
      <c r="AJ480" t="str">
        <f t="shared" si="50"/>
        <v>4-5 yrs</v>
      </c>
      <c r="AK480" t="str">
        <f t="shared" si="51"/>
        <v>Recent</v>
      </c>
      <c r="AL480">
        <f t="shared" si="52"/>
        <v>0</v>
      </c>
      <c r="AM480" t="str">
        <f t="shared" si="53"/>
        <v>Minimal Risk</v>
      </c>
      <c r="AN480" s="6">
        <f t="shared" si="54"/>
        <v>-0.78266528179056449</v>
      </c>
      <c r="AO480" s="7">
        <f t="shared" si="55"/>
        <v>127944</v>
      </c>
    </row>
    <row r="481" spans="1:41" x14ac:dyDescent="0.3">
      <c r="A481" t="s">
        <v>550</v>
      </c>
      <c r="B481">
        <v>32</v>
      </c>
      <c r="C481" t="s">
        <v>196</v>
      </c>
      <c r="D481" t="s">
        <v>55</v>
      </c>
      <c r="E481" t="s">
        <v>48</v>
      </c>
      <c r="F481">
        <v>646</v>
      </c>
      <c r="G481" t="s">
        <v>49</v>
      </c>
      <c r="H481">
        <v>9</v>
      </c>
      <c r="I481">
        <v>4</v>
      </c>
      <c r="J481" t="s">
        <v>50</v>
      </c>
      <c r="K481">
        <v>679</v>
      </c>
      <c r="L481">
        <v>1</v>
      </c>
      <c r="M481" t="s">
        <v>59</v>
      </c>
      <c r="N481">
        <v>3</v>
      </c>
      <c r="O481">
        <v>2</v>
      </c>
      <c r="P481" t="s">
        <v>67</v>
      </c>
      <c r="Q481">
        <v>4</v>
      </c>
      <c r="R481" t="s">
        <v>113</v>
      </c>
      <c r="S481">
        <v>17964</v>
      </c>
      <c r="T481" t="s">
        <v>54</v>
      </c>
      <c r="U481">
        <v>112.28</v>
      </c>
      <c r="V481">
        <v>1</v>
      </c>
      <c r="W481" t="s">
        <v>47</v>
      </c>
      <c r="X481">
        <v>12</v>
      </c>
      <c r="Y481">
        <v>3</v>
      </c>
      <c r="Z481">
        <v>4</v>
      </c>
      <c r="AA481">
        <v>1</v>
      </c>
      <c r="AB481">
        <v>6</v>
      </c>
      <c r="AC481">
        <v>2</v>
      </c>
      <c r="AD481">
        <v>2</v>
      </c>
      <c r="AE481">
        <v>6</v>
      </c>
      <c r="AF481">
        <v>4</v>
      </c>
      <c r="AG481">
        <v>0</v>
      </c>
      <c r="AH481">
        <v>5</v>
      </c>
      <c r="AI481">
        <f t="shared" si="49"/>
        <v>0</v>
      </c>
      <c r="AJ481" t="str">
        <f t="shared" si="50"/>
        <v>6-10 yrs</v>
      </c>
      <c r="AK481" t="str">
        <f t="shared" si="51"/>
        <v>Recent</v>
      </c>
      <c r="AL481">
        <f t="shared" si="52"/>
        <v>2</v>
      </c>
      <c r="AM481" t="str">
        <f t="shared" si="53"/>
        <v>Medium Risk</v>
      </c>
      <c r="AN481" s="6">
        <f t="shared" si="54"/>
        <v>-0.63975528185787356</v>
      </c>
      <c r="AO481" s="7">
        <f t="shared" si="55"/>
        <v>215568</v>
      </c>
    </row>
    <row r="482" spans="1:41" x14ac:dyDescent="0.3">
      <c r="A482" t="s">
        <v>551</v>
      </c>
      <c r="B482">
        <v>32</v>
      </c>
      <c r="C482" t="s">
        <v>196</v>
      </c>
      <c r="D482" t="s">
        <v>55</v>
      </c>
      <c r="E482" t="s">
        <v>48</v>
      </c>
      <c r="F482">
        <v>929</v>
      </c>
      <c r="G482" t="s">
        <v>57</v>
      </c>
      <c r="H482">
        <v>10</v>
      </c>
      <c r="I482">
        <v>3</v>
      </c>
      <c r="J482" t="s">
        <v>63</v>
      </c>
      <c r="K482">
        <v>722</v>
      </c>
      <c r="L482">
        <v>4</v>
      </c>
      <c r="M482" t="s">
        <v>51</v>
      </c>
      <c r="N482">
        <v>3</v>
      </c>
      <c r="O482">
        <v>2</v>
      </c>
      <c r="P482" t="s">
        <v>145</v>
      </c>
      <c r="Q482">
        <v>4</v>
      </c>
      <c r="R482" t="s">
        <v>53</v>
      </c>
      <c r="S482">
        <v>60638</v>
      </c>
      <c r="T482" t="s">
        <v>64</v>
      </c>
      <c r="U482">
        <v>378.99</v>
      </c>
      <c r="V482">
        <v>1</v>
      </c>
      <c r="W482" t="s">
        <v>55</v>
      </c>
      <c r="X482">
        <v>12</v>
      </c>
      <c r="Y482">
        <v>3</v>
      </c>
      <c r="Z482">
        <v>4</v>
      </c>
      <c r="AA482">
        <v>0</v>
      </c>
      <c r="AB482">
        <v>10</v>
      </c>
      <c r="AC482">
        <v>2</v>
      </c>
      <c r="AD482">
        <v>2</v>
      </c>
      <c r="AE482">
        <v>10</v>
      </c>
      <c r="AF482">
        <v>7</v>
      </c>
      <c r="AG482">
        <v>0</v>
      </c>
      <c r="AH482">
        <v>8</v>
      </c>
      <c r="AI482">
        <f t="shared" si="49"/>
        <v>0</v>
      </c>
      <c r="AJ482" t="str">
        <f t="shared" si="50"/>
        <v>6-10 yrs</v>
      </c>
      <c r="AK482" t="str">
        <f t="shared" si="51"/>
        <v>Recent</v>
      </c>
      <c r="AL482">
        <f t="shared" si="52"/>
        <v>1</v>
      </c>
      <c r="AM482" t="str">
        <f t="shared" si="53"/>
        <v>Low Risk</v>
      </c>
      <c r="AN482" s="6">
        <f t="shared" si="54"/>
        <v>0.23604789371447654</v>
      </c>
      <c r="AO482" s="7">
        <f t="shared" si="55"/>
        <v>727656</v>
      </c>
    </row>
    <row r="483" spans="1:41" x14ac:dyDescent="0.3">
      <c r="A483" t="s">
        <v>552</v>
      </c>
      <c r="B483">
        <v>32</v>
      </c>
      <c r="C483" t="s">
        <v>196</v>
      </c>
      <c r="D483" t="s">
        <v>55</v>
      </c>
      <c r="E483" t="s">
        <v>48</v>
      </c>
      <c r="F483">
        <v>1018</v>
      </c>
      <c r="G483" t="s">
        <v>49</v>
      </c>
      <c r="H483">
        <v>3</v>
      </c>
      <c r="I483">
        <v>2</v>
      </c>
      <c r="J483" t="s">
        <v>50</v>
      </c>
      <c r="K483">
        <v>727</v>
      </c>
      <c r="L483">
        <v>3</v>
      </c>
      <c r="M483" t="s">
        <v>59</v>
      </c>
      <c r="N483">
        <v>3</v>
      </c>
      <c r="O483">
        <v>3</v>
      </c>
      <c r="P483" t="s">
        <v>257</v>
      </c>
      <c r="Q483">
        <v>4</v>
      </c>
      <c r="R483" t="s">
        <v>53</v>
      </c>
      <c r="S483">
        <v>74666</v>
      </c>
      <c r="T483" t="s">
        <v>64</v>
      </c>
      <c r="U483">
        <v>466.66</v>
      </c>
      <c r="V483">
        <v>3</v>
      </c>
      <c r="W483" t="s">
        <v>55</v>
      </c>
      <c r="X483">
        <v>15</v>
      </c>
      <c r="Y483">
        <v>3</v>
      </c>
      <c r="Z483">
        <v>4</v>
      </c>
      <c r="AA483">
        <v>0</v>
      </c>
      <c r="AB483">
        <v>10</v>
      </c>
      <c r="AC483">
        <v>6</v>
      </c>
      <c r="AD483">
        <v>3</v>
      </c>
      <c r="AE483">
        <v>7</v>
      </c>
      <c r="AF483">
        <v>7</v>
      </c>
      <c r="AG483">
        <v>7</v>
      </c>
      <c r="AH483">
        <v>7</v>
      </c>
      <c r="AI483">
        <f t="shared" si="49"/>
        <v>0</v>
      </c>
      <c r="AJ483" t="str">
        <f t="shared" si="50"/>
        <v>6-10 yrs</v>
      </c>
      <c r="AK483" t="str">
        <f t="shared" si="51"/>
        <v>Overdue</v>
      </c>
      <c r="AL483">
        <f t="shared" si="52"/>
        <v>1</v>
      </c>
      <c r="AM483" t="str">
        <f t="shared" si="53"/>
        <v>Low Risk</v>
      </c>
      <c r="AN483" s="6">
        <f t="shared" si="54"/>
        <v>0.47377552586375787</v>
      </c>
      <c r="AO483" s="7">
        <f t="shared" si="55"/>
        <v>895992</v>
      </c>
    </row>
    <row r="484" spans="1:41" x14ac:dyDescent="0.3">
      <c r="A484" t="s">
        <v>553</v>
      </c>
      <c r="B484">
        <v>32</v>
      </c>
      <c r="C484" t="s">
        <v>196</v>
      </c>
      <c r="D484" t="s">
        <v>55</v>
      </c>
      <c r="E484" t="s">
        <v>62</v>
      </c>
      <c r="F484">
        <v>430</v>
      </c>
      <c r="G484" t="s">
        <v>49</v>
      </c>
      <c r="H484">
        <v>24</v>
      </c>
      <c r="I484">
        <v>4</v>
      </c>
      <c r="J484" t="s">
        <v>50</v>
      </c>
      <c r="K484">
        <v>772</v>
      </c>
      <c r="L484">
        <v>1</v>
      </c>
      <c r="M484" t="s">
        <v>51</v>
      </c>
      <c r="N484">
        <v>3</v>
      </c>
      <c r="O484">
        <v>2</v>
      </c>
      <c r="P484" t="s">
        <v>52</v>
      </c>
      <c r="Q484">
        <v>4</v>
      </c>
      <c r="R484" t="s">
        <v>113</v>
      </c>
      <c r="S484">
        <v>86067</v>
      </c>
      <c r="T484" t="s">
        <v>70</v>
      </c>
      <c r="U484">
        <v>537.91999999999996</v>
      </c>
      <c r="V484">
        <v>1</v>
      </c>
      <c r="W484" t="s">
        <v>55</v>
      </c>
      <c r="X484">
        <v>15</v>
      </c>
      <c r="Y484">
        <v>3</v>
      </c>
      <c r="Z484">
        <v>4</v>
      </c>
      <c r="AA484">
        <v>2</v>
      </c>
      <c r="AB484">
        <v>10</v>
      </c>
      <c r="AC484">
        <v>2</v>
      </c>
      <c r="AD484">
        <v>3</v>
      </c>
      <c r="AE484">
        <v>10</v>
      </c>
      <c r="AF484">
        <v>8</v>
      </c>
      <c r="AG484">
        <v>4</v>
      </c>
      <c r="AH484">
        <v>7</v>
      </c>
      <c r="AI484">
        <f t="shared" si="49"/>
        <v>0</v>
      </c>
      <c r="AJ484" t="str">
        <f t="shared" si="50"/>
        <v>6-10 yrs</v>
      </c>
      <c r="AK484" t="str">
        <f t="shared" si="51"/>
        <v>Overdue</v>
      </c>
      <c r="AL484">
        <f t="shared" si="52"/>
        <v>1</v>
      </c>
      <c r="AM484" t="str">
        <f t="shared" si="53"/>
        <v>Low Risk</v>
      </c>
      <c r="AN484" s="6">
        <f t="shared" si="54"/>
        <v>0.66407587247637012</v>
      </c>
      <c r="AO484" s="7">
        <f t="shared" si="55"/>
        <v>1032804</v>
      </c>
    </row>
    <row r="485" spans="1:41" x14ac:dyDescent="0.3">
      <c r="A485" t="s">
        <v>554</v>
      </c>
      <c r="B485">
        <v>32</v>
      </c>
      <c r="C485" t="s">
        <v>196</v>
      </c>
      <c r="D485" t="s">
        <v>55</v>
      </c>
      <c r="E485" t="s">
        <v>48</v>
      </c>
      <c r="F485">
        <v>859</v>
      </c>
      <c r="G485" t="s">
        <v>49</v>
      </c>
      <c r="H485">
        <v>4</v>
      </c>
      <c r="I485">
        <v>3</v>
      </c>
      <c r="J485" t="s">
        <v>50</v>
      </c>
      <c r="K485">
        <v>830</v>
      </c>
      <c r="L485">
        <v>3</v>
      </c>
      <c r="M485" t="s">
        <v>59</v>
      </c>
      <c r="N485">
        <v>2</v>
      </c>
      <c r="O485">
        <v>2</v>
      </c>
      <c r="P485" t="s">
        <v>120</v>
      </c>
      <c r="Q485">
        <v>3</v>
      </c>
      <c r="R485" t="s">
        <v>113</v>
      </c>
      <c r="S485">
        <v>68215</v>
      </c>
      <c r="T485" t="s">
        <v>64</v>
      </c>
      <c r="U485">
        <v>426.34</v>
      </c>
      <c r="V485">
        <v>1</v>
      </c>
      <c r="W485" t="s">
        <v>55</v>
      </c>
      <c r="X485">
        <v>12</v>
      </c>
      <c r="Y485">
        <v>3</v>
      </c>
      <c r="Z485">
        <v>3</v>
      </c>
      <c r="AA485">
        <v>1</v>
      </c>
      <c r="AB485">
        <v>14</v>
      </c>
      <c r="AC485">
        <v>3</v>
      </c>
      <c r="AD485">
        <v>3</v>
      </c>
      <c r="AE485">
        <v>14</v>
      </c>
      <c r="AF485">
        <v>13</v>
      </c>
      <c r="AG485">
        <v>6</v>
      </c>
      <c r="AH485">
        <v>8</v>
      </c>
      <c r="AI485">
        <f t="shared" si="49"/>
        <v>0</v>
      </c>
      <c r="AJ485" t="str">
        <f t="shared" si="50"/>
        <v>10+ yrs</v>
      </c>
      <c r="AK485" t="str">
        <f t="shared" si="51"/>
        <v>Overdue</v>
      </c>
      <c r="AL485">
        <f t="shared" si="52"/>
        <v>1</v>
      </c>
      <c r="AM485" t="str">
        <f t="shared" si="53"/>
        <v>Low Risk</v>
      </c>
      <c r="AN485" s="6">
        <f t="shared" si="54"/>
        <v>0.54000413476232612</v>
      </c>
      <c r="AO485" s="7">
        <f t="shared" si="55"/>
        <v>818580</v>
      </c>
    </row>
    <row r="486" spans="1:41" x14ac:dyDescent="0.3">
      <c r="A486" t="s">
        <v>555</v>
      </c>
      <c r="B486">
        <v>32</v>
      </c>
      <c r="C486" t="s">
        <v>196</v>
      </c>
      <c r="D486" t="s">
        <v>55</v>
      </c>
      <c r="E486" t="s">
        <v>48</v>
      </c>
      <c r="F486">
        <v>117</v>
      </c>
      <c r="G486" t="s">
        <v>57</v>
      </c>
      <c r="H486">
        <v>13</v>
      </c>
      <c r="I486">
        <v>4</v>
      </c>
      <c r="J486" t="s">
        <v>50</v>
      </c>
      <c r="K486">
        <v>859</v>
      </c>
      <c r="L486">
        <v>2</v>
      </c>
      <c r="M486" t="s">
        <v>51</v>
      </c>
      <c r="N486">
        <v>3</v>
      </c>
      <c r="O486">
        <v>2</v>
      </c>
      <c r="P486" t="s">
        <v>145</v>
      </c>
      <c r="Q486">
        <v>4</v>
      </c>
      <c r="R486" t="s">
        <v>53</v>
      </c>
      <c r="S486">
        <v>70042</v>
      </c>
      <c r="T486" t="s">
        <v>64</v>
      </c>
      <c r="U486">
        <v>437.76</v>
      </c>
      <c r="V486">
        <v>2</v>
      </c>
      <c r="W486" t="s">
        <v>55</v>
      </c>
      <c r="X486">
        <v>11</v>
      </c>
      <c r="Y486">
        <v>3</v>
      </c>
      <c r="Z486">
        <v>3</v>
      </c>
      <c r="AA486">
        <v>1</v>
      </c>
      <c r="AB486">
        <v>8</v>
      </c>
      <c r="AC486">
        <v>3</v>
      </c>
      <c r="AD486">
        <v>2</v>
      </c>
      <c r="AE486">
        <v>5</v>
      </c>
      <c r="AF486">
        <v>2</v>
      </c>
      <c r="AG486">
        <v>0</v>
      </c>
      <c r="AH486">
        <v>3</v>
      </c>
      <c r="AI486">
        <f t="shared" si="49"/>
        <v>0</v>
      </c>
      <c r="AJ486" t="str">
        <f t="shared" si="50"/>
        <v>4-5 yrs</v>
      </c>
      <c r="AK486" t="str">
        <f t="shared" si="51"/>
        <v>Recent</v>
      </c>
      <c r="AL486">
        <f t="shared" si="52"/>
        <v>1</v>
      </c>
      <c r="AM486" t="str">
        <f t="shared" si="53"/>
        <v>Low Risk</v>
      </c>
      <c r="AN486" s="6">
        <f t="shared" si="54"/>
        <v>0.42773947972474957</v>
      </c>
      <c r="AO486" s="7">
        <f t="shared" si="55"/>
        <v>840504</v>
      </c>
    </row>
    <row r="487" spans="1:41" x14ac:dyDescent="0.3">
      <c r="A487" t="s">
        <v>556</v>
      </c>
      <c r="B487">
        <v>32</v>
      </c>
      <c r="C487" t="s">
        <v>196</v>
      </c>
      <c r="D487" t="s">
        <v>55</v>
      </c>
      <c r="E487" t="s">
        <v>48</v>
      </c>
      <c r="F487">
        <v>638</v>
      </c>
      <c r="G487" t="s">
        <v>49</v>
      </c>
      <c r="H487">
        <v>8</v>
      </c>
      <c r="I487">
        <v>2</v>
      </c>
      <c r="J487" t="s">
        <v>58</v>
      </c>
      <c r="K487">
        <v>865</v>
      </c>
      <c r="L487">
        <v>3</v>
      </c>
      <c r="M487" t="s">
        <v>59</v>
      </c>
      <c r="N487">
        <v>4</v>
      </c>
      <c r="O487">
        <v>2</v>
      </c>
      <c r="P487" t="s">
        <v>67</v>
      </c>
      <c r="Q487">
        <v>3</v>
      </c>
      <c r="R487" t="s">
        <v>113</v>
      </c>
      <c r="S487">
        <v>14284</v>
      </c>
      <c r="T487" t="s">
        <v>54</v>
      </c>
      <c r="U487">
        <v>89.28</v>
      </c>
      <c r="V487">
        <v>5</v>
      </c>
      <c r="W487" t="s">
        <v>55</v>
      </c>
      <c r="X487">
        <v>12</v>
      </c>
      <c r="Y487">
        <v>3</v>
      </c>
      <c r="Z487">
        <v>3</v>
      </c>
      <c r="AA487">
        <v>1</v>
      </c>
      <c r="AB487">
        <v>9</v>
      </c>
      <c r="AC487">
        <v>3</v>
      </c>
      <c r="AD487">
        <v>2</v>
      </c>
      <c r="AE487">
        <v>5</v>
      </c>
      <c r="AF487">
        <v>3</v>
      </c>
      <c r="AG487">
        <v>1</v>
      </c>
      <c r="AH487">
        <v>3</v>
      </c>
      <c r="AI487">
        <f t="shared" si="49"/>
        <v>0</v>
      </c>
      <c r="AJ487" t="str">
        <f t="shared" si="50"/>
        <v>4-5 yrs</v>
      </c>
      <c r="AK487" t="str">
        <f t="shared" si="51"/>
        <v>Recent</v>
      </c>
      <c r="AL487">
        <f t="shared" si="52"/>
        <v>1</v>
      </c>
      <c r="AM487" t="str">
        <f t="shared" si="53"/>
        <v>Low Risk</v>
      </c>
      <c r="AN487" s="6">
        <f t="shared" si="54"/>
        <v>-0.71355290837552143</v>
      </c>
      <c r="AO487" s="7">
        <f t="shared" si="55"/>
        <v>171408</v>
      </c>
    </row>
    <row r="488" spans="1:41" x14ac:dyDescent="0.3">
      <c r="A488" t="s">
        <v>557</v>
      </c>
      <c r="B488">
        <v>32</v>
      </c>
      <c r="C488" t="s">
        <v>196</v>
      </c>
      <c r="D488" t="s">
        <v>55</v>
      </c>
      <c r="E488" t="s">
        <v>66</v>
      </c>
      <c r="F488">
        <v>300</v>
      </c>
      <c r="G488" t="s">
        <v>49</v>
      </c>
      <c r="H488">
        <v>1</v>
      </c>
      <c r="I488">
        <v>3</v>
      </c>
      <c r="J488" t="s">
        <v>50</v>
      </c>
      <c r="K488">
        <v>882</v>
      </c>
      <c r="L488">
        <v>4</v>
      </c>
      <c r="M488" t="s">
        <v>51</v>
      </c>
      <c r="N488">
        <v>3</v>
      </c>
      <c r="O488">
        <v>1</v>
      </c>
      <c r="P488" t="s">
        <v>52</v>
      </c>
      <c r="Q488">
        <v>4</v>
      </c>
      <c r="R488" t="s">
        <v>53</v>
      </c>
      <c r="S488">
        <v>73789</v>
      </c>
      <c r="T488" t="s">
        <v>64</v>
      </c>
      <c r="U488">
        <v>461.18</v>
      </c>
      <c r="V488">
        <v>0</v>
      </c>
      <c r="W488" t="s">
        <v>55</v>
      </c>
      <c r="X488">
        <v>12</v>
      </c>
      <c r="Y488">
        <v>3</v>
      </c>
      <c r="Z488">
        <v>2</v>
      </c>
      <c r="AA488">
        <v>1</v>
      </c>
      <c r="AB488">
        <v>4</v>
      </c>
      <c r="AC488">
        <v>2</v>
      </c>
      <c r="AD488">
        <v>3</v>
      </c>
      <c r="AE488">
        <v>3</v>
      </c>
      <c r="AF488">
        <v>0</v>
      </c>
      <c r="AG488">
        <v>0</v>
      </c>
      <c r="AH488">
        <v>2</v>
      </c>
      <c r="AI488">
        <f t="shared" si="49"/>
        <v>0</v>
      </c>
      <c r="AJ488" t="str">
        <f t="shared" si="50"/>
        <v>2-3 yrs</v>
      </c>
      <c r="AK488" t="str">
        <f t="shared" si="51"/>
        <v>Recent</v>
      </c>
      <c r="AL488">
        <f t="shared" si="52"/>
        <v>0</v>
      </c>
      <c r="AM488" t="str">
        <f t="shared" si="53"/>
        <v>Minimal Risk</v>
      </c>
      <c r="AN488" s="6">
        <f t="shared" si="54"/>
        <v>0.42668496118325117</v>
      </c>
      <c r="AO488" s="7">
        <f t="shared" si="55"/>
        <v>885468</v>
      </c>
    </row>
    <row r="489" spans="1:41" x14ac:dyDescent="0.3">
      <c r="A489" t="s">
        <v>558</v>
      </c>
      <c r="B489">
        <v>32</v>
      </c>
      <c r="C489" t="s">
        <v>196</v>
      </c>
      <c r="D489" t="s">
        <v>55</v>
      </c>
      <c r="E489" t="s">
        <v>62</v>
      </c>
      <c r="F489">
        <v>379</v>
      </c>
      <c r="G489" t="s">
        <v>57</v>
      </c>
      <c r="H489">
        <v>5</v>
      </c>
      <c r="I489">
        <v>2</v>
      </c>
      <c r="J489" t="s">
        <v>50</v>
      </c>
      <c r="K489">
        <v>889</v>
      </c>
      <c r="L489">
        <v>2</v>
      </c>
      <c r="M489" t="s">
        <v>51</v>
      </c>
      <c r="N489">
        <v>3</v>
      </c>
      <c r="O489">
        <v>2</v>
      </c>
      <c r="P489" t="s">
        <v>145</v>
      </c>
      <c r="Q489">
        <v>2</v>
      </c>
      <c r="R489" t="s">
        <v>113</v>
      </c>
      <c r="S489">
        <v>85664</v>
      </c>
      <c r="T489" t="s">
        <v>70</v>
      </c>
      <c r="U489">
        <v>535.4</v>
      </c>
      <c r="V489">
        <v>1</v>
      </c>
      <c r="W489" t="s">
        <v>55</v>
      </c>
      <c r="X489">
        <v>14</v>
      </c>
      <c r="Y489">
        <v>3</v>
      </c>
      <c r="Z489">
        <v>4</v>
      </c>
      <c r="AA489">
        <v>1</v>
      </c>
      <c r="AB489">
        <v>10</v>
      </c>
      <c r="AC489">
        <v>3</v>
      </c>
      <c r="AD489">
        <v>3</v>
      </c>
      <c r="AE489">
        <v>10</v>
      </c>
      <c r="AF489">
        <v>8</v>
      </c>
      <c r="AG489">
        <v>5</v>
      </c>
      <c r="AH489">
        <v>3</v>
      </c>
      <c r="AI489">
        <f t="shared" si="49"/>
        <v>0</v>
      </c>
      <c r="AJ489" t="str">
        <f t="shared" si="50"/>
        <v>6-10 yrs</v>
      </c>
      <c r="AK489" t="str">
        <f t="shared" si="51"/>
        <v>Overdue</v>
      </c>
      <c r="AL489">
        <f t="shared" si="52"/>
        <v>2</v>
      </c>
      <c r="AM489" t="str">
        <f t="shared" si="53"/>
        <v>Medium Risk</v>
      </c>
      <c r="AN489" s="6">
        <f t="shared" si="54"/>
        <v>0.74617907528541372</v>
      </c>
      <c r="AO489" s="7">
        <f t="shared" si="55"/>
        <v>1027968</v>
      </c>
    </row>
    <row r="490" spans="1:41" x14ac:dyDescent="0.3">
      <c r="A490" t="s">
        <v>559</v>
      </c>
      <c r="B490">
        <v>32</v>
      </c>
      <c r="C490" t="s">
        <v>196</v>
      </c>
      <c r="D490" t="s">
        <v>47</v>
      </c>
      <c r="E490" t="s">
        <v>48</v>
      </c>
      <c r="F490">
        <v>374</v>
      </c>
      <c r="G490" t="s">
        <v>49</v>
      </c>
      <c r="H490">
        <v>25</v>
      </c>
      <c r="I490">
        <v>4</v>
      </c>
      <c r="J490" t="s">
        <v>50</v>
      </c>
      <c r="K490">
        <v>911</v>
      </c>
      <c r="L490">
        <v>1</v>
      </c>
      <c r="M490" t="s">
        <v>51</v>
      </c>
      <c r="N490">
        <v>3</v>
      </c>
      <c r="O490">
        <v>1</v>
      </c>
      <c r="P490" t="s">
        <v>52</v>
      </c>
      <c r="Q490">
        <v>4</v>
      </c>
      <c r="R490" t="s">
        <v>53</v>
      </c>
      <c r="S490">
        <v>94468</v>
      </c>
      <c r="T490" t="s">
        <v>70</v>
      </c>
      <c r="U490">
        <v>590.41999999999996</v>
      </c>
      <c r="V490">
        <v>1</v>
      </c>
      <c r="W490" t="s">
        <v>47</v>
      </c>
      <c r="X490">
        <v>24</v>
      </c>
      <c r="Y490">
        <v>4</v>
      </c>
      <c r="Z490">
        <v>3</v>
      </c>
      <c r="AA490">
        <v>0</v>
      </c>
      <c r="AB490">
        <v>1</v>
      </c>
      <c r="AC490">
        <v>2</v>
      </c>
      <c r="AD490">
        <v>1</v>
      </c>
      <c r="AE490">
        <v>1</v>
      </c>
      <c r="AF490">
        <v>0</v>
      </c>
      <c r="AG490">
        <v>0</v>
      </c>
      <c r="AH490">
        <v>1</v>
      </c>
      <c r="AI490">
        <f t="shared" si="49"/>
        <v>1</v>
      </c>
      <c r="AJ490" t="str">
        <f t="shared" si="50"/>
        <v>0-1 yr</v>
      </c>
      <c r="AK490" t="str">
        <f t="shared" si="51"/>
        <v>Recent</v>
      </c>
      <c r="AL490">
        <f t="shared" si="52"/>
        <v>2</v>
      </c>
      <c r="AM490" t="str">
        <f t="shared" si="53"/>
        <v>Medium Risk</v>
      </c>
      <c r="AN490" s="6">
        <f t="shared" si="54"/>
        <v>0.82650632090229392</v>
      </c>
      <c r="AO490" s="7">
        <f t="shared" si="55"/>
        <v>1133616</v>
      </c>
    </row>
    <row r="491" spans="1:41" x14ac:dyDescent="0.3">
      <c r="A491" t="s">
        <v>560</v>
      </c>
      <c r="B491">
        <v>32</v>
      </c>
      <c r="C491" t="s">
        <v>196</v>
      </c>
      <c r="D491" t="s">
        <v>55</v>
      </c>
      <c r="E491" t="s">
        <v>66</v>
      </c>
      <c r="F491">
        <v>1184</v>
      </c>
      <c r="G491" t="s">
        <v>49</v>
      </c>
      <c r="H491">
        <v>1</v>
      </c>
      <c r="I491">
        <v>3</v>
      </c>
      <c r="J491" t="s">
        <v>50</v>
      </c>
      <c r="K491">
        <v>951</v>
      </c>
      <c r="L491">
        <v>3</v>
      </c>
      <c r="M491" t="s">
        <v>59</v>
      </c>
      <c r="N491">
        <v>2</v>
      </c>
      <c r="O491">
        <v>1</v>
      </c>
      <c r="P491" t="s">
        <v>52</v>
      </c>
      <c r="Q491">
        <v>2</v>
      </c>
      <c r="R491" t="s">
        <v>113</v>
      </c>
      <c r="S491">
        <v>62389</v>
      </c>
      <c r="T491" t="s">
        <v>64</v>
      </c>
      <c r="U491">
        <v>389.93</v>
      </c>
      <c r="V491">
        <v>6</v>
      </c>
      <c r="W491" t="s">
        <v>55</v>
      </c>
      <c r="X491">
        <v>20</v>
      </c>
      <c r="Y491">
        <v>4</v>
      </c>
      <c r="Z491">
        <v>3</v>
      </c>
      <c r="AA491">
        <v>0</v>
      </c>
      <c r="AB491">
        <v>5</v>
      </c>
      <c r="AC491">
        <v>3</v>
      </c>
      <c r="AD491">
        <v>3</v>
      </c>
      <c r="AE491">
        <v>3</v>
      </c>
      <c r="AF491">
        <v>0</v>
      </c>
      <c r="AG491">
        <v>0</v>
      </c>
      <c r="AH491">
        <v>2</v>
      </c>
      <c r="AI491">
        <f t="shared" si="49"/>
        <v>0</v>
      </c>
      <c r="AJ491" t="str">
        <f t="shared" si="50"/>
        <v>2-3 yrs</v>
      </c>
      <c r="AK491" t="str">
        <f t="shared" si="51"/>
        <v>Recent</v>
      </c>
      <c r="AL491">
        <f t="shared" si="52"/>
        <v>1</v>
      </c>
      <c r="AM491" t="str">
        <f t="shared" si="53"/>
        <v>Low Risk</v>
      </c>
      <c r="AN491" s="6">
        <f t="shared" si="54"/>
        <v>0.2062698782103275</v>
      </c>
      <c r="AO491" s="7">
        <f t="shared" si="55"/>
        <v>748668</v>
      </c>
    </row>
    <row r="492" spans="1:41" x14ac:dyDescent="0.3">
      <c r="A492" t="s">
        <v>561</v>
      </c>
      <c r="B492">
        <v>32</v>
      </c>
      <c r="C492" t="s">
        <v>196</v>
      </c>
      <c r="D492" t="s">
        <v>55</v>
      </c>
      <c r="E492" t="s">
        <v>48</v>
      </c>
      <c r="F492">
        <v>498</v>
      </c>
      <c r="G492" t="s">
        <v>49</v>
      </c>
      <c r="H492">
        <v>3</v>
      </c>
      <c r="I492">
        <v>4</v>
      </c>
      <c r="J492" t="s">
        <v>58</v>
      </c>
      <c r="K492">
        <v>966</v>
      </c>
      <c r="L492">
        <v>3</v>
      </c>
      <c r="M492" t="s">
        <v>59</v>
      </c>
      <c r="N492">
        <v>3</v>
      </c>
      <c r="O492">
        <v>2</v>
      </c>
      <c r="P492" t="s">
        <v>120</v>
      </c>
      <c r="Q492">
        <v>1</v>
      </c>
      <c r="R492" t="s">
        <v>113</v>
      </c>
      <c r="S492">
        <v>10435</v>
      </c>
      <c r="T492" t="s">
        <v>54</v>
      </c>
      <c r="U492">
        <v>65.22</v>
      </c>
      <c r="V492">
        <v>1</v>
      </c>
      <c r="W492" t="s">
        <v>55</v>
      </c>
      <c r="X492">
        <v>12</v>
      </c>
      <c r="Y492">
        <v>3</v>
      </c>
      <c r="Z492">
        <v>3</v>
      </c>
      <c r="AA492">
        <v>1</v>
      </c>
      <c r="AB492">
        <v>8</v>
      </c>
      <c r="AC492">
        <v>2</v>
      </c>
      <c r="AD492">
        <v>4</v>
      </c>
      <c r="AE492">
        <v>8</v>
      </c>
      <c r="AF492">
        <v>7</v>
      </c>
      <c r="AG492">
        <v>6</v>
      </c>
      <c r="AH492">
        <v>3</v>
      </c>
      <c r="AI492">
        <f t="shared" si="49"/>
        <v>0</v>
      </c>
      <c r="AJ492" t="str">
        <f t="shared" si="50"/>
        <v>6-10 yrs</v>
      </c>
      <c r="AK492" t="str">
        <f t="shared" si="51"/>
        <v>Overdue</v>
      </c>
      <c r="AL492">
        <f t="shared" si="52"/>
        <v>2</v>
      </c>
      <c r="AM492" t="str">
        <f t="shared" si="53"/>
        <v>Medium Risk</v>
      </c>
      <c r="AN492" s="6">
        <f t="shared" si="54"/>
        <v>-0.76442214840951594</v>
      </c>
      <c r="AO492" s="7">
        <f t="shared" si="55"/>
        <v>125220</v>
      </c>
    </row>
    <row r="493" spans="1:41" x14ac:dyDescent="0.3">
      <c r="A493" t="s">
        <v>562</v>
      </c>
      <c r="B493">
        <v>32</v>
      </c>
      <c r="C493" t="s">
        <v>196</v>
      </c>
      <c r="D493" t="s">
        <v>55</v>
      </c>
      <c r="E493" t="s">
        <v>66</v>
      </c>
      <c r="F493">
        <v>1109</v>
      </c>
      <c r="G493" t="s">
        <v>49</v>
      </c>
      <c r="H493">
        <v>29</v>
      </c>
      <c r="I493">
        <v>4</v>
      </c>
      <c r="J493" t="s">
        <v>58</v>
      </c>
      <c r="K493">
        <v>1046</v>
      </c>
      <c r="L493">
        <v>4</v>
      </c>
      <c r="M493" t="s">
        <v>59</v>
      </c>
      <c r="N493">
        <v>3</v>
      </c>
      <c r="O493">
        <v>1</v>
      </c>
      <c r="P493" t="s">
        <v>52</v>
      </c>
      <c r="Q493">
        <v>3</v>
      </c>
      <c r="R493" t="s">
        <v>53</v>
      </c>
      <c r="S493">
        <v>55340</v>
      </c>
      <c r="T493" t="s">
        <v>64</v>
      </c>
      <c r="U493">
        <v>345.88</v>
      </c>
      <c r="V493">
        <v>9</v>
      </c>
      <c r="W493" t="s">
        <v>55</v>
      </c>
      <c r="X493">
        <v>12</v>
      </c>
      <c r="Y493">
        <v>3</v>
      </c>
      <c r="Z493">
        <v>2</v>
      </c>
      <c r="AA493">
        <v>0</v>
      </c>
      <c r="AB493">
        <v>10</v>
      </c>
      <c r="AC493">
        <v>2</v>
      </c>
      <c r="AD493">
        <v>3</v>
      </c>
      <c r="AE493">
        <v>8</v>
      </c>
      <c r="AF493">
        <v>7</v>
      </c>
      <c r="AG493">
        <v>7</v>
      </c>
      <c r="AH493">
        <v>7</v>
      </c>
      <c r="AI493">
        <f t="shared" si="49"/>
        <v>0</v>
      </c>
      <c r="AJ493" t="str">
        <f t="shared" si="50"/>
        <v>6-10 yrs</v>
      </c>
      <c r="AK493" t="str">
        <f t="shared" si="51"/>
        <v>Overdue</v>
      </c>
      <c r="AL493">
        <f t="shared" si="52"/>
        <v>1</v>
      </c>
      <c r="AM493" t="str">
        <f t="shared" si="53"/>
        <v>Low Risk</v>
      </c>
      <c r="AN493" s="6">
        <f t="shared" si="54"/>
        <v>6.9979885238736383E-2</v>
      </c>
      <c r="AO493" s="7">
        <f t="shared" si="55"/>
        <v>664080</v>
      </c>
    </row>
    <row r="494" spans="1:41" x14ac:dyDescent="0.3">
      <c r="A494" t="s">
        <v>563</v>
      </c>
      <c r="B494">
        <v>32</v>
      </c>
      <c r="C494" t="s">
        <v>196</v>
      </c>
      <c r="D494" t="s">
        <v>55</v>
      </c>
      <c r="E494" t="s">
        <v>66</v>
      </c>
      <c r="F494">
        <v>862</v>
      </c>
      <c r="G494" t="s">
        <v>57</v>
      </c>
      <c r="H494">
        <v>2</v>
      </c>
      <c r="I494">
        <v>1</v>
      </c>
      <c r="J494" t="s">
        <v>50</v>
      </c>
      <c r="K494">
        <v>1190</v>
      </c>
      <c r="L494">
        <v>3</v>
      </c>
      <c r="M494" t="s">
        <v>59</v>
      </c>
      <c r="N494">
        <v>3</v>
      </c>
      <c r="O494">
        <v>1</v>
      </c>
      <c r="P494" t="s">
        <v>60</v>
      </c>
      <c r="Q494">
        <v>1</v>
      </c>
      <c r="R494" t="s">
        <v>53</v>
      </c>
      <c r="S494">
        <v>45078</v>
      </c>
      <c r="T494" t="s">
        <v>72</v>
      </c>
      <c r="U494">
        <v>281.74</v>
      </c>
      <c r="V494">
        <v>1</v>
      </c>
      <c r="W494" t="s">
        <v>55</v>
      </c>
      <c r="X494">
        <v>12</v>
      </c>
      <c r="Y494">
        <v>3</v>
      </c>
      <c r="Z494">
        <v>3</v>
      </c>
      <c r="AA494">
        <v>3</v>
      </c>
      <c r="AB494">
        <v>1</v>
      </c>
      <c r="AC494">
        <v>3</v>
      </c>
      <c r="AD494">
        <v>3</v>
      </c>
      <c r="AE494">
        <v>1</v>
      </c>
      <c r="AF494">
        <v>0</v>
      </c>
      <c r="AG494">
        <v>0</v>
      </c>
      <c r="AH494">
        <v>0</v>
      </c>
      <c r="AI494">
        <f t="shared" si="49"/>
        <v>0</v>
      </c>
      <c r="AJ494" t="str">
        <f t="shared" si="50"/>
        <v>0-1 yr</v>
      </c>
      <c r="AK494" t="str">
        <f t="shared" si="51"/>
        <v>Recent</v>
      </c>
      <c r="AL494">
        <f t="shared" si="52"/>
        <v>1</v>
      </c>
      <c r="AM494" t="str">
        <f t="shared" si="53"/>
        <v>Low Risk</v>
      </c>
      <c r="AN494" s="6">
        <f t="shared" si="54"/>
        <v>-8.6135687377502462E-2</v>
      </c>
      <c r="AO494" s="7">
        <f t="shared" si="55"/>
        <v>540936</v>
      </c>
    </row>
    <row r="495" spans="1:41" x14ac:dyDescent="0.3">
      <c r="A495" t="s">
        <v>564</v>
      </c>
      <c r="B495">
        <v>32</v>
      </c>
      <c r="C495" t="s">
        <v>196</v>
      </c>
      <c r="D495" t="s">
        <v>55</v>
      </c>
      <c r="E495" t="s">
        <v>62</v>
      </c>
      <c r="F495">
        <v>116</v>
      </c>
      <c r="G495" t="s">
        <v>49</v>
      </c>
      <c r="H495">
        <v>13</v>
      </c>
      <c r="I495">
        <v>3</v>
      </c>
      <c r="J495" t="s">
        <v>82</v>
      </c>
      <c r="K495">
        <v>1234</v>
      </c>
      <c r="L495">
        <v>3</v>
      </c>
      <c r="M495" t="s">
        <v>59</v>
      </c>
      <c r="N495">
        <v>2</v>
      </c>
      <c r="O495">
        <v>1</v>
      </c>
      <c r="P495" t="s">
        <v>52</v>
      </c>
      <c r="Q495">
        <v>2</v>
      </c>
      <c r="R495" t="s">
        <v>113</v>
      </c>
      <c r="S495">
        <v>79832</v>
      </c>
      <c r="T495" t="s">
        <v>64</v>
      </c>
      <c r="U495">
        <v>498.95</v>
      </c>
      <c r="V495">
        <v>1</v>
      </c>
      <c r="W495" t="s">
        <v>55</v>
      </c>
      <c r="X495">
        <v>20</v>
      </c>
      <c r="Y495">
        <v>4</v>
      </c>
      <c r="Z495">
        <v>3</v>
      </c>
      <c r="AA495">
        <v>1</v>
      </c>
      <c r="AB495">
        <v>2</v>
      </c>
      <c r="AC495">
        <v>2</v>
      </c>
      <c r="AD495">
        <v>3</v>
      </c>
      <c r="AE495">
        <v>2</v>
      </c>
      <c r="AF495">
        <v>2</v>
      </c>
      <c r="AG495">
        <v>2</v>
      </c>
      <c r="AH495">
        <v>2</v>
      </c>
      <c r="AI495">
        <f t="shared" si="49"/>
        <v>0</v>
      </c>
      <c r="AJ495" t="str">
        <f t="shared" si="50"/>
        <v>2-3 yrs</v>
      </c>
      <c r="AK495" t="str">
        <f t="shared" si="51"/>
        <v>Recent</v>
      </c>
      <c r="AL495">
        <f t="shared" si="52"/>
        <v>1</v>
      </c>
      <c r="AM495" t="str">
        <f t="shared" si="53"/>
        <v>Low Risk</v>
      </c>
      <c r="AN495" s="6">
        <f t="shared" si="54"/>
        <v>0.54352428981530176</v>
      </c>
      <c r="AO495" s="7">
        <f t="shared" si="55"/>
        <v>957984</v>
      </c>
    </row>
    <row r="496" spans="1:41" x14ac:dyDescent="0.3">
      <c r="A496" t="s">
        <v>565</v>
      </c>
      <c r="B496">
        <v>32</v>
      </c>
      <c r="C496" t="s">
        <v>196</v>
      </c>
      <c r="D496" t="s">
        <v>55</v>
      </c>
      <c r="E496" t="s">
        <v>62</v>
      </c>
      <c r="F496">
        <v>1316</v>
      </c>
      <c r="G496" t="s">
        <v>49</v>
      </c>
      <c r="H496">
        <v>2</v>
      </c>
      <c r="I496">
        <v>2</v>
      </c>
      <c r="J496" t="s">
        <v>50</v>
      </c>
      <c r="K496">
        <v>1235</v>
      </c>
      <c r="L496">
        <v>4</v>
      </c>
      <c r="M496" t="s">
        <v>59</v>
      </c>
      <c r="N496">
        <v>3</v>
      </c>
      <c r="O496">
        <v>2</v>
      </c>
      <c r="P496" t="s">
        <v>67</v>
      </c>
      <c r="Q496">
        <v>3</v>
      </c>
      <c r="R496" t="s">
        <v>53</v>
      </c>
      <c r="S496">
        <v>52293</v>
      </c>
      <c r="T496" t="s">
        <v>64</v>
      </c>
      <c r="U496">
        <v>326.83</v>
      </c>
      <c r="V496">
        <v>4</v>
      </c>
      <c r="W496" t="s">
        <v>47</v>
      </c>
      <c r="X496">
        <v>14</v>
      </c>
      <c r="Y496">
        <v>3</v>
      </c>
      <c r="Z496">
        <v>4</v>
      </c>
      <c r="AA496">
        <v>0</v>
      </c>
      <c r="AB496">
        <v>10</v>
      </c>
      <c r="AC496">
        <v>2</v>
      </c>
      <c r="AD496">
        <v>3</v>
      </c>
      <c r="AE496">
        <v>8</v>
      </c>
      <c r="AF496">
        <v>7</v>
      </c>
      <c r="AG496">
        <v>0</v>
      </c>
      <c r="AH496">
        <v>7</v>
      </c>
      <c r="AI496">
        <f t="shared" si="49"/>
        <v>0</v>
      </c>
      <c r="AJ496" t="str">
        <f t="shared" si="50"/>
        <v>6-10 yrs</v>
      </c>
      <c r="AK496" t="str">
        <f t="shared" si="51"/>
        <v>Recent</v>
      </c>
      <c r="AL496">
        <f t="shared" si="52"/>
        <v>1</v>
      </c>
      <c r="AM496" t="str">
        <f t="shared" si="53"/>
        <v>Low Risk</v>
      </c>
      <c r="AN496" s="6">
        <f t="shared" si="54"/>
        <v>4.8668283556346899E-2</v>
      </c>
      <c r="AO496" s="7">
        <f t="shared" si="55"/>
        <v>627516</v>
      </c>
    </row>
    <row r="497" spans="1:41" x14ac:dyDescent="0.3">
      <c r="A497" t="s">
        <v>566</v>
      </c>
      <c r="B497">
        <v>32</v>
      </c>
      <c r="C497" t="s">
        <v>196</v>
      </c>
      <c r="D497" t="s">
        <v>55</v>
      </c>
      <c r="E497" t="s">
        <v>48</v>
      </c>
      <c r="F497">
        <v>604</v>
      </c>
      <c r="G497" t="s">
        <v>57</v>
      </c>
      <c r="H497">
        <v>8</v>
      </c>
      <c r="I497">
        <v>3</v>
      </c>
      <c r="J497" t="s">
        <v>58</v>
      </c>
      <c r="K497">
        <v>1304</v>
      </c>
      <c r="L497">
        <v>3</v>
      </c>
      <c r="M497" t="s">
        <v>51</v>
      </c>
      <c r="N497">
        <v>4</v>
      </c>
      <c r="O497">
        <v>2</v>
      </c>
      <c r="P497" t="s">
        <v>145</v>
      </c>
      <c r="Q497">
        <v>4</v>
      </c>
      <c r="R497" t="s">
        <v>113</v>
      </c>
      <c r="S497">
        <v>96981</v>
      </c>
      <c r="T497" t="s">
        <v>70</v>
      </c>
      <c r="U497">
        <v>606.13</v>
      </c>
      <c r="V497">
        <v>1</v>
      </c>
      <c r="W497" t="s">
        <v>55</v>
      </c>
      <c r="X497">
        <v>15</v>
      </c>
      <c r="Y497">
        <v>3</v>
      </c>
      <c r="Z497">
        <v>3</v>
      </c>
      <c r="AA497">
        <v>2</v>
      </c>
      <c r="AB497">
        <v>10</v>
      </c>
      <c r="AC497">
        <v>4</v>
      </c>
      <c r="AD497">
        <v>4</v>
      </c>
      <c r="AE497">
        <v>10</v>
      </c>
      <c r="AF497">
        <v>7</v>
      </c>
      <c r="AG497">
        <v>0</v>
      </c>
      <c r="AH497">
        <v>8</v>
      </c>
      <c r="AI497">
        <f t="shared" si="49"/>
        <v>0</v>
      </c>
      <c r="AJ497" t="str">
        <f t="shared" si="50"/>
        <v>6-10 yrs</v>
      </c>
      <c r="AK497" t="str">
        <f t="shared" si="51"/>
        <v>Recent</v>
      </c>
      <c r="AL497">
        <f t="shared" si="52"/>
        <v>0</v>
      </c>
      <c r="AM497" t="str">
        <f t="shared" si="53"/>
        <v>Minimal Risk</v>
      </c>
      <c r="AN497" s="6">
        <f t="shared" si="54"/>
        <v>0.97686534483861032</v>
      </c>
      <c r="AO497" s="7">
        <f t="shared" si="55"/>
        <v>1163772</v>
      </c>
    </row>
    <row r="498" spans="1:41" x14ac:dyDescent="0.3">
      <c r="A498" t="s">
        <v>567</v>
      </c>
      <c r="B498">
        <v>32</v>
      </c>
      <c r="C498" t="s">
        <v>196</v>
      </c>
      <c r="D498" t="s">
        <v>47</v>
      </c>
      <c r="E498" t="s">
        <v>48</v>
      </c>
      <c r="F498">
        <v>1089</v>
      </c>
      <c r="G498" t="s">
        <v>49</v>
      </c>
      <c r="H498">
        <v>7</v>
      </c>
      <c r="I498">
        <v>2</v>
      </c>
      <c r="J498" t="s">
        <v>50</v>
      </c>
      <c r="K498">
        <v>1309</v>
      </c>
      <c r="L498">
        <v>4</v>
      </c>
      <c r="M498" t="s">
        <v>51</v>
      </c>
      <c r="N498">
        <v>3</v>
      </c>
      <c r="O498">
        <v>2</v>
      </c>
      <c r="P498" t="s">
        <v>52</v>
      </c>
      <c r="Q498">
        <v>3</v>
      </c>
      <c r="R498" t="s">
        <v>113</v>
      </c>
      <c r="S498">
        <v>79781</v>
      </c>
      <c r="T498" t="s">
        <v>64</v>
      </c>
      <c r="U498">
        <v>498.63</v>
      </c>
      <c r="V498">
        <v>1</v>
      </c>
      <c r="W498" t="s">
        <v>55</v>
      </c>
      <c r="X498">
        <v>18</v>
      </c>
      <c r="Y498">
        <v>3</v>
      </c>
      <c r="Z498">
        <v>1</v>
      </c>
      <c r="AA498">
        <v>1</v>
      </c>
      <c r="AB498">
        <v>10</v>
      </c>
      <c r="AC498">
        <v>3</v>
      </c>
      <c r="AD498">
        <v>3</v>
      </c>
      <c r="AE498">
        <v>10</v>
      </c>
      <c r="AF498">
        <v>4</v>
      </c>
      <c r="AG498">
        <v>1</v>
      </c>
      <c r="AH498">
        <v>1</v>
      </c>
      <c r="AI498">
        <f t="shared" si="49"/>
        <v>1</v>
      </c>
      <c r="AJ498" t="str">
        <f t="shared" si="50"/>
        <v>6-10 yrs</v>
      </c>
      <c r="AK498" t="str">
        <f t="shared" si="51"/>
        <v>Recent</v>
      </c>
      <c r="AL498">
        <f t="shared" si="52"/>
        <v>0</v>
      </c>
      <c r="AM498" t="str">
        <f t="shared" si="53"/>
        <v>Minimal Risk</v>
      </c>
      <c r="AN498" s="6">
        <f t="shared" si="54"/>
        <v>0.54253822233884397</v>
      </c>
      <c r="AO498" s="7">
        <f t="shared" si="55"/>
        <v>957372</v>
      </c>
    </row>
    <row r="499" spans="1:41" x14ac:dyDescent="0.3">
      <c r="A499" t="s">
        <v>568</v>
      </c>
      <c r="B499">
        <v>32</v>
      </c>
      <c r="C499" t="s">
        <v>196</v>
      </c>
      <c r="D499" t="s">
        <v>55</v>
      </c>
      <c r="E499" t="s">
        <v>48</v>
      </c>
      <c r="F499">
        <v>499</v>
      </c>
      <c r="G499" t="s">
        <v>57</v>
      </c>
      <c r="H499">
        <v>2</v>
      </c>
      <c r="I499">
        <v>1</v>
      </c>
      <c r="J499" t="s">
        <v>63</v>
      </c>
      <c r="K499">
        <v>1396</v>
      </c>
      <c r="L499">
        <v>3</v>
      </c>
      <c r="M499" t="s">
        <v>51</v>
      </c>
      <c r="N499">
        <v>3</v>
      </c>
      <c r="O499">
        <v>2</v>
      </c>
      <c r="P499" t="s">
        <v>145</v>
      </c>
      <c r="Q499">
        <v>2</v>
      </c>
      <c r="R499" t="s">
        <v>113</v>
      </c>
      <c r="S499">
        <v>61403</v>
      </c>
      <c r="T499" t="s">
        <v>64</v>
      </c>
      <c r="U499">
        <v>383.77</v>
      </c>
      <c r="V499">
        <v>0</v>
      </c>
      <c r="W499" t="s">
        <v>47</v>
      </c>
      <c r="X499">
        <v>13</v>
      </c>
      <c r="Y499">
        <v>3</v>
      </c>
      <c r="Z499">
        <v>1</v>
      </c>
      <c r="AA499">
        <v>3</v>
      </c>
      <c r="AB499">
        <v>4</v>
      </c>
      <c r="AC499">
        <v>3</v>
      </c>
      <c r="AD499">
        <v>2</v>
      </c>
      <c r="AE499">
        <v>3</v>
      </c>
      <c r="AF499">
        <v>2</v>
      </c>
      <c r="AG499">
        <v>1</v>
      </c>
      <c r="AH499">
        <v>2</v>
      </c>
      <c r="AI499">
        <f t="shared" si="49"/>
        <v>0</v>
      </c>
      <c r="AJ499" t="str">
        <f t="shared" si="50"/>
        <v>2-3 yrs</v>
      </c>
      <c r="AK499" t="str">
        <f t="shared" si="51"/>
        <v>Recent</v>
      </c>
      <c r="AL499">
        <f t="shared" si="52"/>
        <v>3</v>
      </c>
      <c r="AM499" t="str">
        <f t="shared" si="53"/>
        <v>High Risk</v>
      </c>
      <c r="AN499" s="6">
        <f t="shared" si="54"/>
        <v>0.25164169032207534</v>
      </c>
      <c r="AO499" s="7">
        <f t="shared" si="55"/>
        <v>736836</v>
      </c>
    </row>
    <row r="500" spans="1:41" x14ac:dyDescent="0.3">
      <c r="A500" t="s">
        <v>569</v>
      </c>
      <c r="B500">
        <v>32</v>
      </c>
      <c r="C500" t="s">
        <v>196</v>
      </c>
      <c r="D500" t="s">
        <v>55</v>
      </c>
      <c r="E500" t="s">
        <v>48</v>
      </c>
      <c r="F500">
        <v>601</v>
      </c>
      <c r="G500" t="s">
        <v>57</v>
      </c>
      <c r="H500">
        <v>7</v>
      </c>
      <c r="I500">
        <v>5</v>
      </c>
      <c r="J500" t="s">
        <v>63</v>
      </c>
      <c r="K500">
        <v>1446</v>
      </c>
      <c r="L500">
        <v>4</v>
      </c>
      <c r="M500" t="s">
        <v>51</v>
      </c>
      <c r="N500">
        <v>3</v>
      </c>
      <c r="O500">
        <v>2</v>
      </c>
      <c r="P500" t="s">
        <v>145</v>
      </c>
      <c r="Q500">
        <v>4</v>
      </c>
      <c r="R500" t="s">
        <v>113</v>
      </c>
      <c r="S500">
        <v>30124</v>
      </c>
      <c r="T500" t="s">
        <v>72</v>
      </c>
      <c r="U500">
        <v>188.28</v>
      </c>
      <c r="V500">
        <v>4</v>
      </c>
      <c r="W500" t="s">
        <v>55</v>
      </c>
      <c r="X500">
        <v>12</v>
      </c>
      <c r="Y500">
        <v>3</v>
      </c>
      <c r="Z500">
        <v>3</v>
      </c>
      <c r="AA500">
        <v>1</v>
      </c>
      <c r="AB500">
        <v>7</v>
      </c>
      <c r="AC500">
        <v>3</v>
      </c>
      <c r="AD500">
        <v>2</v>
      </c>
      <c r="AE500">
        <v>4</v>
      </c>
      <c r="AF500">
        <v>3</v>
      </c>
      <c r="AG500">
        <v>0</v>
      </c>
      <c r="AH500">
        <v>3</v>
      </c>
      <c r="AI500">
        <f t="shared" si="49"/>
        <v>0</v>
      </c>
      <c r="AJ500" t="str">
        <f t="shared" si="50"/>
        <v>4-5 yrs</v>
      </c>
      <c r="AK500" t="str">
        <f t="shared" si="51"/>
        <v>Recent</v>
      </c>
      <c r="AL500">
        <f t="shared" si="52"/>
        <v>1</v>
      </c>
      <c r="AM500" t="str">
        <f t="shared" si="53"/>
        <v>Low Risk</v>
      </c>
      <c r="AN500" s="6">
        <f t="shared" si="54"/>
        <v>-0.38595094247411044</v>
      </c>
      <c r="AO500" s="7">
        <f t="shared" si="55"/>
        <v>361488</v>
      </c>
    </row>
    <row r="501" spans="1:41" x14ac:dyDescent="0.3">
      <c r="A501" t="s">
        <v>570</v>
      </c>
      <c r="B501">
        <v>32</v>
      </c>
      <c r="C501" t="s">
        <v>196</v>
      </c>
      <c r="D501" t="s">
        <v>55</v>
      </c>
      <c r="E501" t="s">
        <v>48</v>
      </c>
      <c r="F501">
        <v>495</v>
      </c>
      <c r="G501" t="s">
        <v>49</v>
      </c>
      <c r="H501">
        <v>10</v>
      </c>
      <c r="I501">
        <v>3</v>
      </c>
      <c r="J501" t="s">
        <v>58</v>
      </c>
      <c r="K501">
        <v>1516</v>
      </c>
      <c r="L501">
        <v>3</v>
      </c>
      <c r="M501" t="s">
        <v>51</v>
      </c>
      <c r="N501">
        <v>3</v>
      </c>
      <c r="O501">
        <v>3</v>
      </c>
      <c r="P501" t="s">
        <v>444</v>
      </c>
      <c r="Q501">
        <v>4</v>
      </c>
      <c r="R501" t="s">
        <v>53</v>
      </c>
      <c r="S501">
        <v>96435</v>
      </c>
      <c r="T501" t="s">
        <v>70</v>
      </c>
      <c r="U501">
        <v>602.72</v>
      </c>
      <c r="V501">
        <v>2</v>
      </c>
      <c r="W501" t="s">
        <v>55</v>
      </c>
      <c r="X501">
        <v>25</v>
      </c>
      <c r="Y501">
        <v>4</v>
      </c>
      <c r="Z501">
        <v>2</v>
      </c>
      <c r="AA501">
        <v>0</v>
      </c>
      <c r="AB501">
        <v>10</v>
      </c>
      <c r="AC501">
        <v>5</v>
      </c>
      <c r="AD501">
        <v>4</v>
      </c>
      <c r="AE501">
        <v>5</v>
      </c>
      <c r="AF501">
        <v>2</v>
      </c>
      <c r="AG501">
        <v>0</v>
      </c>
      <c r="AH501">
        <v>0</v>
      </c>
      <c r="AI501">
        <f t="shared" si="49"/>
        <v>0</v>
      </c>
      <c r="AJ501" t="str">
        <f t="shared" si="50"/>
        <v>4-5 yrs</v>
      </c>
      <c r="AK501" t="str">
        <f t="shared" si="51"/>
        <v>Recent</v>
      </c>
      <c r="AL501">
        <f t="shared" si="52"/>
        <v>0</v>
      </c>
      <c r="AM501" t="str">
        <f t="shared" si="53"/>
        <v>Minimal Risk</v>
      </c>
      <c r="AN501" s="6">
        <f t="shared" si="54"/>
        <v>0.84747347408863782</v>
      </c>
      <c r="AO501" s="7">
        <f t="shared" si="55"/>
        <v>1157220</v>
      </c>
    </row>
    <row r="502" spans="1:41" x14ac:dyDescent="0.3">
      <c r="A502" t="s">
        <v>571</v>
      </c>
      <c r="B502">
        <v>32</v>
      </c>
      <c r="C502" t="s">
        <v>196</v>
      </c>
      <c r="D502" t="s">
        <v>55</v>
      </c>
      <c r="E502" t="s">
        <v>48</v>
      </c>
      <c r="F502">
        <v>824</v>
      </c>
      <c r="G502" t="s">
        <v>49</v>
      </c>
      <c r="H502">
        <v>5</v>
      </c>
      <c r="I502">
        <v>2</v>
      </c>
      <c r="J502" t="s">
        <v>50</v>
      </c>
      <c r="K502">
        <v>1555</v>
      </c>
      <c r="L502">
        <v>4</v>
      </c>
      <c r="M502" t="s">
        <v>59</v>
      </c>
      <c r="N502">
        <v>2</v>
      </c>
      <c r="O502">
        <v>2</v>
      </c>
      <c r="P502" t="s">
        <v>67</v>
      </c>
      <c r="Q502">
        <v>2</v>
      </c>
      <c r="R502" t="s">
        <v>113</v>
      </c>
      <c r="S502">
        <v>44919</v>
      </c>
      <c r="T502" t="s">
        <v>72</v>
      </c>
      <c r="U502">
        <v>280.74</v>
      </c>
      <c r="V502">
        <v>3</v>
      </c>
      <c r="W502" t="s">
        <v>55</v>
      </c>
      <c r="X502">
        <v>12</v>
      </c>
      <c r="Y502">
        <v>3</v>
      </c>
      <c r="Z502">
        <v>1</v>
      </c>
      <c r="AA502">
        <v>1</v>
      </c>
      <c r="AB502">
        <v>12</v>
      </c>
      <c r="AC502">
        <v>2</v>
      </c>
      <c r="AD502">
        <v>3</v>
      </c>
      <c r="AE502">
        <v>7</v>
      </c>
      <c r="AF502">
        <v>1</v>
      </c>
      <c r="AG502">
        <v>2</v>
      </c>
      <c r="AH502">
        <v>5</v>
      </c>
      <c r="AI502">
        <f t="shared" si="49"/>
        <v>0</v>
      </c>
      <c r="AJ502" t="str">
        <f t="shared" si="50"/>
        <v>6-10 yrs</v>
      </c>
      <c r="AK502" t="str">
        <f t="shared" si="51"/>
        <v>Recent</v>
      </c>
      <c r="AL502">
        <f t="shared" si="52"/>
        <v>1</v>
      </c>
      <c r="AM502" t="str">
        <f t="shared" si="53"/>
        <v>Low Risk</v>
      </c>
      <c r="AN502" s="6">
        <f t="shared" si="54"/>
        <v>-9.9207721318961495E-2</v>
      </c>
      <c r="AO502" s="7">
        <f t="shared" si="55"/>
        <v>539028</v>
      </c>
    </row>
    <row r="503" spans="1:41" x14ac:dyDescent="0.3">
      <c r="A503" t="s">
        <v>572</v>
      </c>
      <c r="B503">
        <v>32</v>
      </c>
      <c r="C503" t="s">
        <v>196</v>
      </c>
      <c r="D503" t="s">
        <v>55</v>
      </c>
      <c r="E503" t="s">
        <v>66</v>
      </c>
      <c r="F503">
        <v>1200</v>
      </c>
      <c r="G503" t="s">
        <v>49</v>
      </c>
      <c r="H503">
        <v>1</v>
      </c>
      <c r="I503">
        <v>4</v>
      </c>
      <c r="J503" t="s">
        <v>77</v>
      </c>
      <c r="K503">
        <v>1574</v>
      </c>
      <c r="L503">
        <v>4</v>
      </c>
      <c r="M503" t="s">
        <v>51</v>
      </c>
      <c r="N503">
        <v>3</v>
      </c>
      <c r="O503">
        <v>2</v>
      </c>
      <c r="P503" t="s">
        <v>67</v>
      </c>
      <c r="Q503">
        <v>1</v>
      </c>
      <c r="R503" t="s">
        <v>113</v>
      </c>
      <c r="S503">
        <v>36247</v>
      </c>
      <c r="T503" t="s">
        <v>72</v>
      </c>
      <c r="U503">
        <v>226.54</v>
      </c>
      <c r="V503">
        <v>4</v>
      </c>
      <c r="W503" t="s">
        <v>55</v>
      </c>
      <c r="X503">
        <v>14</v>
      </c>
      <c r="Y503">
        <v>3</v>
      </c>
      <c r="Z503">
        <v>2</v>
      </c>
      <c r="AA503">
        <v>1</v>
      </c>
      <c r="AB503">
        <v>9</v>
      </c>
      <c r="AC503">
        <v>3</v>
      </c>
      <c r="AD503">
        <v>2</v>
      </c>
      <c r="AE503">
        <v>6</v>
      </c>
      <c r="AF503">
        <v>5</v>
      </c>
      <c r="AG503">
        <v>1</v>
      </c>
      <c r="AH503">
        <v>2</v>
      </c>
      <c r="AI503">
        <f t="shared" si="49"/>
        <v>0</v>
      </c>
      <c r="AJ503" t="str">
        <f t="shared" si="50"/>
        <v>6-10 yrs</v>
      </c>
      <c r="AK503" t="str">
        <f t="shared" si="51"/>
        <v>Recent</v>
      </c>
      <c r="AL503">
        <f t="shared" si="52"/>
        <v>2</v>
      </c>
      <c r="AM503" t="str">
        <f t="shared" si="53"/>
        <v>Medium Risk</v>
      </c>
      <c r="AN503" s="6">
        <f t="shared" si="54"/>
        <v>-0.2731134325040272</v>
      </c>
      <c r="AO503" s="7">
        <f t="shared" si="55"/>
        <v>434964</v>
      </c>
    </row>
    <row r="504" spans="1:41" x14ac:dyDescent="0.3">
      <c r="A504" t="s">
        <v>573</v>
      </c>
      <c r="B504">
        <v>32</v>
      </c>
      <c r="C504" t="s">
        <v>196</v>
      </c>
      <c r="D504" t="s">
        <v>55</v>
      </c>
      <c r="E504" t="s">
        <v>48</v>
      </c>
      <c r="F504">
        <v>634</v>
      </c>
      <c r="G504" t="s">
        <v>49</v>
      </c>
      <c r="H504">
        <v>5</v>
      </c>
      <c r="I504">
        <v>4</v>
      </c>
      <c r="J504" t="s">
        <v>82</v>
      </c>
      <c r="K504">
        <v>1607</v>
      </c>
      <c r="L504">
        <v>2</v>
      </c>
      <c r="M504" t="s">
        <v>59</v>
      </c>
      <c r="N504">
        <v>4</v>
      </c>
      <c r="O504">
        <v>1</v>
      </c>
      <c r="P504" t="s">
        <v>67</v>
      </c>
      <c r="Q504">
        <v>4</v>
      </c>
      <c r="R504" t="s">
        <v>113</v>
      </c>
      <c r="S504">
        <v>95758</v>
      </c>
      <c r="T504" t="s">
        <v>70</v>
      </c>
      <c r="U504">
        <v>598.49</v>
      </c>
      <c r="V504">
        <v>3</v>
      </c>
      <c r="W504" t="s">
        <v>55</v>
      </c>
      <c r="X504">
        <v>17</v>
      </c>
      <c r="Y504">
        <v>3</v>
      </c>
      <c r="Z504">
        <v>4</v>
      </c>
      <c r="AA504">
        <v>2</v>
      </c>
      <c r="AB504">
        <v>6</v>
      </c>
      <c r="AC504">
        <v>3</v>
      </c>
      <c r="AD504">
        <v>3</v>
      </c>
      <c r="AE504">
        <v>3</v>
      </c>
      <c r="AF504">
        <v>2</v>
      </c>
      <c r="AG504">
        <v>0</v>
      </c>
      <c r="AH504">
        <v>2</v>
      </c>
      <c r="AI504">
        <f t="shared" si="49"/>
        <v>0</v>
      </c>
      <c r="AJ504" t="str">
        <f t="shared" si="50"/>
        <v>2-3 yrs</v>
      </c>
      <c r="AK504" t="str">
        <f t="shared" si="51"/>
        <v>Recent</v>
      </c>
      <c r="AL504">
        <f t="shared" si="52"/>
        <v>0</v>
      </c>
      <c r="AM504" t="str">
        <f t="shared" si="53"/>
        <v>Minimal Risk</v>
      </c>
      <c r="AN504" s="6">
        <f t="shared" si="54"/>
        <v>0.92030247828177125</v>
      </c>
      <c r="AO504" s="7">
        <f t="shared" si="55"/>
        <v>1149096</v>
      </c>
    </row>
    <row r="505" spans="1:41" x14ac:dyDescent="0.3">
      <c r="A505" t="s">
        <v>574</v>
      </c>
      <c r="B505">
        <v>32</v>
      </c>
      <c r="C505" t="s">
        <v>196</v>
      </c>
      <c r="D505" t="s">
        <v>55</v>
      </c>
      <c r="E505" t="s">
        <v>48</v>
      </c>
      <c r="F505">
        <v>977</v>
      </c>
      <c r="G505" t="s">
        <v>49</v>
      </c>
      <c r="H505">
        <v>2</v>
      </c>
      <c r="I505">
        <v>3</v>
      </c>
      <c r="J505" t="s">
        <v>58</v>
      </c>
      <c r="K505">
        <v>1671</v>
      </c>
      <c r="L505">
        <v>4</v>
      </c>
      <c r="M505" t="s">
        <v>51</v>
      </c>
      <c r="N505">
        <v>3</v>
      </c>
      <c r="O505">
        <v>2</v>
      </c>
      <c r="P505" t="s">
        <v>67</v>
      </c>
      <c r="Q505">
        <v>2</v>
      </c>
      <c r="R505" t="s">
        <v>53</v>
      </c>
      <c r="S505">
        <v>92747</v>
      </c>
      <c r="T505" t="s">
        <v>70</v>
      </c>
      <c r="U505">
        <v>579.66999999999996</v>
      </c>
      <c r="V505">
        <v>0</v>
      </c>
      <c r="W505" t="s">
        <v>55</v>
      </c>
      <c r="X505">
        <v>13</v>
      </c>
      <c r="Y505">
        <v>3</v>
      </c>
      <c r="Z505">
        <v>3</v>
      </c>
      <c r="AA505">
        <v>2</v>
      </c>
      <c r="AB505">
        <v>10</v>
      </c>
      <c r="AC505">
        <v>4</v>
      </c>
      <c r="AD505">
        <v>2</v>
      </c>
      <c r="AE505">
        <v>9</v>
      </c>
      <c r="AF505">
        <v>5</v>
      </c>
      <c r="AG505">
        <v>1</v>
      </c>
      <c r="AH505">
        <v>6</v>
      </c>
      <c r="AI505">
        <f t="shared" si="49"/>
        <v>0</v>
      </c>
      <c r="AJ505" t="str">
        <f t="shared" si="50"/>
        <v>6-10 yrs</v>
      </c>
      <c r="AK505" t="str">
        <f t="shared" si="51"/>
        <v>Recent</v>
      </c>
      <c r="AL505">
        <f t="shared" si="52"/>
        <v>2</v>
      </c>
      <c r="AM505" t="str">
        <f t="shared" si="53"/>
        <v>Medium Risk</v>
      </c>
      <c r="AN505" s="6">
        <f t="shared" si="54"/>
        <v>0.85992077897616326</v>
      </c>
      <c r="AO505" s="7">
        <f t="shared" si="55"/>
        <v>1112964</v>
      </c>
    </row>
    <row r="506" spans="1:41" x14ac:dyDescent="0.3">
      <c r="A506" t="s">
        <v>575</v>
      </c>
      <c r="B506">
        <v>32</v>
      </c>
      <c r="C506" t="s">
        <v>196</v>
      </c>
      <c r="D506" t="s">
        <v>47</v>
      </c>
      <c r="E506" t="s">
        <v>48</v>
      </c>
      <c r="F506">
        <v>1259</v>
      </c>
      <c r="G506" t="s">
        <v>49</v>
      </c>
      <c r="H506">
        <v>2</v>
      </c>
      <c r="I506">
        <v>4</v>
      </c>
      <c r="J506" t="s">
        <v>50</v>
      </c>
      <c r="K506">
        <v>1692</v>
      </c>
      <c r="L506">
        <v>4</v>
      </c>
      <c r="M506" t="s">
        <v>51</v>
      </c>
      <c r="N506">
        <v>3</v>
      </c>
      <c r="O506">
        <v>1</v>
      </c>
      <c r="P506" t="s">
        <v>52</v>
      </c>
      <c r="Q506">
        <v>2</v>
      </c>
      <c r="R506" t="s">
        <v>53</v>
      </c>
      <c r="S506">
        <v>63752</v>
      </c>
      <c r="T506" t="s">
        <v>64</v>
      </c>
      <c r="U506">
        <v>398.45</v>
      </c>
      <c r="V506">
        <v>1</v>
      </c>
      <c r="W506" t="s">
        <v>55</v>
      </c>
      <c r="X506">
        <v>12</v>
      </c>
      <c r="Y506">
        <v>3</v>
      </c>
      <c r="Z506">
        <v>1</v>
      </c>
      <c r="AA506">
        <v>0</v>
      </c>
      <c r="AB506">
        <v>1</v>
      </c>
      <c r="AC506">
        <v>2</v>
      </c>
      <c r="AD506">
        <v>3</v>
      </c>
      <c r="AE506">
        <v>1</v>
      </c>
      <c r="AF506">
        <v>0</v>
      </c>
      <c r="AG506">
        <v>0</v>
      </c>
      <c r="AH506">
        <v>0</v>
      </c>
      <c r="AI506">
        <f t="shared" si="49"/>
        <v>1</v>
      </c>
      <c r="AJ506" t="str">
        <f t="shared" si="50"/>
        <v>0-1 yr</v>
      </c>
      <c r="AK506" t="str">
        <f t="shared" si="51"/>
        <v>Recent</v>
      </c>
      <c r="AL506">
        <f t="shared" si="52"/>
        <v>1</v>
      </c>
      <c r="AM506" t="str">
        <f t="shared" si="53"/>
        <v>Low Risk</v>
      </c>
      <c r="AN506" s="6">
        <f t="shared" si="54"/>
        <v>0.23262301488507267</v>
      </c>
      <c r="AO506" s="7">
        <f t="shared" si="55"/>
        <v>765024</v>
      </c>
    </row>
    <row r="507" spans="1:41" x14ac:dyDescent="0.3">
      <c r="A507" t="s">
        <v>576</v>
      </c>
      <c r="B507">
        <v>32</v>
      </c>
      <c r="C507" t="s">
        <v>196</v>
      </c>
      <c r="D507" t="s">
        <v>55</v>
      </c>
      <c r="E507" t="s">
        <v>62</v>
      </c>
      <c r="F507">
        <v>585</v>
      </c>
      <c r="G507" t="s">
        <v>49</v>
      </c>
      <c r="H507">
        <v>10</v>
      </c>
      <c r="I507">
        <v>3</v>
      </c>
      <c r="J507" t="s">
        <v>50</v>
      </c>
      <c r="K507">
        <v>1720</v>
      </c>
      <c r="L507">
        <v>1</v>
      </c>
      <c r="M507" t="s">
        <v>51</v>
      </c>
      <c r="N507">
        <v>3</v>
      </c>
      <c r="O507">
        <v>1</v>
      </c>
      <c r="P507" t="s">
        <v>67</v>
      </c>
      <c r="Q507">
        <v>3</v>
      </c>
      <c r="R507" t="s">
        <v>113</v>
      </c>
      <c r="S507">
        <v>57573</v>
      </c>
      <c r="T507" t="s">
        <v>64</v>
      </c>
      <c r="U507">
        <v>359.83</v>
      </c>
      <c r="V507">
        <v>6</v>
      </c>
      <c r="W507" t="s">
        <v>55</v>
      </c>
      <c r="X507">
        <v>13</v>
      </c>
      <c r="Y507">
        <v>3</v>
      </c>
      <c r="Z507">
        <v>1</v>
      </c>
      <c r="AA507">
        <v>1</v>
      </c>
      <c r="AB507">
        <v>10</v>
      </c>
      <c r="AC507">
        <v>3</v>
      </c>
      <c r="AD507">
        <v>2</v>
      </c>
      <c r="AE507">
        <v>5</v>
      </c>
      <c r="AF507">
        <v>2</v>
      </c>
      <c r="AG507">
        <v>1</v>
      </c>
      <c r="AH507">
        <v>3</v>
      </c>
      <c r="AI507">
        <f t="shared" si="49"/>
        <v>0</v>
      </c>
      <c r="AJ507" t="str">
        <f t="shared" si="50"/>
        <v>4-5 yrs</v>
      </c>
      <c r="AK507" t="str">
        <f t="shared" si="51"/>
        <v>Recent</v>
      </c>
      <c r="AL507">
        <f t="shared" si="52"/>
        <v>1</v>
      </c>
      <c r="AM507" t="str">
        <f t="shared" si="53"/>
        <v>Low Risk</v>
      </c>
      <c r="AN507" s="6">
        <f t="shared" si="54"/>
        <v>0.15455183464688504</v>
      </c>
      <c r="AO507" s="7">
        <f t="shared" si="55"/>
        <v>690876</v>
      </c>
    </row>
    <row r="508" spans="1:41" x14ac:dyDescent="0.3">
      <c r="A508" t="s">
        <v>577</v>
      </c>
      <c r="B508">
        <v>32</v>
      </c>
      <c r="C508" t="s">
        <v>196</v>
      </c>
      <c r="D508" t="s">
        <v>47</v>
      </c>
      <c r="E508" t="s">
        <v>48</v>
      </c>
      <c r="F508">
        <v>964</v>
      </c>
      <c r="G508" t="s">
        <v>57</v>
      </c>
      <c r="H508">
        <v>1</v>
      </c>
      <c r="I508">
        <v>2</v>
      </c>
      <c r="J508" t="s">
        <v>50</v>
      </c>
      <c r="K508">
        <v>1734</v>
      </c>
      <c r="L508">
        <v>1</v>
      </c>
      <c r="M508" t="s">
        <v>51</v>
      </c>
      <c r="N508">
        <v>1</v>
      </c>
      <c r="O508">
        <v>2</v>
      </c>
      <c r="P508" t="s">
        <v>145</v>
      </c>
      <c r="Q508">
        <v>2</v>
      </c>
      <c r="R508" t="s">
        <v>53</v>
      </c>
      <c r="S508">
        <v>60101</v>
      </c>
      <c r="T508" t="s">
        <v>64</v>
      </c>
      <c r="U508">
        <v>375.63</v>
      </c>
      <c r="V508">
        <v>6</v>
      </c>
      <c r="W508" t="s">
        <v>55</v>
      </c>
      <c r="X508">
        <v>15</v>
      </c>
      <c r="Y508">
        <v>3</v>
      </c>
      <c r="Z508">
        <v>2</v>
      </c>
      <c r="AA508">
        <v>0</v>
      </c>
      <c r="AB508">
        <v>10</v>
      </c>
      <c r="AC508">
        <v>2</v>
      </c>
      <c r="AD508">
        <v>3</v>
      </c>
      <c r="AE508">
        <v>0</v>
      </c>
      <c r="AF508">
        <v>0</v>
      </c>
      <c r="AG508">
        <v>0</v>
      </c>
      <c r="AH508">
        <v>0</v>
      </c>
      <c r="AI508">
        <f t="shared" si="49"/>
        <v>1</v>
      </c>
      <c r="AJ508" t="str">
        <f t="shared" si="50"/>
        <v>0-1 yr</v>
      </c>
      <c r="AK508" t="str">
        <f t="shared" si="51"/>
        <v>Recent</v>
      </c>
      <c r="AL508">
        <f t="shared" si="52"/>
        <v>1</v>
      </c>
      <c r="AM508" t="str">
        <f t="shared" si="53"/>
        <v>Low Risk</v>
      </c>
      <c r="AN508" s="6">
        <f t="shared" si="54"/>
        <v>0.22510166001737777</v>
      </c>
      <c r="AO508" s="7">
        <f t="shared" si="55"/>
        <v>721212</v>
      </c>
    </row>
    <row r="509" spans="1:41" x14ac:dyDescent="0.3">
      <c r="A509" t="s">
        <v>578</v>
      </c>
      <c r="B509">
        <v>32</v>
      </c>
      <c r="C509" t="s">
        <v>196</v>
      </c>
      <c r="D509" t="s">
        <v>55</v>
      </c>
      <c r="E509" t="s">
        <v>48</v>
      </c>
      <c r="F509">
        <v>371</v>
      </c>
      <c r="G509" t="s">
        <v>57</v>
      </c>
      <c r="H509">
        <v>19</v>
      </c>
      <c r="I509">
        <v>3</v>
      </c>
      <c r="J509" t="s">
        <v>50</v>
      </c>
      <c r="K509">
        <v>1739</v>
      </c>
      <c r="L509">
        <v>4</v>
      </c>
      <c r="M509" t="s">
        <v>51</v>
      </c>
      <c r="N509">
        <v>1</v>
      </c>
      <c r="O509">
        <v>3</v>
      </c>
      <c r="P509" t="s">
        <v>145</v>
      </c>
      <c r="Q509">
        <v>3</v>
      </c>
      <c r="R509" t="s">
        <v>113</v>
      </c>
      <c r="S509">
        <v>27646</v>
      </c>
      <c r="T509" t="s">
        <v>72</v>
      </c>
      <c r="U509">
        <v>172.79</v>
      </c>
      <c r="V509">
        <v>3</v>
      </c>
      <c r="W509" t="s">
        <v>55</v>
      </c>
      <c r="X509">
        <v>13</v>
      </c>
      <c r="Y509">
        <v>3</v>
      </c>
      <c r="Z509">
        <v>3</v>
      </c>
      <c r="AA509">
        <v>1</v>
      </c>
      <c r="AB509">
        <v>10</v>
      </c>
      <c r="AC509">
        <v>2</v>
      </c>
      <c r="AD509">
        <v>1</v>
      </c>
      <c r="AE509">
        <v>4</v>
      </c>
      <c r="AF509">
        <v>3</v>
      </c>
      <c r="AG509">
        <v>0</v>
      </c>
      <c r="AH509">
        <v>2</v>
      </c>
      <c r="AI509">
        <f t="shared" si="49"/>
        <v>0</v>
      </c>
      <c r="AJ509" t="str">
        <f t="shared" si="50"/>
        <v>4-5 yrs</v>
      </c>
      <c r="AK509" t="str">
        <f t="shared" si="51"/>
        <v>Recent</v>
      </c>
      <c r="AL509">
        <f t="shared" si="52"/>
        <v>1</v>
      </c>
      <c r="AM509" t="str">
        <f t="shared" si="53"/>
        <v>Low Risk</v>
      </c>
      <c r="AN509" s="6">
        <f t="shared" si="54"/>
        <v>-0.43646261305401862</v>
      </c>
      <c r="AO509" s="7">
        <f t="shared" si="55"/>
        <v>331752</v>
      </c>
    </row>
    <row r="510" spans="1:41" x14ac:dyDescent="0.3">
      <c r="A510" t="s">
        <v>579</v>
      </c>
      <c r="B510">
        <v>32</v>
      </c>
      <c r="C510" t="s">
        <v>196</v>
      </c>
      <c r="D510" t="s">
        <v>55</v>
      </c>
      <c r="E510" t="s">
        <v>66</v>
      </c>
      <c r="F510">
        <v>953</v>
      </c>
      <c r="G510" t="s">
        <v>49</v>
      </c>
      <c r="H510">
        <v>5</v>
      </c>
      <c r="I510">
        <v>4</v>
      </c>
      <c r="J510" t="s">
        <v>77</v>
      </c>
      <c r="K510">
        <v>1764</v>
      </c>
      <c r="L510">
        <v>2</v>
      </c>
      <c r="M510" t="s">
        <v>51</v>
      </c>
      <c r="N510">
        <v>3</v>
      </c>
      <c r="O510">
        <v>1</v>
      </c>
      <c r="P510" t="s">
        <v>67</v>
      </c>
      <c r="Q510">
        <v>2</v>
      </c>
      <c r="R510" t="s">
        <v>53</v>
      </c>
      <c r="S510">
        <v>24049</v>
      </c>
      <c r="T510" t="s">
        <v>54</v>
      </c>
      <c r="U510">
        <v>150.31</v>
      </c>
      <c r="V510">
        <v>2</v>
      </c>
      <c r="W510" t="s">
        <v>55</v>
      </c>
      <c r="X510">
        <v>14</v>
      </c>
      <c r="Y510">
        <v>3</v>
      </c>
      <c r="Z510">
        <v>2</v>
      </c>
      <c r="AA510">
        <v>0</v>
      </c>
      <c r="AB510">
        <v>12</v>
      </c>
      <c r="AC510">
        <v>3</v>
      </c>
      <c r="AD510">
        <v>3</v>
      </c>
      <c r="AE510">
        <v>7</v>
      </c>
      <c r="AF510">
        <v>7</v>
      </c>
      <c r="AG510">
        <v>0</v>
      </c>
      <c r="AH510">
        <v>7</v>
      </c>
      <c r="AI510">
        <f t="shared" si="49"/>
        <v>0</v>
      </c>
      <c r="AJ510" t="str">
        <f t="shared" si="50"/>
        <v>6-10 yrs</v>
      </c>
      <c r="AK510" t="str">
        <f t="shared" si="51"/>
        <v>Recent</v>
      </c>
      <c r="AL510">
        <f t="shared" si="52"/>
        <v>1</v>
      </c>
      <c r="AM510" t="str">
        <f t="shared" si="53"/>
        <v>Low Risk</v>
      </c>
      <c r="AN510" s="6">
        <f t="shared" si="54"/>
        <v>-0.51772849996659998</v>
      </c>
      <c r="AO510" s="7">
        <f t="shared" si="55"/>
        <v>288588</v>
      </c>
    </row>
    <row r="511" spans="1:41" x14ac:dyDescent="0.3">
      <c r="A511" t="s">
        <v>580</v>
      </c>
      <c r="B511">
        <v>32</v>
      </c>
      <c r="C511" t="s">
        <v>196</v>
      </c>
      <c r="D511" t="s">
        <v>55</v>
      </c>
      <c r="E511" t="s">
        <v>62</v>
      </c>
      <c r="F511">
        <v>1318</v>
      </c>
      <c r="G511" t="s">
        <v>57</v>
      </c>
      <c r="H511">
        <v>10</v>
      </c>
      <c r="I511">
        <v>4</v>
      </c>
      <c r="J511" t="s">
        <v>63</v>
      </c>
      <c r="K511">
        <v>1853</v>
      </c>
      <c r="L511">
        <v>4</v>
      </c>
      <c r="M511" t="s">
        <v>51</v>
      </c>
      <c r="N511">
        <v>3</v>
      </c>
      <c r="O511">
        <v>2</v>
      </c>
      <c r="P511" t="s">
        <v>145</v>
      </c>
      <c r="Q511">
        <v>4</v>
      </c>
      <c r="R511" t="s">
        <v>53</v>
      </c>
      <c r="S511">
        <v>80605</v>
      </c>
      <c r="T511" t="s">
        <v>64</v>
      </c>
      <c r="U511">
        <v>503.78</v>
      </c>
      <c r="V511">
        <v>8</v>
      </c>
      <c r="W511" t="s">
        <v>55</v>
      </c>
      <c r="X511">
        <v>13</v>
      </c>
      <c r="Y511">
        <v>3</v>
      </c>
      <c r="Z511">
        <v>3</v>
      </c>
      <c r="AA511">
        <v>0</v>
      </c>
      <c r="AB511">
        <v>4</v>
      </c>
      <c r="AC511">
        <v>2</v>
      </c>
      <c r="AD511">
        <v>4</v>
      </c>
      <c r="AE511">
        <v>0</v>
      </c>
      <c r="AF511">
        <v>0</v>
      </c>
      <c r="AG511">
        <v>0</v>
      </c>
      <c r="AH511">
        <v>0</v>
      </c>
      <c r="AI511">
        <f t="shared" si="49"/>
        <v>0</v>
      </c>
      <c r="AJ511" t="str">
        <f t="shared" si="50"/>
        <v>0-1 yr</v>
      </c>
      <c r="AK511" t="str">
        <f t="shared" si="51"/>
        <v>Recent</v>
      </c>
      <c r="AL511">
        <f t="shared" si="52"/>
        <v>0</v>
      </c>
      <c r="AM511" t="str">
        <f t="shared" si="53"/>
        <v>Minimal Risk</v>
      </c>
      <c r="AN511" s="6">
        <f t="shared" si="54"/>
        <v>0.64305617719673114</v>
      </c>
      <c r="AO511" s="7">
        <f t="shared" si="55"/>
        <v>967260</v>
      </c>
    </row>
    <row r="512" spans="1:41" x14ac:dyDescent="0.3">
      <c r="A512" t="s">
        <v>581</v>
      </c>
      <c r="B512">
        <v>32</v>
      </c>
      <c r="C512" t="s">
        <v>196</v>
      </c>
      <c r="D512" t="s">
        <v>47</v>
      </c>
      <c r="E512" t="s">
        <v>48</v>
      </c>
      <c r="F512">
        <v>414</v>
      </c>
      <c r="G512" t="s">
        <v>57</v>
      </c>
      <c r="H512">
        <v>2</v>
      </c>
      <c r="I512">
        <v>4</v>
      </c>
      <c r="J512" t="s">
        <v>63</v>
      </c>
      <c r="K512">
        <v>1862</v>
      </c>
      <c r="L512">
        <v>3</v>
      </c>
      <c r="M512" t="s">
        <v>51</v>
      </c>
      <c r="N512">
        <v>2</v>
      </c>
      <c r="O512">
        <v>2</v>
      </c>
      <c r="P512" t="s">
        <v>145</v>
      </c>
      <c r="Q512">
        <v>2</v>
      </c>
      <c r="R512" t="s">
        <v>53</v>
      </c>
      <c r="S512">
        <v>99116</v>
      </c>
      <c r="T512" t="s">
        <v>70</v>
      </c>
      <c r="U512">
        <v>619.48</v>
      </c>
      <c r="V512">
        <v>7</v>
      </c>
      <c r="W512" t="s">
        <v>47</v>
      </c>
      <c r="X512">
        <v>12</v>
      </c>
      <c r="Y512">
        <v>3</v>
      </c>
      <c r="Z512">
        <v>3</v>
      </c>
      <c r="AA512">
        <v>0</v>
      </c>
      <c r="AB512">
        <v>7</v>
      </c>
      <c r="AC512">
        <v>3</v>
      </c>
      <c r="AD512">
        <v>2</v>
      </c>
      <c r="AE512">
        <v>2</v>
      </c>
      <c r="AF512">
        <v>2</v>
      </c>
      <c r="AG512">
        <v>2</v>
      </c>
      <c r="AH512">
        <v>2</v>
      </c>
      <c r="AI512">
        <f t="shared" si="49"/>
        <v>1</v>
      </c>
      <c r="AJ512" t="str">
        <f t="shared" si="50"/>
        <v>2-3 yrs</v>
      </c>
      <c r="AK512" t="str">
        <f t="shared" si="51"/>
        <v>Recent</v>
      </c>
      <c r="AL512">
        <f t="shared" si="52"/>
        <v>3</v>
      </c>
      <c r="AM512" t="str">
        <f t="shared" si="53"/>
        <v>High Risk</v>
      </c>
      <c r="AN512" s="6">
        <f t="shared" si="54"/>
        <v>1.0203852870049153</v>
      </c>
      <c r="AO512" s="7">
        <f t="shared" si="55"/>
        <v>1189392</v>
      </c>
    </row>
    <row r="513" spans="1:41" x14ac:dyDescent="0.3">
      <c r="A513" t="s">
        <v>582</v>
      </c>
      <c r="B513">
        <v>32</v>
      </c>
      <c r="C513" t="s">
        <v>196</v>
      </c>
      <c r="D513" t="s">
        <v>47</v>
      </c>
      <c r="E513" t="s">
        <v>62</v>
      </c>
      <c r="F513">
        <v>238</v>
      </c>
      <c r="G513" t="s">
        <v>49</v>
      </c>
      <c r="H513">
        <v>5</v>
      </c>
      <c r="I513">
        <v>2</v>
      </c>
      <c r="J513" t="s">
        <v>50</v>
      </c>
      <c r="K513">
        <v>1939</v>
      </c>
      <c r="L513">
        <v>1</v>
      </c>
      <c r="M513" t="s">
        <v>59</v>
      </c>
      <c r="N513">
        <v>4</v>
      </c>
      <c r="O513">
        <v>1</v>
      </c>
      <c r="P513" t="s">
        <v>67</v>
      </c>
      <c r="Q513">
        <v>3</v>
      </c>
      <c r="R513" t="s">
        <v>53</v>
      </c>
      <c r="S513">
        <v>98379</v>
      </c>
      <c r="T513" t="s">
        <v>70</v>
      </c>
      <c r="U513">
        <v>614.87</v>
      </c>
      <c r="V513">
        <v>3</v>
      </c>
      <c r="W513" t="s">
        <v>47</v>
      </c>
      <c r="X513">
        <v>14</v>
      </c>
      <c r="Y513">
        <v>3</v>
      </c>
      <c r="Z513">
        <v>1</v>
      </c>
      <c r="AA513">
        <v>0</v>
      </c>
      <c r="AB513">
        <v>8</v>
      </c>
      <c r="AC513">
        <v>2</v>
      </c>
      <c r="AD513">
        <v>3</v>
      </c>
      <c r="AE513">
        <v>4</v>
      </c>
      <c r="AF513">
        <v>1</v>
      </c>
      <c r="AG513">
        <v>0</v>
      </c>
      <c r="AH513">
        <v>3</v>
      </c>
      <c r="AI513">
        <f t="shared" si="49"/>
        <v>1</v>
      </c>
      <c r="AJ513" t="str">
        <f t="shared" si="50"/>
        <v>4-5 yrs</v>
      </c>
      <c r="AK513" t="str">
        <f t="shared" si="51"/>
        <v>Recent</v>
      </c>
      <c r="AL513">
        <f t="shared" si="52"/>
        <v>1</v>
      </c>
      <c r="AM513" t="str">
        <f t="shared" si="53"/>
        <v>Low Risk</v>
      </c>
      <c r="AN513" s="6">
        <f t="shared" si="54"/>
        <v>0.97286323347273729</v>
      </c>
      <c r="AO513" s="7">
        <f t="shared" si="55"/>
        <v>1180548</v>
      </c>
    </row>
    <row r="514" spans="1:41" x14ac:dyDescent="0.3">
      <c r="A514" t="s">
        <v>583</v>
      </c>
      <c r="B514">
        <v>32</v>
      </c>
      <c r="C514" t="s">
        <v>196</v>
      </c>
      <c r="D514" t="s">
        <v>55</v>
      </c>
      <c r="E514" t="s">
        <v>66</v>
      </c>
      <c r="F514">
        <v>1146</v>
      </c>
      <c r="G514" t="s">
        <v>49</v>
      </c>
      <c r="H514">
        <v>15</v>
      </c>
      <c r="I514">
        <v>4</v>
      </c>
      <c r="J514" t="s">
        <v>58</v>
      </c>
      <c r="K514">
        <v>1955</v>
      </c>
      <c r="L514">
        <v>3</v>
      </c>
      <c r="M514" t="s">
        <v>59</v>
      </c>
      <c r="N514">
        <v>3</v>
      </c>
      <c r="O514">
        <v>2</v>
      </c>
      <c r="P514" t="s">
        <v>168</v>
      </c>
      <c r="Q514">
        <v>4</v>
      </c>
      <c r="R514" t="s">
        <v>53</v>
      </c>
      <c r="S514">
        <v>69385</v>
      </c>
      <c r="T514" t="s">
        <v>64</v>
      </c>
      <c r="U514">
        <v>433.66</v>
      </c>
      <c r="V514">
        <v>5</v>
      </c>
      <c r="W514" t="s">
        <v>55</v>
      </c>
      <c r="X514">
        <v>18</v>
      </c>
      <c r="Y514">
        <v>3</v>
      </c>
      <c r="Z514">
        <v>2</v>
      </c>
      <c r="AA514">
        <v>1</v>
      </c>
      <c r="AB514">
        <v>9</v>
      </c>
      <c r="AC514">
        <v>6</v>
      </c>
      <c r="AD514">
        <v>3</v>
      </c>
      <c r="AE514">
        <v>5</v>
      </c>
      <c r="AF514">
        <v>1</v>
      </c>
      <c r="AG514">
        <v>1</v>
      </c>
      <c r="AH514">
        <v>2</v>
      </c>
      <c r="AI514">
        <f t="shared" ref="AI514:AI577" si="56">IF(D514="Yes",1,0)</f>
        <v>0</v>
      </c>
      <c r="AJ514" t="str">
        <f t="shared" ref="AJ514:AJ577" si="57">IF(AE514&lt;=1,"0-1 yr",IF(AE514&lt;=3,"2-3 yrs",IF(AE514&lt;=5,"4-5 yrs",IF(AE514&lt;=10,"6-10 yrs","10+ yrs"))))</f>
        <v>4-5 yrs</v>
      </c>
      <c r="AK514" t="str">
        <f t="shared" ref="AK514:AK577" si="58">IF(AG514&gt;=3,"Overdue","Recent")</f>
        <v>Recent</v>
      </c>
      <c r="AL514">
        <f t="shared" ref="AL514:AL577" si="59">IF(W514="Yes",1,0)+IF(AD514&lt;=2,1,0)+IF(Q514&lt;=2,1,0)+IF(AG514&gt;=3,1,0)</f>
        <v>0</v>
      </c>
      <c r="AM514" t="str">
        <f t="shared" ref="AM514:AM577" si="60">IF(AL514&gt;=3,"High Risk",IF(AL514=2,"Medium Risk",IF(AL514=1,"Low Risk","Minimal Risk")))</f>
        <v>Minimal Risk</v>
      </c>
      <c r="AN514" s="6">
        <f t="shared" ref="AN514:AN577" si="61">IFERROR((S514-AVERAGEIF(P$2:P$1479,P514,S$2:S$1479))/AVERAGEIF(P$2:P$1479,P514,S$2:S$1479),0)</f>
        <v>0.4398471499211441</v>
      </c>
      <c r="AO514" s="7">
        <f t="shared" ref="AO514:AO577" si="62">S514*12</f>
        <v>832620</v>
      </c>
    </row>
    <row r="515" spans="1:41" x14ac:dyDescent="0.3">
      <c r="A515" t="s">
        <v>584</v>
      </c>
      <c r="B515">
        <v>32</v>
      </c>
      <c r="C515" t="s">
        <v>196</v>
      </c>
      <c r="D515" t="s">
        <v>55</v>
      </c>
      <c r="E515" t="s">
        <v>48</v>
      </c>
      <c r="F515">
        <v>1373</v>
      </c>
      <c r="G515" t="s">
        <v>49</v>
      </c>
      <c r="H515">
        <v>5</v>
      </c>
      <c r="I515">
        <v>4</v>
      </c>
      <c r="J515" t="s">
        <v>50</v>
      </c>
      <c r="K515">
        <v>1966</v>
      </c>
      <c r="L515">
        <v>4</v>
      </c>
      <c r="M515" t="s">
        <v>51</v>
      </c>
      <c r="N515">
        <v>2</v>
      </c>
      <c r="O515">
        <v>2</v>
      </c>
      <c r="P515" t="s">
        <v>120</v>
      </c>
      <c r="Q515">
        <v>4</v>
      </c>
      <c r="R515" t="s">
        <v>53</v>
      </c>
      <c r="S515">
        <v>41158</v>
      </c>
      <c r="T515" t="s">
        <v>72</v>
      </c>
      <c r="U515">
        <v>257.24</v>
      </c>
      <c r="V515">
        <v>8</v>
      </c>
      <c r="W515" t="s">
        <v>55</v>
      </c>
      <c r="X515">
        <v>24</v>
      </c>
      <c r="Y515">
        <v>4</v>
      </c>
      <c r="Z515">
        <v>2</v>
      </c>
      <c r="AA515">
        <v>0</v>
      </c>
      <c r="AB515">
        <v>8</v>
      </c>
      <c r="AC515">
        <v>1</v>
      </c>
      <c r="AD515">
        <v>3</v>
      </c>
      <c r="AE515">
        <v>1</v>
      </c>
      <c r="AF515">
        <v>0</v>
      </c>
      <c r="AG515">
        <v>0</v>
      </c>
      <c r="AH515">
        <v>0</v>
      </c>
      <c r="AI515">
        <f t="shared" si="56"/>
        <v>0</v>
      </c>
      <c r="AJ515" t="str">
        <f t="shared" si="57"/>
        <v>0-1 yr</v>
      </c>
      <c r="AK515" t="str">
        <f t="shared" si="58"/>
        <v>Recent</v>
      </c>
      <c r="AL515">
        <f t="shared" si="59"/>
        <v>0</v>
      </c>
      <c r="AM515" t="str">
        <f t="shared" si="60"/>
        <v>Minimal Risk</v>
      </c>
      <c r="AN515" s="6">
        <f t="shared" si="61"/>
        <v>-7.0827674579669916E-2</v>
      </c>
      <c r="AO515" s="7">
        <f t="shared" si="62"/>
        <v>493896</v>
      </c>
    </row>
    <row r="516" spans="1:41" x14ac:dyDescent="0.3">
      <c r="A516" t="s">
        <v>585</v>
      </c>
      <c r="B516">
        <v>32</v>
      </c>
      <c r="C516" t="s">
        <v>196</v>
      </c>
      <c r="D516" t="s">
        <v>55</v>
      </c>
      <c r="E516" t="s">
        <v>48</v>
      </c>
      <c r="F516">
        <v>267</v>
      </c>
      <c r="G516" t="s">
        <v>49</v>
      </c>
      <c r="H516">
        <v>29</v>
      </c>
      <c r="I516">
        <v>4</v>
      </c>
      <c r="J516" t="s">
        <v>50</v>
      </c>
      <c r="K516">
        <v>2010</v>
      </c>
      <c r="L516">
        <v>3</v>
      </c>
      <c r="M516" t="s">
        <v>59</v>
      </c>
      <c r="N516">
        <v>2</v>
      </c>
      <c r="O516">
        <v>1</v>
      </c>
      <c r="P516" t="s">
        <v>52</v>
      </c>
      <c r="Q516">
        <v>2</v>
      </c>
      <c r="R516" t="s">
        <v>53</v>
      </c>
      <c r="S516">
        <v>66417</v>
      </c>
      <c r="T516" t="s">
        <v>64</v>
      </c>
      <c r="U516">
        <v>415.11</v>
      </c>
      <c r="V516">
        <v>1</v>
      </c>
      <c r="W516" t="s">
        <v>55</v>
      </c>
      <c r="X516">
        <v>13</v>
      </c>
      <c r="Y516">
        <v>3</v>
      </c>
      <c r="Z516">
        <v>3</v>
      </c>
      <c r="AA516">
        <v>0</v>
      </c>
      <c r="AB516">
        <v>6</v>
      </c>
      <c r="AC516">
        <v>3</v>
      </c>
      <c r="AD516">
        <v>3</v>
      </c>
      <c r="AE516">
        <v>6</v>
      </c>
      <c r="AF516">
        <v>2</v>
      </c>
      <c r="AG516">
        <v>4</v>
      </c>
      <c r="AH516">
        <v>1</v>
      </c>
      <c r="AI516">
        <f t="shared" si="56"/>
        <v>0</v>
      </c>
      <c r="AJ516" t="str">
        <f t="shared" si="57"/>
        <v>6-10 yrs</v>
      </c>
      <c r="AK516" t="str">
        <f t="shared" si="58"/>
        <v>Overdue</v>
      </c>
      <c r="AL516">
        <f t="shared" si="59"/>
        <v>2</v>
      </c>
      <c r="AM516" t="str">
        <f t="shared" si="60"/>
        <v>Medium Risk</v>
      </c>
      <c r="AN516" s="6">
        <f t="shared" si="61"/>
        <v>0.28414987419409388</v>
      </c>
      <c r="AO516" s="7">
        <f t="shared" si="62"/>
        <v>797004</v>
      </c>
    </row>
    <row r="517" spans="1:41" x14ac:dyDescent="0.3">
      <c r="A517" t="s">
        <v>586</v>
      </c>
      <c r="B517">
        <v>32</v>
      </c>
      <c r="C517" t="s">
        <v>196</v>
      </c>
      <c r="D517" t="s">
        <v>55</v>
      </c>
      <c r="E517" t="s">
        <v>48</v>
      </c>
      <c r="F517">
        <v>234</v>
      </c>
      <c r="G517" t="s">
        <v>57</v>
      </c>
      <c r="H517">
        <v>1</v>
      </c>
      <c r="I517">
        <v>4</v>
      </c>
      <c r="J517" t="s">
        <v>58</v>
      </c>
      <c r="K517">
        <v>2013</v>
      </c>
      <c r="L517">
        <v>2</v>
      </c>
      <c r="M517" t="s">
        <v>51</v>
      </c>
      <c r="N517">
        <v>2</v>
      </c>
      <c r="O517">
        <v>1</v>
      </c>
      <c r="P517" t="s">
        <v>60</v>
      </c>
      <c r="Q517">
        <v>2</v>
      </c>
      <c r="R517" t="s">
        <v>113</v>
      </c>
      <c r="S517">
        <v>24289</v>
      </c>
      <c r="T517" t="s">
        <v>54</v>
      </c>
      <c r="U517">
        <v>151.81</v>
      </c>
      <c r="V517">
        <v>0</v>
      </c>
      <c r="W517" t="s">
        <v>55</v>
      </c>
      <c r="X517">
        <v>14</v>
      </c>
      <c r="Y517">
        <v>3</v>
      </c>
      <c r="Z517">
        <v>2</v>
      </c>
      <c r="AA517">
        <v>1</v>
      </c>
      <c r="AB517">
        <v>3</v>
      </c>
      <c r="AC517">
        <v>2</v>
      </c>
      <c r="AD517">
        <v>3</v>
      </c>
      <c r="AE517">
        <v>2</v>
      </c>
      <c r="AF517">
        <v>2</v>
      </c>
      <c r="AG517">
        <v>2</v>
      </c>
      <c r="AH517">
        <v>2</v>
      </c>
      <c r="AI517">
        <f t="shared" si="56"/>
        <v>0</v>
      </c>
      <c r="AJ517" t="str">
        <f t="shared" si="57"/>
        <v>2-3 yrs</v>
      </c>
      <c r="AK517" t="str">
        <f t="shared" si="58"/>
        <v>Recent</v>
      </c>
      <c r="AL517">
        <f t="shared" si="59"/>
        <v>1</v>
      </c>
      <c r="AM517" t="str">
        <f t="shared" si="60"/>
        <v>Low Risk</v>
      </c>
      <c r="AN517" s="6">
        <f t="shared" si="61"/>
        <v>-0.50759017060899236</v>
      </c>
      <c r="AO517" s="7">
        <f t="shared" si="62"/>
        <v>291468</v>
      </c>
    </row>
    <row r="518" spans="1:41" x14ac:dyDescent="0.3">
      <c r="A518" t="s">
        <v>587</v>
      </c>
      <c r="B518">
        <v>32</v>
      </c>
      <c r="C518" t="s">
        <v>196</v>
      </c>
      <c r="D518" t="s">
        <v>55</v>
      </c>
      <c r="E518" t="s">
        <v>48</v>
      </c>
      <c r="F518">
        <v>801</v>
      </c>
      <c r="G518" t="s">
        <v>57</v>
      </c>
      <c r="H518">
        <v>1</v>
      </c>
      <c r="I518">
        <v>4</v>
      </c>
      <c r="J518" t="s">
        <v>63</v>
      </c>
      <c r="K518">
        <v>2016</v>
      </c>
      <c r="L518">
        <v>3</v>
      </c>
      <c r="M518" t="s">
        <v>59</v>
      </c>
      <c r="N518">
        <v>3</v>
      </c>
      <c r="O518">
        <v>3</v>
      </c>
      <c r="P518" t="s">
        <v>145</v>
      </c>
      <c r="Q518">
        <v>4</v>
      </c>
      <c r="R518" t="s">
        <v>113</v>
      </c>
      <c r="S518">
        <v>10823</v>
      </c>
      <c r="T518" t="s">
        <v>54</v>
      </c>
      <c r="U518">
        <v>67.64</v>
      </c>
      <c r="V518">
        <v>1</v>
      </c>
      <c r="W518" t="s">
        <v>55</v>
      </c>
      <c r="X518">
        <v>19</v>
      </c>
      <c r="Y518">
        <v>3</v>
      </c>
      <c r="Z518">
        <v>3</v>
      </c>
      <c r="AA518">
        <v>2</v>
      </c>
      <c r="AB518">
        <v>14</v>
      </c>
      <c r="AC518">
        <v>3</v>
      </c>
      <c r="AD518">
        <v>3</v>
      </c>
      <c r="AE518">
        <v>14</v>
      </c>
      <c r="AF518">
        <v>10</v>
      </c>
      <c r="AG518">
        <v>5</v>
      </c>
      <c r="AH518">
        <v>7</v>
      </c>
      <c r="AI518">
        <f t="shared" si="56"/>
        <v>0</v>
      </c>
      <c r="AJ518" t="str">
        <f t="shared" si="57"/>
        <v>10+ yrs</v>
      </c>
      <c r="AK518" t="str">
        <f t="shared" si="58"/>
        <v>Overdue</v>
      </c>
      <c r="AL518">
        <f t="shared" si="59"/>
        <v>1</v>
      </c>
      <c r="AM518" t="str">
        <f t="shared" si="60"/>
        <v>Low Risk</v>
      </c>
      <c r="AN518" s="6">
        <f t="shared" si="61"/>
        <v>-0.77938345008622023</v>
      </c>
      <c r="AO518" s="7">
        <f t="shared" si="62"/>
        <v>129876</v>
      </c>
    </row>
    <row r="519" spans="1:41" x14ac:dyDescent="0.3">
      <c r="A519" t="s">
        <v>588</v>
      </c>
      <c r="B519">
        <v>32</v>
      </c>
      <c r="C519" t="s">
        <v>196</v>
      </c>
      <c r="D519" t="s">
        <v>55</v>
      </c>
      <c r="E519" t="s">
        <v>48</v>
      </c>
      <c r="F519">
        <v>529</v>
      </c>
      <c r="G519" t="s">
        <v>49</v>
      </c>
      <c r="H519">
        <v>2</v>
      </c>
      <c r="I519">
        <v>3</v>
      </c>
      <c r="J519" t="s">
        <v>77</v>
      </c>
      <c r="K519">
        <v>2038</v>
      </c>
      <c r="L519">
        <v>4</v>
      </c>
      <c r="M519" t="s">
        <v>51</v>
      </c>
      <c r="N519">
        <v>3</v>
      </c>
      <c r="O519">
        <v>1</v>
      </c>
      <c r="P519" t="s">
        <v>67</v>
      </c>
      <c r="Q519">
        <v>1</v>
      </c>
      <c r="R519" t="s">
        <v>53</v>
      </c>
      <c r="S519">
        <v>61160</v>
      </c>
      <c r="T519" t="s">
        <v>64</v>
      </c>
      <c r="U519">
        <v>382.25</v>
      </c>
      <c r="V519">
        <v>1</v>
      </c>
      <c r="W519" t="s">
        <v>55</v>
      </c>
      <c r="X519">
        <v>14</v>
      </c>
      <c r="Y519">
        <v>3</v>
      </c>
      <c r="Z519">
        <v>4</v>
      </c>
      <c r="AA519">
        <v>0</v>
      </c>
      <c r="AB519">
        <v>4</v>
      </c>
      <c r="AC519">
        <v>4</v>
      </c>
      <c r="AD519">
        <v>3</v>
      </c>
      <c r="AE519">
        <v>4</v>
      </c>
      <c r="AF519">
        <v>2</v>
      </c>
      <c r="AG519">
        <v>1</v>
      </c>
      <c r="AH519">
        <v>2</v>
      </c>
      <c r="AI519">
        <f t="shared" si="56"/>
        <v>0</v>
      </c>
      <c r="AJ519" t="str">
        <f t="shared" si="57"/>
        <v>4-5 yrs</v>
      </c>
      <c r="AK519" t="str">
        <f t="shared" si="58"/>
        <v>Recent</v>
      </c>
      <c r="AL519">
        <f t="shared" si="59"/>
        <v>1</v>
      </c>
      <c r="AM519" t="str">
        <f t="shared" si="60"/>
        <v>Low Risk</v>
      </c>
      <c r="AN519" s="6">
        <f t="shared" si="61"/>
        <v>0.2264844667987336</v>
      </c>
      <c r="AO519" s="7">
        <f t="shared" si="62"/>
        <v>733920</v>
      </c>
    </row>
    <row r="520" spans="1:41" x14ac:dyDescent="0.3">
      <c r="A520" t="s">
        <v>582</v>
      </c>
      <c r="B520">
        <v>32</v>
      </c>
      <c r="C520" t="s">
        <v>196</v>
      </c>
      <c r="D520" t="s">
        <v>47</v>
      </c>
      <c r="E520" t="s">
        <v>62</v>
      </c>
      <c r="F520">
        <v>238</v>
      </c>
      <c r="G520" t="s">
        <v>49</v>
      </c>
      <c r="H520">
        <v>5</v>
      </c>
      <c r="I520">
        <v>2</v>
      </c>
      <c r="J520" t="s">
        <v>50</v>
      </c>
      <c r="K520">
        <v>1939</v>
      </c>
      <c r="L520">
        <v>1</v>
      </c>
      <c r="M520" t="s">
        <v>59</v>
      </c>
      <c r="N520">
        <v>4</v>
      </c>
      <c r="O520">
        <v>1</v>
      </c>
      <c r="P520" t="s">
        <v>67</v>
      </c>
      <c r="Q520">
        <v>3</v>
      </c>
      <c r="R520" t="s">
        <v>53</v>
      </c>
      <c r="S520">
        <v>98379</v>
      </c>
      <c r="T520" t="s">
        <v>70</v>
      </c>
      <c r="U520">
        <v>614.87</v>
      </c>
      <c r="V520">
        <v>3</v>
      </c>
      <c r="W520" t="s">
        <v>47</v>
      </c>
      <c r="X520">
        <v>14</v>
      </c>
      <c r="Y520">
        <v>3</v>
      </c>
      <c r="Z520">
        <v>1</v>
      </c>
      <c r="AA520">
        <v>0</v>
      </c>
      <c r="AB520">
        <v>8</v>
      </c>
      <c r="AC520">
        <v>2</v>
      </c>
      <c r="AD520">
        <v>3</v>
      </c>
      <c r="AE520">
        <v>4</v>
      </c>
      <c r="AF520">
        <v>1</v>
      </c>
      <c r="AG520">
        <v>0</v>
      </c>
      <c r="AH520">
        <v>0</v>
      </c>
      <c r="AI520">
        <f t="shared" si="56"/>
        <v>1</v>
      </c>
      <c r="AJ520" t="str">
        <f t="shared" si="57"/>
        <v>4-5 yrs</v>
      </c>
      <c r="AK520" t="str">
        <f t="shared" si="58"/>
        <v>Recent</v>
      </c>
      <c r="AL520">
        <f t="shared" si="59"/>
        <v>1</v>
      </c>
      <c r="AM520" t="str">
        <f t="shared" si="60"/>
        <v>Low Risk</v>
      </c>
      <c r="AN520" s="6">
        <f t="shared" si="61"/>
        <v>0.97286323347273729</v>
      </c>
      <c r="AO520" s="7">
        <f t="shared" si="62"/>
        <v>1180548</v>
      </c>
    </row>
    <row r="521" spans="1:41" x14ac:dyDescent="0.3">
      <c r="A521" t="s">
        <v>589</v>
      </c>
      <c r="B521">
        <v>33</v>
      </c>
      <c r="C521" t="s">
        <v>196</v>
      </c>
      <c r="D521" t="s">
        <v>55</v>
      </c>
      <c r="E521" t="s">
        <v>48</v>
      </c>
      <c r="F521">
        <v>924</v>
      </c>
      <c r="G521" t="s">
        <v>49</v>
      </c>
      <c r="H521">
        <v>2</v>
      </c>
      <c r="I521">
        <v>3</v>
      </c>
      <c r="J521" t="s">
        <v>58</v>
      </c>
      <c r="K521">
        <v>39</v>
      </c>
      <c r="L521">
        <v>3</v>
      </c>
      <c r="M521" t="s">
        <v>51</v>
      </c>
      <c r="N521">
        <v>3</v>
      </c>
      <c r="O521">
        <v>1</v>
      </c>
      <c r="P521" t="s">
        <v>52</v>
      </c>
      <c r="Q521">
        <v>4</v>
      </c>
      <c r="R521" t="s">
        <v>53</v>
      </c>
      <c r="S521">
        <v>10540</v>
      </c>
      <c r="T521" t="s">
        <v>54</v>
      </c>
      <c r="U521">
        <v>65.88</v>
      </c>
      <c r="V521">
        <v>4</v>
      </c>
      <c r="W521" t="s">
        <v>55</v>
      </c>
      <c r="X521">
        <v>11</v>
      </c>
      <c r="Y521">
        <v>3</v>
      </c>
      <c r="Z521">
        <v>4</v>
      </c>
      <c r="AA521">
        <v>0</v>
      </c>
      <c r="AB521">
        <v>7</v>
      </c>
      <c r="AC521">
        <v>3</v>
      </c>
      <c r="AD521">
        <v>3</v>
      </c>
      <c r="AE521">
        <v>1</v>
      </c>
      <c r="AF521">
        <v>1</v>
      </c>
      <c r="AG521">
        <v>0</v>
      </c>
      <c r="AH521">
        <v>1</v>
      </c>
      <c r="AI521">
        <f t="shared" si="56"/>
        <v>0</v>
      </c>
      <c r="AJ521" t="str">
        <f t="shared" si="57"/>
        <v>0-1 yr</v>
      </c>
      <c r="AK521" t="str">
        <f t="shared" si="58"/>
        <v>Recent</v>
      </c>
      <c r="AL521">
        <f t="shared" si="59"/>
        <v>0</v>
      </c>
      <c r="AM521" t="str">
        <f t="shared" si="60"/>
        <v>Minimal Risk</v>
      </c>
      <c r="AN521" s="6">
        <f t="shared" si="61"/>
        <v>-0.79621272153205125</v>
      </c>
      <c r="AO521" s="7">
        <f t="shared" si="62"/>
        <v>126480</v>
      </c>
    </row>
    <row r="522" spans="1:41" x14ac:dyDescent="0.3">
      <c r="A522" t="s">
        <v>590</v>
      </c>
      <c r="B522">
        <v>33</v>
      </c>
      <c r="C522" t="s">
        <v>196</v>
      </c>
      <c r="D522" t="s">
        <v>55</v>
      </c>
      <c r="E522" t="s">
        <v>62</v>
      </c>
      <c r="F522">
        <v>1141</v>
      </c>
      <c r="G522" t="s">
        <v>57</v>
      </c>
      <c r="H522">
        <v>1</v>
      </c>
      <c r="I522">
        <v>3</v>
      </c>
      <c r="J522" t="s">
        <v>50</v>
      </c>
      <c r="K522">
        <v>52</v>
      </c>
      <c r="L522">
        <v>3</v>
      </c>
      <c r="M522" t="s">
        <v>59</v>
      </c>
      <c r="N522">
        <v>4</v>
      </c>
      <c r="O522">
        <v>2</v>
      </c>
      <c r="P522" t="s">
        <v>145</v>
      </c>
      <c r="Q522">
        <v>1</v>
      </c>
      <c r="R522" t="s">
        <v>113</v>
      </c>
      <c r="S522">
        <v>17364</v>
      </c>
      <c r="T522" t="s">
        <v>54</v>
      </c>
      <c r="U522">
        <v>108.52</v>
      </c>
      <c r="V522">
        <v>2</v>
      </c>
      <c r="W522" t="s">
        <v>55</v>
      </c>
      <c r="X522">
        <v>19</v>
      </c>
      <c r="Y522">
        <v>3</v>
      </c>
      <c r="Z522">
        <v>1</v>
      </c>
      <c r="AA522">
        <v>2</v>
      </c>
      <c r="AB522">
        <v>10</v>
      </c>
      <c r="AC522">
        <v>3</v>
      </c>
      <c r="AD522">
        <v>3</v>
      </c>
      <c r="AE522">
        <v>5</v>
      </c>
      <c r="AF522">
        <v>3</v>
      </c>
      <c r="AG522">
        <v>1</v>
      </c>
      <c r="AH522">
        <v>3</v>
      </c>
      <c r="AI522">
        <f t="shared" si="56"/>
        <v>0</v>
      </c>
      <c r="AJ522" t="str">
        <f t="shared" si="57"/>
        <v>4-5 yrs</v>
      </c>
      <c r="AK522" t="str">
        <f t="shared" si="58"/>
        <v>Recent</v>
      </c>
      <c r="AL522">
        <f t="shared" si="59"/>
        <v>1</v>
      </c>
      <c r="AM522" t="str">
        <f t="shared" si="60"/>
        <v>Low Risk</v>
      </c>
      <c r="AN522" s="6">
        <f t="shared" si="61"/>
        <v>-0.64605139307928738</v>
      </c>
      <c r="AO522" s="7">
        <f t="shared" si="62"/>
        <v>208368</v>
      </c>
    </row>
    <row r="523" spans="1:41" x14ac:dyDescent="0.3">
      <c r="A523" t="s">
        <v>591</v>
      </c>
      <c r="B523">
        <v>33</v>
      </c>
      <c r="C523" t="s">
        <v>196</v>
      </c>
      <c r="D523" t="s">
        <v>55</v>
      </c>
      <c r="E523" t="s">
        <v>62</v>
      </c>
      <c r="F523">
        <v>515</v>
      </c>
      <c r="G523" t="s">
        <v>49</v>
      </c>
      <c r="H523">
        <v>1</v>
      </c>
      <c r="I523">
        <v>2</v>
      </c>
      <c r="J523" t="s">
        <v>50</v>
      </c>
      <c r="K523">
        <v>73</v>
      </c>
      <c r="L523">
        <v>1</v>
      </c>
      <c r="M523" t="s">
        <v>59</v>
      </c>
      <c r="N523">
        <v>3</v>
      </c>
      <c r="O523">
        <v>3</v>
      </c>
      <c r="P523" t="s">
        <v>257</v>
      </c>
      <c r="Q523">
        <v>4</v>
      </c>
      <c r="R523" t="s">
        <v>53</v>
      </c>
      <c r="S523">
        <v>5611</v>
      </c>
      <c r="T523" t="s">
        <v>54</v>
      </c>
      <c r="U523">
        <v>35.07</v>
      </c>
      <c r="V523">
        <v>1</v>
      </c>
      <c r="W523" t="s">
        <v>47</v>
      </c>
      <c r="X523">
        <v>12</v>
      </c>
      <c r="Y523">
        <v>3</v>
      </c>
      <c r="Z523">
        <v>3</v>
      </c>
      <c r="AA523">
        <v>0</v>
      </c>
      <c r="AB523">
        <v>15</v>
      </c>
      <c r="AC523">
        <v>1</v>
      </c>
      <c r="AD523">
        <v>3</v>
      </c>
      <c r="AE523">
        <v>15</v>
      </c>
      <c r="AF523">
        <v>14</v>
      </c>
      <c r="AG523">
        <v>8</v>
      </c>
      <c r="AH523">
        <v>12</v>
      </c>
      <c r="AI523">
        <f t="shared" si="56"/>
        <v>0</v>
      </c>
      <c r="AJ523" t="str">
        <f t="shared" si="57"/>
        <v>10+ yrs</v>
      </c>
      <c r="AK523" t="str">
        <f t="shared" si="58"/>
        <v>Overdue</v>
      </c>
      <c r="AL523">
        <f t="shared" si="59"/>
        <v>2</v>
      </c>
      <c r="AM523" t="str">
        <f t="shared" si="60"/>
        <v>Medium Risk</v>
      </c>
      <c r="AN523" s="6">
        <f t="shared" si="61"/>
        <v>-0.88924872799371135</v>
      </c>
      <c r="AO523" s="7">
        <f t="shared" si="62"/>
        <v>67332</v>
      </c>
    </row>
    <row r="524" spans="1:41" x14ac:dyDescent="0.3">
      <c r="A524" t="s">
        <v>592</v>
      </c>
      <c r="B524">
        <v>33</v>
      </c>
      <c r="C524" t="s">
        <v>196</v>
      </c>
      <c r="D524" t="s">
        <v>55</v>
      </c>
      <c r="E524" t="s">
        <v>66</v>
      </c>
      <c r="F524">
        <v>750</v>
      </c>
      <c r="G524" t="s">
        <v>57</v>
      </c>
      <c r="H524">
        <v>22</v>
      </c>
      <c r="I524">
        <v>2</v>
      </c>
      <c r="J524" t="s">
        <v>63</v>
      </c>
      <c r="K524">
        <v>160</v>
      </c>
      <c r="L524">
        <v>3</v>
      </c>
      <c r="M524" t="s">
        <v>51</v>
      </c>
      <c r="N524">
        <v>3</v>
      </c>
      <c r="O524">
        <v>2</v>
      </c>
      <c r="P524" t="s">
        <v>145</v>
      </c>
      <c r="Q524">
        <v>2</v>
      </c>
      <c r="R524" t="s">
        <v>113</v>
      </c>
      <c r="S524">
        <v>28663</v>
      </c>
      <c r="T524" t="s">
        <v>72</v>
      </c>
      <c r="U524">
        <v>179.14</v>
      </c>
      <c r="V524">
        <v>0</v>
      </c>
      <c r="W524" t="s">
        <v>55</v>
      </c>
      <c r="X524">
        <v>13</v>
      </c>
      <c r="Y524">
        <v>3</v>
      </c>
      <c r="Z524">
        <v>1</v>
      </c>
      <c r="AA524">
        <v>1</v>
      </c>
      <c r="AB524">
        <v>8</v>
      </c>
      <c r="AC524">
        <v>2</v>
      </c>
      <c r="AD524">
        <v>4</v>
      </c>
      <c r="AE524">
        <v>7</v>
      </c>
      <c r="AF524">
        <v>7</v>
      </c>
      <c r="AG524">
        <v>0</v>
      </c>
      <c r="AH524">
        <v>7</v>
      </c>
      <c r="AI524">
        <f t="shared" si="56"/>
        <v>0</v>
      </c>
      <c r="AJ524" t="str">
        <f t="shared" si="57"/>
        <v>6-10 yrs</v>
      </c>
      <c r="AK524" t="str">
        <f t="shared" si="58"/>
        <v>Recent</v>
      </c>
      <c r="AL524">
        <f t="shared" si="59"/>
        <v>1</v>
      </c>
      <c r="AM524" t="str">
        <f t="shared" si="60"/>
        <v>Low Risk</v>
      </c>
      <c r="AN524" s="6">
        <f t="shared" si="61"/>
        <v>-0.41573203638744616</v>
      </c>
      <c r="AO524" s="7">
        <f t="shared" si="62"/>
        <v>343956</v>
      </c>
    </row>
    <row r="525" spans="1:41" x14ac:dyDescent="0.3">
      <c r="A525" t="s">
        <v>593</v>
      </c>
      <c r="B525">
        <v>33</v>
      </c>
      <c r="C525" t="s">
        <v>196</v>
      </c>
      <c r="D525" t="s">
        <v>55</v>
      </c>
      <c r="E525" t="s">
        <v>48</v>
      </c>
      <c r="F525">
        <v>134</v>
      </c>
      <c r="G525" t="s">
        <v>49</v>
      </c>
      <c r="H525">
        <v>2</v>
      </c>
      <c r="I525">
        <v>3</v>
      </c>
      <c r="J525" t="s">
        <v>50</v>
      </c>
      <c r="K525">
        <v>242</v>
      </c>
      <c r="L525">
        <v>3</v>
      </c>
      <c r="M525" t="s">
        <v>51</v>
      </c>
      <c r="N525">
        <v>3</v>
      </c>
      <c r="O525">
        <v>1</v>
      </c>
      <c r="P525" t="s">
        <v>67</v>
      </c>
      <c r="Q525">
        <v>4</v>
      </c>
      <c r="R525" t="s">
        <v>53</v>
      </c>
      <c r="S525">
        <v>52991</v>
      </c>
      <c r="T525" t="s">
        <v>64</v>
      </c>
      <c r="U525">
        <v>331.19</v>
      </c>
      <c r="V525">
        <v>0</v>
      </c>
      <c r="W525" t="s">
        <v>55</v>
      </c>
      <c r="X525">
        <v>14</v>
      </c>
      <c r="Y525">
        <v>3</v>
      </c>
      <c r="Z525">
        <v>1</v>
      </c>
      <c r="AA525">
        <v>0</v>
      </c>
      <c r="AB525">
        <v>4</v>
      </c>
      <c r="AC525">
        <v>2</v>
      </c>
      <c r="AD525">
        <v>4</v>
      </c>
      <c r="AE525">
        <v>3</v>
      </c>
      <c r="AF525">
        <v>1</v>
      </c>
      <c r="AG525">
        <v>0</v>
      </c>
      <c r="AH525">
        <v>2</v>
      </c>
      <c r="AI525">
        <f t="shared" si="56"/>
        <v>0</v>
      </c>
      <c r="AJ525" t="str">
        <f t="shared" si="57"/>
        <v>2-3 yrs</v>
      </c>
      <c r="AK525" t="str">
        <f t="shared" si="58"/>
        <v>Recent</v>
      </c>
      <c r="AL525">
        <f t="shared" si="59"/>
        <v>0</v>
      </c>
      <c r="AM525" t="str">
        <f t="shared" si="60"/>
        <v>Minimal Risk</v>
      </c>
      <c r="AN525" s="6">
        <f t="shared" si="61"/>
        <v>6.2665768151270312E-2</v>
      </c>
      <c r="AO525" s="7">
        <f t="shared" si="62"/>
        <v>635892</v>
      </c>
    </row>
    <row r="526" spans="1:41" x14ac:dyDescent="0.3">
      <c r="A526" t="s">
        <v>594</v>
      </c>
      <c r="B526">
        <v>33</v>
      </c>
      <c r="C526" t="s">
        <v>196</v>
      </c>
      <c r="D526" t="s">
        <v>55</v>
      </c>
      <c r="E526" t="s">
        <v>48</v>
      </c>
      <c r="F526">
        <v>931</v>
      </c>
      <c r="G526" t="s">
        <v>49</v>
      </c>
      <c r="H526">
        <v>14</v>
      </c>
      <c r="I526">
        <v>3</v>
      </c>
      <c r="J526" t="s">
        <v>58</v>
      </c>
      <c r="K526">
        <v>252</v>
      </c>
      <c r="L526">
        <v>4</v>
      </c>
      <c r="M526" t="s">
        <v>59</v>
      </c>
      <c r="N526">
        <v>3</v>
      </c>
      <c r="O526">
        <v>1</v>
      </c>
      <c r="P526" t="s">
        <v>67</v>
      </c>
      <c r="Q526">
        <v>2</v>
      </c>
      <c r="R526" t="s">
        <v>113</v>
      </c>
      <c r="S526">
        <v>58679</v>
      </c>
      <c r="T526" t="s">
        <v>64</v>
      </c>
      <c r="U526">
        <v>366.74</v>
      </c>
      <c r="V526">
        <v>1</v>
      </c>
      <c r="W526" t="s">
        <v>55</v>
      </c>
      <c r="X526">
        <v>13</v>
      </c>
      <c r="Y526">
        <v>3</v>
      </c>
      <c r="Z526">
        <v>4</v>
      </c>
      <c r="AA526">
        <v>1</v>
      </c>
      <c r="AB526">
        <v>8</v>
      </c>
      <c r="AC526">
        <v>5</v>
      </c>
      <c r="AD526">
        <v>3</v>
      </c>
      <c r="AE526">
        <v>8</v>
      </c>
      <c r="AF526">
        <v>7</v>
      </c>
      <c r="AG526">
        <v>1</v>
      </c>
      <c r="AH526">
        <v>6</v>
      </c>
      <c r="AI526">
        <f t="shared" si="56"/>
        <v>0</v>
      </c>
      <c r="AJ526" t="str">
        <f t="shared" si="57"/>
        <v>6-10 yrs</v>
      </c>
      <c r="AK526" t="str">
        <f t="shared" si="58"/>
        <v>Recent</v>
      </c>
      <c r="AL526">
        <f t="shared" si="59"/>
        <v>1</v>
      </c>
      <c r="AM526" t="str">
        <f t="shared" si="60"/>
        <v>Low Risk</v>
      </c>
      <c r="AN526" s="6">
        <f t="shared" si="61"/>
        <v>0.17673123000789551</v>
      </c>
      <c r="AO526" s="7">
        <f t="shared" si="62"/>
        <v>704148</v>
      </c>
    </row>
    <row r="527" spans="1:41" x14ac:dyDescent="0.3">
      <c r="A527" t="s">
        <v>595</v>
      </c>
      <c r="B527">
        <v>33</v>
      </c>
      <c r="C527" t="s">
        <v>196</v>
      </c>
      <c r="D527" t="s">
        <v>55</v>
      </c>
      <c r="E527" t="s">
        <v>48</v>
      </c>
      <c r="F527">
        <v>147</v>
      </c>
      <c r="G527" t="s">
        <v>49</v>
      </c>
      <c r="H527">
        <v>4</v>
      </c>
      <c r="I527">
        <v>4</v>
      </c>
      <c r="J527" t="s">
        <v>58</v>
      </c>
      <c r="K527">
        <v>305</v>
      </c>
      <c r="L527">
        <v>3</v>
      </c>
      <c r="M527" t="s">
        <v>59</v>
      </c>
      <c r="N527">
        <v>2</v>
      </c>
      <c r="O527">
        <v>1</v>
      </c>
      <c r="P527" t="s">
        <v>67</v>
      </c>
      <c r="Q527">
        <v>2</v>
      </c>
      <c r="R527" t="s">
        <v>113</v>
      </c>
      <c r="S527">
        <v>31977</v>
      </c>
      <c r="T527" t="s">
        <v>72</v>
      </c>
      <c r="U527">
        <v>199.86</v>
      </c>
      <c r="V527">
        <v>6</v>
      </c>
      <c r="W527" t="s">
        <v>55</v>
      </c>
      <c r="X527">
        <v>21</v>
      </c>
      <c r="Y527">
        <v>4</v>
      </c>
      <c r="Z527">
        <v>4</v>
      </c>
      <c r="AA527">
        <v>0</v>
      </c>
      <c r="AB527">
        <v>7</v>
      </c>
      <c r="AC527">
        <v>3</v>
      </c>
      <c r="AD527">
        <v>3</v>
      </c>
      <c r="AE527">
        <v>3</v>
      </c>
      <c r="AF527">
        <v>2</v>
      </c>
      <c r="AG527">
        <v>1</v>
      </c>
      <c r="AH527">
        <v>1</v>
      </c>
      <c r="AI527">
        <f t="shared" si="56"/>
        <v>0</v>
      </c>
      <c r="AJ527" t="str">
        <f t="shared" si="57"/>
        <v>2-3 yrs</v>
      </c>
      <c r="AK527" t="str">
        <f t="shared" si="58"/>
        <v>Recent</v>
      </c>
      <c r="AL527">
        <f t="shared" si="59"/>
        <v>1</v>
      </c>
      <c r="AM527" t="str">
        <f t="shared" si="60"/>
        <v>Low Risk</v>
      </c>
      <c r="AN527" s="6">
        <f t="shared" si="61"/>
        <v>-0.3587427437079283</v>
      </c>
      <c r="AO527" s="7">
        <f t="shared" si="62"/>
        <v>383724</v>
      </c>
    </row>
    <row r="528" spans="1:41" x14ac:dyDescent="0.3">
      <c r="A528" t="s">
        <v>596</v>
      </c>
      <c r="B528">
        <v>33</v>
      </c>
      <c r="C528" t="s">
        <v>196</v>
      </c>
      <c r="D528" t="s">
        <v>47</v>
      </c>
      <c r="E528" t="s">
        <v>48</v>
      </c>
      <c r="F528">
        <v>813</v>
      </c>
      <c r="G528" t="s">
        <v>49</v>
      </c>
      <c r="H528">
        <v>14</v>
      </c>
      <c r="I528">
        <v>3</v>
      </c>
      <c r="J528" t="s">
        <v>58</v>
      </c>
      <c r="K528">
        <v>325</v>
      </c>
      <c r="L528">
        <v>3</v>
      </c>
      <c r="M528" t="s">
        <v>51</v>
      </c>
      <c r="N528">
        <v>3</v>
      </c>
      <c r="O528">
        <v>1</v>
      </c>
      <c r="P528" t="s">
        <v>52</v>
      </c>
      <c r="Q528">
        <v>4</v>
      </c>
      <c r="R528" t="s">
        <v>113</v>
      </c>
      <c r="S528">
        <v>95704</v>
      </c>
      <c r="T528" t="s">
        <v>70</v>
      </c>
      <c r="U528">
        <v>598.15</v>
      </c>
      <c r="V528">
        <v>5</v>
      </c>
      <c r="W528" t="s">
        <v>47</v>
      </c>
      <c r="X528">
        <v>13</v>
      </c>
      <c r="Y528">
        <v>3</v>
      </c>
      <c r="Z528">
        <v>3</v>
      </c>
      <c r="AA528">
        <v>1</v>
      </c>
      <c r="AB528">
        <v>8</v>
      </c>
      <c r="AC528">
        <v>2</v>
      </c>
      <c r="AD528">
        <v>1</v>
      </c>
      <c r="AE528">
        <v>5</v>
      </c>
      <c r="AF528">
        <v>4</v>
      </c>
      <c r="AG528">
        <v>0</v>
      </c>
      <c r="AH528">
        <v>4</v>
      </c>
      <c r="AI528">
        <f t="shared" si="56"/>
        <v>1</v>
      </c>
      <c r="AJ528" t="str">
        <f t="shared" si="57"/>
        <v>4-5 yrs</v>
      </c>
      <c r="AK528" t="str">
        <f t="shared" si="58"/>
        <v>Recent</v>
      </c>
      <c r="AL528">
        <f t="shared" si="59"/>
        <v>2</v>
      </c>
      <c r="AM528" t="str">
        <f t="shared" si="60"/>
        <v>Medium Risk</v>
      </c>
      <c r="AN528" s="6">
        <f t="shared" si="61"/>
        <v>0.85040395621409515</v>
      </c>
      <c r="AO528" s="7">
        <f t="shared" si="62"/>
        <v>1148448</v>
      </c>
    </row>
    <row r="529" spans="1:41" x14ac:dyDescent="0.3">
      <c r="A529" t="s">
        <v>597</v>
      </c>
      <c r="B529">
        <v>33</v>
      </c>
      <c r="C529" t="s">
        <v>196</v>
      </c>
      <c r="D529" t="s">
        <v>47</v>
      </c>
      <c r="E529" t="s">
        <v>48</v>
      </c>
      <c r="F529">
        <v>465</v>
      </c>
      <c r="G529" t="s">
        <v>49</v>
      </c>
      <c r="H529">
        <v>2</v>
      </c>
      <c r="I529">
        <v>2</v>
      </c>
      <c r="J529" t="s">
        <v>50</v>
      </c>
      <c r="K529">
        <v>328</v>
      </c>
      <c r="L529">
        <v>1</v>
      </c>
      <c r="M529" t="s">
        <v>59</v>
      </c>
      <c r="N529">
        <v>3</v>
      </c>
      <c r="O529">
        <v>1</v>
      </c>
      <c r="P529" t="s">
        <v>52</v>
      </c>
      <c r="Q529">
        <v>1</v>
      </c>
      <c r="R529" t="s">
        <v>113</v>
      </c>
      <c r="S529">
        <v>50115</v>
      </c>
      <c r="T529" t="s">
        <v>64</v>
      </c>
      <c r="U529">
        <v>313.22000000000003</v>
      </c>
      <c r="V529">
        <v>7</v>
      </c>
      <c r="W529" t="s">
        <v>55</v>
      </c>
      <c r="X529">
        <v>20</v>
      </c>
      <c r="Y529">
        <v>4</v>
      </c>
      <c r="Z529">
        <v>1</v>
      </c>
      <c r="AA529">
        <v>0</v>
      </c>
      <c r="AB529">
        <v>13</v>
      </c>
      <c r="AC529">
        <v>3</v>
      </c>
      <c r="AD529">
        <v>4</v>
      </c>
      <c r="AE529">
        <v>9</v>
      </c>
      <c r="AF529">
        <v>7</v>
      </c>
      <c r="AG529">
        <v>1</v>
      </c>
      <c r="AH529">
        <v>7</v>
      </c>
      <c r="AI529">
        <f t="shared" si="56"/>
        <v>1</v>
      </c>
      <c r="AJ529" t="str">
        <f t="shared" si="57"/>
        <v>6-10 yrs</v>
      </c>
      <c r="AK529" t="str">
        <f t="shared" si="58"/>
        <v>Recent</v>
      </c>
      <c r="AL529">
        <f t="shared" si="59"/>
        <v>1</v>
      </c>
      <c r="AM529" t="str">
        <f t="shared" si="60"/>
        <v>Low Risk</v>
      </c>
      <c r="AN529" s="6">
        <f t="shared" si="61"/>
        <v>-3.1043694457186959E-2</v>
      </c>
      <c r="AO529" s="7">
        <f t="shared" si="62"/>
        <v>601380</v>
      </c>
    </row>
    <row r="530" spans="1:41" x14ac:dyDescent="0.3">
      <c r="A530" t="s">
        <v>598</v>
      </c>
      <c r="B530">
        <v>33</v>
      </c>
      <c r="C530" t="s">
        <v>196</v>
      </c>
      <c r="D530" t="s">
        <v>55</v>
      </c>
      <c r="E530" t="s">
        <v>48</v>
      </c>
      <c r="F530">
        <v>832</v>
      </c>
      <c r="G530" t="s">
        <v>49</v>
      </c>
      <c r="H530">
        <v>5</v>
      </c>
      <c r="I530">
        <v>4</v>
      </c>
      <c r="J530" t="s">
        <v>50</v>
      </c>
      <c r="K530">
        <v>338</v>
      </c>
      <c r="L530">
        <v>3</v>
      </c>
      <c r="M530" t="s">
        <v>59</v>
      </c>
      <c r="N530">
        <v>2</v>
      </c>
      <c r="O530">
        <v>1</v>
      </c>
      <c r="P530" t="s">
        <v>67</v>
      </c>
      <c r="Q530">
        <v>4</v>
      </c>
      <c r="R530" t="s">
        <v>113</v>
      </c>
      <c r="S530">
        <v>92007</v>
      </c>
      <c r="T530" t="s">
        <v>70</v>
      </c>
      <c r="U530">
        <v>575.04</v>
      </c>
      <c r="V530">
        <v>1</v>
      </c>
      <c r="W530" t="s">
        <v>55</v>
      </c>
      <c r="X530">
        <v>13</v>
      </c>
      <c r="Y530">
        <v>3</v>
      </c>
      <c r="Z530">
        <v>3</v>
      </c>
      <c r="AA530">
        <v>1</v>
      </c>
      <c r="AB530">
        <v>2</v>
      </c>
      <c r="AC530">
        <v>2</v>
      </c>
      <c r="AD530">
        <v>2</v>
      </c>
      <c r="AE530">
        <v>2</v>
      </c>
      <c r="AF530">
        <v>2</v>
      </c>
      <c r="AG530">
        <v>0</v>
      </c>
      <c r="AH530">
        <v>2</v>
      </c>
      <c r="AI530">
        <f t="shared" si="56"/>
        <v>0</v>
      </c>
      <c r="AJ530" t="str">
        <f t="shared" si="57"/>
        <v>2-3 yrs</v>
      </c>
      <c r="AK530" t="str">
        <f t="shared" si="58"/>
        <v>Recent</v>
      </c>
      <c r="AL530">
        <f t="shared" si="59"/>
        <v>1</v>
      </c>
      <c r="AM530" t="str">
        <f t="shared" si="60"/>
        <v>Low Risk</v>
      </c>
      <c r="AN530" s="6">
        <f t="shared" si="61"/>
        <v>0.84508103886120145</v>
      </c>
      <c r="AO530" s="7">
        <f t="shared" si="62"/>
        <v>1104084</v>
      </c>
    </row>
    <row r="531" spans="1:41" x14ac:dyDescent="0.3">
      <c r="A531" t="s">
        <v>599</v>
      </c>
      <c r="B531">
        <v>33</v>
      </c>
      <c r="C531" t="s">
        <v>196</v>
      </c>
      <c r="D531" t="s">
        <v>55</v>
      </c>
      <c r="E531" t="s">
        <v>62</v>
      </c>
      <c r="F531">
        <v>553</v>
      </c>
      <c r="G531" t="s">
        <v>49</v>
      </c>
      <c r="H531">
        <v>5</v>
      </c>
      <c r="I531">
        <v>4</v>
      </c>
      <c r="J531" t="s">
        <v>50</v>
      </c>
      <c r="K531">
        <v>428</v>
      </c>
      <c r="L531">
        <v>4</v>
      </c>
      <c r="M531" t="s">
        <v>59</v>
      </c>
      <c r="N531">
        <v>3</v>
      </c>
      <c r="O531">
        <v>3</v>
      </c>
      <c r="P531" t="s">
        <v>444</v>
      </c>
      <c r="Q531">
        <v>2</v>
      </c>
      <c r="R531" t="s">
        <v>113</v>
      </c>
      <c r="S531">
        <v>89223</v>
      </c>
      <c r="T531" t="s">
        <v>70</v>
      </c>
      <c r="U531">
        <v>557.64</v>
      </c>
      <c r="V531">
        <v>6</v>
      </c>
      <c r="W531" t="s">
        <v>55</v>
      </c>
      <c r="X531">
        <v>11</v>
      </c>
      <c r="Y531">
        <v>3</v>
      </c>
      <c r="Z531">
        <v>2</v>
      </c>
      <c r="AA531">
        <v>2</v>
      </c>
      <c r="AB531">
        <v>12</v>
      </c>
      <c r="AC531">
        <v>2</v>
      </c>
      <c r="AD531">
        <v>3</v>
      </c>
      <c r="AE531">
        <v>10</v>
      </c>
      <c r="AF531">
        <v>6</v>
      </c>
      <c r="AG531">
        <v>8</v>
      </c>
      <c r="AH531">
        <v>8</v>
      </c>
      <c r="AI531">
        <f t="shared" si="56"/>
        <v>0</v>
      </c>
      <c r="AJ531" t="str">
        <f t="shared" si="57"/>
        <v>6-10 yrs</v>
      </c>
      <c r="AK531" t="str">
        <f t="shared" si="58"/>
        <v>Overdue</v>
      </c>
      <c r="AL531">
        <f t="shared" si="59"/>
        <v>2</v>
      </c>
      <c r="AM531" t="str">
        <f t="shared" si="60"/>
        <v>Medium Risk</v>
      </c>
      <c r="AN531" s="6">
        <f t="shared" si="61"/>
        <v>0.70930809123876737</v>
      </c>
      <c r="AO531" s="7">
        <f t="shared" si="62"/>
        <v>1070676</v>
      </c>
    </row>
    <row r="532" spans="1:41" x14ac:dyDescent="0.3">
      <c r="A532" t="s">
        <v>600</v>
      </c>
      <c r="B532">
        <v>33</v>
      </c>
      <c r="C532" t="s">
        <v>196</v>
      </c>
      <c r="D532" t="s">
        <v>55</v>
      </c>
      <c r="E532" t="s">
        <v>62</v>
      </c>
      <c r="F532">
        <v>508</v>
      </c>
      <c r="G532" t="s">
        <v>57</v>
      </c>
      <c r="H532">
        <v>10</v>
      </c>
      <c r="I532">
        <v>3</v>
      </c>
      <c r="J532" t="s">
        <v>63</v>
      </c>
      <c r="K532">
        <v>446</v>
      </c>
      <c r="L532">
        <v>2</v>
      </c>
      <c r="M532" t="s">
        <v>51</v>
      </c>
      <c r="N532">
        <v>2</v>
      </c>
      <c r="O532">
        <v>2</v>
      </c>
      <c r="P532" t="s">
        <v>145</v>
      </c>
      <c r="Q532">
        <v>4</v>
      </c>
      <c r="R532" t="s">
        <v>53</v>
      </c>
      <c r="S532">
        <v>61890</v>
      </c>
      <c r="T532" t="s">
        <v>64</v>
      </c>
      <c r="U532">
        <v>386.81</v>
      </c>
      <c r="V532">
        <v>3</v>
      </c>
      <c r="W532" t="s">
        <v>55</v>
      </c>
      <c r="X532">
        <v>14</v>
      </c>
      <c r="Y532">
        <v>3</v>
      </c>
      <c r="Z532">
        <v>3</v>
      </c>
      <c r="AA532">
        <v>0</v>
      </c>
      <c r="AB532">
        <v>9</v>
      </c>
      <c r="AC532">
        <v>6</v>
      </c>
      <c r="AD532">
        <v>2</v>
      </c>
      <c r="AE532">
        <v>7</v>
      </c>
      <c r="AF532">
        <v>7</v>
      </c>
      <c r="AG532">
        <v>0</v>
      </c>
      <c r="AH532">
        <v>1</v>
      </c>
      <c r="AI532">
        <f t="shared" si="56"/>
        <v>0</v>
      </c>
      <c r="AJ532" t="str">
        <f t="shared" si="57"/>
        <v>6-10 yrs</v>
      </c>
      <c r="AK532" t="str">
        <f t="shared" si="58"/>
        <v>Recent</v>
      </c>
      <c r="AL532">
        <f t="shared" si="59"/>
        <v>1</v>
      </c>
      <c r="AM532" t="str">
        <f t="shared" si="60"/>
        <v>Low Risk</v>
      </c>
      <c r="AN532" s="6">
        <f t="shared" si="61"/>
        <v>0.26156872162652056</v>
      </c>
      <c r="AO532" s="7">
        <f t="shared" si="62"/>
        <v>742680</v>
      </c>
    </row>
    <row r="533" spans="1:41" x14ac:dyDescent="0.3">
      <c r="A533" t="s">
        <v>601</v>
      </c>
      <c r="B533">
        <v>33</v>
      </c>
      <c r="C533" t="s">
        <v>196</v>
      </c>
      <c r="D533" t="s">
        <v>47</v>
      </c>
      <c r="E533" t="s">
        <v>48</v>
      </c>
      <c r="F533">
        <v>350</v>
      </c>
      <c r="G533" t="s">
        <v>57</v>
      </c>
      <c r="H533">
        <v>5</v>
      </c>
      <c r="I533">
        <v>3</v>
      </c>
      <c r="J533" t="s">
        <v>63</v>
      </c>
      <c r="K533">
        <v>485</v>
      </c>
      <c r="L533">
        <v>4</v>
      </c>
      <c r="M533" t="s">
        <v>59</v>
      </c>
      <c r="N533">
        <v>3</v>
      </c>
      <c r="O533">
        <v>1</v>
      </c>
      <c r="P533" t="s">
        <v>60</v>
      </c>
      <c r="Q533">
        <v>3</v>
      </c>
      <c r="R533" t="s">
        <v>53</v>
      </c>
      <c r="S533">
        <v>67387</v>
      </c>
      <c r="T533" t="s">
        <v>64</v>
      </c>
      <c r="U533">
        <v>421.17</v>
      </c>
      <c r="V533">
        <v>1</v>
      </c>
      <c r="W533" t="s">
        <v>47</v>
      </c>
      <c r="X533">
        <v>13</v>
      </c>
      <c r="Y533">
        <v>3</v>
      </c>
      <c r="Z533">
        <v>2</v>
      </c>
      <c r="AA533">
        <v>0</v>
      </c>
      <c r="AB533">
        <v>1</v>
      </c>
      <c r="AC533">
        <v>2</v>
      </c>
      <c r="AD533">
        <v>3</v>
      </c>
      <c r="AE533">
        <v>1</v>
      </c>
      <c r="AF533">
        <v>0</v>
      </c>
      <c r="AG533">
        <v>0</v>
      </c>
      <c r="AH533">
        <v>0</v>
      </c>
      <c r="AI533">
        <f t="shared" si="56"/>
        <v>1</v>
      </c>
      <c r="AJ533" t="str">
        <f t="shared" si="57"/>
        <v>0-1 yr</v>
      </c>
      <c r="AK533" t="str">
        <f t="shared" si="58"/>
        <v>Recent</v>
      </c>
      <c r="AL533">
        <f t="shared" si="59"/>
        <v>1</v>
      </c>
      <c r="AM533" t="str">
        <f t="shared" si="60"/>
        <v>Low Risk</v>
      </c>
      <c r="AN533" s="6">
        <f t="shared" si="61"/>
        <v>0.36613368904326371</v>
      </c>
      <c r="AO533" s="7">
        <f t="shared" si="62"/>
        <v>808644</v>
      </c>
    </row>
    <row r="534" spans="1:41" x14ac:dyDescent="0.3">
      <c r="A534" t="s">
        <v>602</v>
      </c>
      <c r="B534">
        <v>33</v>
      </c>
      <c r="C534" t="s">
        <v>196</v>
      </c>
      <c r="D534" t="s">
        <v>47</v>
      </c>
      <c r="E534" t="s">
        <v>48</v>
      </c>
      <c r="F534">
        <v>1277</v>
      </c>
      <c r="G534" t="s">
        <v>49</v>
      </c>
      <c r="H534">
        <v>15</v>
      </c>
      <c r="I534">
        <v>1</v>
      </c>
      <c r="J534" t="s">
        <v>58</v>
      </c>
      <c r="K534">
        <v>582</v>
      </c>
      <c r="L534">
        <v>2</v>
      </c>
      <c r="M534" t="s">
        <v>51</v>
      </c>
      <c r="N534">
        <v>3</v>
      </c>
      <c r="O534">
        <v>3</v>
      </c>
      <c r="P534" t="s">
        <v>444</v>
      </c>
      <c r="Q534">
        <v>3</v>
      </c>
      <c r="R534" t="s">
        <v>113</v>
      </c>
      <c r="S534">
        <v>19071</v>
      </c>
      <c r="T534" t="s">
        <v>54</v>
      </c>
      <c r="U534">
        <v>119.19</v>
      </c>
      <c r="V534">
        <v>7</v>
      </c>
      <c r="W534" t="s">
        <v>47</v>
      </c>
      <c r="X534">
        <v>12</v>
      </c>
      <c r="Y534">
        <v>3</v>
      </c>
      <c r="Z534">
        <v>4</v>
      </c>
      <c r="AA534">
        <v>0</v>
      </c>
      <c r="AB534">
        <v>15</v>
      </c>
      <c r="AC534">
        <v>2</v>
      </c>
      <c r="AD534">
        <v>4</v>
      </c>
      <c r="AE534">
        <v>7</v>
      </c>
      <c r="AF534">
        <v>6</v>
      </c>
      <c r="AG534">
        <v>7</v>
      </c>
      <c r="AH534">
        <v>7</v>
      </c>
      <c r="AI534">
        <f t="shared" si="56"/>
        <v>1</v>
      </c>
      <c r="AJ534" t="str">
        <f t="shared" si="57"/>
        <v>6-10 yrs</v>
      </c>
      <c r="AK534" t="str">
        <f t="shared" si="58"/>
        <v>Overdue</v>
      </c>
      <c r="AL534">
        <f t="shared" si="59"/>
        <v>2</v>
      </c>
      <c r="AM534" t="str">
        <f t="shared" si="60"/>
        <v>Medium Risk</v>
      </c>
      <c r="AN534" s="6">
        <f t="shared" si="61"/>
        <v>-0.63464336989325021</v>
      </c>
      <c r="AO534" s="7">
        <f t="shared" si="62"/>
        <v>228852</v>
      </c>
    </row>
    <row r="535" spans="1:41" x14ac:dyDescent="0.3">
      <c r="A535" t="s">
        <v>603</v>
      </c>
      <c r="B535">
        <v>33</v>
      </c>
      <c r="C535" t="s">
        <v>196</v>
      </c>
      <c r="D535" t="s">
        <v>47</v>
      </c>
      <c r="E535" t="s">
        <v>48</v>
      </c>
      <c r="F535">
        <v>587</v>
      </c>
      <c r="G535" t="s">
        <v>49</v>
      </c>
      <c r="H535">
        <v>10</v>
      </c>
      <c r="I535">
        <v>1</v>
      </c>
      <c r="J535" t="s">
        <v>58</v>
      </c>
      <c r="K535">
        <v>584</v>
      </c>
      <c r="L535">
        <v>1</v>
      </c>
      <c r="M535" t="s">
        <v>51</v>
      </c>
      <c r="N535">
        <v>1</v>
      </c>
      <c r="O535">
        <v>1</v>
      </c>
      <c r="P535" t="s">
        <v>52</v>
      </c>
      <c r="Q535">
        <v>4</v>
      </c>
      <c r="R535" t="s">
        <v>53</v>
      </c>
      <c r="S535">
        <v>60275</v>
      </c>
      <c r="T535" t="s">
        <v>64</v>
      </c>
      <c r="U535">
        <v>376.72</v>
      </c>
      <c r="V535">
        <v>7</v>
      </c>
      <c r="W535" t="s">
        <v>55</v>
      </c>
      <c r="X535">
        <v>13</v>
      </c>
      <c r="Y535">
        <v>3</v>
      </c>
      <c r="Z535">
        <v>1</v>
      </c>
      <c r="AA535">
        <v>3</v>
      </c>
      <c r="AB535">
        <v>8</v>
      </c>
      <c r="AC535">
        <v>2</v>
      </c>
      <c r="AD535">
        <v>3</v>
      </c>
      <c r="AE535">
        <v>4</v>
      </c>
      <c r="AF535">
        <v>3</v>
      </c>
      <c r="AG535">
        <v>1</v>
      </c>
      <c r="AH535">
        <v>3</v>
      </c>
      <c r="AI535">
        <f t="shared" si="56"/>
        <v>1</v>
      </c>
      <c r="AJ535" t="str">
        <f t="shared" si="57"/>
        <v>4-5 yrs</v>
      </c>
      <c r="AK535" t="str">
        <f t="shared" si="58"/>
        <v>Recent</v>
      </c>
      <c r="AL535">
        <f t="shared" si="59"/>
        <v>0</v>
      </c>
      <c r="AM535" t="str">
        <f t="shared" si="60"/>
        <v>Minimal Risk</v>
      </c>
      <c r="AN535" s="6">
        <f t="shared" si="61"/>
        <v>0.16539641457833096</v>
      </c>
      <c r="AO535" s="7">
        <f t="shared" si="62"/>
        <v>723300</v>
      </c>
    </row>
    <row r="536" spans="1:41" x14ac:dyDescent="0.3">
      <c r="A536" t="s">
        <v>604</v>
      </c>
      <c r="B536">
        <v>33</v>
      </c>
      <c r="C536" t="s">
        <v>196</v>
      </c>
      <c r="D536" t="s">
        <v>55</v>
      </c>
      <c r="E536" t="s">
        <v>48</v>
      </c>
      <c r="F536">
        <v>922</v>
      </c>
      <c r="G536" t="s">
        <v>49</v>
      </c>
      <c r="H536">
        <v>1</v>
      </c>
      <c r="I536">
        <v>5</v>
      </c>
      <c r="J536" t="s">
        <v>58</v>
      </c>
      <c r="K536">
        <v>612</v>
      </c>
      <c r="L536">
        <v>1</v>
      </c>
      <c r="M536" t="s">
        <v>59</v>
      </c>
      <c r="N536">
        <v>4</v>
      </c>
      <c r="O536">
        <v>4</v>
      </c>
      <c r="P536" t="s">
        <v>257</v>
      </c>
      <c r="Q536">
        <v>3</v>
      </c>
      <c r="R536" t="s">
        <v>53</v>
      </c>
      <c r="S536">
        <v>73369</v>
      </c>
      <c r="T536" t="s">
        <v>64</v>
      </c>
      <c r="U536">
        <v>458.56</v>
      </c>
      <c r="V536">
        <v>4</v>
      </c>
      <c r="W536" t="s">
        <v>55</v>
      </c>
      <c r="X536">
        <v>19</v>
      </c>
      <c r="Y536">
        <v>3</v>
      </c>
      <c r="Z536">
        <v>3</v>
      </c>
      <c r="AA536">
        <v>1</v>
      </c>
      <c r="AB536">
        <v>10</v>
      </c>
      <c r="AC536">
        <v>2</v>
      </c>
      <c r="AD536">
        <v>3</v>
      </c>
      <c r="AE536">
        <v>6</v>
      </c>
      <c r="AF536">
        <v>1</v>
      </c>
      <c r="AG536">
        <v>0</v>
      </c>
      <c r="AH536">
        <v>5</v>
      </c>
      <c r="AI536">
        <f t="shared" si="56"/>
        <v>0</v>
      </c>
      <c r="AJ536" t="str">
        <f t="shared" si="57"/>
        <v>6-10 yrs</v>
      </c>
      <c r="AK536" t="str">
        <f t="shared" si="58"/>
        <v>Recent</v>
      </c>
      <c r="AL536">
        <f t="shared" si="59"/>
        <v>0</v>
      </c>
      <c r="AM536" t="str">
        <f t="shared" si="60"/>
        <v>Minimal Risk</v>
      </c>
      <c r="AN536" s="6">
        <f t="shared" si="61"/>
        <v>0.44817502688101746</v>
      </c>
      <c r="AO536" s="7">
        <f t="shared" si="62"/>
        <v>880428</v>
      </c>
    </row>
    <row r="537" spans="1:41" x14ac:dyDescent="0.3">
      <c r="A537" t="s">
        <v>605</v>
      </c>
      <c r="B537">
        <v>33</v>
      </c>
      <c r="C537" t="s">
        <v>196</v>
      </c>
      <c r="D537" t="s">
        <v>55</v>
      </c>
      <c r="E537" t="s">
        <v>48</v>
      </c>
      <c r="F537">
        <v>1216</v>
      </c>
      <c r="G537" t="s">
        <v>57</v>
      </c>
      <c r="H537">
        <v>8</v>
      </c>
      <c r="I537">
        <v>4</v>
      </c>
      <c r="J537" t="s">
        <v>63</v>
      </c>
      <c r="K537">
        <v>677</v>
      </c>
      <c r="L537">
        <v>3</v>
      </c>
      <c r="M537" t="s">
        <v>51</v>
      </c>
      <c r="N537">
        <v>3</v>
      </c>
      <c r="O537">
        <v>2</v>
      </c>
      <c r="P537" t="s">
        <v>145</v>
      </c>
      <c r="Q537">
        <v>3</v>
      </c>
      <c r="R537" t="s">
        <v>53</v>
      </c>
      <c r="S537">
        <v>12938</v>
      </c>
      <c r="T537" t="s">
        <v>54</v>
      </c>
      <c r="U537">
        <v>80.86</v>
      </c>
      <c r="V537">
        <v>0</v>
      </c>
      <c r="W537" t="s">
        <v>55</v>
      </c>
      <c r="X537">
        <v>12</v>
      </c>
      <c r="Y537">
        <v>3</v>
      </c>
      <c r="Z537">
        <v>4</v>
      </c>
      <c r="AA537">
        <v>0</v>
      </c>
      <c r="AB537">
        <v>6</v>
      </c>
      <c r="AC537">
        <v>3</v>
      </c>
      <c r="AD537">
        <v>3</v>
      </c>
      <c r="AE537">
        <v>5</v>
      </c>
      <c r="AF537">
        <v>0</v>
      </c>
      <c r="AG537">
        <v>1</v>
      </c>
      <c r="AH537">
        <v>2</v>
      </c>
      <c r="AI537">
        <f t="shared" si="56"/>
        <v>0</v>
      </c>
      <c r="AJ537" t="str">
        <f t="shared" si="57"/>
        <v>4-5 yrs</v>
      </c>
      <c r="AK537" t="str">
        <f t="shared" si="58"/>
        <v>Recent</v>
      </c>
      <c r="AL537">
        <f t="shared" si="59"/>
        <v>0</v>
      </c>
      <c r="AM537" t="str">
        <f t="shared" si="60"/>
        <v>Minimal Risk</v>
      </c>
      <c r="AN537" s="6">
        <f t="shared" si="61"/>
        <v>-0.73627118887697651</v>
      </c>
      <c r="AO537" s="7">
        <f t="shared" si="62"/>
        <v>155256</v>
      </c>
    </row>
    <row r="538" spans="1:41" x14ac:dyDescent="0.3">
      <c r="A538" t="s">
        <v>606</v>
      </c>
      <c r="B538">
        <v>33</v>
      </c>
      <c r="C538" t="s">
        <v>196</v>
      </c>
      <c r="D538" t="s">
        <v>55</v>
      </c>
      <c r="E538" t="s">
        <v>62</v>
      </c>
      <c r="F538">
        <v>1296</v>
      </c>
      <c r="G538" t="s">
        <v>49</v>
      </c>
      <c r="H538">
        <v>6</v>
      </c>
      <c r="I538">
        <v>3</v>
      </c>
      <c r="J538" t="s">
        <v>50</v>
      </c>
      <c r="K538">
        <v>692</v>
      </c>
      <c r="L538">
        <v>3</v>
      </c>
      <c r="M538" t="s">
        <v>51</v>
      </c>
      <c r="N538">
        <v>3</v>
      </c>
      <c r="O538">
        <v>2</v>
      </c>
      <c r="P538" t="s">
        <v>168</v>
      </c>
      <c r="Q538">
        <v>4</v>
      </c>
      <c r="R538" t="s">
        <v>53</v>
      </c>
      <c r="S538">
        <v>36195</v>
      </c>
      <c r="T538" t="s">
        <v>72</v>
      </c>
      <c r="U538">
        <v>226.22</v>
      </c>
      <c r="V538">
        <v>3</v>
      </c>
      <c r="W538" t="s">
        <v>55</v>
      </c>
      <c r="X538">
        <v>23</v>
      </c>
      <c r="Y538">
        <v>4</v>
      </c>
      <c r="Z538">
        <v>3</v>
      </c>
      <c r="AA538">
        <v>1</v>
      </c>
      <c r="AB538">
        <v>15</v>
      </c>
      <c r="AC538">
        <v>2</v>
      </c>
      <c r="AD538">
        <v>1</v>
      </c>
      <c r="AE538">
        <v>13</v>
      </c>
      <c r="AF538">
        <v>11</v>
      </c>
      <c r="AG538">
        <v>4</v>
      </c>
      <c r="AH538">
        <v>7</v>
      </c>
      <c r="AI538">
        <f t="shared" si="56"/>
        <v>0</v>
      </c>
      <c r="AJ538" t="str">
        <f t="shared" si="57"/>
        <v>10+ yrs</v>
      </c>
      <c r="AK538" t="str">
        <f t="shared" si="58"/>
        <v>Overdue</v>
      </c>
      <c r="AL538">
        <f t="shared" si="59"/>
        <v>2</v>
      </c>
      <c r="AM538" t="str">
        <f t="shared" si="60"/>
        <v>Medium Risk</v>
      </c>
      <c r="AN538" s="6">
        <f t="shared" si="61"/>
        <v>-0.24889720268940244</v>
      </c>
      <c r="AO538" s="7">
        <f t="shared" si="62"/>
        <v>434340</v>
      </c>
    </row>
    <row r="539" spans="1:41" x14ac:dyDescent="0.3">
      <c r="A539" t="s">
        <v>607</v>
      </c>
      <c r="B539">
        <v>33</v>
      </c>
      <c r="C539" t="s">
        <v>196</v>
      </c>
      <c r="D539" t="s">
        <v>47</v>
      </c>
      <c r="E539" t="s">
        <v>62</v>
      </c>
      <c r="F539">
        <v>1076</v>
      </c>
      <c r="G539" t="s">
        <v>49</v>
      </c>
      <c r="H539">
        <v>3</v>
      </c>
      <c r="I539">
        <v>3</v>
      </c>
      <c r="J539" t="s">
        <v>50</v>
      </c>
      <c r="K539">
        <v>702</v>
      </c>
      <c r="L539">
        <v>1</v>
      </c>
      <c r="M539" t="s">
        <v>51</v>
      </c>
      <c r="N539">
        <v>3</v>
      </c>
      <c r="O539">
        <v>1</v>
      </c>
      <c r="P539" t="s">
        <v>67</v>
      </c>
      <c r="Q539">
        <v>1</v>
      </c>
      <c r="R539" t="s">
        <v>53</v>
      </c>
      <c r="S539">
        <v>92680</v>
      </c>
      <c r="T539" t="s">
        <v>70</v>
      </c>
      <c r="U539">
        <v>579.25</v>
      </c>
      <c r="V539">
        <v>1</v>
      </c>
      <c r="W539" t="s">
        <v>47</v>
      </c>
      <c r="X539">
        <v>11</v>
      </c>
      <c r="Y539">
        <v>3</v>
      </c>
      <c r="Z539">
        <v>1</v>
      </c>
      <c r="AA539">
        <v>0</v>
      </c>
      <c r="AB539">
        <v>10</v>
      </c>
      <c r="AC539">
        <v>3</v>
      </c>
      <c r="AD539">
        <v>3</v>
      </c>
      <c r="AE539">
        <v>10</v>
      </c>
      <c r="AF539">
        <v>8</v>
      </c>
      <c r="AG539">
        <v>9</v>
      </c>
      <c r="AH539">
        <v>7</v>
      </c>
      <c r="AI539">
        <f t="shared" si="56"/>
        <v>1</v>
      </c>
      <c r="AJ539" t="str">
        <f t="shared" si="57"/>
        <v>6-10 yrs</v>
      </c>
      <c r="AK539" t="str">
        <f t="shared" si="58"/>
        <v>Overdue</v>
      </c>
      <c r="AL539">
        <f t="shared" si="59"/>
        <v>3</v>
      </c>
      <c r="AM539" t="str">
        <f t="shared" si="60"/>
        <v>High Risk</v>
      </c>
      <c r="AN539" s="6">
        <f t="shared" si="61"/>
        <v>0.8585771808846735</v>
      </c>
      <c r="AO539" s="7">
        <f t="shared" si="62"/>
        <v>1112160</v>
      </c>
    </row>
    <row r="540" spans="1:41" x14ac:dyDescent="0.3">
      <c r="A540" t="s">
        <v>608</v>
      </c>
      <c r="B540">
        <v>33</v>
      </c>
      <c r="C540" t="s">
        <v>196</v>
      </c>
      <c r="D540" t="s">
        <v>47</v>
      </c>
      <c r="E540" t="s">
        <v>48</v>
      </c>
      <c r="F540">
        <v>527</v>
      </c>
      <c r="G540" t="s">
        <v>49</v>
      </c>
      <c r="H540">
        <v>1</v>
      </c>
      <c r="I540">
        <v>4</v>
      </c>
      <c r="J540" t="s">
        <v>82</v>
      </c>
      <c r="K540">
        <v>780</v>
      </c>
      <c r="L540">
        <v>4</v>
      </c>
      <c r="M540" t="s">
        <v>51</v>
      </c>
      <c r="N540">
        <v>3</v>
      </c>
      <c r="O540">
        <v>1</v>
      </c>
      <c r="P540" t="s">
        <v>67</v>
      </c>
      <c r="Q540">
        <v>4</v>
      </c>
      <c r="R540" t="s">
        <v>53</v>
      </c>
      <c r="S540">
        <v>5000</v>
      </c>
      <c r="T540" t="s">
        <v>54</v>
      </c>
      <c r="U540">
        <v>31.25</v>
      </c>
      <c r="V540">
        <v>1</v>
      </c>
      <c r="W540" t="s">
        <v>47</v>
      </c>
      <c r="X540">
        <v>13</v>
      </c>
      <c r="Y540">
        <v>3</v>
      </c>
      <c r="Z540">
        <v>3</v>
      </c>
      <c r="AA540">
        <v>0</v>
      </c>
      <c r="AB540">
        <v>10</v>
      </c>
      <c r="AC540">
        <v>2</v>
      </c>
      <c r="AD540">
        <v>2</v>
      </c>
      <c r="AE540">
        <v>10</v>
      </c>
      <c r="AF540">
        <v>9</v>
      </c>
      <c r="AG540">
        <v>7</v>
      </c>
      <c r="AH540">
        <v>8</v>
      </c>
      <c r="AI540">
        <f t="shared" si="56"/>
        <v>1</v>
      </c>
      <c r="AJ540" t="str">
        <f t="shared" si="57"/>
        <v>6-10 yrs</v>
      </c>
      <c r="AK540" t="str">
        <f t="shared" si="58"/>
        <v>Overdue</v>
      </c>
      <c r="AL540">
        <f t="shared" si="59"/>
        <v>3</v>
      </c>
      <c r="AM540" t="str">
        <f t="shared" si="60"/>
        <v>High Risk</v>
      </c>
      <c r="AN540" s="6">
        <f t="shared" si="61"/>
        <v>-0.89973148570971762</v>
      </c>
      <c r="AO540" s="7">
        <f t="shared" si="62"/>
        <v>60000</v>
      </c>
    </row>
    <row r="541" spans="1:41" x14ac:dyDescent="0.3">
      <c r="A541" t="s">
        <v>609</v>
      </c>
      <c r="B541">
        <v>33</v>
      </c>
      <c r="C541" t="s">
        <v>196</v>
      </c>
      <c r="D541" t="s">
        <v>55</v>
      </c>
      <c r="E541" t="s">
        <v>48</v>
      </c>
      <c r="F541">
        <v>213</v>
      </c>
      <c r="G541" t="s">
        <v>49</v>
      </c>
      <c r="H541">
        <v>7</v>
      </c>
      <c r="I541">
        <v>3</v>
      </c>
      <c r="J541" t="s">
        <v>58</v>
      </c>
      <c r="K541">
        <v>817</v>
      </c>
      <c r="L541">
        <v>3</v>
      </c>
      <c r="M541" t="s">
        <v>51</v>
      </c>
      <c r="N541">
        <v>3</v>
      </c>
      <c r="O541">
        <v>3</v>
      </c>
      <c r="P541" t="s">
        <v>257</v>
      </c>
      <c r="Q541">
        <v>3</v>
      </c>
      <c r="R541" t="s">
        <v>113</v>
      </c>
      <c r="S541">
        <v>71588</v>
      </c>
      <c r="T541" t="s">
        <v>64</v>
      </c>
      <c r="U541">
        <v>447.42</v>
      </c>
      <c r="V541">
        <v>0</v>
      </c>
      <c r="W541" t="s">
        <v>55</v>
      </c>
      <c r="X541">
        <v>11</v>
      </c>
      <c r="Y541">
        <v>3</v>
      </c>
      <c r="Z541">
        <v>4</v>
      </c>
      <c r="AA541">
        <v>0</v>
      </c>
      <c r="AB541">
        <v>14</v>
      </c>
      <c r="AC541">
        <v>3</v>
      </c>
      <c r="AD541">
        <v>4</v>
      </c>
      <c r="AE541">
        <v>13</v>
      </c>
      <c r="AF541">
        <v>9</v>
      </c>
      <c r="AG541">
        <v>3</v>
      </c>
      <c r="AH541">
        <v>7</v>
      </c>
      <c r="AI541">
        <f t="shared" si="56"/>
        <v>0</v>
      </c>
      <c r="AJ541" t="str">
        <f t="shared" si="57"/>
        <v>10+ yrs</v>
      </c>
      <c r="AK541" t="str">
        <f t="shared" si="58"/>
        <v>Overdue</v>
      </c>
      <c r="AL541">
        <f t="shared" si="59"/>
        <v>1</v>
      </c>
      <c r="AM541" t="str">
        <f t="shared" si="60"/>
        <v>Low Risk</v>
      </c>
      <c r="AN541" s="6">
        <f t="shared" si="61"/>
        <v>0.41302121910286743</v>
      </c>
      <c r="AO541" s="7">
        <f t="shared" si="62"/>
        <v>859056</v>
      </c>
    </row>
    <row r="542" spans="1:41" x14ac:dyDescent="0.3">
      <c r="A542" t="s">
        <v>610</v>
      </c>
      <c r="B542">
        <v>33</v>
      </c>
      <c r="C542" t="s">
        <v>196</v>
      </c>
      <c r="D542" t="s">
        <v>47</v>
      </c>
      <c r="E542" t="s">
        <v>48</v>
      </c>
      <c r="F542">
        <v>118</v>
      </c>
      <c r="G542" t="s">
        <v>57</v>
      </c>
      <c r="H542">
        <v>16</v>
      </c>
      <c r="I542">
        <v>3</v>
      </c>
      <c r="J542" t="s">
        <v>63</v>
      </c>
      <c r="K542">
        <v>819</v>
      </c>
      <c r="L542">
        <v>1</v>
      </c>
      <c r="M542" t="s">
        <v>59</v>
      </c>
      <c r="N542">
        <v>3</v>
      </c>
      <c r="O542">
        <v>2</v>
      </c>
      <c r="P542" t="s">
        <v>145</v>
      </c>
      <c r="Q542">
        <v>1</v>
      </c>
      <c r="R542" t="s">
        <v>53</v>
      </c>
      <c r="S542">
        <v>94610</v>
      </c>
      <c r="T542" t="s">
        <v>70</v>
      </c>
      <c r="U542">
        <v>591.30999999999995</v>
      </c>
      <c r="V542">
        <v>5</v>
      </c>
      <c r="W542" t="s">
        <v>55</v>
      </c>
      <c r="X542">
        <v>15</v>
      </c>
      <c r="Y542">
        <v>3</v>
      </c>
      <c r="Z542">
        <v>3</v>
      </c>
      <c r="AA542">
        <v>0</v>
      </c>
      <c r="AB542">
        <v>6</v>
      </c>
      <c r="AC542">
        <v>3</v>
      </c>
      <c r="AD542">
        <v>3</v>
      </c>
      <c r="AE542">
        <v>3</v>
      </c>
      <c r="AF542">
        <v>2</v>
      </c>
      <c r="AG542">
        <v>0</v>
      </c>
      <c r="AH542">
        <v>2</v>
      </c>
      <c r="AI542">
        <f t="shared" si="56"/>
        <v>1</v>
      </c>
      <c r="AJ542" t="str">
        <f t="shared" si="57"/>
        <v>2-3 yrs</v>
      </c>
      <c r="AK542" t="str">
        <f t="shared" si="58"/>
        <v>Recent</v>
      </c>
      <c r="AL542">
        <f t="shared" si="59"/>
        <v>1</v>
      </c>
      <c r="AM542" t="str">
        <f t="shared" si="60"/>
        <v>Low Risk</v>
      </c>
      <c r="AN542" s="6">
        <f t="shared" si="61"/>
        <v>0.92853476737898055</v>
      </c>
      <c r="AO542" s="7">
        <f t="shared" si="62"/>
        <v>1135320</v>
      </c>
    </row>
    <row r="543" spans="1:41" x14ac:dyDescent="0.3">
      <c r="A543" t="s">
        <v>611</v>
      </c>
      <c r="B543">
        <v>33</v>
      </c>
      <c r="C543" t="s">
        <v>196</v>
      </c>
      <c r="D543" t="s">
        <v>55</v>
      </c>
      <c r="E543" t="s">
        <v>48</v>
      </c>
      <c r="F543">
        <v>586</v>
      </c>
      <c r="G543" t="s">
        <v>57</v>
      </c>
      <c r="H543">
        <v>1</v>
      </c>
      <c r="I543">
        <v>3</v>
      </c>
      <c r="J543" t="s">
        <v>58</v>
      </c>
      <c r="K543">
        <v>855</v>
      </c>
      <c r="L543">
        <v>1</v>
      </c>
      <c r="M543" t="s">
        <v>51</v>
      </c>
      <c r="N543">
        <v>4</v>
      </c>
      <c r="O543">
        <v>2</v>
      </c>
      <c r="P543" t="s">
        <v>145</v>
      </c>
      <c r="Q543">
        <v>1</v>
      </c>
      <c r="R543" t="s">
        <v>53</v>
      </c>
      <c r="S543">
        <v>98856</v>
      </c>
      <c r="T543" t="s">
        <v>70</v>
      </c>
      <c r="U543">
        <v>617.85</v>
      </c>
      <c r="V543">
        <v>1</v>
      </c>
      <c r="W543" t="s">
        <v>55</v>
      </c>
      <c r="X543">
        <v>22</v>
      </c>
      <c r="Y543">
        <v>4</v>
      </c>
      <c r="Z543">
        <v>1</v>
      </c>
      <c r="AA543">
        <v>1</v>
      </c>
      <c r="AB543">
        <v>9</v>
      </c>
      <c r="AC543">
        <v>5</v>
      </c>
      <c r="AD543">
        <v>3</v>
      </c>
      <c r="AE543">
        <v>9</v>
      </c>
      <c r="AF543">
        <v>8</v>
      </c>
      <c r="AG543">
        <v>0</v>
      </c>
      <c r="AH543">
        <v>8</v>
      </c>
      <c r="AI543">
        <f t="shared" si="56"/>
        <v>0</v>
      </c>
      <c r="AJ543" t="str">
        <f t="shared" si="57"/>
        <v>6-10 yrs</v>
      </c>
      <c r="AK543" t="str">
        <f t="shared" si="58"/>
        <v>Recent</v>
      </c>
      <c r="AL543">
        <f t="shared" si="59"/>
        <v>1</v>
      </c>
      <c r="AM543" t="str">
        <f t="shared" si="60"/>
        <v>Low Risk</v>
      </c>
      <c r="AN543" s="6">
        <f t="shared" si="61"/>
        <v>1.0150854345631171</v>
      </c>
      <c r="AO543" s="7">
        <f t="shared" si="62"/>
        <v>1186272</v>
      </c>
    </row>
    <row r="544" spans="1:41" x14ac:dyDescent="0.3">
      <c r="A544" t="s">
        <v>612</v>
      </c>
      <c r="B544">
        <v>33</v>
      </c>
      <c r="C544" t="s">
        <v>196</v>
      </c>
      <c r="D544" t="s">
        <v>55</v>
      </c>
      <c r="E544" t="s">
        <v>48</v>
      </c>
      <c r="F544">
        <v>1075</v>
      </c>
      <c r="G544" t="s">
        <v>406</v>
      </c>
      <c r="H544">
        <v>3</v>
      </c>
      <c r="I544">
        <v>2</v>
      </c>
      <c r="J544" t="s">
        <v>80</v>
      </c>
      <c r="K544">
        <v>910</v>
      </c>
      <c r="L544">
        <v>4</v>
      </c>
      <c r="M544" t="s">
        <v>51</v>
      </c>
      <c r="N544">
        <v>3</v>
      </c>
      <c r="O544">
        <v>1</v>
      </c>
      <c r="P544" t="s">
        <v>80</v>
      </c>
      <c r="Q544">
        <v>2</v>
      </c>
      <c r="R544" t="s">
        <v>53</v>
      </c>
      <c r="S544">
        <v>39304</v>
      </c>
      <c r="T544" t="s">
        <v>72</v>
      </c>
      <c r="U544">
        <v>245.65</v>
      </c>
      <c r="V544">
        <v>3</v>
      </c>
      <c r="W544" t="s">
        <v>47</v>
      </c>
      <c r="X544">
        <v>11</v>
      </c>
      <c r="Y544">
        <v>3</v>
      </c>
      <c r="Z544">
        <v>3</v>
      </c>
      <c r="AA544">
        <v>1</v>
      </c>
      <c r="AB544">
        <v>7</v>
      </c>
      <c r="AC544">
        <v>4</v>
      </c>
      <c r="AD544">
        <v>4</v>
      </c>
      <c r="AE544">
        <v>4</v>
      </c>
      <c r="AF544">
        <v>3</v>
      </c>
      <c r="AG544">
        <v>0</v>
      </c>
      <c r="AH544">
        <v>3</v>
      </c>
      <c r="AI544">
        <f t="shared" si="56"/>
        <v>0</v>
      </c>
      <c r="AJ544" t="str">
        <f t="shared" si="57"/>
        <v>4-5 yrs</v>
      </c>
      <c r="AK544" t="str">
        <f t="shared" si="58"/>
        <v>Recent</v>
      </c>
      <c r="AL544">
        <f t="shared" si="59"/>
        <v>2</v>
      </c>
      <c r="AM544" t="str">
        <f t="shared" si="60"/>
        <v>Medium Risk</v>
      </c>
      <c r="AN544" s="6">
        <f t="shared" si="61"/>
        <v>-0.22544595992708502</v>
      </c>
      <c r="AO544" s="7">
        <f t="shared" si="62"/>
        <v>471648</v>
      </c>
    </row>
    <row r="545" spans="1:41" x14ac:dyDescent="0.3">
      <c r="A545" t="s">
        <v>613</v>
      </c>
      <c r="B545">
        <v>33</v>
      </c>
      <c r="C545" t="s">
        <v>196</v>
      </c>
      <c r="D545" t="s">
        <v>55</v>
      </c>
      <c r="E545" t="s">
        <v>48</v>
      </c>
      <c r="F545">
        <v>1198</v>
      </c>
      <c r="G545" t="s">
        <v>49</v>
      </c>
      <c r="H545">
        <v>1</v>
      </c>
      <c r="I545">
        <v>4</v>
      </c>
      <c r="J545" t="s">
        <v>82</v>
      </c>
      <c r="K545">
        <v>939</v>
      </c>
      <c r="L545">
        <v>3</v>
      </c>
      <c r="M545" t="s">
        <v>51</v>
      </c>
      <c r="N545">
        <v>2</v>
      </c>
      <c r="O545">
        <v>1</v>
      </c>
      <c r="P545" t="s">
        <v>67</v>
      </c>
      <c r="Q545">
        <v>1</v>
      </c>
      <c r="R545" t="s">
        <v>53</v>
      </c>
      <c r="S545">
        <v>70449</v>
      </c>
      <c r="T545" t="s">
        <v>64</v>
      </c>
      <c r="U545">
        <v>440.31</v>
      </c>
      <c r="V545">
        <v>3</v>
      </c>
      <c r="W545" t="s">
        <v>47</v>
      </c>
      <c r="X545">
        <v>11</v>
      </c>
      <c r="Y545">
        <v>3</v>
      </c>
      <c r="Z545">
        <v>2</v>
      </c>
      <c r="AA545">
        <v>0</v>
      </c>
      <c r="AB545">
        <v>6</v>
      </c>
      <c r="AC545">
        <v>1</v>
      </c>
      <c r="AD545">
        <v>3</v>
      </c>
      <c r="AE545">
        <v>3</v>
      </c>
      <c r="AF545">
        <v>2</v>
      </c>
      <c r="AG545">
        <v>0</v>
      </c>
      <c r="AH545">
        <v>2</v>
      </c>
      <c r="AI545">
        <f t="shared" si="56"/>
        <v>0</v>
      </c>
      <c r="AJ545" t="str">
        <f t="shared" si="57"/>
        <v>2-3 yrs</v>
      </c>
      <c r="AK545" t="str">
        <f t="shared" si="58"/>
        <v>Recent</v>
      </c>
      <c r="AL545">
        <f t="shared" si="59"/>
        <v>2</v>
      </c>
      <c r="AM545" t="str">
        <f t="shared" si="60"/>
        <v>Medium Risk</v>
      </c>
      <c r="AN545" s="6">
        <f t="shared" si="61"/>
        <v>0.41276331264722016</v>
      </c>
      <c r="AO545" s="7">
        <f t="shared" si="62"/>
        <v>845388</v>
      </c>
    </row>
    <row r="546" spans="1:41" x14ac:dyDescent="0.3">
      <c r="A546" t="s">
        <v>614</v>
      </c>
      <c r="B546">
        <v>33</v>
      </c>
      <c r="C546" t="s">
        <v>196</v>
      </c>
      <c r="D546" t="s">
        <v>55</v>
      </c>
      <c r="E546" t="s">
        <v>48</v>
      </c>
      <c r="F546">
        <v>1069</v>
      </c>
      <c r="G546" t="s">
        <v>49</v>
      </c>
      <c r="H546">
        <v>1</v>
      </c>
      <c r="I546">
        <v>3</v>
      </c>
      <c r="J546" t="s">
        <v>50</v>
      </c>
      <c r="K546">
        <v>969</v>
      </c>
      <c r="L546">
        <v>2</v>
      </c>
      <c r="M546" t="s">
        <v>59</v>
      </c>
      <c r="N546">
        <v>2</v>
      </c>
      <c r="O546">
        <v>2</v>
      </c>
      <c r="P546" t="s">
        <v>168</v>
      </c>
      <c r="Q546">
        <v>4</v>
      </c>
      <c r="R546" t="s">
        <v>53</v>
      </c>
      <c r="S546">
        <v>83986</v>
      </c>
      <c r="T546" t="s">
        <v>70</v>
      </c>
      <c r="U546">
        <v>524.91</v>
      </c>
      <c r="V546">
        <v>0</v>
      </c>
      <c r="W546" t="s">
        <v>55</v>
      </c>
      <c r="X546">
        <v>14</v>
      </c>
      <c r="Y546">
        <v>3</v>
      </c>
      <c r="Z546">
        <v>1</v>
      </c>
      <c r="AA546">
        <v>0</v>
      </c>
      <c r="AB546">
        <v>6</v>
      </c>
      <c r="AC546">
        <v>3</v>
      </c>
      <c r="AD546">
        <v>3</v>
      </c>
      <c r="AE546">
        <v>5</v>
      </c>
      <c r="AF546">
        <v>0</v>
      </c>
      <c r="AG546">
        <v>1</v>
      </c>
      <c r="AH546">
        <v>4</v>
      </c>
      <c r="AI546">
        <f t="shared" si="56"/>
        <v>0</v>
      </c>
      <c r="AJ546" t="str">
        <f t="shared" si="57"/>
        <v>4-5 yrs</v>
      </c>
      <c r="AK546" t="str">
        <f t="shared" si="58"/>
        <v>Recent</v>
      </c>
      <c r="AL546">
        <f t="shared" si="59"/>
        <v>0</v>
      </c>
      <c r="AM546" t="str">
        <f t="shared" si="60"/>
        <v>Minimal Risk</v>
      </c>
      <c r="AN546" s="6">
        <f t="shared" si="61"/>
        <v>0.74284071100781457</v>
      </c>
      <c r="AO546" s="7">
        <f t="shared" si="62"/>
        <v>1007832</v>
      </c>
    </row>
    <row r="547" spans="1:41" x14ac:dyDescent="0.3">
      <c r="A547" t="s">
        <v>615</v>
      </c>
      <c r="B547">
        <v>33</v>
      </c>
      <c r="C547" t="s">
        <v>196</v>
      </c>
      <c r="D547" t="s">
        <v>55</v>
      </c>
      <c r="E547" t="s">
        <v>66</v>
      </c>
      <c r="F547">
        <v>722</v>
      </c>
      <c r="G547" t="s">
        <v>57</v>
      </c>
      <c r="H547">
        <v>17</v>
      </c>
      <c r="I547">
        <v>3</v>
      </c>
      <c r="J547" t="s">
        <v>50</v>
      </c>
      <c r="K547">
        <v>992</v>
      </c>
      <c r="L547">
        <v>4</v>
      </c>
      <c r="M547" t="s">
        <v>51</v>
      </c>
      <c r="N547">
        <v>3</v>
      </c>
      <c r="O547">
        <v>4</v>
      </c>
      <c r="P547" t="s">
        <v>444</v>
      </c>
      <c r="Q547">
        <v>3</v>
      </c>
      <c r="R547" t="s">
        <v>53</v>
      </c>
      <c r="S547">
        <v>90643</v>
      </c>
      <c r="T547" t="s">
        <v>70</v>
      </c>
      <c r="U547">
        <v>566.52</v>
      </c>
      <c r="V547">
        <v>1</v>
      </c>
      <c r="W547" t="s">
        <v>55</v>
      </c>
      <c r="X547">
        <v>11</v>
      </c>
      <c r="Y547">
        <v>3</v>
      </c>
      <c r="Z547">
        <v>4</v>
      </c>
      <c r="AA547">
        <v>0</v>
      </c>
      <c r="AB547">
        <v>10</v>
      </c>
      <c r="AC547">
        <v>2</v>
      </c>
      <c r="AD547">
        <v>3</v>
      </c>
      <c r="AE547">
        <v>10</v>
      </c>
      <c r="AF547">
        <v>8</v>
      </c>
      <c r="AG547">
        <v>6</v>
      </c>
      <c r="AH547">
        <v>0</v>
      </c>
      <c r="AI547">
        <f t="shared" si="56"/>
        <v>0</v>
      </c>
      <c r="AJ547" t="str">
        <f t="shared" si="57"/>
        <v>6-10 yrs</v>
      </c>
      <c r="AK547" t="str">
        <f t="shared" si="58"/>
        <v>Overdue</v>
      </c>
      <c r="AL547">
        <f t="shared" si="59"/>
        <v>1</v>
      </c>
      <c r="AM547" t="str">
        <f t="shared" si="60"/>
        <v>Low Risk</v>
      </c>
      <c r="AN547" s="6">
        <f t="shared" si="61"/>
        <v>0.73651203517204744</v>
      </c>
      <c r="AO547" s="7">
        <f t="shared" si="62"/>
        <v>1087716</v>
      </c>
    </row>
    <row r="548" spans="1:41" x14ac:dyDescent="0.3">
      <c r="A548" t="s">
        <v>616</v>
      </c>
      <c r="B548">
        <v>33</v>
      </c>
      <c r="C548" t="s">
        <v>196</v>
      </c>
      <c r="D548" t="s">
        <v>55</v>
      </c>
      <c r="E548" t="s">
        <v>48</v>
      </c>
      <c r="F548">
        <v>461</v>
      </c>
      <c r="G548" t="s">
        <v>49</v>
      </c>
      <c r="H548">
        <v>13</v>
      </c>
      <c r="I548">
        <v>1</v>
      </c>
      <c r="J548" t="s">
        <v>50</v>
      </c>
      <c r="K548">
        <v>995</v>
      </c>
      <c r="L548">
        <v>2</v>
      </c>
      <c r="M548" t="s">
        <v>59</v>
      </c>
      <c r="N548">
        <v>3</v>
      </c>
      <c r="O548">
        <v>1</v>
      </c>
      <c r="P548" t="s">
        <v>67</v>
      </c>
      <c r="Q548">
        <v>4</v>
      </c>
      <c r="R548" t="s">
        <v>53</v>
      </c>
      <c r="S548">
        <v>21764</v>
      </c>
      <c r="T548" t="s">
        <v>54</v>
      </c>
      <c r="U548">
        <v>136.02000000000001</v>
      </c>
      <c r="V548">
        <v>3</v>
      </c>
      <c r="W548" t="s">
        <v>55</v>
      </c>
      <c r="X548">
        <v>18</v>
      </c>
      <c r="Y548">
        <v>3</v>
      </c>
      <c r="Z548">
        <v>1</v>
      </c>
      <c r="AA548">
        <v>0</v>
      </c>
      <c r="AB548">
        <v>5</v>
      </c>
      <c r="AC548">
        <v>4</v>
      </c>
      <c r="AD548">
        <v>3</v>
      </c>
      <c r="AE548">
        <v>3</v>
      </c>
      <c r="AF548">
        <v>2</v>
      </c>
      <c r="AG548">
        <v>0</v>
      </c>
      <c r="AH548">
        <v>2</v>
      </c>
      <c r="AI548">
        <f t="shared" si="56"/>
        <v>0</v>
      </c>
      <c r="AJ548" t="str">
        <f t="shared" si="57"/>
        <v>2-3 yrs</v>
      </c>
      <c r="AK548" t="str">
        <f t="shared" si="58"/>
        <v>Recent</v>
      </c>
      <c r="AL548">
        <f t="shared" si="59"/>
        <v>0</v>
      </c>
      <c r="AM548" t="str">
        <f t="shared" si="60"/>
        <v>Minimal Risk</v>
      </c>
      <c r="AN548" s="6">
        <f t="shared" si="61"/>
        <v>-0.56355121099725902</v>
      </c>
      <c r="AO548" s="7">
        <f t="shared" si="62"/>
        <v>261168</v>
      </c>
    </row>
    <row r="549" spans="1:41" x14ac:dyDescent="0.3">
      <c r="A549" t="s">
        <v>617</v>
      </c>
      <c r="B549">
        <v>33</v>
      </c>
      <c r="C549" t="s">
        <v>196</v>
      </c>
      <c r="D549" t="s">
        <v>55</v>
      </c>
      <c r="E549" t="s">
        <v>62</v>
      </c>
      <c r="F549">
        <v>827</v>
      </c>
      <c r="G549" t="s">
        <v>49</v>
      </c>
      <c r="H549">
        <v>1</v>
      </c>
      <c r="I549">
        <v>4</v>
      </c>
      <c r="J549" t="s">
        <v>82</v>
      </c>
      <c r="K549">
        <v>998</v>
      </c>
      <c r="L549">
        <v>3</v>
      </c>
      <c r="M549" t="s">
        <v>59</v>
      </c>
      <c r="N549">
        <v>4</v>
      </c>
      <c r="O549">
        <v>2</v>
      </c>
      <c r="P549" t="s">
        <v>168</v>
      </c>
      <c r="Q549">
        <v>2</v>
      </c>
      <c r="R549" t="s">
        <v>113</v>
      </c>
      <c r="S549">
        <v>87027</v>
      </c>
      <c r="T549" t="s">
        <v>70</v>
      </c>
      <c r="U549">
        <v>543.91999999999996</v>
      </c>
      <c r="V549">
        <v>1</v>
      </c>
      <c r="W549" t="s">
        <v>47</v>
      </c>
      <c r="X549">
        <v>13</v>
      </c>
      <c r="Y549">
        <v>3</v>
      </c>
      <c r="Z549">
        <v>1</v>
      </c>
      <c r="AA549">
        <v>1</v>
      </c>
      <c r="AB549">
        <v>6</v>
      </c>
      <c r="AC549">
        <v>2</v>
      </c>
      <c r="AD549">
        <v>3</v>
      </c>
      <c r="AE549">
        <v>6</v>
      </c>
      <c r="AF549">
        <v>5</v>
      </c>
      <c r="AG549">
        <v>1</v>
      </c>
      <c r="AH549">
        <v>2</v>
      </c>
      <c r="AI549">
        <f t="shared" si="56"/>
        <v>0</v>
      </c>
      <c r="AJ549" t="str">
        <f t="shared" si="57"/>
        <v>6-10 yrs</v>
      </c>
      <c r="AK549" t="str">
        <f t="shared" si="58"/>
        <v>Recent</v>
      </c>
      <c r="AL549">
        <f t="shared" si="59"/>
        <v>2</v>
      </c>
      <c r="AM549" t="str">
        <f t="shared" si="60"/>
        <v>Medium Risk</v>
      </c>
      <c r="AN549" s="6">
        <f t="shared" si="61"/>
        <v>0.8059462119505284</v>
      </c>
      <c r="AO549" s="7">
        <f t="shared" si="62"/>
        <v>1044324</v>
      </c>
    </row>
    <row r="550" spans="1:41" x14ac:dyDescent="0.3">
      <c r="A550" t="s">
        <v>618</v>
      </c>
      <c r="B550">
        <v>33</v>
      </c>
      <c r="C550" t="s">
        <v>196</v>
      </c>
      <c r="D550" t="s">
        <v>55</v>
      </c>
      <c r="E550" t="s">
        <v>66</v>
      </c>
      <c r="F550">
        <v>1038</v>
      </c>
      <c r="G550" t="s">
        <v>57</v>
      </c>
      <c r="H550">
        <v>8</v>
      </c>
      <c r="I550">
        <v>1</v>
      </c>
      <c r="J550" t="s">
        <v>50</v>
      </c>
      <c r="K550">
        <v>1044</v>
      </c>
      <c r="L550">
        <v>2</v>
      </c>
      <c r="M550" t="s">
        <v>59</v>
      </c>
      <c r="N550">
        <v>2</v>
      </c>
      <c r="O550">
        <v>1</v>
      </c>
      <c r="P550" t="s">
        <v>60</v>
      </c>
      <c r="Q550">
        <v>4</v>
      </c>
      <c r="R550" t="s">
        <v>53</v>
      </c>
      <c r="S550">
        <v>39494</v>
      </c>
      <c r="T550" t="s">
        <v>72</v>
      </c>
      <c r="U550">
        <v>246.84</v>
      </c>
      <c r="V550">
        <v>0</v>
      </c>
      <c r="W550" t="s">
        <v>55</v>
      </c>
      <c r="X550">
        <v>19</v>
      </c>
      <c r="Y550">
        <v>3</v>
      </c>
      <c r="Z550">
        <v>4</v>
      </c>
      <c r="AA550">
        <v>0</v>
      </c>
      <c r="AB550">
        <v>3</v>
      </c>
      <c r="AC550">
        <v>2</v>
      </c>
      <c r="AD550">
        <v>2</v>
      </c>
      <c r="AE550">
        <v>2</v>
      </c>
      <c r="AF550">
        <v>2</v>
      </c>
      <c r="AG550">
        <v>2</v>
      </c>
      <c r="AH550">
        <v>2</v>
      </c>
      <c r="AI550">
        <f t="shared" si="56"/>
        <v>0</v>
      </c>
      <c r="AJ550" t="str">
        <f t="shared" si="57"/>
        <v>2-3 yrs</v>
      </c>
      <c r="AK550" t="str">
        <f t="shared" si="58"/>
        <v>Recent</v>
      </c>
      <c r="AL550">
        <f t="shared" si="59"/>
        <v>1</v>
      </c>
      <c r="AM550" t="str">
        <f t="shared" si="60"/>
        <v>Low Risk</v>
      </c>
      <c r="AN550" s="6">
        <f t="shared" si="61"/>
        <v>-0.19933987393600164</v>
      </c>
      <c r="AO550" s="7">
        <f t="shared" si="62"/>
        <v>473928</v>
      </c>
    </row>
    <row r="551" spans="1:41" x14ac:dyDescent="0.3">
      <c r="A551" t="s">
        <v>619</v>
      </c>
      <c r="B551">
        <v>33</v>
      </c>
      <c r="C551" t="s">
        <v>196</v>
      </c>
      <c r="D551" t="s">
        <v>55</v>
      </c>
      <c r="E551" t="s">
        <v>48</v>
      </c>
      <c r="F551">
        <v>654</v>
      </c>
      <c r="G551" t="s">
        <v>49</v>
      </c>
      <c r="H551">
        <v>5</v>
      </c>
      <c r="I551">
        <v>3</v>
      </c>
      <c r="J551" t="s">
        <v>50</v>
      </c>
      <c r="K551">
        <v>1099</v>
      </c>
      <c r="L551">
        <v>4</v>
      </c>
      <c r="M551" t="s">
        <v>51</v>
      </c>
      <c r="N551">
        <v>2</v>
      </c>
      <c r="O551">
        <v>3</v>
      </c>
      <c r="P551" t="s">
        <v>168</v>
      </c>
      <c r="Q551">
        <v>4</v>
      </c>
      <c r="R551" t="s">
        <v>53</v>
      </c>
      <c r="S551">
        <v>4373</v>
      </c>
      <c r="T551" t="s">
        <v>54</v>
      </c>
      <c r="U551">
        <v>27.33</v>
      </c>
      <c r="V551">
        <v>4</v>
      </c>
      <c r="W551" t="s">
        <v>55</v>
      </c>
      <c r="X551">
        <v>15</v>
      </c>
      <c r="Y551">
        <v>3</v>
      </c>
      <c r="Z551">
        <v>3</v>
      </c>
      <c r="AA551">
        <v>1</v>
      </c>
      <c r="AB551">
        <v>9</v>
      </c>
      <c r="AC551">
        <v>2</v>
      </c>
      <c r="AD551">
        <v>3</v>
      </c>
      <c r="AE551">
        <v>3</v>
      </c>
      <c r="AF551">
        <v>2</v>
      </c>
      <c r="AG551">
        <v>1</v>
      </c>
      <c r="AH551">
        <v>2</v>
      </c>
      <c r="AI551">
        <f t="shared" si="56"/>
        <v>0</v>
      </c>
      <c r="AJ551" t="str">
        <f t="shared" si="57"/>
        <v>2-3 yrs</v>
      </c>
      <c r="AK551" t="str">
        <f t="shared" si="58"/>
        <v>Recent</v>
      </c>
      <c r="AL551">
        <f t="shared" si="59"/>
        <v>0</v>
      </c>
      <c r="AM551" t="str">
        <f t="shared" si="60"/>
        <v>Minimal Risk</v>
      </c>
      <c r="AN551" s="6">
        <f t="shared" si="61"/>
        <v>-0.90925341807876103</v>
      </c>
      <c r="AO551" s="7">
        <f t="shared" si="62"/>
        <v>52476</v>
      </c>
    </row>
    <row r="552" spans="1:41" x14ac:dyDescent="0.3">
      <c r="A552" t="s">
        <v>620</v>
      </c>
      <c r="B552">
        <v>33</v>
      </c>
      <c r="C552" t="s">
        <v>196</v>
      </c>
      <c r="D552" t="s">
        <v>47</v>
      </c>
      <c r="E552" t="s">
        <v>62</v>
      </c>
      <c r="F552">
        <v>827</v>
      </c>
      <c r="G552" t="s">
        <v>49</v>
      </c>
      <c r="H552">
        <v>29</v>
      </c>
      <c r="I552">
        <v>4</v>
      </c>
      <c r="J552" t="s">
        <v>58</v>
      </c>
      <c r="K552">
        <v>1101</v>
      </c>
      <c r="L552">
        <v>1</v>
      </c>
      <c r="M552" t="s">
        <v>59</v>
      </c>
      <c r="N552">
        <v>2</v>
      </c>
      <c r="O552">
        <v>2</v>
      </c>
      <c r="P552" t="s">
        <v>67</v>
      </c>
      <c r="Q552">
        <v>3</v>
      </c>
      <c r="R552" t="s">
        <v>53</v>
      </c>
      <c r="S552">
        <v>13161</v>
      </c>
      <c r="T552" t="s">
        <v>54</v>
      </c>
      <c r="U552">
        <v>82.26</v>
      </c>
      <c r="V552">
        <v>1</v>
      </c>
      <c r="W552" t="s">
        <v>55</v>
      </c>
      <c r="X552">
        <v>22</v>
      </c>
      <c r="Y552">
        <v>4</v>
      </c>
      <c r="Z552">
        <v>2</v>
      </c>
      <c r="AA552">
        <v>0</v>
      </c>
      <c r="AB552">
        <v>14</v>
      </c>
      <c r="AC552">
        <v>4</v>
      </c>
      <c r="AD552">
        <v>3</v>
      </c>
      <c r="AE552">
        <v>13</v>
      </c>
      <c r="AF552">
        <v>7</v>
      </c>
      <c r="AG552">
        <v>3</v>
      </c>
      <c r="AH552">
        <v>8</v>
      </c>
      <c r="AI552">
        <f t="shared" si="56"/>
        <v>1</v>
      </c>
      <c r="AJ552" t="str">
        <f t="shared" si="57"/>
        <v>10+ yrs</v>
      </c>
      <c r="AK552" t="str">
        <f t="shared" si="58"/>
        <v>Overdue</v>
      </c>
      <c r="AL552">
        <f t="shared" si="59"/>
        <v>1</v>
      </c>
      <c r="AM552" t="str">
        <f t="shared" si="60"/>
        <v>Low Risk</v>
      </c>
      <c r="AN552" s="6">
        <f t="shared" si="61"/>
        <v>-0.73607321668511883</v>
      </c>
      <c r="AO552" s="7">
        <f t="shared" si="62"/>
        <v>157932</v>
      </c>
    </row>
    <row r="553" spans="1:41" x14ac:dyDescent="0.3">
      <c r="A553" t="s">
        <v>621</v>
      </c>
      <c r="B553">
        <v>33</v>
      </c>
      <c r="C553" t="s">
        <v>196</v>
      </c>
      <c r="D553" t="s">
        <v>47</v>
      </c>
      <c r="E553" t="s">
        <v>48</v>
      </c>
      <c r="F553">
        <v>1017</v>
      </c>
      <c r="G553" t="s">
        <v>49</v>
      </c>
      <c r="H553">
        <v>25</v>
      </c>
      <c r="I553">
        <v>3</v>
      </c>
      <c r="J553" t="s">
        <v>58</v>
      </c>
      <c r="K553">
        <v>1108</v>
      </c>
      <c r="L553">
        <v>1</v>
      </c>
      <c r="M553" t="s">
        <v>51</v>
      </c>
      <c r="N553">
        <v>2</v>
      </c>
      <c r="O553">
        <v>1</v>
      </c>
      <c r="P553" t="s">
        <v>67</v>
      </c>
      <c r="Q553">
        <v>2</v>
      </c>
      <c r="R553" t="s">
        <v>53</v>
      </c>
      <c r="S553">
        <v>98532</v>
      </c>
      <c r="T553" t="s">
        <v>70</v>
      </c>
      <c r="U553">
        <v>615.83000000000004</v>
      </c>
      <c r="V553">
        <v>4</v>
      </c>
      <c r="W553" t="s">
        <v>47</v>
      </c>
      <c r="X553">
        <v>20</v>
      </c>
      <c r="Y553">
        <v>4</v>
      </c>
      <c r="Z553">
        <v>2</v>
      </c>
      <c r="AA553">
        <v>0</v>
      </c>
      <c r="AB553">
        <v>5</v>
      </c>
      <c r="AC553">
        <v>0</v>
      </c>
      <c r="AD553">
        <v>3</v>
      </c>
      <c r="AE553">
        <v>2</v>
      </c>
      <c r="AF553">
        <v>2</v>
      </c>
      <c r="AG553">
        <v>2</v>
      </c>
      <c r="AH553">
        <v>2</v>
      </c>
      <c r="AI553">
        <f t="shared" si="56"/>
        <v>1</v>
      </c>
      <c r="AJ553" t="str">
        <f t="shared" si="57"/>
        <v>2-3 yrs</v>
      </c>
      <c r="AK553" t="str">
        <f t="shared" si="58"/>
        <v>Recent</v>
      </c>
      <c r="AL553">
        <f t="shared" si="59"/>
        <v>2</v>
      </c>
      <c r="AM553" t="str">
        <f t="shared" si="60"/>
        <v>Medium Risk</v>
      </c>
      <c r="AN553" s="6">
        <f t="shared" si="61"/>
        <v>0.97593145001001991</v>
      </c>
      <c r="AO553" s="7">
        <f t="shared" si="62"/>
        <v>1182384</v>
      </c>
    </row>
    <row r="554" spans="1:41" x14ac:dyDescent="0.3">
      <c r="A554" t="s">
        <v>622</v>
      </c>
      <c r="B554">
        <v>33</v>
      </c>
      <c r="C554" t="s">
        <v>196</v>
      </c>
      <c r="D554" t="s">
        <v>55</v>
      </c>
      <c r="E554" t="s">
        <v>62</v>
      </c>
      <c r="F554">
        <v>970</v>
      </c>
      <c r="G554" t="s">
        <v>57</v>
      </c>
      <c r="H554">
        <v>7</v>
      </c>
      <c r="I554">
        <v>3</v>
      </c>
      <c r="J554" t="s">
        <v>50</v>
      </c>
      <c r="K554">
        <v>1114</v>
      </c>
      <c r="L554">
        <v>4</v>
      </c>
      <c r="M554" t="s">
        <v>59</v>
      </c>
      <c r="N554">
        <v>3</v>
      </c>
      <c r="O554">
        <v>2</v>
      </c>
      <c r="P554" t="s">
        <v>145</v>
      </c>
      <c r="Q554">
        <v>2</v>
      </c>
      <c r="R554" t="s">
        <v>113</v>
      </c>
      <c r="S554">
        <v>93658</v>
      </c>
      <c r="T554" t="s">
        <v>70</v>
      </c>
      <c r="U554">
        <v>585.36</v>
      </c>
      <c r="V554">
        <v>0</v>
      </c>
      <c r="W554" t="s">
        <v>55</v>
      </c>
      <c r="X554">
        <v>17</v>
      </c>
      <c r="Y554">
        <v>3</v>
      </c>
      <c r="Z554">
        <v>3</v>
      </c>
      <c r="AA554">
        <v>1</v>
      </c>
      <c r="AB554">
        <v>4</v>
      </c>
      <c r="AC554">
        <v>3</v>
      </c>
      <c r="AD554">
        <v>3</v>
      </c>
      <c r="AE554">
        <v>3</v>
      </c>
      <c r="AF554">
        <v>2</v>
      </c>
      <c r="AG554">
        <v>0</v>
      </c>
      <c r="AH554">
        <v>2</v>
      </c>
      <c r="AI554">
        <f t="shared" si="56"/>
        <v>0</v>
      </c>
      <c r="AJ554" t="str">
        <f t="shared" si="57"/>
        <v>2-3 yrs</v>
      </c>
      <c r="AK554" t="str">
        <f t="shared" si="58"/>
        <v>Recent</v>
      </c>
      <c r="AL554">
        <f t="shared" si="59"/>
        <v>1</v>
      </c>
      <c r="AM554" t="str">
        <f t="shared" si="60"/>
        <v>Low Risk</v>
      </c>
      <c r="AN554" s="6">
        <f t="shared" si="61"/>
        <v>0.90912915382285764</v>
      </c>
      <c r="AO554" s="7">
        <f t="shared" si="62"/>
        <v>1123896</v>
      </c>
    </row>
    <row r="555" spans="1:41" x14ac:dyDescent="0.3">
      <c r="A555" t="s">
        <v>623</v>
      </c>
      <c r="B555">
        <v>33</v>
      </c>
      <c r="C555" t="s">
        <v>196</v>
      </c>
      <c r="D555" t="s">
        <v>47</v>
      </c>
      <c r="E555" t="s">
        <v>48</v>
      </c>
      <c r="F555">
        <v>603</v>
      </c>
      <c r="G555" t="s">
        <v>57</v>
      </c>
      <c r="H555">
        <v>9</v>
      </c>
      <c r="I555">
        <v>4</v>
      </c>
      <c r="J555" t="s">
        <v>63</v>
      </c>
      <c r="K555">
        <v>1157</v>
      </c>
      <c r="L555">
        <v>1</v>
      </c>
      <c r="M555" t="s">
        <v>59</v>
      </c>
      <c r="N555">
        <v>3</v>
      </c>
      <c r="O555">
        <v>2</v>
      </c>
      <c r="P555" t="s">
        <v>145</v>
      </c>
      <c r="Q555">
        <v>1</v>
      </c>
      <c r="R555" t="s">
        <v>53</v>
      </c>
      <c r="S555">
        <v>28350</v>
      </c>
      <c r="T555" t="s">
        <v>72</v>
      </c>
      <c r="U555">
        <v>177.19</v>
      </c>
      <c r="V555">
        <v>0</v>
      </c>
      <c r="W555" t="s">
        <v>47</v>
      </c>
      <c r="X555">
        <v>17</v>
      </c>
      <c r="Y555">
        <v>3</v>
      </c>
      <c r="Z555">
        <v>1</v>
      </c>
      <c r="AA555">
        <v>0</v>
      </c>
      <c r="AB555">
        <v>6</v>
      </c>
      <c r="AC555">
        <v>3</v>
      </c>
      <c r="AD555">
        <v>3</v>
      </c>
      <c r="AE555">
        <v>5</v>
      </c>
      <c r="AF555">
        <v>2</v>
      </c>
      <c r="AG555">
        <v>0</v>
      </c>
      <c r="AH555">
        <v>3</v>
      </c>
      <c r="AI555">
        <f t="shared" si="56"/>
        <v>1</v>
      </c>
      <c r="AJ555" t="str">
        <f t="shared" si="57"/>
        <v>4-5 yrs</v>
      </c>
      <c r="AK555" t="str">
        <f t="shared" si="58"/>
        <v>Recent</v>
      </c>
      <c r="AL555">
        <f t="shared" si="59"/>
        <v>2</v>
      </c>
      <c r="AM555" t="str">
        <f t="shared" si="60"/>
        <v>Medium Risk</v>
      </c>
      <c r="AN555" s="6">
        <f t="shared" si="61"/>
        <v>-0.42211224336545716</v>
      </c>
      <c r="AO555" s="7">
        <f t="shared" si="62"/>
        <v>340200</v>
      </c>
    </row>
    <row r="556" spans="1:41" x14ac:dyDescent="0.3">
      <c r="A556" t="s">
        <v>624</v>
      </c>
      <c r="B556">
        <v>33</v>
      </c>
      <c r="C556" t="s">
        <v>196</v>
      </c>
      <c r="D556" t="s">
        <v>55</v>
      </c>
      <c r="E556" t="s">
        <v>48</v>
      </c>
      <c r="F556">
        <v>147</v>
      </c>
      <c r="G556" t="s">
        <v>406</v>
      </c>
      <c r="H556">
        <v>2</v>
      </c>
      <c r="I556">
        <v>3</v>
      </c>
      <c r="J556" t="s">
        <v>80</v>
      </c>
      <c r="K556">
        <v>1207</v>
      </c>
      <c r="L556">
        <v>2</v>
      </c>
      <c r="M556" t="s">
        <v>51</v>
      </c>
      <c r="N556">
        <v>3</v>
      </c>
      <c r="O556">
        <v>1</v>
      </c>
      <c r="P556" t="s">
        <v>80</v>
      </c>
      <c r="Q556">
        <v>3</v>
      </c>
      <c r="R556" t="s">
        <v>113</v>
      </c>
      <c r="S556">
        <v>94008</v>
      </c>
      <c r="T556" t="s">
        <v>70</v>
      </c>
      <c r="U556">
        <v>587.54999999999995</v>
      </c>
      <c r="V556">
        <v>1</v>
      </c>
      <c r="W556" t="s">
        <v>55</v>
      </c>
      <c r="X556">
        <v>13</v>
      </c>
      <c r="Y556">
        <v>3</v>
      </c>
      <c r="Z556">
        <v>4</v>
      </c>
      <c r="AA556">
        <v>1</v>
      </c>
      <c r="AB556">
        <v>5</v>
      </c>
      <c r="AC556">
        <v>2</v>
      </c>
      <c r="AD556">
        <v>3</v>
      </c>
      <c r="AE556">
        <v>5</v>
      </c>
      <c r="AF556">
        <v>4</v>
      </c>
      <c r="AG556">
        <v>1</v>
      </c>
      <c r="AH556">
        <v>4</v>
      </c>
      <c r="AI556">
        <f t="shared" si="56"/>
        <v>0</v>
      </c>
      <c r="AJ556" t="str">
        <f t="shared" si="57"/>
        <v>4-5 yrs</v>
      </c>
      <c r="AK556" t="str">
        <f t="shared" si="58"/>
        <v>Recent</v>
      </c>
      <c r="AL556">
        <f t="shared" si="59"/>
        <v>0</v>
      </c>
      <c r="AM556" t="str">
        <f t="shared" si="60"/>
        <v>Minimal Risk</v>
      </c>
      <c r="AN556" s="6">
        <f t="shared" si="61"/>
        <v>0.85259200588170647</v>
      </c>
      <c r="AO556" s="7">
        <f t="shared" si="62"/>
        <v>1128096</v>
      </c>
    </row>
    <row r="557" spans="1:41" x14ac:dyDescent="0.3">
      <c r="A557" t="s">
        <v>625</v>
      </c>
      <c r="B557">
        <v>33</v>
      </c>
      <c r="C557" t="s">
        <v>196</v>
      </c>
      <c r="D557" t="s">
        <v>55</v>
      </c>
      <c r="E557" t="s">
        <v>62</v>
      </c>
      <c r="F557">
        <v>1146</v>
      </c>
      <c r="G557" t="s">
        <v>57</v>
      </c>
      <c r="H557">
        <v>25</v>
      </c>
      <c r="I557">
        <v>3</v>
      </c>
      <c r="J557" t="s">
        <v>58</v>
      </c>
      <c r="K557">
        <v>1220</v>
      </c>
      <c r="L557">
        <v>2</v>
      </c>
      <c r="M557" t="s">
        <v>59</v>
      </c>
      <c r="N557">
        <v>3</v>
      </c>
      <c r="O557">
        <v>2</v>
      </c>
      <c r="P557" t="s">
        <v>145</v>
      </c>
      <c r="Q557">
        <v>3</v>
      </c>
      <c r="R557" t="s">
        <v>113</v>
      </c>
      <c r="S557">
        <v>95297</v>
      </c>
      <c r="T557" t="s">
        <v>70</v>
      </c>
      <c r="U557">
        <v>595.61</v>
      </c>
      <c r="V557">
        <v>1</v>
      </c>
      <c r="W557" t="s">
        <v>55</v>
      </c>
      <c r="X557">
        <v>12</v>
      </c>
      <c r="Y557">
        <v>3</v>
      </c>
      <c r="Z557">
        <v>1</v>
      </c>
      <c r="AA557">
        <v>1</v>
      </c>
      <c r="AB557">
        <v>10</v>
      </c>
      <c r="AC557">
        <v>3</v>
      </c>
      <c r="AD557">
        <v>2</v>
      </c>
      <c r="AE557">
        <v>10</v>
      </c>
      <c r="AF557">
        <v>7</v>
      </c>
      <c r="AG557">
        <v>0</v>
      </c>
      <c r="AH557">
        <v>1</v>
      </c>
      <c r="AI557">
        <f t="shared" si="56"/>
        <v>0</v>
      </c>
      <c r="AJ557" t="str">
        <f t="shared" si="57"/>
        <v>6-10 yrs</v>
      </c>
      <c r="AK557" t="str">
        <f t="shared" si="58"/>
        <v>Recent</v>
      </c>
      <c r="AL557">
        <f t="shared" si="59"/>
        <v>1</v>
      </c>
      <c r="AM557" t="str">
        <f t="shared" si="60"/>
        <v>Low Risk</v>
      </c>
      <c r="AN557" s="6">
        <f t="shared" si="61"/>
        <v>0.9425386082540399</v>
      </c>
      <c r="AO557" s="7">
        <f t="shared" si="62"/>
        <v>1143564</v>
      </c>
    </row>
    <row r="558" spans="1:41" x14ac:dyDescent="0.3">
      <c r="A558" t="s">
        <v>626</v>
      </c>
      <c r="B558">
        <v>33</v>
      </c>
      <c r="C558" t="s">
        <v>196</v>
      </c>
      <c r="D558" t="s">
        <v>55</v>
      </c>
      <c r="E558" t="s">
        <v>48</v>
      </c>
      <c r="F558">
        <v>117</v>
      </c>
      <c r="G558" t="s">
        <v>49</v>
      </c>
      <c r="H558">
        <v>9</v>
      </c>
      <c r="I558">
        <v>3</v>
      </c>
      <c r="J558" t="s">
        <v>58</v>
      </c>
      <c r="K558">
        <v>1238</v>
      </c>
      <c r="L558">
        <v>1</v>
      </c>
      <c r="M558" t="s">
        <v>51</v>
      </c>
      <c r="N558">
        <v>3</v>
      </c>
      <c r="O558">
        <v>1</v>
      </c>
      <c r="P558" t="s">
        <v>67</v>
      </c>
      <c r="Q558">
        <v>4</v>
      </c>
      <c r="R558" t="s">
        <v>113</v>
      </c>
      <c r="S558">
        <v>26351</v>
      </c>
      <c r="T558" t="s">
        <v>72</v>
      </c>
      <c r="U558">
        <v>164.69</v>
      </c>
      <c r="V558">
        <v>0</v>
      </c>
      <c r="W558" t="s">
        <v>55</v>
      </c>
      <c r="X558">
        <v>13</v>
      </c>
      <c r="Y558">
        <v>3</v>
      </c>
      <c r="Z558">
        <v>2</v>
      </c>
      <c r="AA558">
        <v>1</v>
      </c>
      <c r="AB558">
        <v>15</v>
      </c>
      <c r="AC558">
        <v>5</v>
      </c>
      <c r="AD558">
        <v>3</v>
      </c>
      <c r="AE558">
        <v>14</v>
      </c>
      <c r="AF558">
        <v>10</v>
      </c>
      <c r="AG558">
        <v>4</v>
      </c>
      <c r="AH558">
        <v>10</v>
      </c>
      <c r="AI558">
        <f t="shared" si="56"/>
        <v>0</v>
      </c>
      <c r="AJ558" t="str">
        <f t="shared" si="57"/>
        <v>10+ yrs</v>
      </c>
      <c r="AK558" t="str">
        <f t="shared" si="58"/>
        <v>Overdue</v>
      </c>
      <c r="AL558">
        <f t="shared" si="59"/>
        <v>1</v>
      </c>
      <c r="AM558" t="str">
        <f t="shared" si="60"/>
        <v>Low Risk</v>
      </c>
      <c r="AN558" s="6">
        <f t="shared" si="61"/>
        <v>-0.47156487598735403</v>
      </c>
      <c r="AO558" s="7">
        <f t="shared" si="62"/>
        <v>316212</v>
      </c>
    </row>
    <row r="559" spans="1:41" x14ac:dyDescent="0.3">
      <c r="A559" t="s">
        <v>627</v>
      </c>
      <c r="B559">
        <v>33</v>
      </c>
      <c r="C559" t="s">
        <v>196</v>
      </c>
      <c r="D559" t="s">
        <v>55</v>
      </c>
      <c r="E559" t="s">
        <v>48</v>
      </c>
      <c r="F559">
        <v>536</v>
      </c>
      <c r="G559" t="s">
        <v>57</v>
      </c>
      <c r="H559">
        <v>10</v>
      </c>
      <c r="I559">
        <v>5</v>
      </c>
      <c r="J559" t="s">
        <v>63</v>
      </c>
      <c r="K559">
        <v>1268</v>
      </c>
      <c r="L559">
        <v>4</v>
      </c>
      <c r="M559" t="s">
        <v>51</v>
      </c>
      <c r="N559">
        <v>4</v>
      </c>
      <c r="O559">
        <v>3</v>
      </c>
      <c r="P559" t="s">
        <v>145</v>
      </c>
      <c r="Q559">
        <v>3</v>
      </c>
      <c r="R559" t="s">
        <v>53</v>
      </c>
      <c r="S559">
        <v>89668</v>
      </c>
      <c r="T559" t="s">
        <v>70</v>
      </c>
      <c r="U559">
        <v>560.41999999999996</v>
      </c>
      <c r="V559">
        <v>0</v>
      </c>
      <c r="W559" t="s">
        <v>47</v>
      </c>
      <c r="X559">
        <v>14</v>
      </c>
      <c r="Y559">
        <v>3</v>
      </c>
      <c r="Z559">
        <v>4</v>
      </c>
      <c r="AA559">
        <v>2</v>
      </c>
      <c r="AB559">
        <v>10</v>
      </c>
      <c r="AC559">
        <v>3</v>
      </c>
      <c r="AD559">
        <v>3</v>
      </c>
      <c r="AE559">
        <v>9</v>
      </c>
      <c r="AF559">
        <v>8</v>
      </c>
      <c r="AG559">
        <v>0</v>
      </c>
      <c r="AH559">
        <v>8</v>
      </c>
      <c r="AI559">
        <f t="shared" si="56"/>
        <v>0</v>
      </c>
      <c r="AJ559" t="str">
        <f t="shared" si="57"/>
        <v>6-10 yrs</v>
      </c>
      <c r="AK559" t="str">
        <f t="shared" si="58"/>
        <v>Recent</v>
      </c>
      <c r="AL559">
        <f t="shared" si="59"/>
        <v>1</v>
      </c>
      <c r="AM559" t="str">
        <f t="shared" si="60"/>
        <v>Low Risk</v>
      </c>
      <c r="AN559" s="6">
        <f t="shared" si="61"/>
        <v>0.82779680288910718</v>
      </c>
      <c r="AO559" s="7">
        <f t="shared" si="62"/>
        <v>1076016</v>
      </c>
    </row>
    <row r="560" spans="1:41" x14ac:dyDescent="0.3">
      <c r="A560" t="s">
        <v>628</v>
      </c>
      <c r="B560">
        <v>33</v>
      </c>
      <c r="C560" t="s">
        <v>196</v>
      </c>
      <c r="D560" t="s">
        <v>55</v>
      </c>
      <c r="E560" t="s">
        <v>62</v>
      </c>
      <c r="F560">
        <v>1111</v>
      </c>
      <c r="G560" t="s">
        <v>57</v>
      </c>
      <c r="H560">
        <v>5</v>
      </c>
      <c r="I560">
        <v>1</v>
      </c>
      <c r="J560" t="s">
        <v>50</v>
      </c>
      <c r="K560">
        <v>1395</v>
      </c>
      <c r="L560">
        <v>2</v>
      </c>
      <c r="M560" t="s">
        <v>51</v>
      </c>
      <c r="N560">
        <v>3</v>
      </c>
      <c r="O560">
        <v>2</v>
      </c>
      <c r="P560" t="s">
        <v>145</v>
      </c>
      <c r="Q560">
        <v>4</v>
      </c>
      <c r="R560" t="s">
        <v>113</v>
      </c>
      <c r="S560">
        <v>16305</v>
      </c>
      <c r="T560" t="s">
        <v>54</v>
      </c>
      <c r="U560">
        <v>101.91</v>
      </c>
      <c r="V560">
        <v>6</v>
      </c>
      <c r="W560" t="s">
        <v>55</v>
      </c>
      <c r="X560">
        <v>13</v>
      </c>
      <c r="Y560">
        <v>3</v>
      </c>
      <c r="Z560">
        <v>1</v>
      </c>
      <c r="AA560">
        <v>0</v>
      </c>
      <c r="AB560">
        <v>8</v>
      </c>
      <c r="AC560">
        <v>2</v>
      </c>
      <c r="AD560">
        <v>4</v>
      </c>
      <c r="AE560">
        <v>5</v>
      </c>
      <c r="AF560">
        <v>4</v>
      </c>
      <c r="AG560">
        <v>1</v>
      </c>
      <c r="AH560">
        <v>2</v>
      </c>
      <c r="AI560">
        <f t="shared" si="56"/>
        <v>0</v>
      </c>
      <c r="AJ560" t="str">
        <f t="shared" si="57"/>
        <v>4-5 yrs</v>
      </c>
      <c r="AK560" t="str">
        <f t="shared" si="58"/>
        <v>Recent</v>
      </c>
      <c r="AL560">
        <f t="shared" si="59"/>
        <v>0</v>
      </c>
      <c r="AM560" t="str">
        <f t="shared" si="60"/>
        <v>Minimal Risk</v>
      </c>
      <c r="AN560" s="6">
        <f t="shared" si="61"/>
        <v>-0.66763809975568889</v>
      </c>
      <c r="AO560" s="7">
        <f t="shared" si="62"/>
        <v>195660</v>
      </c>
    </row>
    <row r="561" spans="1:41" x14ac:dyDescent="0.3">
      <c r="A561" t="s">
        <v>629</v>
      </c>
      <c r="B561">
        <v>33</v>
      </c>
      <c r="C561" t="s">
        <v>196</v>
      </c>
      <c r="D561" t="s">
        <v>55</v>
      </c>
      <c r="E561" t="s">
        <v>62</v>
      </c>
      <c r="F561">
        <v>430</v>
      </c>
      <c r="G561" t="s">
        <v>57</v>
      </c>
      <c r="H561">
        <v>7</v>
      </c>
      <c r="I561">
        <v>3</v>
      </c>
      <c r="J561" t="s">
        <v>58</v>
      </c>
      <c r="K561">
        <v>1477</v>
      </c>
      <c r="L561">
        <v>4</v>
      </c>
      <c r="M561" t="s">
        <v>51</v>
      </c>
      <c r="N561">
        <v>3</v>
      </c>
      <c r="O561">
        <v>2</v>
      </c>
      <c r="P561" t="s">
        <v>145</v>
      </c>
      <c r="Q561">
        <v>1</v>
      </c>
      <c r="R561" t="s">
        <v>113</v>
      </c>
      <c r="S561">
        <v>76353</v>
      </c>
      <c r="T561" t="s">
        <v>64</v>
      </c>
      <c r="U561">
        <v>477.21</v>
      </c>
      <c r="V561">
        <v>0</v>
      </c>
      <c r="W561" t="s">
        <v>55</v>
      </c>
      <c r="X561">
        <v>14</v>
      </c>
      <c r="Y561">
        <v>3</v>
      </c>
      <c r="Z561">
        <v>1</v>
      </c>
      <c r="AA561">
        <v>2</v>
      </c>
      <c r="AB561">
        <v>5</v>
      </c>
      <c r="AC561">
        <v>2</v>
      </c>
      <c r="AD561">
        <v>3</v>
      </c>
      <c r="AE561">
        <v>4</v>
      </c>
      <c r="AF561">
        <v>3</v>
      </c>
      <c r="AG561">
        <v>0</v>
      </c>
      <c r="AH561">
        <v>3</v>
      </c>
      <c r="AI561">
        <f t="shared" si="56"/>
        <v>0</v>
      </c>
      <c r="AJ561" t="str">
        <f t="shared" si="57"/>
        <v>4-5 yrs</v>
      </c>
      <c r="AK561" t="str">
        <f t="shared" si="58"/>
        <v>Recent</v>
      </c>
      <c r="AL561">
        <f t="shared" si="59"/>
        <v>1</v>
      </c>
      <c r="AM561" t="str">
        <f t="shared" si="60"/>
        <v>Low Risk</v>
      </c>
      <c r="AN561" s="6">
        <f t="shared" si="61"/>
        <v>0.55638320572547617</v>
      </c>
      <c r="AO561" s="7">
        <f t="shared" si="62"/>
        <v>916236</v>
      </c>
    </row>
    <row r="562" spans="1:41" x14ac:dyDescent="0.3">
      <c r="A562" t="s">
        <v>630</v>
      </c>
      <c r="B562">
        <v>33</v>
      </c>
      <c r="C562" t="s">
        <v>196</v>
      </c>
      <c r="D562" t="s">
        <v>55</v>
      </c>
      <c r="E562" t="s">
        <v>48</v>
      </c>
      <c r="F562">
        <v>1099</v>
      </c>
      <c r="G562" t="s">
        <v>49</v>
      </c>
      <c r="H562">
        <v>4</v>
      </c>
      <c r="I562">
        <v>4</v>
      </c>
      <c r="J562" t="s">
        <v>58</v>
      </c>
      <c r="K562">
        <v>1502</v>
      </c>
      <c r="L562">
        <v>1</v>
      </c>
      <c r="M562" t="s">
        <v>59</v>
      </c>
      <c r="N562">
        <v>2</v>
      </c>
      <c r="O562">
        <v>1</v>
      </c>
      <c r="P562" t="s">
        <v>52</v>
      </c>
      <c r="Q562">
        <v>2</v>
      </c>
      <c r="R562" t="s">
        <v>113</v>
      </c>
      <c r="S562">
        <v>77797</v>
      </c>
      <c r="T562" t="s">
        <v>64</v>
      </c>
      <c r="U562">
        <v>486.23</v>
      </c>
      <c r="V562">
        <v>8</v>
      </c>
      <c r="W562" t="s">
        <v>55</v>
      </c>
      <c r="X562">
        <v>11</v>
      </c>
      <c r="Y562">
        <v>3</v>
      </c>
      <c r="Z562">
        <v>4</v>
      </c>
      <c r="AA562">
        <v>0</v>
      </c>
      <c r="AB562">
        <v>8</v>
      </c>
      <c r="AC562">
        <v>5</v>
      </c>
      <c r="AD562">
        <v>3</v>
      </c>
      <c r="AE562">
        <v>5</v>
      </c>
      <c r="AF562">
        <v>4</v>
      </c>
      <c r="AG562">
        <v>0</v>
      </c>
      <c r="AH562">
        <v>2</v>
      </c>
      <c r="AI562">
        <f t="shared" si="56"/>
        <v>0</v>
      </c>
      <c r="AJ562" t="str">
        <f t="shared" si="57"/>
        <v>4-5 yrs</v>
      </c>
      <c r="AK562" t="str">
        <f t="shared" si="58"/>
        <v>Recent</v>
      </c>
      <c r="AL562">
        <f t="shared" si="59"/>
        <v>1</v>
      </c>
      <c r="AM562" t="str">
        <f t="shared" si="60"/>
        <v>Low Risk</v>
      </c>
      <c r="AN562" s="6">
        <f t="shared" si="61"/>
        <v>0.50417826403899479</v>
      </c>
      <c r="AO562" s="7">
        <f t="shared" si="62"/>
        <v>933564</v>
      </c>
    </row>
    <row r="563" spans="1:41" x14ac:dyDescent="0.3">
      <c r="A563" t="s">
        <v>631</v>
      </c>
      <c r="B563">
        <v>33</v>
      </c>
      <c r="C563" t="s">
        <v>196</v>
      </c>
      <c r="D563" t="s">
        <v>55</v>
      </c>
      <c r="E563" t="s">
        <v>48</v>
      </c>
      <c r="F563">
        <v>516</v>
      </c>
      <c r="G563" t="s">
        <v>49</v>
      </c>
      <c r="H563">
        <v>8</v>
      </c>
      <c r="I563">
        <v>5</v>
      </c>
      <c r="J563" t="s">
        <v>50</v>
      </c>
      <c r="K563">
        <v>1515</v>
      </c>
      <c r="L563">
        <v>4</v>
      </c>
      <c r="M563" t="s">
        <v>51</v>
      </c>
      <c r="N563">
        <v>3</v>
      </c>
      <c r="O563">
        <v>2</v>
      </c>
      <c r="P563" t="s">
        <v>168</v>
      </c>
      <c r="Q563">
        <v>3</v>
      </c>
      <c r="R563" t="s">
        <v>53</v>
      </c>
      <c r="S563">
        <v>66953</v>
      </c>
      <c r="T563" t="s">
        <v>64</v>
      </c>
      <c r="U563">
        <v>418.46</v>
      </c>
      <c r="V563">
        <v>2</v>
      </c>
      <c r="W563" t="s">
        <v>47</v>
      </c>
      <c r="X563">
        <v>17</v>
      </c>
      <c r="Y563">
        <v>3</v>
      </c>
      <c r="Z563">
        <v>1</v>
      </c>
      <c r="AA563">
        <v>0</v>
      </c>
      <c r="AB563">
        <v>14</v>
      </c>
      <c r="AC563">
        <v>6</v>
      </c>
      <c r="AD563">
        <v>3</v>
      </c>
      <c r="AE563">
        <v>0</v>
      </c>
      <c r="AF563">
        <v>0</v>
      </c>
      <c r="AG563">
        <v>0</v>
      </c>
      <c r="AH563">
        <v>0</v>
      </c>
      <c r="AI563">
        <f t="shared" si="56"/>
        <v>0</v>
      </c>
      <c r="AJ563" t="str">
        <f t="shared" si="57"/>
        <v>0-1 yr</v>
      </c>
      <c r="AK563" t="str">
        <f t="shared" si="58"/>
        <v>Recent</v>
      </c>
      <c r="AL563">
        <f t="shared" si="59"/>
        <v>1</v>
      </c>
      <c r="AM563" t="str">
        <f t="shared" si="60"/>
        <v>Low Risk</v>
      </c>
      <c r="AN563" s="6">
        <f t="shared" si="61"/>
        <v>0.38937935041680999</v>
      </c>
      <c r="AO563" s="7">
        <f t="shared" si="62"/>
        <v>803436</v>
      </c>
    </row>
    <row r="564" spans="1:41" x14ac:dyDescent="0.3">
      <c r="A564" t="s">
        <v>632</v>
      </c>
      <c r="B564">
        <v>33</v>
      </c>
      <c r="C564" t="s">
        <v>196</v>
      </c>
      <c r="D564" t="s">
        <v>55</v>
      </c>
      <c r="E564" t="s">
        <v>48</v>
      </c>
      <c r="F564">
        <v>575</v>
      </c>
      <c r="G564" t="s">
        <v>49</v>
      </c>
      <c r="H564">
        <v>25</v>
      </c>
      <c r="I564">
        <v>3</v>
      </c>
      <c r="J564" t="s">
        <v>50</v>
      </c>
      <c r="K564">
        <v>1545</v>
      </c>
      <c r="L564">
        <v>4</v>
      </c>
      <c r="M564" t="s">
        <v>51</v>
      </c>
      <c r="N564">
        <v>2</v>
      </c>
      <c r="O564">
        <v>2</v>
      </c>
      <c r="P564" t="s">
        <v>120</v>
      </c>
      <c r="Q564">
        <v>2</v>
      </c>
      <c r="R564" t="s">
        <v>53</v>
      </c>
      <c r="S564">
        <v>58458</v>
      </c>
      <c r="T564" t="s">
        <v>64</v>
      </c>
      <c r="U564">
        <v>365.36</v>
      </c>
      <c r="V564">
        <v>1</v>
      </c>
      <c r="W564" t="s">
        <v>55</v>
      </c>
      <c r="X564">
        <v>13</v>
      </c>
      <c r="Y564">
        <v>3</v>
      </c>
      <c r="Z564">
        <v>4</v>
      </c>
      <c r="AA564">
        <v>0</v>
      </c>
      <c r="AB564">
        <v>5</v>
      </c>
      <c r="AC564">
        <v>2</v>
      </c>
      <c r="AD564">
        <v>3</v>
      </c>
      <c r="AE564">
        <v>5</v>
      </c>
      <c r="AF564">
        <v>3</v>
      </c>
      <c r="AG564">
        <v>0</v>
      </c>
      <c r="AH564">
        <v>2</v>
      </c>
      <c r="AI564">
        <f t="shared" si="56"/>
        <v>0</v>
      </c>
      <c r="AJ564" t="str">
        <f t="shared" si="57"/>
        <v>4-5 yrs</v>
      </c>
      <c r="AK564" t="str">
        <f t="shared" si="58"/>
        <v>Recent</v>
      </c>
      <c r="AL564">
        <f t="shared" si="59"/>
        <v>1</v>
      </c>
      <c r="AM564" t="str">
        <f t="shared" si="60"/>
        <v>Low Risk</v>
      </c>
      <c r="AN564" s="6">
        <f t="shared" si="61"/>
        <v>0.31973263519659983</v>
      </c>
      <c r="AO564" s="7">
        <f t="shared" si="62"/>
        <v>701496</v>
      </c>
    </row>
    <row r="565" spans="1:41" x14ac:dyDescent="0.3">
      <c r="A565" t="s">
        <v>633</v>
      </c>
      <c r="B565">
        <v>33</v>
      </c>
      <c r="C565" t="s">
        <v>196</v>
      </c>
      <c r="D565" t="s">
        <v>55</v>
      </c>
      <c r="E565" t="s">
        <v>48</v>
      </c>
      <c r="F565">
        <v>589</v>
      </c>
      <c r="G565" t="s">
        <v>49</v>
      </c>
      <c r="H565">
        <v>28</v>
      </c>
      <c r="I565">
        <v>4</v>
      </c>
      <c r="J565" t="s">
        <v>50</v>
      </c>
      <c r="K565">
        <v>1549</v>
      </c>
      <c r="L565">
        <v>2</v>
      </c>
      <c r="M565" t="s">
        <v>51</v>
      </c>
      <c r="N565">
        <v>3</v>
      </c>
      <c r="O565">
        <v>2</v>
      </c>
      <c r="P565" t="s">
        <v>52</v>
      </c>
      <c r="Q565">
        <v>3</v>
      </c>
      <c r="R565" t="s">
        <v>113</v>
      </c>
      <c r="S565">
        <v>21358</v>
      </c>
      <c r="T565" t="s">
        <v>54</v>
      </c>
      <c r="U565">
        <v>133.49</v>
      </c>
      <c r="V565">
        <v>1</v>
      </c>
      <c r="W565" t="s">
        <v>47</v>
      </c>
      <c r="X565">
        <v>12</v>
      </c>
      <c r="Y565">
        <v>3</v>
      </c>
      <c r="Z565">
        <v>2</v>
      </c>
      <c r="AA565">
        <v>1</v>
      </c>
      <c r="AB565">
        <v>15</v>
      </c>
      <c r="AC565">
        <v>3</v>
      </c>
      <c r="AD565">
        <v>3</v>
      </c>
      <c r="AE565">
        <v>15</v>
      </c>
      <c r="AF565">
        <v>14</v>
      </c>
      <c r="AG565">
        <v>5</v>
      </c>
      <c r="AH565">
        <v>7</v>
      </c>
      <c r="AI565">
        <f t="shared" si="56"/>
        <v>0</v>
      </c>
      <c r="AJ565" t="str">
        <f t="shared" si="57"/>
        <v>10+ yrs</v>
      </c>
      <c r="AK565" t="str">
        <f t="shared" si="58"/>
        <v>Overdue</v>
      </c>
      <c r="AL565">
        <f t="shared" si="59"/>
        <v>2</v>
      </c>
      <c r="AM565" t="str">
        <f t="shared" si="60"/>
        <v>Medium Risk</v>
      </c>
      <c r="AN565" s="6">
        <f t="shared" si="61"/>
        <v>-0.58705040858458746</v>
      </c>
      <c r="AO565" s="7">
        <f t="shared" si="62"/>
        <v>256296</v>
      </c>
    </row>
    <row r="566" spans="1:41" x14ac:dyDescent="0.3">
      <c r="A566" t="s">
        <v>634</v>
      </c>
      <c r="B566">
        <v>33</v>
      </c>
      <c r="C566" t="s">
        <v>196</v>
      </c>
      <c r="D566" t="s">
        <v>55</v>
      </c>
      <c r="E566" t="s">
        <v>48</v>
      </c>
      <c r="F566">
        <v>1242</v>
      </c>
      <c r="G566" t="s">
        <v>57</v>
      </c>
      <c r="H566">
        <v>8</v>
      </c>
      <c r="I566">
        <v>4</v>
      </c>
      <c r="J566" t="s">
        <v>50</v>
      </c>
      <c r="K566">
        <v>1560</v>
      </c>
      <c r="L566">
        <v>1</v>
      </c>
      <c r="M566" t="s">
        <v>51</v>
      </c>
      <c r="N566">
        <v>3</v>
      </c>
      <c r="O566">
        <v>2</v>
      </c>
      <c r="P566" t="s">
        <v>145</v>
      </c>
      <c r="Q566">
        <v>1</v>
      </c>
      <c r="R566" t="s">
        <v>113</v>
      </c>
      <c r="S566">
        <v>4267</v>
      </c>
      <c r="T566" t="s">
        <v>54</v>
      </c>
      <c r="U566">
        <v>26.67</v>
      </c>
      <c r="V566">
        <v>2</v>
      </c>
      <c r="W566" t="s">
        <v>55</v>
      </c>
      <c r="X566">
        <v>13</v>
      </c>
      <c r="Y566">
        <v>3</v>
      </c>
      <c r="Z566">
        <v>4</v>
      </c>
      <c r="AA566">
        <v>1</v>
      </c>
      <c r="AB566">
        <v>8</v>
      </c>
      <c r="AC566">
        <v>6</v>
      </c>
      <c r="AD566">
        <v>1</v>
      </c>
      <c r="AE566">
        <v>2</v>
      </c>
      <c r="AF566">
        <v>2</v>
      </c>
      <c r="AG566">
        <v>2</v>
      </c>
      <c r="AH566">
        <v>2</v>
      </c>
      <c r="AI566">
        <f t="shared" si="56"/>
        <v>0</v>
      </c>
      <c r="AJ566" t="str">
        <f t="shared" si="57"/>
        <v>2-3 yrs</v>
      </c>
      <c r="AK566" t="str">
        <f t="shared" si="58"/>
        <v>Recent</v>
      </c>
      <c r="AL566">
        <f t="shared" si="59"/>
        <v>2</v>
      </c>
      <c r="AM566" t="str">
        <f t="shared" si="60"/>
        <v>Medium Risk</v>
      </c>
      <c r="AN566" s="6">
        <f t="shared" si="61"/>
        <v>-0.91302126781094906</v>
      </c>
      <c r="AO566" s="7">
        <f t="shared" si="62"/>
        <v>51204</v>
      </c>
    </row>
    <row r="567" spans="1:41" x14ac:dyDescent="0.3">
      <c r="A567" t="s">
        <v>635</v>
      </c>
      <c r="B567">
        <v>33</v>
      </c>
      <c r="C567" t="s">
        <v>196</v>
      </c>
      <c r="D567" t="s">
        <v>55</v>
      </c>
      <c r="E567" t="s">
        <v>48</v>
      </c>
      <c r="F567">
        <v>392</v>
      </c>
      <c r="G567" t="s">
        <v>57</v>
      </c>
      <c r="H567">
        <v>2</v>
      </c>
      <c r="I567">
        <v>4</v>
      </c>
      <c r="J567" t="s">
        <v>58</v>
      </c>
      <c r="K567">
        <v>1670</v>
      </c>
      <c r="L567">
        <v>4</v>
      </c>
      <c r="M567" t="s">
        <v>51</v>
      </c>
      <c r="N567">
        <v>3</v>
      </c>
      <c r="O567">
        <v>2</v>
      </c>
      <c r="P567" t="s">
        <v>145</v>
      </c>
      <c r="Q567">
        <v>4</v>
      </c>
      <c r="R567" t="s">
        <v>53</v>
      </c>
      <c r="S567">
        <v>83745</v>
      </c>
      <c r="T567" t="s">
        <v>70</v>
      </c>
      <c r="U567">
        <v>523.41</v>
      </c>
      <c r="V567">
        <v>1</v>
      </c>
      <c r="W567" t="s">
        <v>55</v>
      </c>
      <c r="X567">
        <v>14</v>
      </c>
      <c r="Y567">
        <v>3</v>
      </c>
      <c r="Z567">
        <v>3</v>
      </c>
      <c r="AA567">
        <v>2</v>
      </c>
      <c r="AB567">
        <v>6</v>
      </c>
      <c r="AC567">
        <v>5</v>
      </c>
      <c r="AD567">
        <v>3</v>
      </c>
      <c r="AE567">
        <v>6</v>
      </c>
      <c r="AF567">
        <v>2</v>
      </c>
      <c r="AG567">
        <v>0</v>
      </c>
      <c r="AH567">
        <v>4</v>
      </c>
      <c r="AI567">
        <f t="shared" si="56"/>
        <v>0</v>
      </c>
      <c r="AJ567" t="str">
        <f t="shared" si="57"/>
        <v>6-10 yrs</v>
      </c>
      <c r="AK567" t="str">
        <f t="shared" si="58"/>
        <v>Recent</v>
      </c>
      <c r="AL567">
        <f t="shared" si="59"/>
        <v>0</v>
      </c>
      <c r="AM567" t="str">
        <f t="shared" si="60"/>
        <v>Minimal Risk</v>
      </c>
      <c r="AN567" s="6">
        <f t="shared" si="61"/>
        <v>0.7070620874553718</v>
      </c>
      <c r="AO567" s="7">
        <f t="shared" si="62"/>
        <v>1004940</v>
      </c>
    </row>
    <row r="568" spans="1:41" x14ac:dyDescent="0.3">
      <c r="A568" t="s">
        <v>636</v>
      </c>
      <c r="B568">
        <v>33</v>
      </c>
      <c r="C568" t="s">
        <v>196</v>
      </c>
      <c r="D568" t="s">
        <v>55</v>
      </c>
      <c r="E568" t="s">
        <v>66</v>
      </c>
      <c r="F568">
        <v>530</v>
      </c>
      <c r="G568" t="s">
        <v>57</v>
      </c>
      <c r="H568">
        <v>16</v>
      </c>
      <c r="I568">
        <v>3</v>
      </c>
      <c r="J568" t="s">
        <v>50</v>
      </c>
      <c r="K568">
        <v>1681</v>
      </c>
      <c r="L568">
        <v>3</v>
      </c>
      <c r="M568" t="s">
        <v>59</v>
      </c>
      <c r="N568">
        <v>3</v>
      </c>
      <c r="O568">
        <v>2</v>
      </c>
      <c r="P568" t="s">
        <v>145</v>
      </c>
      <c r="Q568">
        <v>4</v>
      </c>
      <c r="R568" t="s">
        <v>53</v>
      </c>
      <c r="S568">
        <v>90588</v>
      </c>
      <c r="T568" t="s">
        <v>70</v>
      </c>
      <c r="U568">
        <v>566.16999999999996</v>
      </c>
      <c r="V568">
        <v>1</v>
      </c>
      <c r="W568" t="s">
        <v>47</v>
      </c>
      <c r="X568">
        <v>25</v>
      </c>
      <c r="Y568">
        <v>4</v>
      </c>
      <c r="Z568">
        <v>3</v>
      </c>
      <c r="AA568">
        <v>1</v>
      </c>
      <c r="AB568">
        <v>7</v>
      </c>
      <c r="AC568">
        <v>2</v>
      </c>
      <c r="AD568">
        <v>3</v>
      </c>
      <c r="AE568">
        <v>6</v>
      </c>
      <c r="AF568">
        <v>5</v>
      </c>
      <c r="AG568">
        <v>1</v>
      </c>
      <c r="AH568">
        <v>2</v>
      </c>
      <c r="AI568">
        <f t="shared" si="56"/>
        <v>0</v>
      </c>
      <c r="AJ568" t="str">
        <f t="shared" si="57"/>
        <v>6-10 yrs</v>
      </c>
      <c r="AK568" t="str">
        <f t="shared" si="58"/>
        <v>Recent</v>
      </c>
      <c r="AL568">
        <f t="shared" si="59"/>
        <v>1</v>
      </c>
      <c r="AM568" t="str">
        <f t="shared" si="60"/>
        <v>Low Risk</v>
      </c>
      <c r="AN568" s="6">
        <f t="shared" si="61"/>
        <v>0.84655012691393183</v>
      </c>
      <c r="AO568" s="7">
        <f t="shared" si="62"/>
        <v>1087056</v>
      </c>
    </row>
    <row r="569" spans="1:41" x14ac:dyDescent="0.3">
      <c r="A569" t="s">
        <v>637</v>
      </c>
      <c r="B569">
        <v>33</v>
      </c>
      <c r="C569" t="s">
        <v>196</v>
      </c>
      <c r="D569" t="s">
        <v>55</v>
      </c>
      <c r="E569" t="s">
        <v>48</v>
      </c>
      <c r="F569">
        <v>267</v>
      </c>
      <c r="G569" t="s">
        <v>49</v>
      </c>
      <c r="H569">
        <v>21</v>
      </c>
      <c r="I569">
        <v>3</v>
      </c>
      <c r="J569" t="s">
        <v>58</v>
      </c>
      <c r="K569">
        <v>1698</v>
      </c>
      <c r="L569">
        <v>2</v>
      </c>
      <c r="M569" t="s">
        <v>51</v>
      </c>
      <c r="N569">
        <v>4</v>
      </c>
      <c r="O569">
        <v>1</v>
      </c>
      <c r="P569" t="s">
        <v>52</v>
      </c>
      <c r="Q569">
        <v>2</v>
      </c>
      <c r="R569" t="s">
        <v>113</v>
      </c>
      <c r="S569">
        <v>39513</v>
      </c>
      <c r="T569" t="s">
        <v>72</v>
      </c>
      <c r="U569">
        <v>246.96</v>
      </c>
      <c r="V569">
        <v>1</v>
      </c>
      <c r="W569" t="s">
        <v>55</v>
      </c>
      <c r="X569">
        <v>18</v>
      </c>
      <c r="Y569">
        <v>3</v>
      </c>
      <c r="Z569">
        <v>4</v>
      </c>
      <c r="AA569">
        <v>3</v>
      </c>
      <c r="AB569">
        <v>14</v>
      </c>
      <c r="AC569">
        <v>6</v>
      </c>
      <c r="AD569">
        <v>3</v>
      </c>
      <c r="AE569">
        <v>14</v>
      </c>
      <c r="AF569">
        <v>11</v>
      </c>
      <c r="AG569">
        <v>2</v>
      </c>
      <c r="AH569">
        <v>13</v>
      </c>
      <c r="AI569">
        <f t="shared" si="56"/>
        <v>0</v>
      </c>
      <c r="AJ569" t="str">
        <f t="shared" si="57"/>
        <v>10+ yrs</v>
      </c>
      <c r="AK569" t="str">
        <f t="shared" si="58"/>
        <v>Recent</v>
      </c>
      <c r="AL569">
        <f t="shared" si="59"/>
        <v>1</v>
      </c>
      <c r="AM569" t="str">
        <f t="shared" si="60"/>
        <v>Low Risk</v>
      </c>
      <c r="AN569" s="6">
        <f t="shared" si="61"/>
        <v>-0.23602972162200594</v>
      </c>
      <c r="AO569" s="7">
        <f t="shared" si="62"/>
        <v>474156</v>
      </c>
    </row>
    <row r="570" spans="1:41" x14ac:dyDescent="0.3">
      <c r="A570" t="s">
        <v>638</v>
      </c>
      <c r="B570">
        <v>33</v>
      </c>
      <c r="C570" t="s">
        <v>196</v>
      </c>
      <c r="D570" t="s">
        <v>55</v>
      </c>
      <c r="E570" t="s">
        <v>66</v>
      </c>
      <c r="F570">
        <v>1283</v>
      </c>
      <c r="G570" t="s">
        <v>57</v>
      </c>
      <c r="H570">
        <v>2</v>
      </c>
      <c r="I570">
        <v>3</v>
      </c>
      <c r="J570" t="s">
        <v>63</v>
      </c>
      <c r="K570">
        <v>1756</v>
      </c>
      <c r="L570">
        <v>4</v>
      </c>
      <c r="M570" t="s">
        <v>59</v>
      </c>
      <c r="N570">
        <v>3</v>
      </c>
      <c r="O570">
        <v>2</v>
      </c>
      <c r="P570" t="s">
        <v>145</v>
      </c>
      <c r="Q570">
        <v>2</v>
      </c>
      <c r="R570" t="s">
        <v>53</v>
      </c>
      <c r="S570">
        <v>27092</v>
      </c>
      <c r="T570" t="s">
        <v>72</v>
      </c>
      <c r="U570">
        <v>169.32</v>
      </c>
      <c r="V570">
        <v>8</v>
      </c>
      <c r="W570" t="s">
        <v>55</v>
      </c>
      <c r="X570">
        <v>15</v>
      </c>
      <c r="Y570">
        <v>3</v>
      </c>
      <c r="Z570">
        <v>4</v>
      </c>
      <c r="AA570">
        <v>0</v>
      </c>
      <c r="AB570">
        <v>13</v>
      </c>
      <c r="AC570">
        <v>2</v>
      </c>
      <c r="AD570">
        <v>2</v>
      </c>
      <c r="AE570">
        <v>11</v>
      </c>
      <c r="AF570">
        <v>7</v>
      </c>
      <c r="AG570">
        <v>1</v>
      </c>
      <c r="AH570">
        <v>7</v>
      </c>
      <c r="AI570">
        <f t="shared" si="56"/>
        <v>0</v>
      </c>
      <c r="AJ570" t="str">
        <f t="shared" si="57"/>
        <v>10+ yrs</v>
      </c>
      <c r="AK570" t="str">
        <f t="shared" si="58"/>
        <v>Recent</v>
      </c>
      <c r="AL570">
        <f t="shared" si="59"/>
        <v>2</v>
      </c>
      <c r="AM570" t="str">
        <f t="shared" si="60"/>
        <v>Medium Risk</v>
      </c>
      <c r="AN570" s="6">
        <f t="shared" si="61"/>
        <v>-0.44775537556461958</v>
      </c>
      <c r="AO570" s="7">
        <f t="shared" si="62"/>
        <v>325104</v>
      </c>
    </row>
    <row r="571" spans="1:41" x14ac:dyDescent="0.3">
      <c r="A571" t="s">
        <v>639</v>
      </c>
      <c r="B571">
        <v>33</v>
      </c>
      <c r="C571" t="s">
        <v>196</v>
      </c>
      <c r="D571" t="s">
        <v>47</v>
      </c>
      <c r="E571" t="s">
        <v>48</v>
      </c>
      <c r="F571">
        <v>211</v>
      </c>
      <c r="G571" t="s">
        <v>57</v>
      </c>
      <c r="H571">
        <v>16</v>
      </c>
      <c r="I571">
        <v>3</v>
      </c>
      <c r="J571" t="s">
        <v>50</v>
      </c>
      <c r="K571">
        <v>1758</v>
      </c>
      <c r="L571">
        <v>1</v>
      </c>
      <c r="M571" t="s">
        <v>59</v>
      </c>
      <c r="N571">
        <v>3</v>
      </c>
      <c r="O571">
        <v>3</v>
      </c>
      <c r="P571" t="s">
        <v>145</v>
      </c>
      <c r="Q571">
        <v>1</v>
      </c>
      <c r="R571" t="s">
        <v>53</v>
      </c>
      <c r="S571">
        <v>12338</v>
      </c>
      <c r="T571" t="s">
        <v>54</v>
      </c>
      <c r="U571">
        <v>77.11</v>
      </c>
      <c r="V571">
        <v>2</v>
      </c>
      <c r="W571" t="s">
        <v>47</v>
      </c>
      <c r="X571">
        <v>20</v>
      </c>
      <c r="Y571">
        <v>4</v>
      </c>
      <c r="Z571">
        <v>3</v>
      </c>
      <c r="AA571">
        <v>0</v>
      </c>
      <c r="AB571">
        <v>11</v>
      </c>
      <c r="AC571">
        <v>2</v>
      </c>
      <c r="AD571">
        <v>2</v>
      </c>
      <c r="AE571">
        <v>0</v>
      </c>
      <c r="AF571">
        <v>0</v>
      </c>
      <c r="AG571">
        <v>0</v>
      </c>
      <c r="AH571">
        <v>0</v>
      </c>
      <c r="AI571">
        <f t="shared" si="56"/>
        <v>1</v>
      </c>
      <c r="AJ571" t="str">
        <f t="shared" si="57"/>
        <v>0-1 yr</v>
      </c>
      <c r="AK571" t="str">
        <f t="shared" si="58"/>
        <v>Recent</v>
      </c>
      <c r="AL571">
        <f t="shared" si="59"/>
        <v>3</v>
      </c>
      <c r="AM571" t="str">
        <f t="shared" si="60"/>
        <v>High Risk</v>
      </c>
      <c r="AN571" s="6">
        <f t="shared" si="61"/>
        <v>-0.74850161758881872</v>
      </c>
      <c r="AO571" s="7">
        <f t="shared" si="62"/>
        <v>148056</v>
      </c>
    </row>
    <row r="572" spans="1:41" x14ac:dyDescent="0.3">
      <c r="A572" t="s">
        <v>640</v>
      </c>
      <c r="B572">
        <v>33</v>
      </c>
      <c r="C572" t="s">
        <v>196</v>
      </c>
      <c r="D572" t="s">
        <v>55</v>
      </c>
      <c r="E572" t="s">
        <v>66</v>
      </c>
      <c r="F572">
        <v>775</v>
      </c>
      <c r="G572" t="s">
        <v>49</v>
      </c>
      <c r="H572">
        <v>4</v>
      </c>
      <c r="I572">
        <v>3</v>
      </c>
      <c r="J572" t="s">
        <v>77</v>
      </c>
      <c r="K572">
        <v>1771</v>
      </c>
      <c r="L572">
        <v>4</v>
      </c>
      <c r="M572" t="s">
        <v>51</v>
      </c>
      <c r="N572">
        <v>3</v>
      </c>
      <c r="O572">
        <v>2</v>
      </c>
      <c r="P572" t="s">
        <v>67</v>
      </c>
      <c r="Q572">
        <v>2</v>
      </c>
      <c r="R572" t="s">
        <v>53</v>
      </c>
      <c r="S572">
        <v>1412</v>
      </c>
      <c r="T572" t="s">
        <v>54</v>
      </c>
      <c r="U572">
        <v>8.82</v>
      </c>
      <c r="V572">
        <v>5</v>
      </c>
      <c r="W572" t="s">
        <v>55</v>
      </c>
      <c r="X572">
        <v>15</v>
      </c>
      <c r="Y572">
        <v>3</v>
      </c>
      <c r="Z572">
        <v>4</v>
      </c>
      <c r="AA572">
        <v>2</v>
      </c>
      <c r="AB572">
        <v>11</v>
      </c>
      <c r="AC572">
        <v>2</v>
      </c>
      <c r="AD572">
        <v>2</v>
      </c>
      <c r="AE572">
        <v>9</v>
      </c>
      <c r="AF572">
        <v>8</v>
      </c>
      <c r="AG572">
        <v>1</v>
      </c>
      <c r="AH572">
        <v>7</v>
      </c>
      <c r="AI572">
        <f t="shared" si="56"/>
        <v>0</v>
      </c>
      <c r="AJ572" t="str">
        <f t="shared" si="57"/>
        <v>6-10 yrs</v>
      </c>
      <c r="AK572" t="str">
        <f t="shared" si="58"/>
        <v>Recent</v>
      </c>
      <c r="AL572">
        <f t="shared" si="59"/>
        <v>2</v>
      </c>
      <c r="AM572" t="str">
        <f t="shared" si="60"/>
        <v>Medium Risk</v>
      </c>
      <c r="AN572" s="6">
        <f t="shared" si="61"/>
        <v>-0.97168417156442422</v>
      </c>
      <c r="AO572" s="7">
        <f t="shared" si="62"/>
        <v>16944</v>
      </c>
    </row>
    <row r="573" spans="1:41" x14ac:dyDescent="0.3">
      <c r="A573" t="s">
        <v>641</v>
      </c>
      <c r="B573">
        <v>33</v>
      </c>
      <c r="C573" t="s">
        <v>196</v>
      </c>
      <c r="D573" t="s">
        <v>55</v>
      </c>
      <c r="E573" t="s">
        <v>48</v>
      </c>
      <c r="F573">
        <v>867</v>
      </c>
      <c r="G573" t="s">
        <v>49</v>
      </c>
      <c r="H573">
        <v>8</v>
      </c>
      <c r="I573">
        <v>4</v>
      </c>
      <c r="J573" t="s">
        <v>50</v>
      </c>
      <c r="K573">
        <v>1798</v>
      </c>
      <c r="L573">
        <v>4</v>
      </c>
      <c r="M573" t="s">
        <v>51</v>
      </c>
      <c r="N573">
        <v>4</v>
      </c>
      <c r="O573">
        <v>1</v>
      </c>
      <c r="P573" t="s">
        <v>67</v>
      </c>
      <c r="Q573">
        <v>1</v>
      </c>
      <c r="R573" t="s">
        <v>113</v>
      </c>
      <c r="S573">
        <v>8543</v>
      </c>
      <c r="T573" t="s">
        <v>54</v>
      </c>
      <c r="U573">
        <v>53.39</v>
      </c>
      <c r="V573">
        <v>6</v>
      </c>
      <c r="W573" t="s">
        <v>55</v>
      </c>
      <c r="X573">
        <v>19</v>
      </c>
      <c r="Y573">
        <v>3</v>
      </c>
      <c r="Z573">
        <v>2</v>
      </c>
      <c r="AA573">
        <v>1</v>
      </c>
      <c r="AB573">
        <v>14</v>
      </c>
      <c r="AC573">
        <v>1</v>
      </c>
      <c r="AD573">
        <v>3</v>
      </c>
      <c r="AE573">
        <v>10</v>
      </c>
      <c r="AF573">
        <v>8</v>
      </c>
      <c r="AG573">
        <v>7</v>
      </c>
      <c r="AH573">
        <v>6</v>
      </c>
      <c r="AI573">
        <f t="shared" si="56"/>
        <v>0</v>
      </c>
      <c r="AJ573" t="str">
        <f t="shared" si="57"/>
        <v>6-10 yrs</v>
      </c>
      <c r="AK573" t="str">
        <f t="shared" si="58"/>
        <v>Overdue</v>
      </c>
      <c r="AL573">
        <f t="shared" si="59"/>
        <v>2</v>
      </c>
      <c r="AM573" t="str">
        <f t="shared" si="60"/>
        <v>Medium Risk</v>
      </c>
      <c r="AN573" s="6">
        <f t="shared" si="61"/>
        <v>-0.82868121648362358</v>
      </c>
      <c r="AO573" s="7">
        <f t="shared" si="62"/>
        <v>102516</v>
      </c>
    </row>
    <row r="574" spans="1:41" x14ac:dyDescent="0.3">
      <c r="A574" t="s">
        <v>642</v>
      </c>
      <c r="B574">
        <v>33</v>
      </c>
      <c r="C574" t="s">
        <v>196</v>
      </c>
      <c r="D574" t="s">
        <v>55</v>
      </c>
      <c r="E574" t="s">
        <v>48</v>
      </c>
      <c r="F574">
        <v>217</v>
      </c>
      <c r="G574" t="s">
        <v>57</v>
      </c>
      <c r="H574">
        <v>10</v>
      </c>
      <c r="I574">
        <v>4</v>
      </c>
      <c r="J574" t="s">
        <v>63</v>
      </c>
      <c r="K574">
        <v>1924</v>
      </c>
      <c r="L574">
        <v>2</v>
      </c>
      <c r="M574" t="s">
        <v>51</v>
      </c>
      <c r="N574">
        <v>3</v>
      </c>
      <c r="O574">
        <v>2</v>
      </c>
      <c r="P574" t="s">
        <v>145</v>
      </c>
      <c r="Q574">
        <v>3</v>
      </c>
      <c r="R574" t="s">
        <v>53</v>
      </c>
      <c r="S574">
        <v>34496</v>
      </c>
      <c r="T574" t="s">
        <v>72</v>
      </c>
      <c r="U574">
        <v>215.6</v>
      </c>
      <c r="V574">
        <v>1</v>
      </c>
      <c r="W574" t="s">
        <v>55</v>
      </c>
      <c r="X574">
        <v>14</v>
      </c>
      <c r="Y574">
        <v>3</v>
      </c>
      <c r="Z574">
        <v>2</v>
      </c>
      <c r="AA574">
        <v>0</v>
      </c>
      <c r="AB574">
        <v>10</v>
      </c>
      <c r="AC574">
        <v>2</v>
      </c>
      <c r="AD574">
        <v>2</v>
      </c>
      <c r="AE574">
        <v>10</v>
      </c>
      <c r="AF574">
        <v>4</v>
      </c>
      <c r="AG574">
        <v>0</v>
      </c>
      <c r="AH574">
        <v>9</v>
      </c>
      <c r="AI574">
        <f t="shared" si="56"/>
        <v>0</v>
      </c>
      <c r="AJ574" t="str">
        <f t="shared" si="57"/>
        <v>6-10 yrs</v>
      </c>
      <c r="AK574" t="str">
        <f t="shared" si="58"/>
        <v>Recent</v>
      </c>
      <c r="AL574">
        <f t="shared" si="59"/>
        <v>1</v>
      </c>
      <c r="AM574" t="str">
        <f t="shared" si="60"/>
        <v>Low Risk</v>
      </c>
      <c r="AN574" s="6">
        <f t="shared" si="61"/>
        <v>-0.29683188526048709</v>
      </c>
      <c r="AO574" s="7">
        <f t="shared" si="62"/>
        <v>413952</v>
      </c>
    </row>
    <row r="575" spans="1:41" x14ac:dyDescent="0.3">
      <c r="A575" t="s">
        <v>643</v>
      </c>
      <c r="B575">
        <v>33</v>
      </c>
      <c r="C575" t="s">
        <v>196</v>
      </c>
      <c r="D575" t="s">
        <v>55</v>
      </c>
      <c r="E575" t="s">
        <v>62</v>
      </c>
      <c r="F575">
        <v>1303</v>
      </c>
      <c r="G575" t="s">
        <v>49</v>
      </c>
      <c r="H575">
        <v>7</v>
      </c>
      <c r="I575">
        <v>2</v>
      </c>
      <c r="J575" t="s">
        <v>50</v>
      </c>
      <c r="K575">
        <v>1970</v>
      </c>
      <c r="L575">
        <v>4</v>
      </c>
      <c r="M575" t="s">
        <v>51</v>
      </c>
      <c r="N575">
        <v>3</v>
      </c>
      <c r="O575">
        <v>2</v>
      </c>
      <c r="P575" t="s">
        <v>168</v>
      </c>
      <c r="Q575">
        <v>3</v>
      </c>
      <c r="R575" t="s">
        <v>53</v>
      </c>
      <c r="S575">
        <v>61692</v>
      </c>
      <c r="T575" t="s">
        <v>64</v>
      </c>
      <c r="U575">
        <v>385.58</v>
      </c>
      <c r="V575">
        <v>1</v>
      </c>
      <c r="W575" t="s">
        <v>55</v>
      </c>
      <c r="X575">
        <v>20</v>
      </c>
      <c r="Y575">
        <v>4</v>
      </c>
      <c r="Z575">
        <v>3</v>
      </c>
      <c r="AA575">
        <v>3</v>
      </c>
      <c r="AB575">
        <v>9</v>
      </c>
      <c r="AC575">
        <v>2</v>
      </c>
      <c r="AD575">
        <v>3</v>
      </c>
      <c r="AE575">
        <v>9</v>
      </c>
      <c r="AF575">
        <v>7</v>
      </c>
      <c r="AG575">
        <v>2</v>
      </c>
      <c r="AH575">
        <v>8</v>
      </c>
      <c r="AI575">
        <f t="shared" si="56"/>
        <v>0</v>
      </c>
      <c r="AJ575" t="str">
        <f t="shared" si="57"/>
        <v>6-10 yrs</v>
      </c>
      <c r="AK575" t="str">
        <f t="shared" si="58"/>
        <v>Recent</v>
      </c>
      <c r="AL575">
        <f t="shared" si="59"/>
        <v>0</v>
      </c>
      <c r="AM575" t="str">
        <f t="shared" si="60"/>
        <v>Minimal Risk</v>
      </c>
      <c r="AN575" s="6">
        <f t="shared" si="61"/>
        <v>0.28020538117655436</v>
      </c>
      <c r="AO575" s="7">
        <f t="shared" si="62"/>
        <v>740304</v>
      </c>
    </row>
    <row r="576" spans="1:41" x14ac:dyDescent="0.3">
      <c r="A576" t="s">
        <v>644</v>
      </c>
      <c r="B576">
        <v>33</v>
      </c>
      <c r="C576" t="s">
        <v>196</v>
      </c>
      <c r="D576" t="s">
        <v>55</v>
      </c>
      <c r="E576" t="s">
        <v>66</v>
      </c>
      <c r="F576">
        <v>1313</v>
      </c>
      <c r="G576" t="s">
        <v>49</v>
      </c>
      <c r="H576">
        <v>1</v>
      </c>
      <c r="I576">
        <v>2</v>
      </c>
      <c r="J576" t="s">
        <v>58</v>
      </c>
      <c r="K576">
        <v>1994</v>
      </c>
      <c r="L576">
        <v>2</v>
      </c>
      <c r="M576" t="s">
        <v>51</v>
      </c>
      <c r="N576">
        <v>2</v>
      </c>
      <c r="O576">
        <v>1</v>
      </c>
      <c r="P576" t="s">
        <v>52</v>
      </c>
      <c r="Q576">
        <v>3</v>
      </c>
      <c r="R576" t="s">
        <v>53</v>
      </c>
      <c r="S576">
        <v>90084</v>
      </c>
      <c r="T576" t="s">
        <v>70</v>
      </c>
      <c r="U576">
        <v>563.02</v>
      </c>
      <c r="V576">
        <v>1</v>
      </c>
      <c r="W576" t="s">
        <v>55</v>
      </c>
      <c r="X576">
        <v>12</v>
      </c>
      <c r="Y576">
        <v>3</v>
      </c>
      <c r="Z576">
        <v>3</v>
      </c>
      <c r="AA576">
        <v>3</v>
      </c>
      <c r="AB576">
        <v>1</v>
      </c>
      <c r="AC576">
        <v>2</v>
      </c>
      <c r="AD576">
        <v>2</v>
      </c>
      <c r="AE576">
        <v>1</v>
      </c>
      <c r="AF576">
        <v>1</v>
      </c>
      <c r="AG576">
        <v>0</v>
      </c>
      <c r="AH576">
        <v>0</v>
      </c>
      <c r="AI576">
        <f t="shared" si="56"/>
        <v>0</v>
      </c>
      <c r="AJ576" t="str">
        <f t="shared" si="57"/>
        <v>0-1 yr</v>
      </c>
      <c r="AK576" t="str">
        <f t="shared" si="58"/>
        <v>Recent</v>
      </c>
      <c r="AL576">
        <f t="shared" si="59"/>
        <v>1</v>
      </c>
      <c r="AM576" t="str">
        <f t="shared" si="60"/>
        <v>Low Risk</v>
      </c>
      <c r="AN576" s="6">
        <f t="shared" si="61"/>
        <v>0.74174318723972399</v>
      </c>
      <c r="AO576" s="7">
        <f t="shared" si="62"/>
        <v>1081008</v>
      </c>
    </row>
    <row r="577" spans="1:41" x14ac:dyDescent="0.3">
      <c r="A577" t="s">
        <v>645</v>
      </c>
      <c r="B577">
        <v>33</v>
      </c>
      <c r="C577" t="s">
        <v>196</v>
      </c>
      <c r="D577" t="s">
        <v>55</v>
      </c>
      <c r="E577" t="s">
        <v>48</v>
      </c>
      <c r="F577">
        <v>501</v>
      </c>
      <c r="G577" t="s">
        <v>49</v>
      </c>
      <c r="H577">
        <v>15</v>
      </c>
      <c r="I577">
        <v>2</v>
      </c>
      <c r="J577" t="s">
        <v>58</v>
      </c>
      <c r="K577">
        <v>2009</v>
      </c>
      <c r="L577">
        <v>2</v>
      </c>
      <c r="M577" t="s">
        <v>59</v>
      </c>
      <c r="N577">
        <v>3</v>
      </c>
      <c r="O577">
        <v>2</v>
      </c>
      <c r="P577" t="s">
        <v>168</v>
      </c>
      <c r="Q577">
        <v>4</v>
      </c>
      <c r="R577" t="s">
        <v>113</v>
      </c>
      <c r="S577">
        <v>93920</v>
      </c>
      <c r="T577" t="s">
        <v>70</v>
      </c>
      <c r="U577">
        <v>587</v>
      </c>
      <c r="V577">
        <v>0</v>
      </c>
      <c r="W577" t="s">
        <v>47</v>
      </c>
      <c r="X577">
        <v>13</v>
      </c>
      <c r="Y577">
        <v>3</v>
      </c>
      <c r="Z577">
        <v>1</v>
      </c>
      <c r="AA577">
        <v>1</v>
      </c>
      <c r="AB577">
        <v>10</v>
      </c>
      <c r="AC577">
        <v>6</v>
      </c>
      <c r="AD577">
        <v>3</v>
      </c>
      <c r="AE577">
        <v>9</v>
      </c>
      <c r="AF577">
        <v>7</v>
      </c>
      <c r="AG577">
        <v>8</v>
      </c>
      <c r="AH577">
        <v>1</v>
      </c>
      <c r="AI577">
        <f t="shared" si="56"/>
        <v>0</v>
      </c>
      <c r="AJ577" t="str">
        <f t="shared" si="57"/>
        <v>6-10 yrs</v>
      </c>
      <c r="AK577" t="str">
        <f t="shared" si="58"/>
        <v>Overdue</v>
      </c>
      <c r="AL577">
        <f t="shared" si="59"/>
        <v>2</v>
      </c>
      <c r="AM577" t="str">
        <f t="shared" si="60"/>
        <v>Medium Risk</v>
      </c>
      <c r="AN577" s="6">
        <f t="shared" si="61"/>
        <v>0.94898673085816609</v>
      </c>
      <c r="AO577" s="7">
        <f t="shared" si="62"/>
        <v>1127040</v>
      </c>
    </row>
    <row r="578" spans="1:41" x14ac:dyDescent="0.3">
      <c r="A578" t="s">
        <v>646</v>
      </c>
      <c r="B578">
        <v>34</v>
      </c>
      <c r="C578" t="s">
        <v>196</v>
      </c>
      <c r="D578" t="s">
        <v>55</v>
      </c>
      <c r="E578" t="s">
        <v>48</v>
      </c>
      <c r="F578">
        <v>1346</v>
      </c>
      <c r="G578" t="s">
        <v>49</v>
      </c>
      <c r="H578">
        <v>19</v>
      </c>
      <c r="I578">
        <v>2</v>
      </c>
      <c r="J578" t="s">
        <v>58</v>
      </c>
      <c r="K578">
        <v>18</v>
      </c>
      <c r="L578">
        <v>2</v>
      </c>
      <c r="M578" t="s">
        <v>51</v>
      </c>
      <c r="N578">
        <v>3</v>
      </c>
      <c r="O578">
        <v>1</v>
      </c>
      <c r="P578" t="s">
        <v>52</v>
      </c>
      <c r="Q578">
        <v>4</v>
      </c>
      <c r="R578" t="s">
        <v>53</v>
      </c>
      <c r="S578">
        <v>45425</v>
      </c>
      <c r="T578" t="s">
        <v>72</v>
      </c>
      <c r="U578">
        <v>283.91000000000003</v>
      </c>
      <c r="V578">
        <v>0</v>
      </c>
      <c r="W578" t="s">
        <v>55</v>
      </c>
      <c r="X578">
        <v>11</v>
      </c>
      <c r="Y578">
        <v>3</v>
      </c>
      <c r="Z578">
        <v>3</v>
      </c>
      <c r="AA578">
        <v>1</v>
      </c>
      <c r="AB578">
        <v>3</v>
      </c>
      <c r="AC578">
        <v>2</v>
      </c>
      <c r="AD578">
        <v>3</v>
      </c>
      <c r="AE578">
        <v>2</v>
      </c>
      <c r="AF578">
        <v>2</v>
      </c>
      <c r="AG578">
        <v>1</v>
      </c>
      <c r="AH578">
        <v>2</v>
      </c>
      <c r="AI578">
        <f t="shared" ref="AI578:AI641" si="63">IF(D578="Yes",1,0)</f>
        <v>0</v>
      </c>
      <c r="AJ578" t="str">
        <f t="shared" ref="AJ578:AJ641" si="64">IF(AE578&lt;=1,"0-1 yr",IF(AE578&lt;=3,"2-3 yrs",IF(AE578&lt;=5,"4-5 yrs",IF(AE578&lt;=10,"6-10 yrs","10+ yrs"))))</f>
        <v>2-3 yrs</v>
      </c>
      <c r="AK578" t="str">
        <f t="shared" ref="AK578:AK641" si="65">IF(AG578&gt;=3,"Overdue","Recent")</f>
        <v>Recent</v>
      </c>
      <c r="AL578">
        <f t="shared" ref="AL578:AL641" si="66">IF(W578="Yes",1,0)+IF(AD578&lt;=2,1,0)+IF(Q578&lt;=2,1,0)+IF(AG578&gt;=3,1,0)</f>
        <v>0</v>
      </c>
      <c r="AM578" t="str">
        <f t="shared" ref="AM578:AM641" si="67">IF(AL578&gt;=3,"High Risk",IF(AL578=2,"Medium Risk",IF(AL578=1,"Low Risk","Minimal Risk")))</f>
        <v>Minimal Risk</v>
      </c>
      <c r="AN578" s="6">
        <f t="shared" ref="AN578:AN641" si="68">IFERROR((S578-AVERAGEIF(P$2:P$1479,P578,S$2:S$1479))/AVERAGEIF(P$2:P$1479,P578,S$2:S$1479),0)</f>
        <v>-0.12172323297850379</v>
      </c>
      <c r="AO578" s="7">
        <f t="shared" ref="AO578:AO641" si="69">S578*12</f>
        <v>545100</v>
      </c>
    </row>
    <row r="579" spans="1:41" x14ac:dyDescent="0.3">
      <c r="A579" t="s">
        <v>647</v>
      </c>
      <c r="B579">
        <v>34</v>
      </c>
      <c r="C579" t="s">
        <v>196</v>
      </c>
      <c r="D579" t="s">
        <v>55</v>
      </c>
      <c r="E579" t="s">
        <v>48</v>
      </c>
      <c r="F579">
        <v>419</v>
      </c>
      <c r="G579" t="s">
        <v>49</v>
      </c>
      <c r="H579">
        <v>7</v>
      </c>
      <c r="I579">
        <v>4</v>
      </c>
      <c r="J579" t="s">
        <v>50</v>
      </c>
      <c r="K579">
        <v>28</v>
      </c>
      <c r="L579">
        <v>1</v>
      </c>
      <c r="M579" t="s">
        <v>59</v>
      </c>
      <c r="N579">
        <v>3</v>
      </c>
      <c r="O579">
        <v>3</v>
      </c>
      <c r="P579" t="s">
        <v>257</v>
      </c>
      <c r="Q579">
        <v>2</v>
      </c>
      <c r="R579" t="s">
        <v>53</v>
      </c>
      <c r="S579">
        <v>39756</v>
      </c>
      <c r="T579" t="s">
        <v>72</v>
      </c>
      <c r="U579">
        <v>248.48</v>
      </c>
      <c r="V579">
        <v>0</v>
      </c>
      <c r="W579" t="s">
        <v>55</v>
      </c>
      <c r="X579">
        <v>11</v>
      </c>
      <c r="Y579">
        <v>3</v>
      </c>
      <c r="Z579">
        <v>3</v>
      </c>
      <c r="AA579">
        <v>0</v>
      </c>
      <c r="AB579">
        <v>13</v>
      </c>
      <c r="AC579">
        <v>4</v>
      </c>
      <c r="AD579">
        <v>3</v>
      </c>
      <c r="AE579">
        <v>12</v>
      </c>
      <c r="AF579">
        <v>6</v>
      </c>
      <c r="AG579">
        <v>2</v>
      </c>
      <c r="AH579">
        <v>6</v>
      </c>
      <c r="AI579">
        <f t="shared" si="63"/>
        <v>0</v>
      </c>
      <c r="AJ579" t="str">
        <f t="shared" si="64"/>
        <v>10+ yrs</v>
      </c>
      <c r="AK579" t="str">
        <f t="shared" si="65"/>
        <v>Recent</v>
      </c>
      <c r="AL579">
        <f t="shared" si="66"/>
        <v>1</v>
      </c>
      <c r="AM579" t="str">
        <f t="shared" si="67"/>
        <v>Low Risk</v>
      </c>
      <c r="AN579" s="6">
        <f t="shared" si="68"/>
        <v>-0.21528647836713422</v>
      </c>
      <c r="AO579" s="7">
        <f t="shared" si="69"/>
        <v>477072</v>
      </c>
    </row>
    <row r="580" spans="1:41" x14ac:dyDescent="0.3">
      <c r="A580" t="s">
        <v>648</v>
      </c>
      <c r="B580">
        <v>34</v>
      </c>
      <c r="C580" t="s">
        <v>196</v>
      </c>
      <c r="D580" t="s">
        <v>47</v>
      </c>
      <c r="E580" t="s">
        <v>48</v>
      </c>
      <c r="F580">
        <v>699</v>
      </c>
      <c r="G580" t="s">
        <v>49</v>
      </c>
      <c r="H580">
        <v>6</v>
      </c>
      <c r="I580">
        <v>1</v>
      </c>
      <c r="J580" t="s">
        <v>58</v>
      </c>
      <c r="K580">
        <v>31</v>
      </c>
      <c r="L580">
        <v>2</v>
      </c>
      <c r="M580" t="s">
        <v>51</v>
      </c>
      <c r="N580">
        <v>3</v>
      </c>
      <c r="O580">
        <v>1</v>
      </c>
      <c r="P580" t="s">
        <v>67</v>
      </c>
      <c r="Q580">
        <v>1</v>
      </c>
      <c r="R580" t="s">
        <v>53</v>
      </c>
      <c r="S580">
        <v>19888</v>
      </c>
      <c r="T580" t="s">
        <v>54</v>
      </c>
      <c r="U580">
        <v>124.3</v>
      </c>
      <c r="V580">
        <v>2</v>
      </c>
      <c r="W580" t="s">
        <v>55</v>
      </c>
      <c r="X580">
        <v>11</v>
      </c>
      <c r="Y580">
        <v>3</v>
      </c>
      <c r="Z580">
        <v>3</v>
      </c>
      <c r="AA580">
        <v>0</v>
      </c>
      <c r="AB580">
        <v>8</v>
      </c>
      <c r="AC580">
        <v>2</v>
      </c>
      <c r="AD580">
        <v>3</v>
      </c>
      <c r="AE580">
        <v>4</v>
      </c>
      <c r="AF580">
        <v>2</v>
      </c>
      <c r="AG580">
        <v>1</v>
      </c>
      <c r="AH580">
        <v>2</v>
      </c>
      <c r="AI580">
        <f t="shared" si="63"/>
        <v>1</v>
      </c>
      <c r="AJ580" t="str">
        <f t="shared" si="64"/>
        <v>4-5 yrs</v>
      </c>
      <c r="AK580" t="str">
        <f t="shared" si="65"/>
        <v>Recent</v>
      </c>
      <c r="AL580">
        <f t="shared" si="66"/>
        <v>1</v>
      </c>
      <c r="AM580" t="str">
        <f t="shared" si="67"/>
        <v>Low Risk</v>
      </c>
      <c r="AN580" s="6">
        <f t="shared" si="68"/>
        <v>-0.6011719575589729</v>
      </c>
      <c r="AO580" s="7">
        <f t="shared" si="69"/>
        <v>238656</v>
      </c>
    </row>
    <row r="581" spans="1:41" x14ac:dyDescent="0.3">
      <c r="A581" t="s">
        <v>649</v>
      </c>
      <c r="B581">
        <v>34</v>
      </c>
      <c r="C581" t="s">
        <v>196</v>
      </c>
      <c r="D581" t="s">
        <v>55</v>
      </c>
      <c r="E581" t="s">
        <v>66</v>
      </c>
      <c r="F581">
        <v>1065</v>
      </c>
      <c r="G581" t="s">
        <v>57</v>
      </c>
      <c r="H581">
        <v>23</v>
      </c>
      <c r="I581">
        <v>4</v>
      </c>
      <c r="J581" t="s">
        <v>63</v>
      </c>
      <c r="K581">
        <v>60</v>
      </c>
      <c r="L581">
        <v>2</v>
      </c>
      <c r="M581" t="s">
        <v>51</v>
      </c>
      <c r="N581">
        <v>3</v>
      </c>
      <c r="O581">
        <v>2</v>
      </c>
      <c r="P581" t="s">
        <v>145</v>
      </c>
      <c r="Q581">
        <v>3</v>
      </c>
      <c r="R581" t="s">
        <v>53</v>
      </c>
      <c r="S581">
        <v>36735</v>
      </c>
      <c r="T581" t="s">
        <v>72</v>
      </c>
      <c r="U581">
        <v>229.59</v>
      </c>
      <c r="V581">
        <v>0</v>
      </c>
      <c r="W581" t="s">
        <v>55</v>
      </c>
      <c r="X581">
        <v>20</v>
      </c>
      <c r="Y581">
        <v>4</v>
      </c>
      <c r="Z581">
        <v>3</v>
      </c>
      <c r="AA581">
        <v>0</v>
      </c>
      <c r="AB581">
        <v>10</v>
      </c>
      <c r="AC581">
        <v>2</v>
      </c>
      <c r="AD581">
        <v>3</v>
      </c>
      <c r="AE581">
        <v>9</v>
      </c>
      <c r="AF581">
        <v>5</v>
      </c>
      <c r="AG581">
        <v>8</v>
      </c>
      <c r="AH581">
        <v>7</v>
      </c>
      <c r="AI581">
        <f t="shared" si="63"/>
        <v>0</v>
      </c>
      <c r="AJ581" t="str">
        <f t="shared" si="64"/>
        <v>6-10 yrs</v>
      </c>
      <c r="AK581" t="str">
        <f t="shared" si="65"/>
        <v>Overdue</v>
      </c>
      <c r="AL581">
        <f t="shared" si="66"/>
        <v>1</v>
      </c>
      <c r="AM581" t="str">
        <f t="shared" si="67"/>
        <v>Low Risk</v>
      </c>
      <c r="AN581" s="6">
        <f t="shared" si="68"/>
        <v>-0.25119200211746273</v>
      </c>
      <c r="AO581" s="7">
        <f t="shared" si="69"/>
        <v>440820</v>
      </c>
    </row>
    <row r="582" spans="1:41" x14ac:dyDescent="0.3">
      <c r="A582" t="s">
        <v>650</v>
      </c>
      <c r="B582">
        <v>34</v>
      </c>
      <c r="C582" t="s">
        <v>196</v>
      </c>
      <c r="D582" t="s">
        <v>55</v>
      </c>
      <c r="E582" t="s">
        <v>48</v>
      </c>
      <c r="F582">
        <v>1153</v>
      </c>
      <c r="G582" t="s">
        <v>49</v>
      </c>
      <c r="H582">
        <v>1</v>
      </c>
      <c r="I582">
        <v>2</v>
      </c>
      <c r="J582" t="s">
        <v>58</v>
      </c>
      <c r="K582">
        <v>110</v>
      </c>
      <c r="L582">
        <v>1</v>
      </c>
      <c r="M582" t="s">
        <v>51</v>
      </c>
      <c r="N582">
        <v>3</v>
      </c>
      <c r="O582">
        <v>2</v>
      </c>
      <c r="P582" t="s">
        <v>120</v>
      </c>
      <c r="Q582">
        <v>2</v>
      </c>
      <c r="R582" t="s">
        <v>113</v>
      </c>
      <c r="S582">
        <v>48295</v>
      </c>
      <c r="T582" t="s">
        <v>72</v>
      </c>
      <c r="U582">
        <v>301.83999999999997</v>
      </c>
      <c r="V582">
        <v>1</v>
      </c>
      <c r="W582" t="s">
        <v>55</v>
      </c>
      <c r="X582">
        <v>15</v>
      </c>
      <c r="Y582">
        <v>3</v>
      </c>
      <c r="Z582">
        <v>3</v>
      </c>
      <c r="AA582">
        <v>0</v>
      </c>
      <c r="AB582">
        <v>5</v>
      </c>
      <c r="AC582">
        <v>2</v>
      </c>
      <c r="AD582">
        <v>3</v>
      </c>
      <c r="AE582">
        <v>5</v>
      </c>
      <c r="AF582">
        <v>2</v>
      </c>
      <c r="AG582">
        <v>1</v>
      </c>
      <c r="AH582">
        <v>3</v>
      </c>
      <c r="AI582">
        <f t="shared" si="63"/>
        <v>0</v>
      </c>
      <c r="AJ582" t="str">
        <f t="shared" si="64"/>
        <v>4-5 yrs</v>
      </c>
      <c r="AK582" t="str">
        <f t="shared" si="65"/>
        <v>Recent</v>
      </c>
      <c r="AL582">
        <f t="shared" si="66"/>
        <v>1</v>
      </c>
      <c r="AM582" t="str">
        <f t="shared" si="67"/>
        <v>Low Risk</v>
      </c>
      <c r="AN582" s="6">
        <f t="shared" si="68"/>
        <v>9.0295385008378484E-2</v>
      </c>
      <c r="AO582" s="7">
        <f t="shared" si="69"/>
        <v>579540</v>
      </c>
    </row>
    <row r="583" spans="1:41" x14ac:dyDescent="0.3">
      <c r="A583" t="s">
        <v>651</v>
      </c>
      <c r="B583">
        <v>34</v>
      </c>
      <c r="C583" t="s">
        <v>196</v>
      </c>
      <c r="D583" t="s">
        <v>55</v>
      </c>
      <c r="E583" t="s">
        <v>48</v>
      </c>
      <c r="F583">
        <v>665</v>
      </c>
      <c r="G583" t="s">
        <v>49</v>
      </c>
      <c r="H583">
        <v>6</v>
      </c>
      <c r="I583">
        <v>4</v>
      </c>
      <c r="J583" t="s">
        <v>82</v>
      </c>
      <c r="K583">
        <v>138</v>
      </c>
      <c r="L583">
        <v>1</v>
      </c>
      <c r="M583" t="s">
        <v>59</v>
      </c>
      <c r="N583">
        <v>3</v>
      </c>
      <c r="O583">
        <v>2</v>
      </c>
      <c r="P583" t="s">
        <v>67</v>
      </c>
      <c r="Q583">
        <v>3</v>
      </c>
      <c r="R583" t="s">
        <v>53</v>
      </c>
      <c r="S583">
        <v>84042</v>
      </c>
      <c r="T583" t="s">
        <v>70</v>
      </c>
      <c r="U583">
        <v>525.26</v>
      </c>
      <c r="V583">
        <v>1</v>
      </c>
      <c r="W583" t="s">
        <v>55</v>
      </c>
      <c r="X583">
        <v>14</v>
      </c>
      <c r="Y583">
        <v>3</v>
      </c>
      <c r="Z583">
        <v>3</v>
      </c>
      <c r="AA583">
        <v>0</v>
      </c>
      <c r="AB583">
        <v>16</v>
      </c>
      <c r="AC583">
        <v>3</v>
      </c>
      <c r="AD583">
        <v>3</v>
      </c>
      <c r="AE583">
        <v>16</v>
      </c>
      <c r="AF583">
        <v>13</v>
      </c>
      <c r="AG583">
        <v>2</v>
      </c>
      <c r="AH583">
        <v>10</v>
      </c>
      <c r="AI583">
        <f t="shared" si="63"/>
        <v>0</v>
      </c>
      <c r="AJ583" t="str">
        <f t="shared" si="64"/>
        <v>10+ yrs</v>
      </c>
      <c r="AK583" t="str">
        <f t="shared" si="65"/>
        <v>Recent</v>
      </c>
      <c r="AL583">
        <f t="shared" si="66"/>
        <v>0</v>
      </c>
      <c r="AM583" t="str">
        <f t="shared" si="67"/>
        <v>Minimal Risk</v>
      </c>
      <c r="AN583" s="6">
        <f t="shared" si="68"/>
        <v>0.68535329559678171</v>
      </c>
      <c r="AO583" s="7">
        <f t="shared" si="69"/>
        <v>1008504</v>
      </c>
    </row>
    <row r="584" spans="1:41" x14ac:dyDescent="0.3">
      <c r="A584" t="s">
        <v>652</v>
      </c>
      <c r="B584">
        <v>34</v>
      </c>
      <c r="C584" t="s">
        <v>196</v>
      </c>
      <c r="D584" t="s">
        <v>47</v>
      </c>
      <c r="E584" t="s">
        <v>62</v>
      </c>
      <c r="F584">
        <v>658</v>
      </c>
      <c r="G584" t="s">
        <v>49</v>
      </c>
      <c r="H584">
        <v>7</v>
      </c>
      <c r="I584">
        <v>3</v>
      </c>
      <c r="J584" t="s">
        <v>50</v>
      </c>
      <c r="K584">
        <v>147</v>
      </c>
      <c r="L584">
        <v>1</v>
      </c>
      <c r="M584" t="s">
        <v>51</v>
      </c>
      <c r="N584">
        <v>1</v>
      </c>
      <c r="O584">
        <v>2</v>
      </c>
      <c r="P584" t="s">
        <v>52</v>
      </c>
      <c r="Q584">
        <v>3</v>
      </c>
      <c r="R584" t="s">
        <v>53</v>
      </c>
      <c r="S584">
        <v>86999</v>
      </c>
      <c r="T584" t="s">
        <v>70</v>
      </c>
      <c r="U584">
        <v>543.74</v>
      </c>
      <c r="V584">
        <v>1</v>
      </c>
      <c r="W584" t="s">
        <v>47</v>
      </c>
      <c r="X584">
        <v>24</v>
      </c>
      <c r="Y584">
        <v>4</v>
      </c>
      <c r="Z584">
        <v>4</v>
      </c>
      <c r="AA584">
        <v>0</v>
      </c>
      <c r="AB584">
        <v>9</v>
      </c>
      <c r="AC584">
        <v>3</v>
      </c>
      <c r="AD584">
        <v>3</v>
      </c>
      <c r="AE584">
        <v>9</v>
      </c>
      <c r="AF584">
        <v>7</v>
      </c>
      <c r="AG584">
        <v>0</v>
      </c>
      <c r="AH584">
        <v>6</v>
      </c>
      <c r="AI584">
        <f t="shared" si="63"/>
        <v>1</v>
      </c>
      <c r="AJ584" t="str">
        <f t="shared" si="64"/>
        <v>6-10 yrs</v>
      </c>
      <c r="AK584" t="str">
        <f t="shared" si="65"/>
        <v>Recent</v>
      </c>
      <c r="AL584">
        <f t="shared" si="66"/>
        <v>1</v>
      </c>
      <c r="AM584" t="str">
        <f t="shared" si="67"/>
        <v>Low Risk</v>
      </c>
      <c r="AN584" s="6">
        <f t="shared" si="68"/>
        <v>0.68209577224222673</v>
      </c>
      <c r="AO584" s="7">
        <f t="shared" si="69"/>
        <v>1043988</v>
      </c>
    </row>
    <row r="585" spans="1:41" x14ac:dyDescent="0.3">
      <c r="A585" t="s">
        <v>653</v>
      </c>
      <c r="B585">
        <v>34</v>
      </c>
      <c r="C585" t="s">
        <v>196</v>
      </c>
      <c r="D585" t="s">
        <v>55</v>
      </c>
      <c r="E585" t="s">
        <v>48</v>
      </c>
      <c r="F585">
        <v>1031</v>
      </c>
      <c r="G585" t="s">
        <v>49</v>
      </c>
      <c r="H585">
        <v>6</v>
      </c>
      <c r="I585">
        <v>4</v>
      </c>
      <c r="J585" t="s">
        <v>50</v>
      </c>
      <c r="K585">
        <v>151</v>
      </c>
      <c r="L585">
        <v>3</v>
      </c>
      <c r="M585" t="s">
        <v>59</v>
      </c>
      <c r="N585">
        <v>2</v>
      </c>
      <c r="O585">
        <v>2</v>
      </c>
      <c r="P585" t="s">
        <v>67</v>
      </c>
      <c r="Q585">
        <v>2</v>
      </c>
      <c r="R585" t="s">
        <v>53</v>
      </c>
      <c r="S585">
        <v>18955</v>
      </c>
      <c r="T585" t="s">
        <v>54</v>
      </c>
      <c r="U585">
        <v>118.47</v>
      </c>
      <c r="V585">
        <v>6</v>
      </c>
      <c r="W585" t="s">
        <v>55</v>
      </c>
      <c r="X585">
        <v>15</v>
      </c>
      <c r="Y585">
        <v>3</v>
      </c>
      <c r="Z585">
        <v>3</v>
      </c>
      <c r="AA585">
        <v>1</v>
      </c>
      <c r="AB585">
        <v>12</v>
      </c>
      <c r="AC585">
        <v>3</v>
      </c>
      <c r="AD585">
        <v>3</v>
      </c>
      <c r="AE585">
        <v>1</v>
      </c>
      <c r="AF585">
        <v>0</v>
      </c>
      <c r="AG585">
        <v>0</v>
      </c>
      <c r="AH585">
        <v>0</v>
      </c>
      <c r="AI585">
        <f t="shared" si="63"/>
        <v>0</v>
      </c>
      <c r="AJ585" t="str">
        <f t="shared" si="64"/>
        <v>0-1 yr</v>
      </c>
      <c r="AK585" t="str">
        <f t="shared" si="65"/>
        <v>Recent</v>
      </c>
      <c r="AL585">
        <f t="shared" si="66"/>
        <v>1</v>
      </c>
      <c r="AM585" t="str">
        <f t="shared" si="67"/>
        <v>Low Risk</v>
      </c>
      <c r="AN585" s="6">
        <f t="shared" si="68"/>
        <v>-0.61988206232553966</v>
      </c>
      <c r="AO585" s="7">
        <f t="shared" si="69"/>
        <v>227460</v>
      </c>
    </row>
    <row r="586" spans="1:41" x14ac:dyDescent="0.3">
      <c r="A586" t="s">
        <v>654</v>
      </c>
      <c r="B586">
        <v>34</v>
      </c>
      <c r="C586" t="s">
        <v>196</v>
      </c>
      <c r="D586" t="s">
        <v>55</v>
      </c>
      <c r="E586" t="s">
        <v>48</v>
      </c>
      <c r="F586">
        <v>1354</v>
      </c>
      <c r="G586" t="s">
        <v>49</v>
      </c>
      <c r="H586">
        <v>5</v>
      </c>
      <c r="I586">
        <v>3</v>
      </c>
      <c r="J586" t="s">
        <v>58</v>
      </c>
      <c r="K586">
        <v>153</v>
      </c>
      <c r="L586">
        <v>3</v>
      </c>
      <c r="M586" t="s">
        <v>59</v>
      </c>
      <c r="N586">
        <v>2</v>
      </c>
      <c r="O586">
        <v>3</v>
      </c>
      <c r="P586" t="s">
        <v>444</v>
      </c>
      <c r="Q586">
        <v>1</v>
      </c>
      <c r="R586" t="s">
        <v>53</v>
      </c>
      <c r="S586">
        <v>38841</v>
      </c>
      <c r="T586" t="s">
        <v>72</v>
      </c>
      <c r="U586">
        <v>242.76</v>
      </c>
      <c r="V586">
        <v>2</v>
      </c>
      <c r="W586" t="s">
        <v>55</v>
      </c>
      <c r="X586">
        <v>12</v>
      </c>
      <c r="Y586">
        <v>3</v>
      </c>
      <c r="Z586">
        <v>4</v>
      </c>
      <c r="AA586">
        <v>0</v>
      </c>
      <c r="AB586">
        <v>14</v>
      </c>
      <c r="AC586">
        <v>6</v>
      </c>
      <c r="AD586">
        <v>3</v>
      </c>
      <c r="AE586">
        <v>11</v>
      </c>
      <c r="AF586">
        <v>10</v>
      </c>
      <c r="AG586">
        <v>5</v>
      </c>
      <c r="AH586">
        <v>8</v>
      </c>
      <c r="AI586">
        <f t="shared" si="63"/>
        <v>0</v>
      </c>
      <c r="AJ586" t="str">
        <f t="shared" si="64"/>
        <v>10+ yrs</v>
      </c>
      <c r="AK586" t="str">
        <f t="shared" si="65"/>
        <v>Overdue</v>
      </c>
      <c r="AL586">
        <f t="shared" si="66"/>
        <v>2</v>
      </c>
      <c r="AM586" t="str">
        <f t="shared" si="67"/>
        <v>Medium Risk</v>
      </c>
      <c r="AN586" s="6">
        <f t="shared" si="68"/>
        <v>-0.25589550259680838</v>
      </c>
      <c r="AO586" s="7">
        <f t="shared" si="69"/>
        <v>466092</v>
      </c>
    </row>
    <row r="587" spans="1:41" x14ac:dyDescent="0.3">
      <c r="A587" t="s">
        <v>655</v>
      </c>
      <c r="B587">
        <v>34</v>
      </c>
      <c r="C587" t="s">
        <v>196</v>
      </c>
      <c r="D587" t="s">
        <v>55</v>
      </c>
      <c r="E587" t="s">
        <v>62</v>
      </c>
      <c r="F587">
        <v>303</v>
      </c>
      <c r="G587" t="s">
        <v>57</v>
      </c>
      <c r="H587">
        <v>2</v>
      </c>
      <c r="I587">
        <v>4</v>
      </c>
      <c r="J587" t="s">
        <v>63</v>
      </c>
      <c r="K587">
        <v>216</v>
      </c>
      <c r="L587">
        <v>3</v>
      </c>
      <c r="M587" t="s">
        <v>59</v>
      </c>
      <c r="N587">
        <v>3</v>
      </c>
      <c r="O587">
        <v>1</v>
      </c>
      <c r="P587" t="s">
        <v>60</v>
      </c>
      <c r="Q587">
        <v>3</v>
      </c>
      <c r="R587" t="s">
        <v>113</v>
      </c>
      <c r="S587">
        <v>71640</v>
      </c>
      <c r="T587" t="s">
        <v>64</v>
      </c>
      <c r="U587">
        <v>447.75</v>
      </c>
      <c r="V587">
        <v>6</v>
      </c>
      <c r="W587" t="s">
        <v>55</v>
      </c>
      <c r="X587">
        <v>18</v>
      </c>
      <c r="Y587">
        <v>3</v>
      </c>
      <c r="Z587">
        <v>4</v>
      </c>
      <c r="AA587">
        <v>1</v>
      </c>
      <c r="AB587">
        <v>6</v>
      </c>
      <c r="AC587">
        <v>3</v>
      </c>
      <c r="AD587">
        <v>3</v>
      </c>
      <c r="AE587">
        <v>4</v>
      </c>
      <c r="AF587">
        <v>3</v>
      </c>
      <c r="AG587">
        <v>1</v>
      </c>
      <c r="AH587">
        <v>2</v>
      </c>
      <c r="AI587">
        <f t="shared" si="63"/>
        <v>0</v>
      </c>
      <c r="AJ587" t="str">
        <f t="shared" si="64"/>
        <v>4-5 yrs</v>
      </c>
      <c r="AK587" t="str">
        <f t="shared" si="65"/>
        <v>Recent</v>
      </c>
      <c r="AL587">
        <f t="shared" si="66"/>
        <v>0</v>
      </c>
      <c r="AM587" t="str">
        <f t="shared" si="67"/>
        <v>Minimal Risk</v>
      </c>
      <c r="AN587" s="6">
        <f t="shared" si="68"/>
        <v>0.45235457110510058</v>
      </c>
      <c r="AO587" s="7">
        <f t="shared" si="69"/>
        <v>859680</v>
      </c>
    </row>
    <row r="588" spans="1:41" x14ac:dyDescent="0.3">
      <c r="A588" t="s">
        <v>656</v>
      </c>
      <c r="B588">
        <v>34</v>
      </c>
      <c r="C588" t="s">
        <v>196</v>
      </c>
      <c r="D588" t="s">
        <v>55</v>
      </c>
      <c r="E588" t="s">
        <v>48</v>
      </c>
      <c r="F588">
        <v>629</v>
      </c>
      <c r="G588" t="s">
        <v>49</v>
      </c>
      <c r="H588">
        <v>27</v>
      </c>
      <c r="I588">
        <v>2</v>
      </c>
      <c r="J588" t="s">
        <v>58</v>
      </c>
      <c r="K588">
        <v>247</v>
      </c>
      <c r="L588">
        <v>4</v>
      </c>
      <c r="M588" t="s">
        <v>59</v>
      </c>
      <c r="N588">
        <v>3</v>
      </c>
      <c r="O588">
        <v>1</v>
      </c>
      <c r="P588" t="s">
        <v>67</v>
      </c>
      <c r="Q588">
        <v>2</v>
      </c>
      <c r="R588" t="s">
        <v>53</v>
      </c>
      <c r="S588">
        <v>66510</v>
      </c>
      <c r="T588" t="s">
        <v>64</v>
      </c>
      <c r="U588">
        <v>415.69</v>
      </c>
      <c r="V588">
        <v>2</v>
      </c>
      <c r="W588" t="s">
        <v>55</v>
      </c>
      <c r="X588">
        <v>15</v>
      </c>
      <c r="Y588">
        <v>3</v>
      </c>
      <c r="Z588">
        <v>4</v>
      </c>
      <c r="AA588">
        <v>0</v>
      </c>
      <c r="AB588">
        <v>9</v>
      </c>
      <c r="AC588">
        <v>3</v>
      </c>
      <c r="AD588">
        <v>3</v>
      </c>
      <c r="AE588">
        <v>3</v>
      </c>
      <c r="AF588">
        <v>2</v>
      </c>
      <c r="AG588">
        <v>1</v>
      </c>
      <c r="AH588">
        <v>2</v>
      </c>
      <c r="AI588">
        <f t="shared" si="63"/>
        <v>0</v>
      </c>
      <c r="AJ588" t="str">
        <f t="shared" si="64"/>
        <v>2-3 yrs</v>
      </c>
      <c r="AK588" t="str">
        <f t="shared" si="65"/>
        <v>Recent</v>
      </c>
      <c r="AL588">
        <f t="shared" si="66"/>
        <v>1</v>
      </c>
      <c r="AM588" t="str">
        <f t="shared" si="67"/>
        <v>Low Risk</v>
      </c>
      <c r="AN588" s="6">
        <f t="shared" si="68"/>
        <v>0.3337717770893357</v>
      </c>
      <c r="AO588" s="7">
        <f t="shared" si="69"/>
        <v>798120</v>
      </c>
    </row>
    <row r="589" spans="1:41" x14ac:dyDescent="0.3">
      <c r="A589" t="s">
        <v>657</v>
      </c>
      <c r="B589">
        <v>34</v>
      </c>
      <c r="C589" t="s">
        <v>196</v>
      </c>
      <c r="D589" t="s">
        <v>55</v>
      </c>
      <c r="E589" t="s">
        <v>62</v>
      </c>
      <c r="F589">
        <v>1069</v>
      </c>
      <c r="G589" t="s">
        <v>49</v>
      </c>
      <c r="H589">
        <v>2</v>
      </c>
      <c r="I589">
        <v>1</v>
      </c>
      <c r="J589" t="s">
        <v>50</v>
      </c>
      <c r="K589">
        <v>256</v>
      </c>
      <c r="L589">
        <v>4</v>
      </c>
      <c r="M589" t="s">
        <v>51</v>
      </c>
      <c r="N589">
        <v>2</v>
      </c>
      <c r="O589">
        <v>2</v>
      </c>
      <c r="P589" t="s">
        <v>120</v>
      </c>
      <c r="Q589">
        <v>3</v>
      </c>
      <c r="R589" t="s">
        <v>113</v>
      </c>
      <c r="S589">
        <v>35911</v>
      </c>
      <c r="T589" t="s">
        <v>72</v>
      </c>
      <c r="U589">
        <v>224.44</v>
      </c>
      <c r="V589">
        <v>1</v>
      </c>
      <c r="W589" t="s">
        <v>55</v>
      </c>
      <c r="X589">
        <v>17</v>
      </c>
      <c r="Y589">
        <v>3</v>
      </c>
      <c r="Z589">
        <v>3</v>
      </c>
      <c r="AA589">
        <v>0</v>
      </c>
      <c r="AB589">
        <v>10</v>
      </c>
      <c r="AC589">
        <v>2</v>
      </c>
      <c r="AD589">
        <v>2</v>
      </c>
      <c r="AE589">
        <v>10</v>
      </c>
      <c r="AF589">
        <v>9</v>
      </c>
      <c r="AG589">
        <v>1</v>
      </c>
      <c r="AH589">
        <v>9</v>
      </c>
      <c r="AI589">
        <f t="shared" si="63"/>
        <v>0</v>
      </c>
      <c r="AJ589" t="str">
        <f t="shared" si="64"/>
        <v>6-10 yrs</v>
      </c>
      <c r="AK589" t="str">
        <f t="shared" si="65"/>
        <v>Recent</v>
      </c>
      <c r="AL589">
        <f t="shared" si="66"/>
        <v>1</v>
      </c>
      <c r="AM589" t="str">
        <f t="shared" si="67"/>
        <v>Low Risk</v>
      </c>
      <c r="AN589" s="6">
        <f t="shared" si="68"/>
        <v>-0.18928258471817208</v>
      </c>
      <c r="AO589" s="7">
        <f t="shared" si="69"/>
        <v>430932</v>
      </c>
    </row>
    <row r="590" spans="1:41" x14ac:dyDescent="0.3">
      <c r="A590" t="s">
        <v>658</v>
      </c>
      <c r="B590">
        <v>34</v>
      </c>
      <c r="C590" t="s">
        <v>196</v>
      </c>
      <c r="D590" t="s">
        <v>55</v>
      </c>
      <c r="E590" t="s">
        <v>62</v>
      </c>
      <c r="F590">
        <v>878</v>
      </c>
      <c r="G590" t="s">
        <v>49</v>
      </c>
      <c r="H590">
        <v>10</v>
      </c>
      <c r="I590">
        <v>4</v>
      </c>
      <c r="J590" t="s">
        <v>58</v>
      </c>
      <c r="K590">
        <v>277</v>
      </c>
      <c r="L590">
        <v>4</v>
      </c>
      <c r="M590" t="s">
        <v>51</v>
      </c>
      <c r="N590">
        <v>3</v>
      </c>
      <c r="O590">
        <v>1</v>
      </c>
      <c r="P590" t="s">
        <v>67</v>
      </c>
      <c r="Q590">
        <v>3</v>
      </c>
      <c r="R590" t="s">
        <v>53</v>
      </c>
      <c r="S590">
        <v>60031</v>
      </c>
      <c r="T590" t="s">
        <v>64</v>
      </c>
      <c r="U590">
        <v>375.19</v>
      </c>
      <c r="V590">
        <v>1</v>
      </c>
      <c r="W590" t="s">
        <v>47</v>
      </c>
      <c r="X590">
        <v>17</v>
      </c>
      <c r="Y590">
        <v>3</v>
      </c>
      <c r="Z590">
        <v>4</v>
      </c>
      <c r="AA590">
        <v>1</v>
      </c>
      <c r="AB590">
        <v>5</v>
      </c>
      <c r="AC590">
        <v>4</v>
      </c>
      <c r="AD590">
        <v>4</v>
      </c>
      <c r="AE590">
        <v>5</v>
      </c>
      <c r="AF590">
        <v>3</v>
      </c>
      <c r="AG590">
        <v>2</v>
      </c>
      <c r="AH590">
        <v>0</v>
      </c>
      <c r="AI590">
        <f t="shared" si="63"/>
        <v>0</v>
      </c>
      <c r="AJ590" t="str">
        <f t="shared" si="64"/>
        <v>4-5 yrs</v>
      </c>
      <c r="AK590" t="str">
        <f t="shared" si="65"/>
        <v>Recent</v>
      </c>
      <c r="AL590">
        <f t="shared" si="66"/>
        <v>1</v>
      </c>
      <c r="AM590" t="str">
        <f t="shared" si="67"/>
        <v>Low Risk</v>
      </c>
      <c r="AN590" s="6">
        <f t="shared" si="68"/>
        <v>0.20384383627198785</v>
      </c>
      <c r="AO590" s="7">
        <f t="shared" si="69"/>
        <v>720372</v>
      </c>
    </row>
    <row r="591" spans="1:41" x14ac:dyDescent="0.3">
      <c r="A591" t="s">
        <v>659</v>
      </c>
      <c r="B591">
        <v>34</v>
      </c>
      <c r="C591" t="s">
        <v>196</v>
      </c>
      <c r="D591" t="s">
        <v>55</v>
      </c>
      <c r="E591" t="s">
        <v>48</v>
      </c>
      <c r="F591">
        <v>470</v>
      </c>
      <c r="G591" t="s">
        <v>49</v>
      </c>
      <c r="H591">
        <v>2</v>
      </c>
      <c r="I591">
        <v>4</v>
      </c>
      <c r="J591" t="s">
        <v>50</v>
      </c>
      <c r="K591">
        <v>339</v>
      </c>
      <c r="L591">
        <v>4</v>
      </c>
      <c r="M591" t="s">
        <v>51</v>
      </c>
      <c r="N591">
        <v>2</v>
      </c>
      <c r="O591">
        <v>2</v>
      </c>
      <c r="P591" t="s">
        <v>120</v>
      </c>
      <c r="Q591">
        <v>1</v>
      </c>
      <c r="R591" t="s">
        <v>113</v>
      </c>
      <c r="S591">
        <v>89726</v>
      </c>
      <c r="T591" t="s">
        <v>70</v>
      </c>
      <c r="U591">
        <v>560.79</v>
      </c>
      <c r="V591">
        <v>6</v>
      </c>
      <c r="W591" t="s">
        <v>55</v>
      </c>
      <c r="X591">
        <v>13</v>
      </c>
      <c r="Y591">
        <v>3</v>
      </c>
      <c r="Z591">
        <v>2</v>
      </c>
      <c r="AA591">
        <v>1</v>
      </c>
      <c r="AB591">
        <v>13</v>
      </c>
      <c r="AC591">
        <v>3</v>
      </c>
      <c r="AD591">
        <v>3</v>
      </c>
      <c r="AE591">
        <v>11</v>
      </c>
      <c r="AF591">
        <v>9</v>
      </c>
      <c r="AG591">
        <v>5</v>
      </c>
      <c r="AH591">
        <v>9</v>
      </c>
      <c r="AI591">
        <f t="shared" si="63"/>
        <v>0</v>
      </c>
      <c r="AJ591" t="str">
        <f t="shared" si="64"/>
        <v>10+ yrs</v>
      </c>
      <c r="AK591" t="str">
        <f t="shared" si="65"/>
        <v>Overdue</v>
      </c>
      <c r="AL591">
        <f t="shared" si="66"/>
        <v>2</v>
      </c>
      <c r="AM591" t="str">
        <f t="shared" si="67"/>
        <v>Medium Risk</v>
      </c>
      <c r="AN591" s="6">
        <f t="shared" si="68"/>
        <v>1.0256308875714208</v>
      </c>
      <c r="AO591" s="7">
        <f t="shared" si="69"/>
        <v>1076712</v>
      </c>
    </row>
    <row r="592" spans="1:41" x14ac:dyDescent="0.3">
      <c r="A592" t="s">
        <v>660</v>
      </c>
      <c r="B592">
        <v>34</v>
      </c>
      <c r="C592" t="s">
        <v>196</v>
      </c>
      <c r="D592" t="s">
        <v>47</v>
      </c>
      <c r="E592" t="s">
        <v>66</v>
      </c>
      <c r="F592">
        <v>1362</v>
      </c>
      <c r="G592" t="s">
        <v>57</v>
      </c>
      <c r="H592">
        <v>19</v>
      </c>
      <c r="I592">
        <v>3</v>
      </c>
      <c r="J592" t="s">
        <v>63</v>
      </c>
      <c r="K592">
        <v>502</v>
      </c>
      <c r="L592">
        <v>1</v>
      </c>
      <c r="M592" t="s">
        <v>51</v>
      </c>
      <c r="N592">
        <v>4</v>
      </c>
      <c r="O592">
        <v>2</v>
      </c>
      <c r="P592" t="s">
        <v>145</v>
      </c>
      <c r="Q592">
        <v>4</v>
      </c>
      <c r="R592" t="s">
        <v>53</v>
      </c>
      <c r="S592">
        <v>8357</v>
      </c>
      <c r="T592" t="s">
        <v>54</v>
      </c>
      <c r="U592">
        <v>52.23</v>
      </c>
      <c r="V592">
        <v>8</v>
      </c>
      <c r="W592" t="s">
        <v>47</v>
      </c>
      <c r="X592">
        <v>13</v>
      </c>
      <c r="Y592">
        <v>3</v>
      </c>
      <c r="Z592">
        <v>2</v>
      </c>
      <c r="AA592">
        <v>0</v>
      </c>
      <c r="AB592">
        <v>9</v>
      </c>
      <c r="AC592">
        <v>3</v>
      </c>
      <c r="AD592">
        <v>2</v>
      </c>
      <c r="AE592">
        <v>5</v>
      </c>
      <c r="AF592">
        <v>2</v>
      </c>
      <c r="AG592">
        <v>0</v>
      </c>
      <c r="AH592">
        <v>4</v>
      </c>
      <c r="AI592">
        <f t="shared" si="63"/>
        <v>1</v>
      </c>
      <c r="AJ592" t="str">
        <f t="shared" si="64"/>
        <v>4-5 yrs</v>
      </c>
      <c r="AK592" t="str">
        <f t="shared" si="65"/>
        <v>Recent</v>
      </c>
      <c r="AL592">
        <f t="shared" si="66"/>
        <v>2</v>
      </c>
      <c r="AM592" t="str">
        <f t="shared" si="67"/>
        <v>Medium Risk</v>
      </c>
      <c r="AN592" s="6">
        <f t="shared" si="68"/>
        <v>-0.82965051209189156</v>
      </c>
      <c r="AO592" s="7">
        <f t="shared" si="69"/>
        <v>100284</v>
      </c>
    </row>
    <row r="593" spans="1:41" x14ac:dyDescent="0.3">
      <c r="A593" t="s">
        <v>661</v>
      </c>
      <c r="B593">
        <v>34</v>
      </c>
      <c r="C593" t="s">
        <v>196</v>
      </c>
      <c r="D593" t="s">
        <v>55</v>
      </c>
      <c r="E593" t="s">
        <v>66</v>
      </c>
      <c r="F593">
        <v>1381</v>
      </c>
      <c r="G593" t="s">
        <v>57</v>
      </c>
      <c r="H593">
        <v>4</v>
      </c>
      <c r="I593">
        <v>4</v>
      </c>
      <c r="J593" t="s">
        <v>63</v>
      </c>
      <c r="K593">
        <v>523</v>
      </c>
      <c r="L593">
        <v>3</v>
      </c>
      <c r="M593" t="s">
        <v>59</v>
      </c>
      <c r="N593">
        <v>3</v>
      </c>
      <c r="O593">
        <v>2</v>
      </c>
      <c r="P593" t="s">
        <v>145</v>
      </c>
      <c r="Q593">
        <v>3</v>
      </c>
      <c r="R593" t="s">
        <v>113</v>
      </c>
      <c r="S593">
        <v>33479</v>
      </c>
      <c r="T593" t="s">
        <v>72</v>
      </c>
      <c r="U593">
        <v>209.24</v>
      </c>
      <c r="V593">
        <v>9</v>
      </c>
      <c r="W593" t="s">
        <v>55</v>
      </c>
      <c r="X593">
        <v>15</v>
      </c>
      <c r="Y593">
        <v>3</v>
      </c>
      <c r="Z593">
        <v>1</v>
      </c>
      <c r="AA593">
        <v>1</v>
      </c>
      <c r="AB593">
        <v>6</v>
      </c>
      <c r="AC593">
        <v>3</v>
      </c>
      <c r="AD593">
        <v>3</v>
      </c>
      <c r="AE593">
        <v>3</v>
      </c>
      <c r="AF593">
        <v>2</v>
      </c>
      <c r="AG593">
        <v>1</v>
      </c>
      <c r="AH593">
        <v>2</v>
      </c>
      <c r="AI593">
        <f t="shared" si="63"/>
        <v>0</v>
      </c>
      <c r="AJ593" t="str">
        <f t="shared" si="64"/>
        <v>2-3 yrs</v>
      </c>
      <c r="AK593" t="str">
        <f t="shared" si="65"/>
        <v>Recent</v>
      </c>
      <c r="AL593">
        <f t="shared" si="66"/>
        <v>0</v>
      </c>
      <c r="AM593" t="str">
        <f t="shared" si="67"/>
        <v>Minimal Risk</v>
      </c>
      <c r="AN593" s="6">
        <f t="shared" si="68"/>
        <v>-0.31756246192705961</v>
      </c>
      <c r="AO593" s="7">
        <f t="shared" si="69"/>
        <v>401748</v>
      </c>
    </row>
    <row r="594" spans="1:41" x14ac:dyDescent="0.3">
      <c r="A594" t="s">
        <v>662</v>
      </c>
      <c r="B594">
        <v>34</v>
      </c>
      <c r="C594" t="s">
        <v>196</v>
      </c>
      <c r="D594" t="s">
        <v>47</v>
      </c>
      <c r="E594" t="s">
        <v>62</v>
      </c>
      <c r="F594">
        <v>296</v>
      </c>
      <c r="G594" t="s">
        <v>57</v>
      </c>
      <c r="H594">
        <v>6</v>
      </c>
      <c r="I594">
        <v>2</v>
      </c>
      <c r="J594" t="s">
        <v>63</v>
      </c>
      <c r="K594">
        <v>555</v>
      </c>
      <c r="L594">
        <v>4</v>
      </c>
      <c r="M594" t="s">
        <v>59</v>
      </c>
      <c r="N594">
        <v>1</v>
      </c>
      <c r="O594">
        <v>1</v>
      </c>
      <c r="P594" t="s">
        <v>60</v>
      </c>
      <c r="Q594">
        <v>3</v>
      </c>
      <c r="R594" t="s">
        <v>53</v>
      </c>
      <c r="S594">
        <v>62476</v>
      </c>
      <c r="T594" t="s">
        <v>64</v>
      </c>
      <c r="U594">
        <v>390.48</v>
      </c>
      <c r="V594">
        <v>0</v>
      </c>
      <c r="W594" t="s">
        <v>55</v>
      </c>
      <c r="X594">
        <v>16</v>
      </c>
      <c r="Y594">
        <v>3</v>
      </c>
      <c r="Z594">
        <v>4</v>
      </c>
      <c r="AA594">
        <v>1</v>
      </c>
      <c r="AB594">
        <v>3</v>
      </c>
      <c r="AC594">
        <v>3</v>
      </c>
      <c r="AD594">
        <v>2</v>
      </c>
      <c r="AE594">
        <v>2</v>
      </c>
      <c r="AF594">
        <v>2</v>
      </c>
      <c r="AG594">
        <v>1</v>
      </c>
      <c r="AH594">
        <v>0</v>
      </c>
      <c r="AI594">
        <f t="shared" si="63"/>
        <v>1</v>
      </c>
      <c r="AJ594" t="str">
        <f t="shared" si="64"/>
        <v>2-3 yrs</v>
      </c>
      <c r="AK594" t="str">
        <f t="shared" si="65"/>
        <v>Recent</v>
      </c>
      <c r="AL594">
        <f t="shared" si="66"/>
        <v>1</v>
      </c>
      <c r="AM594" t="str">
        <f t="shared" si="67"/>
        <v>Low Risk</v>
      </c>
      <c r="AN594" s="6">
        <f t="shared" si="68"/>
        <v>0.26657320190343753</v>
      </c>
      <c r="AO594" s="7">
        <f t="shared" si="69"/>
        <v>749712</v>
      </c>
    </row>
    <row r="595" spans="1:41" x14ac:dyDescent="0.3">
      <c r="A595" t="s">
        <v>663</v>
      </c>
      <c r="B595">
        <v>34</v>
      </c>
      <c r="C595" t="s">
        <v>196</v>
      </c>
      <c r="D595" t="s">
        <v>55</v>
      </c>
      <c r="E595" t="s">
        <v>48</v>
      </c>
      <c r="F595">
        <v>1303</v>
      </c>
      <c r="G595" t="s">
        <v>49</v>
      </c>
      <c r="H595">
        <v>2</v>
      </c>
      <c r="I595">
        <v>4</v>
      </c>
      <c r="J595" t="s">
        <v>50</v>
      </c>
      <c r="K595">
        <v>579</v>
      </c>
      <c r="L595">
        <v>4</v>
      </c>
      <c r="M595" t="s">
        <v>51</v>
      </c>
      <c r="N595">
        <v>2</v>
      </c>
      <c r="O595">
        <v>1</v>
      </c>
      <c r="P595" t="s">
        <v>67</v>
      </c>
      <c r="Q595">
        <v>3</v>
      </c>
      <c r="R595" t="s">
        <v>53</v>
      </c>
      <c r="S595">
        <v>45811</v>
      </c>
      <c r="T595" t="s">
        <v>72</v>
      </c>
      <c r="U595">
        <v>286.32</v>
      </c>
      <c r="V595">
        <v>3</v>
      </c>
      <c r="W595" t="s">
        <v>55</v>
      </c>
      <c r="X595">
        <v>12</v>
      </c>
      <c r="Y595">
        <v>3</v>
      </c>
      <c r="Z595">
        <v>3</v>
      </c>
      <c r="AA595">
        <v>1</v>
      </c>
      <c r="AB595">
        <v>14</v>
      </c>
      <c r="AC595">
        <v>3</v>
      </c>
      <c r="AD595">
        <v>3</v>
      </c>
      <c r="AE595">
        <v>7</v>
      </c>
      <c r="AF595">
        <v>3</v>
      </c>
      <c r="AG595">
        <v>5</v>
      </c>
      <c r="AH595">
        <v>7</v>
      </c>
      <c r="AI595">
        <f t="shared" si="63"/>
        <v>0</v>
      </c>
      <c r="AJ595" t="str">
        <f t="shared" si="64"/>
        <v>6-10 yrs</v>
      </c>
      <c r="AK595" t="str">
        <f t="shared" si="65"/>
        <v>Overdue</v>
      </c>
      <c r="AL595">
        <f t="shared" si="66"/>
        <v>1</v>
      </c>
      <c r="AM595" t="str">
        <f t="shared" si="67"/>
        <v>Low Risk</v>
      </c>
      <c r="AN595" s="6">
        <f t="shared" si="68"/>
        <v>-8.1319818369575123E-2</v>
      </c>
      <c r="AO595" s="7">
        <f t="shared" si="69"/>
        <v>549732</v>
      </c>
    </row>
    <row r="596" spans="1:41" x14ac:dyDescent="0.3">
      <c r="A596" t="s">
        <v>664</v>
      </c>
      <c r="B596">
        <v>34</v>
      </c>
      <c r="C596" t="s">
        <v>196</v>
      </c>
      <c r="D596" t="s">
        <v>47</v>
      </c>
      <c r="E596" t="s">
        <v>62</v>
      </c>
      <c r="F596">
        <v>988</v>
      </c>
      <c r="G596" t="s">
        <v>80</v>
      </c>
      <c r="H596">
        <v>23</v>
      </c>
      <c r="I596">
        <v>3</v>
      </c>
      <c r="J596" t="s">
        <v>80</v>
      </c>
      <c r="K596">
        <v>590</v>
      </c>
      <c r="L596">
        <v>2</v>
      </c>
      <c r="M596" t="s">
        <v>59</v>
      </c>
      <c r="N596">
        <v>3</v>
      </c>
      <c r="O596">
        <v>3</v>
      </c>
      <c r="P596" t="s">
        <v>80</v>
      </c>
      <c r="Q596">
        <v>1</v>
      </c>
      <c r="R596" t="s">
        <v>53</v>
      </c>
      <c r="S596">
        <v>37208</v>
      </c>
      <c r="T596" t="s">
        <v>72</v>
      </c>
      <c r="U596">
        <v>232.55</v>
      </c>
      <c r="V596">
        <v>9</v>
      </c>
      <c r="W596" t="s">
        <v>47</v>
      </c>
      <c r="X596">
        <v>15</v>
      </c>
      <c r="Y596">
        <v>3</v>
      </c>
      <c r="Z596">
        <v>3</v>
      </c>
      <c r="AA596">
        <v>3</v>
      </c>
      <c r="AB596">
        <v>11</v>
      </c>
      <c r="AC596">
        <v>2</v>
      </c>
      <c r="AD596">
        <v>3</v>
      </c>
      <c r="AE596">
        <v>3</v>
      </c>
      <c r="AF596">
        <v>2</v>
      </c>
      <c r="AG596">
        <v>0</v>
      </c>
      <c r="AH596">
        <v>2</v>
      </c>
      <c r="AI596">
        <f t="shared" si="63"/>
        <v>1</v>
      </c>
      <c r="AJ596" t="str">
        <f t="shared" si="64"/>
        <v>2-3 yrs</v>
      </c>
      <c r="AK596" t="str">
        <f t="shared" si="65"/>
        <v>Recent</v>
      </c>
      <c r="AL596">
        <f t="shared" si="66"/>
        <v>2</v>
      </c>
      <c r="AM596" t="str">
        <f t="shared" si="67"/>
        <v>Medium Risk</v>
      </c>
      <c r="AN596" s="6">
        <f t="shared" si="68"/>
        <v>-0.2667513046246433</v>
      </c>
      <c r="AO596" s="7">
        <f t="shared" si="69"/>
        <v>446496</v>
      </c>
    </row>
    <row r="597" spans="1:41" x14ac:dyDescent="0.3">
      <c r="A597" t="s">
        <v>665</v>
      </c>
      <c r="B597">
        <v>34</v>
      </c>
      <c r="C597" t="s">
        <v>196</v>
      </c>
      <c r="D597" t="s">
        <v>55</v>
      </c>
      <c r="E597" t="s">
        <v>48</v>
      </c>
      <c r="F597">
        <v>258</v>
      </c>
      <c r="G597" t="s">
        <v>57</v>
      </c>
      <c r="H597">
        <v>21</v>
      </c>
      <c r="I597">
        <v>4</v>
      </c>
      <c r="J597" t="s">
        <v>50</v>
      </c>
      <c r="K597">
        <v>621</v>
      </c>
      <c r="L597">
        <v>4</v>
      </c>
      <c r="M597" t="s">
        <v>51</v>
      </c>
      <c r="N597">
        <v>4</v>
      </c>
      <c r="O597">
        <v>2</v>
      </c>
      <c r="P597" t="s">
        <v>145</v>
      </c>
      <c r="Q597">
        <v>4</v>
      </c>
      <c r="R597" t="s">
        <v>53</v>
      </c>
      <c r="S597">
        <v>21150</v>
      </c>
      <c r="T597" t="s">
        <v>54</v>
      </c>
      <c r="U597">
        <v>132.19</v>
      </c>
      <c r="V597">
        <v>1</v>
      </c>
      <c r="W597" t="s">
        <v>55</v>
      </c>
      <c r="X597">
        <v>12</v>
      </c>
      <c r="Y597">
        <v>3</v>
      </c>
      <c r="Z597">
        <v>4</v>
      </c>
      <c r="AA597">
        <v>0</v>
      </c>
      <c r="AB597">
        <v>10</v>
      </c>
      <c r="AC597">
        <v>3</v>
      </c>
      <c r="AD597">
        <v>3</v>
      </c>
      <c r="AE597">
        <v>10</v>
      </c>
      <c r="AF597">
        <v>7</v>
      </c>
      <c r="AG597">
        <v>5</v>
      </c>
      <c r="AH597">
        <v>7</v>
      </c>
      <c r="AI597">
        <f t="shared" si="63"/>
        <v>0</v>
      </c>
      <c r="AJ597" t="str">
        <f t="shared" si="64"/>
        <v>6-10 yrs</v>
      </c>
      <c r="AK597" t="str">
        <f t="shared" si="65"/>
        <v>Overdue</v>
      </c>
      <c r="AL597">
        <f t="shared" si="66"/>
        <v>1</v>
      </c>
      <c r="AM597" t="str">
        <f t="shared" si="67"/>
        <v>Low Risk</v>
      </c>
      <c r="AN597" s="6">
        <f t="shared" si="68"/>
        <v>-0.56887738790756326</v>
      </c>
      <c r="AO597" s="7">
        <f t="shared" si="69"/>
        <v>253800</v>
      </c>
    </row>
    <row r="598" spans="1:41" x14ac:dyDescent="0.3">
      <c r="A598" t="s">
        <v>666</v>
      </c>
      <c r="B598">
        <v>34</v>
      </c>
      <c r="C598" t="s">
        <v>196</v>
      </c>
      <c r="D598" t="s">
        <v>55</v>
      </c>
      <c r="E598" t="s">
        <v>48</v>
      </c>
      <c r="F598">
        <v>254</v>
      </c>
      <c r="G598" t="s">
        <v>49</v>
      </c>
      <c r="H598">
        <v>1</v>
      </c>
      <c r="I598">
        <v>2</v>
      </c>
      <c r="J598" t="s">
        <v>50</v>
      </c>
      <c r="K598">
        <v>649</v>
      </c>
      <c r="L598">
        <v>2</v>
      </c>
      <c r="M598" t="s">
        <v>51</v>
      </c>
      <c r="N598">
        <v>2</v>
      </c>
      <c r="O598">
        <v>1</v>
      </c>
      <c r="P598" t="s">
        <v>67</v>
      </c>
      <c r="Q598">
        <v>4</v>
      </c>
      <c r="R598" t="s">
        <v>113</v>
      </c>
      <c r="S598">
        <v>72180</v>
      </c>
      <c r="T598" t="s">
        <v>64</v>
      </c>
      <c r="U598">
        <v>451.12</v>
      </c>
      <c r="V598">
        <v>1</v>
      </c>
      <c r="W598" t="s">
        <v>47</v>
      </c>
      <c r="X598">
        <v>13</v>
      </c>
      <c r="Y598">
        <v>3</v>
      </c>
      <c r="Z598">
        <v>4</v>
      </c>
      <c r="AA598">
        <v>1</v>
      </c>
      <c r="AB598">
        <v>6</v>
      </c>
      <c r="AC598">
        <v>3</v>
      </c>
      <c r="AD598">
        <v>3</v>
      </c>
      <c r="AE598">
        <v>6</v>
      </c>
      <c r="AF598">
        <v>5</v>
      </c>
      <c r="AG598">
        <v>1</v>
      </c>
      <c r="AH598">
        <v>3</v>
      </c>
      <c r="AI598">
        <f t="shared" si="63"/>
        <v>0</v>
      </c>
      <c r="AJ598" t="str">
        <f t="shared" si="64"/>
        <v>6-10 yrs</v>
      </c>
      <c r="AK598" t="str">
        <f t="shared" si="65"/>
        <v>Recent</v>
      </c>
      <c r="AL598">
        <f t="shared" si="66"/>
        <v>1</v>
      </c>
      <c r="AM598" t="str">
        <f t="shared" si="67"/>
        <v>Low Risk</v>
      </c>
      <c r="AN598" s="6">
        <f t="shared" si="68"/>
        <v>0.44747627229451586</v>
      </c>
      <c r="AO598" s="7">
        <f t="shared" si="69"/>
        <v>866160</v>
      </c>
    </row>
    <row r="599" spans="1:41" x14ac:dyDescent="0.3">
      <c r="A599" t="s">
        <v>667</v>
      </c>
      <c r="B599">
        <v>34</v>
      </c>
      <c r="C599" t="s">
        <v>196</v>
      </c>
      <c r="D599" t="s">
        <v>55</v>
      </c>
      <c r="E599" t="s">
        <v>48</v>
      </c>
      <c r="F599">
        <v>204</v>
      </c>
      <c r="G599" t="s">
        <v>57</v>
      </c>
      <c r="H599">
        <v>14</v>
      </c>
      <c r="I599">
        <v>3</v>
      </c>
      <c r="J599" t="s">
        <v>77</v>
      </c>
      <c r="K599">
        <v>666</v>
      </c>
      <c r="L599">
        <v>3</v>
      </c>
      <c r="M599" t="s">
        <v>59</v>
      </c>
      <c r="N599">
        <v>3</v>
      </c>
      <c r="O599">
        <v>1</v>
      </c>
      <c r="P599" t="s">
        <v>60</v>
      </c>
      <c r="Q599">
        <v>3</v>
      </c>
      <c r="R599" t="s">
        <v>53</v>
      </c>
      <c r="S599">
        <v>44286</v>
      </c>
      <c r="T599" t="s">
        <v>72</v>
      </c>
      <c r="U599">
        <v>276.79000000000002</v>
      </c>
      <c r="V599">
        <v>1</v>
      </c>
      <c r="W599" t="s">
        <v>47</v>
      </c>
      <c r="X599">
        <v>18</v>
      </c>
      <c r="Y599">
        <v>3</v>
      </c>
      <c r="Z599">
        <v>4</v>
      </c>
      <c r="AA599">
        <v>2</v>
      </c>
      <c r="AB599">
        <v>8</v>
      </c>
      <c r="AC599">
        <v>3</v>
      </c>
      <c r="AD599">
        <v>3</v>
      </c>
      <c r="AE599">
        <v>8</v>
      </c>
      <c r="AF599">
        <v>2</v>
      </c>
      <c r="AG599">
        <v>0</v>
      </c>
      <c r="AH599">
        <v>6</v>
      </c>
      <c r="AI599">
        <f t="shared" si="63"/>
        <v>0</v>
      </c>
      <c r="AJ599" t="str">
        <f t="shared" si="64"/>
        <v>6-10 yrs</v>
      </c>
      <c r="AK599" t="str">
        <f t="shared" si="65"/>
        <v>Recent</v>
      </c>
      <c r="AL599">
        <f t="shared" si="66"/>
        <v>1</v>
      </c>
      <c r="AM599" t="str">
        <f t="shared" si="67"/>
        <v>Low Risk</v>
      </c>
      <c r="AN599" s="6">
        <f t="shared" si="68"/>
        <v>-0.10219186856559904</v>
      </c>
      <c r="AO599" s="7">
        <f t="shared" si="69"/>
        <v>531432</v>
      </c>
    </row>
    <row r="600" spans="1:41" x14ac:dyDescent="0.3">
      <c r="A600" t="s">
        <v>668</v>
      </c>
      <c r="B600">
        <v>34</v>
      </c>
      <c r="C600" t="s">
        <v>196</v>
      </c>
      <c r="D600" t="s">
        <v>55</v>
      </c>
      <c r="E600" t="s">
        <v>48</v>
      </c>
      <c r="F600">
        <v>1397</v>
      </c>
      <c r="G600" t="s">
        <v>49</v>
      </c>
      <c r="H600">
        <v>1</v>
      </c>
      <c r="I600">
        <v>5</v>
      </c>
      <c r="J600" t="s">
        <v>50</v>
      </c>
      <c r="K600">
        <v>683</v>
      </c>
      <c r="L600">
        <v>2</v>
      </c>
      <c r="M600" t="s">
        <v>51</v>
      </c>
      <c r="N600">
        <v>3</v>
      </c>
      <c r="O600">
        <v>1</v>
      </c>
      <c r="P600" t="s">
        <v>67</v>
      </c>
      <c r="Q600">
        <v>4</v>
      </c>
      <c r="R600" t="s">
        <v>113</v>
      </c>
      <c r="S600">
        <v>69450</v>
      </c>
      <c r="T600" t="s">
        <v>64</v>
      </c>
      <c r="U600">
        <v>434.06</v>
      </c>
      <c r="V600">
        <v>1</v>
      </c>
      <c r="W600" t="s">
        <v>55</v>
      </c>
      <c r="X600">
        <v>12</v>
      </c>
      <c r="Y600">
        <v>3</v>
      </c>
      <c r="Z600">
        <v>4</v>
      </c>
      <c r="AA600">
        <v>1</v>
      </c>
      <c r="AB600">
        <v>10</v>
      </c>
      <c r="AC600">
        <v>4</v>
      </c>
      <c r="AD600">
        <v>2</v>
      </c>
      <c r="AE600">
        <v>10</v>
      </c>
      <c r="AF600">
        <v>9</v>
      </c>
      <c r="AG600">
        <v>8</v>
      </c>
      <c r="AH600">
        <v>8</v>
      </c>
      <c r="AI600">
        <f t="shared" si="63"/>
        <v>0</v>
      </c>
      <c r="AJ600" t="str">
        <f t="shared" si="64"/>
        <v>6-10 yrs</v>
      </c>
      <c r="AK600" t="str">
        <f t="shared" si="65"/>
        <v>Overdue</v>
      </c>
      <c r="AL600">
        <f t="shared" si="66"/>
        <v>2</v>
      </c>
      <c r="AM600" t="str">
        <f t="shared" si="67"/>
        <v>Medium Risk</v>
      </c>
      <c r="AN600" s="6">
        <f t="shared" si="68"/>
        <v>0.39272966349202171</v>
      </c>
      <c r="AO600" s="7">
        <f t="shared" si="69"/>
        <v>833400</v>
      </c>
    </row>
    <row r="601" spans="1:41" x14ac:dyDescent="0.3">
      <c r="A601" t="s">
        <v>669</v>
      </c>
      <c r="B601">
        <v>34</v>
      </c>
      <c r="C601" t="s">
        <v>196</v>
      </c>
      <c r="D601" t="s">
        <v>55</v>
      </c>
      <c r="E601" t="s">
        <v>48</v>
      </c>
      <c r="F601">
        <v>1442</v>
      </c>
      <c r="G601" t="s">
        <v>49</v>
      </c>
      <c r="H601">
        <v>9</v>
      </c>
      <c r="I601">
        <v>3</v>
      </c>
      <c r="J601" t="s">
        <v>58</v>
      </c>
      <c r="K601">
        <v>717</v>
      </c>
      <c r="L601">
        <v>4</v>
      </c>
      <c r="M601" t="s">
        <v>59</v>
      </c>
      <c r="N601">
        <v>2</v>
      </c>
      <c r="O601">
        <v>3</v>
      </c>
      <c r="P601" t="s">
        <v>168</v>
      </c>
      <c r="Q601">
        <v>2</v>
      </c>
      <c r="R601" t="s">
        <v>53</v>
      </c>
      <c r="S601">
        <v>22352</v>
      </c>
      <c r="T601" t="s">
        <v>54</v>
      </c>
      <c r="U601">
        <v>139.69999999999999</v>
      </c>
      <c r="V601">
        <v>1</v>
      </c>
      <c r="W601" t="s">
        <v>55</v>
      </c>
      <c r="X601">
        <v>14</v>
      </c>
      <c r="Y601">
        <v>3</v>
      </c>
      <c r="Z601">
        <v>2</v>
      </c>
      <c r="AA601">
        <v>0</v>
      </c>
      <c r="AB601">
        <v>9</v>
      </c>
      <c r="AC601">
        <v>3</v>
      </c>
      <c r="AD601">
        <v>4</v>
      </c>
      <c r="AE601">
        <v>8</v>
      </c>
      <c r="AF601">
        <v>7</v>
      </c>
      <c r="AG601">
        <v>7</v>
      </c>
      <c r="AH601">
        <v>7</v>
      </c>
      <c r="AI601">
        <f t="shared" si="63"/>
        <v>0</v>
      </c>
      <c r="AJ601" t="str">
        <f t="shared" si="64"/>
        <v>6-10 yrs</v>
      </c>
      <c r="AK601" t="str">
        <f t="shared" si="65"/>
        <v>Overdue</v>
      </c>
      <c r="AL601">
        <f t="shared" si="66"/>
        <v>2</v>
      </c>
      <c r="AM601" t="str">
        <f t="shared" si="67"/>
        <v>Medium Risk</v>
      </c>
      <c r="AN601" s="6">
        <f t="shared" si="68"/>
        <v>-0.5361610795555608</v>
      </c>
      <c r="AO601" s="7">
        <f t="shared" si="69"/>
        <v>268224</v>
      </c>
    </row>
    <row r="602" spans="1:41" x14ac:dyDescent="0.3">
      <c r="A602" t="s">
        <v>670</v>
      </c>
      <c r="B602">
        <v>34</v>
      </c>
      <c r="C602" t="s">
        <v>196</v>
      </c>
      <c r="D602" t="s">
        <v>55</v>
      </c>
      <c r="E602" t="s">
        <v>48</v>
      </c>
      <c r="F602">
        <v>970</v>
      </c>
      <c r="G602" t="s">
        <v>49</v>
      </c>
      <c r="H602">
        <v>8</v>
      </c>
      <c r="I602">
        <v>2</v>
      </c>
      <c r="J602" t="s">
        <v>58</v>
      </c>
      <c r="K602">
        <v>757</v>
      </c>
      <c r="L602">
        <v>2</v>
      </c>
      <c r="M602" t="s">
        <v>59</v>
      </c>
      <c r="N602">
        <v>3</v>
      </c>
      <c r="O602">
        <v>2</v>
      </c>
      <c r="P602" t="s">
        <v>168</v>
      </c>
      <c r="Q602">
        <v>3</v>
      </c>
      <c r="R602" t="s">
        <v>53</v>
      </c>
      <c r="S602">
        <v>56069</v>
      </c>
      <c r="T602" t="s">
        <v>64</v>
      </c>
      <c r="U602">
        <v>350.43</v>
      </c>
      <c r="V602">
        <v>3</v>
      </c>
      <c r="W602" t="s">
        <v>55</v>
      </c>
      <c r="X602">
        <v>11</v>
      </c>
      <c r="Y602">
        <v>3</v>
      </c>
      <c r="Z602">
        <v>4</v>
      </c>
      <c r="AA602">
        <v>0</v>
      </c>
      <c r="AB602">
        <v>10</v>
      </c>
      <c r="AC602">
        <v>2</v>
      </c>
      <c r="AD602">
        <v>3</v>
      </c>
      <c r="AE602">
        <v>5</v>
      </c>
      <c r="AF602">
        <v>1</v>
      </c>
      <c r="AG602">
        <v>4</v>
      </c>
      <c r="AH602">
        <v>3</v>
      </c>
      <c r="AI602">
        <f t="shared" si="63"/>
        <v>0</v>
      </c>
      <c r="AJ602" t="str">
        <f t="shared" si="64"/>
        <v>4-5 yrs</v>
      </c>
      <c r="AK602" t="str">
        <f t="shared" si="65"/>
        <v>Overdue</v>
      </c>
      <c r="AL602">
        <f t="shared" si="66"/>
        <v>1</v>
      </c>
      <c r="AM602" t="str">
        <f t="shared" si="67"/>
        <v>Low Risk</v>
      </c>
      <c r="AN602" s="6">
        <f t="shared" si="68"/>
        <v>0.1635193463850779</v>
      </c>
      <c r="AO602" s="7">
        <f t="shared" si="69"/>
        <v>672828</v>
      </c>
    </row>
    <row r="603" spans="1:41" x14ac:dyDescent="0.3">
      <c r="A603" t="s">
        <v>671</v>
      </c>
      <c r="B603">
        <v>34</v>
      </c>
      <c r="C603" t="s">
        <v>196</v>
      </c>
      <c r="D603" t="s">
        <v>55</v>
      </c>
      <c r="E603" t="s">
        <v>48</v>
      </c>
      <c r="F603">
        <v>167</v>
      </c>
      <c r="G603" t="s">
        <v>49</v>
      </c>
      <c r="H603">
        <v>8</v>
      </c>
      <c r="I603">
        <v>5</v>
      </c>
      <c r="J603" t="s">
        <v>50</v>
      </c>
      <c r="K603">
        <v>775</v>
      </c>
      <c r="L603">
        <v>2</v>
      </c>
      <c r="M603" t="s">
        <v>59</v>
      </c>
      <c r="N603">
        <v>3</v>
      </c>
      <c r="O603">
        <v>2</v>
      </c>
      <c r="P603" t="s">
        <v>120</v>
      </c>
      <c r="Q603">
        <v>1</v>
      </c>
      <c r="R603" t="s">
        <v>53</v>
      </c>
      <c r="S603">
        <v>15397</v>
      </c>
      <c r="T603" t="s">
        <v>54</v>
      </c>
      <c r="U603">
        <v>96.23</v>
      </c>
      <c r="V603">
        <v>3</v>
      </c>
      <c r="W603" t="s">
        <v>55</v>
      </c>
      <c r="X603">
        <v>14</v>
      </c>
      <c r="Y603">
        <v>3</v>
      </c>
      <c r="Z603">
        <v>3</v>
      </c>
      <c r="AA603">
        <v>1</v>
      </c>
      <c r="AB603">
        <v>7</v>
      </c>
      <c r="AC603">
        <v>3</v>
      </c>
      <c r="AD603">
        <v>3</v>
      </c>
      <c r="AE603">
        <v>0</v>
      </c>
      <c r="AF603">
        <v>0</v>
      </c>
      <c r="AG603">
        <v>0</v>
      </c>
      <c r="AH603">
        <v>0</v>
      </c>
      <c r="AI603">
        <f t="shared" si="63"/>
        <v>0</v>
      </c>
      <c r="AJ603" t="str">
        <f t="shared" si="64"/>
        <v>0-1 yr</v>
      </c>
      <c r="AK603" t="str">
        <f t="shared" si="65"/>
        <v>Recent</v>
      </c>
      <c r="AL603">
        <f t="shared" si="66"/>
        <v>1</v>
      </c>
      <c r="AM603" t="str">
        <f t="shared" si="67"/>
        <v>Low Risk</v>
      </c>
      <c r="AN603" s="6">
        <f t="shared" si="68"/>
        <v>-0.6524013242991199</v>
      </c>
      <c r="AO603" s="7">
        <f t="shared" si="69"/>
        <v>184764</v>
      </c>
    </row>
    <row r="604" spans="1:41" x14ac:dyDescent="0.3">
      <c r="A604" t="s">
        <v>672</v>
      </c>
      <c r="B604">
        <v>34</v>
      </c>
      <c r="C604" t="s">
        <v>196</v>
      </c>
      <c r="D604" t="s">
        <v>55</v>
      </c>
      <c r="E604" t="s">
        <v>48</v>
      </c>
      <c r="F604">
        <v>304</v>
      </c>
      <c r="G604" t="s">
        <v>57</v>
      </c>
      <c r="H604">
        <v>2</v>
      </c>
      <c r="I604">
        <v>3</v>
      </c>
      <c r="J604" t="s">
        <v>82</v>
      </c>
      <c r="K604">
        <v>786</v>
      </c>
      <c r="L604">
        <v>4</v>
      </c>
      <c r="M604" t="s">
        <v>51</v>
      </c>
      <c r="N604">
        <v>3</v>
      </c>
      <c r="O604">
        <v>2</v>
      </c>
      <c r="P604" t="s">
        <v>145</v>
      </c>
      <c r="Q604">
        <v>4</v>
      </c>
      <c r="R604" t="s">
        <v>53</v>
      </c>
      <c r="S604">
        <v>42555</v>
      </c>
      <c r="T604" t="s">
        <v>72</v>
      </c>
      <c r="U604">
        <v>265.97000000000003</v>
      </c>
      <c r="V604">
        <v>1</v>
      </c>
      <c r="W604" t="s">
        <v>55</v>
      </c>
      <c r="X604">
        <v>22</v>
      </c>
      <c r="Y604">
        <v>4</v>
      </c>
      <c r="Z604">
        <v>3</v>
      </c>
      <c r="AA604">
        <v>0</v>
      </c>
      <c r="AB604">
        <v>6</v>
      </c>
      <c r="AC604">
        <v>5</v>
      </c>
      <c r="AD604">
        <v>3</v>
      </c>
      <c r="AE604">
        <v>6</v>
      </c>
      <c r="AF604">
        <v>5</v>
      </c>
      <c r="AG604">
        <v>1</v>
      </c>
      <c r="AH604">
        <v>4</v>
      </c>
      <c r="AI604">
        <f t="shared" si="63"/>
        <v>0</v>
      </c>
      <c r="AJ604" t="str">
        <f t="shared" si="64"/>
        <v>6-10 yrs</v>
      </c>
      <c r="AK604" t="str">
        <f t="shared" si="65"/>
        <v>Recent</v>
      </c>
      <c r="AL604">
        <f t="shared" si="66"/>
        <v>0</v>
      </c>
      <c r="AM604" t="str">
        <f t="shared" si="67"/>
        <v>Minimal Risk</v>
      </c>
      <c r="AN604" s="6">
        <f t="shared" si="68"/>
        <v>-0.13255684361259359</v>
      </c>
      <c r="AO604" s="7">
        <f t="shared" si="69"/>
        <v>510660</v>
      </c>
    </row>
    <row r="605" spans="1:41" x14ac:dyDescent="0.3">
      <c r="A605" t="s">
        <v>673</v>
      </c>
      <c r="B605">
        <v>34</v>
      </c>
      <c r="C605" t="s">
        <v>196</v>
      </c>
      <c r="D605" t="s">
        <v>55</v>
      </c>
      <c r="E605" t="s">
        <v>48</v>
      </c>
      <c r="F605">
        <v>182</v>
      </c>
      <c r="G605" t="s">
        <v>49</v>
      </c>
      <c r="H605">
        <v>1</v>
      </c>
      <c r="I605">
        <v>4</v>
      </c>
      <c r="J605" t="s">
        <v>50</v>
      </c>
      <c r="K605">
        <v>797</v>
      </c>
      <c r="L605">
        <v>2</v>
      </c>
      <c r="M605" t="s">
        <v>59</v>
      </c>
      <c r="N605">
        <v>4</v>
      </c>
      <c r="O605">
        <v>1</v>
      </c>
      <c r="P605" t="s">
        <v>67</v>
      </c>
      <c r="Q605">
        <v>4</v>
      </c>
      <c r="R605" t="s">
        <v>53</v>
      </c>
      <c r="S605">
        <v>47959</v>
      </c>
      <c r="T605" t="s">
        <v>72</v>
      </c>
      <c r="U605">
        <v>299.74</v>
      </c>
      <c r="V605">
        <v>2</v>
      </c>
      <c r="W605" t="s">
        <v>55</v>
      </c>
      <c r="X605">
        <v>16</v>
      </c>
      <c r="Y605">
        <v>3</v>
      </c>
      <c r="Z605">
        <v>3</v>
      </c>
      <c r="AA605">
        <v>0</v>
      </c>
      <c r="AB605">
        <v>10</v>
      </c>
      <c r="AC605">
        <v>2</v>
      </c>
      <c r="AD605">
        <v>3</v>
      </c>
      <c r="AE605">
        <v>4</v>
      </c>
      <c r="AF605">
        <v>2</v>
      </c>
      <c r="AG605">
        <v>1</v>
      </c>
      <c r="AH605">
        <v>3</v>
      </c>
      <c r="AI605">
        <f t="shared" si="63"/>
        <v>0</v>
      </c>
      <c r="AJ605" t="str">
        <f t="shared" si="64"/>
        <v>4-5 yrs</v>
      </c>
      <c r="AK605" t="str">
        <f t="shared" si="65"/>
        <v>Recent</v>
      </c>
      <c r="AL605">
        <f t="shared" si="66"/>
        <v>0</v>
      </c>
      <c r="AM605" t="str">
        <f t="shared" si="67"/>
        <v>Minimal Risk</v>
      </c>
      <c r="AN605" s="6">
        <f t="shared" si="68"/>
        <v>-3.8244464630469835E-2</v>
      </c>
      <c r="AO605" s="7">
        <f t="shared" si="69"/>
        <v>575508</v>
      </c>
    </row>
    <row r="606" spans="1:41" x14ac:dyDescent="0.3">
      <c r="A606" t="s">
        <v>674</v>
      </c>
      <c r="B606">
        <v>34</v>
      </c>
      <c r="C606" t="s">
        <v>196</v>
      </c>
      <c r="D606" t="s">
        <v>55</v>
      </c>
      <c r="E606" t="s">
        <v>48</v>
      </c>
      <c r="F606">
        <v>121</v>
      </c>
      <c r="G606" t="s">
        <v>49</v>
      </c>
      <c r="H606">
        <v>2</v>
      </c>
      <c r="I606">
        <v>4</v>
      </c>
      <c r="J606" t="s">
        <v>58</v>
      </c>
      <c r="K606">
        <v>804</v>
      </c>
      <c r="L606">
        <v>3</v>
      </c>
      <c r="M606" t="s">
        <v>59</v>
      </c>
      <c r="N606">
        <v>2</v>
      </c>
      <c r="O606">
        <v>1</v>
      </c>
      <c r="P606" t="s">
        <v>67</v>
      </c>
      <c r="Q606">
        <v>1</v>
      </c>
      <c r="R606" t="s">
        <v>53</v>
      </c>
      <c r="S606">
        <v>1728</v>
      </c>
      <c r="T606" t="s">
        <v>54</v>
      </c>
      <c r="U606">
        <v>10.8</v>
      </c>
      <c r="V606">
        <v>1</v>
      </c>
      <c r="W606" t="s">
        <v>55</v>
      </c>
      <c r="X606">
        <v>11</v>
      </c>
      <c r="Y606">
        <v>3</v>
      </c>
      <c r="Z606">
        <v>3</v>
      </c>
      <c r="AA606">
        <v>0</v>
      </c>
      <c r="AB606">
        <v>6</v>
      </c>
      <c r="AC606">
        <v>3</v>
      </c>
      <c r="AD606">
        <v>3</v>
      </c>
      <c r="AE606">
        <v>6</v>
      </c>
      <c r="AF606">
        <v>5</v>
      </c>
      <c r="AG606">
        <v>1</v>
      </c>
      <c r="AH606">
        <v>3</v>
      </c>
      <c r="AI606">
        <f t="shared" si="63"/>
        <v>0</v>
      </c>
      <c r="AJ606" t="str">
        <f t="shared" si="64"/>
        <v>6-10 yrs</v>
      </c>
      <c r="AK606" t="str">
        <f t="shared" si="65"/>
        <v>Recent</v>
      </c>
      <c r="AL606">
        <f t="shared" si="66"/>
        <v>1</v>
      </c>
      <c r="AM606" t="str">
        <f t="shared" si="67"/>
        <v>Low Risk</v>
      </c>
      <c r="AN606" s="6">
        <f t="shared" si="68"/>
        <v>-0.96534720146127839</v>
      </c>
      <c r="AO606" s="7">
        <f t="shared" si="69"/>
        <v>20736</v>
      </c>
    </row>
    <row r="607" spans="1:41" x14ac:dyDescent="0.3">
      <c r="A607" t="s">
        <v>675</v>
      </c>
      <c r="B607">
        <v>34</v>
      </c>
      <c r="C607" t="s">
        <v>196</v>
      </c>
      <c r="D607" t="s">
        <v>55</v>
      </c>
      <c r="E607" t="s">
        <v>48</v>
      </c>
      <c r="F607">
        <v>1111</v>
      </c>
      <c r="G607" t="s">
        <v>57</v>
      </c>
      <c r="H607">
        <v>8</v>
      </c>
      <c r="I607">
        <v>2</v>
      </c>
      <c r="J607" t="s">
        <v>50</v>
      </c>
      <c r="K607">
        <v>808</v>
      </c>
      <c r="L607">
        <v>3</v>
      </c>
      <c r="M607" t="s">
        <v>59</v>
      </c>
      <c r="N607">
        <v>3</v>
      </c>
      <c r="O607">
        <v>2</v>
      </c>
      <c r="P607" t="s">
        <v>145</v>
      </c>
      <c r="Q607">
        <v>1</v>
      </c>
      <c r="R607" t="s">
        <v>113</v>
      </c>
      <c r="S607">
        <v>51517</v>
      </c>
      <c r="T607" t="s">
        <v>64</v>
      </c>
      <c r="U607">
        <v>321.98</v>
      </c>
      <c r="V607">
        <v>5</v>
      </c>
      <c r="W607" t="s">
        <v>55</v>
      </c>
      <c r="X607">
        <v>17</v>
      </c>
      <c r="Y607">
        <v>3</v>
      </c>
      <c r="Z607">
        <v>2</v>
      </c>
      <c r="AA607">
        <v>1</v>
      </c>
      <c r="AB607">
        <v>6</v>
      </c>
      <c r="AC607">
        <v>1</v>
      </c>
      <c r="AD607">
        <v>3</v>
      </c>
      <c r="AE607">
        <v>3</v>
      </c>
      <c r="AF607">
        <v>2</v>
      </c>
      <c r="AG607">
        <v>1</v>
      </c>
      <c r="AH607">
        <v>2</v>
      </c>
      <c r="AI607">
        <f t="shared" si="63"/>
        <v>0</v>
      </c>
      <c r="AJ607" t="str">
        <f t="shared" si="64"/>
        <v>2-3 yrs</v>
      </c>
      <c r="AK607" t="str">
        <f t="shared" si="65"/>
        <v>Recent</v>
      </c>
      <c r="AL607">
        <f t="shared" si="66"/>
        <v>1</v>
      </c>
      <c r="AM607" t="str">
        <f t="shared" si="67"/>
        <v>Low Risk</v>
      </c>
      <c r="AN607" s="6">
        <f t="shared" si="68"/>
        <v>5.0124993246622375E-2</v>
      </c>
      <c r="AO607" s="7">
        <f t="shared" si="69"/>
        <v>618204</v>
      </c>
    </row>
    <row r="608" spans="1:41" x14ac:dyDescent="0.3">
      <c r="A608" t="s">
        <v>676</v>
      </c>
      <c r="B608">
        <v>34</v>
      </c>
      <c r="C608" t="s">
        <v>196</v>
      </c>
      <c r="D608" t="s">
        <v>55</v>
      </c>
      <c r="E608" t="s">
        <v>62</v>
      </c>
      <c r="F608">
        <v>702</v>
      </c>
      <c r="G608" t="s">
        <v>49</v>
      </c>
      <c r="H608">
        <v>16</v>
      </c>
      <c r="I608">
        <v>4</v>
      </c>
      <c r="J608" t="s">
        <v>50</v>
      </c>
      <c r="K608">
        <v>838</v>
      </c>
      <c r="L608">
        <v>3</v>
      </c>
      <c r="M608" t="s">
        <v>59</v>
      </c>
      <c r="N608">
        <v>2</v>
      </c>
      <c r="O608">
        <v>1</v>
      </c>
      <c r="P608" t="s">
        <v>67</v>
      </c>
      <c r="Q608">
        <v>4</v>
      </c>
      <c r="R608" t="s">
        <v>53</v>
      </c>
      <c r="S608">
        <v>67234</v>
      </c>
      <c r="T608" t="s">
        <v>64</v>
      </c>
      <c r="U608">
        <v>420.21</v>
      </c>
      <c r="V608">
        <v>1</v>
      </c>
      <c r="W608" t="s">
        <v>55</v>
      </c>
      <c r="X608">
        <v>16</v>
      </c>
      <c r="Y608">
        <v>3</v>
      </c>
      <c r="Z608">
        <v>3</v>
      </c>
      <c r="AA608">
        <v>0</v>
      </c>
      <c r="AB608">
        <v>6</v>
      </c>
      <c r="AC608">
        <v>3</v>
      </c>
      <c r="AD608">
        <v>3</v>
      </c>
      <c r="AE608">
        <v>5</v>
      </c>
      <c r="AF608">
        <v>2</v>
      </c>
      <c r="AG608">
        <v>1</v>
      </c>
      <c r="AH608">
        <v>3</v>
      </c>
      <c r="AI608">
        <f t="shared" si="63"/>
        <v>0</v>
      </c>
      <c r="AJ608" t="str">
        <f t="shared" si="64"/>
        <v>4-5 yrs</v>
      </c>
      <c r="AK608" t="str">
        <f t="shared" si="65"/>
        <v>Recent</v>
      </c>
      <c r="AL608">
        <f t="shared" si="66"/>
        <v>0</v>
      </c>
      <c r="AM608" t="str">
        <f t="shared" si="67"/>
        <v>Minimal Risk</v>
      </c>
      <c r="AN608" s="6">
        <f t="shared" si="68"/>
        <v>0.34829065795856862</v>
      </c>
      <c r="AO608" s="7">
        <f t="shared" si="69"/>
        <v>806808</v>
      </c>
    </row>
    <row r="609" spans="1:41" x14ac:dyDescent="0.3">
      <c r="A609" t="s">
        <v>677</v>
      </c>
      <c r="B609">
        <v>34</v>
      </c>
      <c r="C609" t="s">
        <v>196</v>
      </c>
      <c r="D609" t="s">
        <v>55</v>
      </c>
      <c r="E609" t="s">
        <v>48</v>
      </c>
      <c r="F609">
        <v>829</v>
      </c>
      <c r="G609" t="s">
        <v>406</v>
      </c>
      <c r="H609">
        <v>3</v>
      </c>
      <c r="I609">
        <v>2</v>
      </c>
      <c r="J609" t="s">
        <v>80</v>
      </c>
      <c r="K609">
        <v>847</v>
      </c>
      <c r="L609">
        <v>3</v>
      </c>
      <c r="M609" t="s">
        <v>51</v>
      </c>
      <c r="N609">
        <v>3</v>
      </c>
      <c r="O609">
        <v>1</v>
      </c>
      <c r="P609" t="s">
        <v>80</v>
      </c>
      <c r="Q609">
        <v>4</v>
      </c>
      <c r="R609" t="s">
        <v>113</v>
      </c>
      <c r="S609">
        <v>40954</v>
      </c>
      <c r="T609" t="s">
        <v>72</v>
      </c>
      <c r="U609">
        <v>255.96</v>
      </c>
      <c r="V609">
        <v>0</v>
      </c>
      <c r="W609" t="s">
        <v>55</v>
      </c>
      <c r="X609">
        <v>19</v>
      </c>
      <c r="Y609">
        <v>3</v>
      </c>
      <c r="Z609">
        <v>3</v>
      </c>
      <c r="AA609">
        <v>1</v>
      </c>
      <c r="AB609">
        <v>4</v>
      </c>
      <c r="AC609">
        <v>1</v>
      </c>
      <c r="AD609">
        <v>1</v>
      </c>
      <c r="AE609">
        <v>3</v>
      </c>
      <c r="AF609">
        <v>2</v>
      </c>
      <c r="AG609">
        <v>0</v>
      </c>
      <c r="AH609">
        <v>2</v>
      </c>
      <c r="AI609">
        <f t="shared" si="63"/>
        <v>0</v>
      </c>
      <c r="AJ609" t="str">
        <f t="shared" si="64"/>
        <v>2-3 yrs</v>
      </c>
      <c r="AK609" t="str">
        <f t="shared" si="65"/>
        <v>Recent</v>
      </c>
      <c r="AL609">
        <f t="shared" si="66"/>
        <v>1</v>
      </c>
      <c r="AM609" t="str">
        <f t="shared" si="67"/>
        <v>Low Risk</v>
      </c>
      <c r="AN609" s="6">
        <f t="shared" si="68"/>
        <v>-0.19292982502681255</v>
      </c>
      <c r="AO609" s="7">
        <f t="shared" si="69"/>
        <v>491448</v>
      </c>
    </row>
    <row r="610" spans="1:41" x14ac:dyDescent="0.3">
      <c r="A610" t="s">
        <v>678</v>
      </c>
      <c r="B610">
        <v>34</v>
      </c>
      <c r="C610" t="s">
        <v>196</v>
      </c>
      <c r="D610" t="s">
        <v>55</v>
      </c>
      <c r="E610" t="s">
        <v>48</v>
      </c>
      <c r="F610">
        <v>546</v>
      </c>
      <c r="G610" t="s">
        <v>49</v>
      </c>
      <c r="H610">
        <v>10</v>
      </c>
      <c r="I610">
        <v>3</v>
      </c>
      <c r="J610" t="s">
        <v>50</v>
      </c>
      <c r="K610">
        <v>934</v>
      </c>
      <c r="L610">
        <v>2</v>
      </c>
      <c r="M610" t="s">
        <v>51</v>
      </c>
      <c r="N610">
        <v>3</v>
      </c>
      <c r="O610">
        <v>1</v>
      </c>
      <c r="P610" t="s">
        <v>52</v>
      </c>
      <c r="Q610">
        <v>2</v>
      </c>
      <c r="R610" t="s">
        <v>53</v>
      </c>
      <c r="S610">
        <v>48280</v>
      </c>
      <c r="T610" t="s">
        <v>72</v>
      </c>
      <c r="U610">
        <v>301.75</v>
      </c>
      <c r="V610">
        <v>1</v>
      </c>
      <c r="W610" t="s">
        <v>55</v>
      </c>
      <c r="X610">
        <v>14</v>
      </c>
      <c r="Y610">
        <v>3</v>
      </c>
      <c r="Z610">
        <v>2</v>
      </c>
      <c r="AA610">
        <v>2</v>
      </c>
      <c r="AB610">
        <v>1</v>
      </c>
      <c r="AC610">
        <v>3</v>
      </c>
      <c r="AD610">
        <v>3</v>
      </c>
      <c r="AE610">
        <v>1</v>
      </c>
      <c r="AF610">
        <v>0</v>
      </c>
      <c r="AG610">
        <v>1</v>
      </c>
      <c r="AH610">
        <v>0</v>
      </c>
      <c r="AI610">
        <f t="shared" si="63"/>
        <v>0</v>
      </c>
      <c r="AJ610" t="str">
        <f t="shared" si="64"/>
        <v>0-1 yr</v>
      </c>
      <c r="AK610" t="str">
        <f t="shared" si="65"/>
        <v>Recent</v>
      </c>
      <c r="AL610">
        <f t="shared" si="66"/>
        <v>1</v>
      </c>
      <c r="AM610" t="str">
        <f t="shared" si="67"/>
        <v>Low Risk</v>
      </c>
      <c r="AN610" s="6">
        <f t="shared" si="68"/>
        <v>-6.6522788953267215E-2</v>
      </c>
      <c r="AO610" s="7">
        <f t="shared" si="69"/>
        <v>579360</v>
      </c>
    </row>
    <row r="611" spans="1:41" x14ac:dyDescent="0.3">
      <c r="A611" t="s">
        <v>679</v>
      </c>
      <c r="B611">
        <v>34</v>
      </c>
      <c r="C611" t="s">
        <v>196</v>
      </c>
      <c r="D611" t="s">
        <v>55</v>
      </c>
      <c r="E611" t="s">
        <v>48</v>
      </c>
      <c r="F611">
        <v>216</v>
      </c>
      <c r="G611" t="s">
        <v>57</v>
      </c>
      <c r="H611">
        <v>1</v>
      </c>
      <c r="I611">
        <v>4</v>
      </c>
      <c r="J611" t="s">
        <v>63</v>
      </c>
      <c r="K611">
        <v>1047</v>
      </c>
      <c r="L611">
        <v>2</v>
      </c>
      <c r="M611" t="s">
        <v>51</v>
      </c>
      <c r="N611">
        <v>4</v>
      </c>
      <c r="O611">
        <v>2</v>
      </c>
      <c r="P611" t="s">
        <v>145</v>
      </c>
      <c r="Q611">
        <v>4</v>
      </c>
      <c r="R611" t="s">
        <v>53</v>
      </c>
      <c r="S611">
        <v>80459</v>
      </c>
      <c r="T611" t="s">
        <v>64</v>
      </c>
      <c r="U611">
        <v>502.87</v>
      </c>
      <c r="V611">
        <v>0</v>
      </c>
      <c r="W611" t="s">
        <v>55</v>
      </c>
      <c r="X611">
        <v>11</v>
      </c>
      <c r="Y611">
        <v>3</v>
      </c>
      <c r="Z611">
        <v>4</v>
      </c>
      <c r="AA611">
        <v>1</v>
      </c>
      <c r="AB611">
        <v>16</v>
      </c>
      <c r="AC611">
        <v>2</v>
      </c>
      <c r="AD611">
        <v>2</v>
      </c>
      <c r="AE611">
        <v>15</v>
      </c>
      <c r="AF611">
        <v>1</v>
      </c>
      <c r="AG611">
        <v>0</v>
      </c>
      <c r="AH611">
        <v>9</v>
      </c>
      <c r="AI611">
        <f t="shared" si="63"/>
        <v>0</v>
      </c>
      <c r="AJ611" t="str">
        <f t="shared" si="64"/>
        <v>10+ yrs</v>
      </c>
      <c r="AK611" t="str">
        <f t="shared" si="65"/>
        <v>Recent</v>
      </c>
      <c r="AL611">
        <f t="shared" si="66"/>
        <v>1</v>
      </c>
      <c r="AM611" t="str">
        <f t="shared" si="67"/>
        <v>Low Risk</v>
      </c>
      <c r="AN611" s="6">
        <f t="shared" si="68"/>
        <v>0.64008010621018285</v>
      </c>
      <c r="AO611" s="7">
        <f t="shared" si="69"/>
        <v>965508</v>
      </c>
    </row>
    <row r="612" spans="1:41" x14ac:dyDescent="0.3">
      <c r="A612" t="s">
        <v>680</v>
      </c>
      <c r="B612">
        <v>34</v>
      </c>
      <c r="C612" t="s">
        <v>196</v>
      </c>
      <c r="D612" t="s">
        <v>55</v>
      </c>
      <c r="E612" t="s">
        <v>48</v>
      </c>
      <c r="F612">
        <v>1333</v>
      </c>
      <c r="G612" t="s">
        <v>57</v>
      </c>
      <c r="H612">
        <v>10</v>
      </c>
      <c r="I612">
        <v>4</v>
      </c>
      <c r="J612" t="s">
        <v>50</v>
      </c>
      <c r="K612">
        <v>1055</v>
      </c>
      <c r="L612">
        <v>3</v>
      </c>
      <c r="M612" t="s">
        <v>59</v>
      </c>
      <c r="N612">
        <v>3</v>
      </c>
      <c r="O612">
        <v>1</v>
      </c>
      <c r="P612" t="s">
        <v>60</v>
      </c>
      <c r="Q612">
        <v>3</v>
      </c>
      <c r="R612" t="s">
        <v>113</v>
      </c>
      <c r="S612">
        <v>17779</v>
      </c>
      <c r="T612" t="s">
        <v>54</v>
      </c>
      <c r="U612">
        <v>111.12</v>
      </c>
      <c r="V612">
        <v>1</v>
      </c>
      <c r="W612" t="s">
        <v>47</v>
      </c>
      <c r="X612">
        <v>19</v>
      </c>
      <c r="Y612">
        <v>3</v>
      </c>
      <c r="Z612">
        <v>4</v>
      </c>
      <c r="AA612">
        <v>1</v>
      </c>
      <c r="AB612">
        <v>1</v>
      </c>
      <c r="AC612">
        <v>2</v>
      </c>
      <c r="AD612">
        <v>3</v>
      </c>
      <c r="AE612">
        <v>1</v>
      </c>
      <c r="AF612">
        <v>1</v>
      </c>
      <c r="AG612">
        <v>0</v>
      </c>
      <c r="AH612">
        <v>0</v>
      </c>
      <c r="AI612">
        <f t="shared" si="63"/>
        <v>0</v>
      </c>
      <c r="AJ612" t="str">
        <f t="shared" si="64"/>
        <v>0-1 yr</v>
      </c>
      <c r="AK612" t="str">
        <f t="shared" si="65"/>
        <v>Recent</v>
      </c>
      <c r="AL612">
        <f t="shared" si="66"/>
        <v>1</v>
      </c>
      <c r="AM612" t="str">
        <f t="shared" si="67"/>
        <v>Low Risk</v>
      </c>
      <c r="AN612" s="6">
        <f t="shared" si="68"/>
        <v>-0.63956711446569536</v>
      </c>
      <c r="AO612" s="7">
        <f t="shared" si="69"/>
        <v>213348</v>
      </c>
    </row>
    <row r="613" spans="1:41" x14ac:dyDescent="0.3">
      <c r="A613" t="s">
        <v>681</v>
      </c>
      <c r="B613">
        <v>34</v>
      </c>
      <c r="C613" t="s">
        <v>196</v>
      </c>
      <c r="D613" t="s">
        <v>55</v>
      </c>
      <c r="E613" t="s">
        <v>62</v>
      </c>
      <c r="F613">
        <v>618</v>
      </c>
      <c r="G613" t="s">
        <v>49</v>
      </c>
      <c r="H613">
        <v>3</v>
      </c>
      <c r="I613">
        <v>1</v>
      </c>
      <c r="J613" t="s">
        <v>50</v>
      </c>
      <c r="K613">
        <v>1103</v>
      </c>
      <c r="L613">
        <v>1</v>
      </c>
      <c r="M613" t="s">
        <v>51</v>
      </c>
      <c r="N613">
        <v>3</v>
      </c>
      <c r="O613">
        <v>2</v>
      </c>
      <c r="P613" t="s">
        <v>168</v>
      </c>
      <c r="Q613">
        <v>4</v>
      </c>
      <c r="R613" t="s">
        <v>53</v>
      </c>
      <c r="S613">
        <v>64932</v>
      </c>
      <c r="T613" t="s">
        <v>64</v>
      </c>
      <c r="U613">
        <v>405.82</v>
      </c>
      <c r="V613">
        <v>0</v>
      </c>
      <c r="W613" t="s">
        <v>55</v>
      </c>
      <c r="X613">
        <v>17</v>
      </c>
      <c r="Y613">
        <v>3</v>
      </c>
      <c r="Z613">
        <v>3</v>
      </c>
      <c r="AA613">
        <v>0</v>
      </c>
      <c r="AB613">
        <v>7</v>
      </c>
      <c r="AC613">
        <v>1</v>
      </c>
      <c r="AD613">
        <v>2</v>
      </c>
      <c r="AE613">
        <v>6</v>
      </c>
      <c r="AF613">
        <v>2</v>
      </c>
      <c r="AG613">
        <v>0</v>
      </c>
      <c r="AH613">
        <v>4</v>
      </c>
      <c r="AI613">
        <f t="shared" si="63"/>
        <v>0</v>
      </c>
      <c r="AJ613" t="str">
        <f t="shared" si="64"/>
        <v>6-10 yrs</v>
      </c>
      <c r="AK613" t="str">
        <f t="shared" si="65"/>
        <v>Recent</v>
      </c>
      <c r="AL613">
        <f t="shared" si="66"/>
        <v>1</v>
      </c>
      <c r="AM613" t="str">
        <f t="shared" si="67"/>
        <v>Low Risk</v>
      </c>
      <c r="AN613" s="6">
        <f t="shared" si="68"/>
        <v>0.34744044301620997</v>
      </c>
      <c r="AO613" s="7">
        <f t="shared" si="69"/>
        <v>779184</v>
      </c>
    </row>
    <row r="614" spans="1:41" x14ac:dyDescent="0.3">
      <c r="A614" t="s">
        <v>682</v>
      </c>
      <c r="B614">
        <v>34</v>
      </c>
      <c r="C614" t="s">
        <v>196</v>
      </c>
      <c r="D614" t="s">
        <v>55</v>
      </c>
      <c r="E614" t="s">
        <v>66</v>
      </c>
      <c r="F614">
        <v>697</v>
      </c>
      <c r="G614" t="s">
        <v>49</v>
      </c>
      <c r="H614">
        <v>3</v>
      </c>
      <c r="I614">
        <v>4</v>
      </c>
      <c r="J614" t="s">
        <v>50</v>
      </c>
      <c r="K614">
        <v>1115</v>
      </c>
      <c r="L614">
        <v>3</v>
      </c>
      <c r="M614" t="s">
        <v>51</v>
      </c>
      <c r="N614">
        <v>2</v>
      </c>
      <c r="O614">
        <v>1</v>
      </c>
      <c r="P614" t="s">
        <v>67</v>
      </c>
      <c r="Q614">
        <v>4</v>
      </c>
      <c r="R614" t="s">
        <v>113</v>
      </c>
      <c r="S614">
        <v>73936</v>
      </c>
      <c r="T614" t="s">
        <v>64</v>
      </c>
      <c r="U614">
        <v>462.1</v>
      </c>
      <c r="V614">
        <v>3</v>
      </c>
      <c r="W614" t="s">
        <v>55</v>
      </c>
      <c r="X614">
        <v>17</v>
      </c>
      <c r="Y614">
        <v>3</v>
      </c>
      <c r="Z614">
        <v>4</v>
      </c>
      <c r="AA614">
        <v>3</v>
      </c>
      <c r="AB614">
        <v>6</v>
      </c>
      <c r="AC614">
        <v>2</v>
      </c>
      <c r="AD614">
        <v>3</v>
      </c>
      <c r="AE614">
        <v>0</v>
      </c>
      <c r="AF614">
        <v>0</v>
      </c>
      <c r="AG614">
        <v>0</v>
      </c>
      <c r="AH614">
        <v>0</v>
      </c>
      <c r="AI614">
        <f t="shared" si="63"/>
        <v>0</v>
      </c>
      <c r="AJ614" t="str">
        <f t="shared" si="64"/>
        <v>0-1 yr</v>
      </c>
      <c r="AK614" t="str">
        <f t="shared" si="65"/>
        <v>Recent</v>
      </c>
      <c r="AL614">
        <f t="shared" si="66"/>
        <v>0</v>
      </c>
      <c r="AM614" t="str">
        <f t="shared" si="67"/>
        <v>Minimal Risk</v>
      </c>
      <c r="AN614" s="6">
        <f t="shared" si="68"/>
        <v>0.48269057451326303</v>
      </c>
      <c r="AO614" s="7">
        <f t="shared" si="69"/>
        <v>887232</v>
      </c>
    </row>
    <row r="615" spans="1:41" x14ac:dyDescent="0.3">
      <c r="A615" t="s">
        <v>683</v>
      </c>
      <c r="B615">
        <v>34</v>
      </c>
      <c r="C615" t="s">
        <v>196</v>
      </c>
      <c r="D615" t="s">
        <v>55</v>
      </c>
      <c r="E615" t="s">
        <v>62</v>
      </c>
      <c r="F615">
        <v>1003</v>
      </c>
      <c r="G615" t="s">
        <v>49</v>
      </c>
      <c r="H615">
        <v>2</v>
      </c>
      <c r="I615">
        <v>2</v>
      </c>
      <c r="J615" t="s">
        <v>50</v>
      </c>
      <c r="K615">
        <v>1140</v>
      </c>
      <c r="L615">
        <v>4</v>
      </c>
      <c r="M615" t="s">
        <v>51</v>
      </c>
      <c r="N615">
        <v>3</v>
      </c>
      <c r="O615">
        <v>2</v>
      </c>
      <c r="P615" t="s">
        <v>120</v>
      </c>
      <c r="Q615">
        <v>3</v>
      </c>
      <c r="R615" t="s">
        <v>53</v>
      </c>
      <c r="S615">
        <v>25466</v>
      </c>
      <c r="T615" t="s">
        <v>72</v>
      </c>
      <c r="U615">
        <v>159.16</v>
      </c>
      <c r="V615">
        <v>2</v>
      </c>
      <c r="W615" t="s">
        <v>55</v>
      </c>
      <c r="X615">
        <v>11</v>
      </c>
      <c r="Y615">
        <v>3</v>
      </c>
      <c r="Z615">
        <v>4</v>
      </c>
      <c r="AA615">
        <v>0</v>
      </c>
      <c r="AB615">
        <v>5</v>
      </c>
      <c r="AC615">
        <v>3</v>
      </c>
      <c r="AD615">
        <v>2</v>
      </c>
      <c r="AE615">
        <v>3</v>
      </c>
      <c r="AF615">
        <v>2</v>
      </c>
      <c r="AG615">
        <v>0</v>
      </c>
      <c r="AH615">
        <v>2</v>
      </c>
      <c r="AI615">
        <f t="shared" si="63"/>
        <v>0</v>
      </c>
      <c r="AJ615" t="str">
        <f t="shared" si="64"/>
        <v>2-3 yrs</v>
      </c>
      <c r="AK615" t="str">
        <f t="shared" si="65"/>
        <v>Recent</v>
      </c>
      <c r="AL615">
        <f t="shared" si="66"/>
        <v>1</v>
      </c>
      <c r="AM615" t="str">
        <f t="shared" si="67"/>
        <v>Low Risk</v>
      </c>
      <c r="AN615" s="6">
        <f t="shared" si="68"/>
        <v>-0.42508619371315115</v>
      </c>
      <c r="AO615" s="7">
        <f t="shared" si="69"/>
        <v>305592</v>
      </c>
    </row>
    <row r="616" spans="1:41" x14ac:dyDescent="0.3">
      <c r="A616" t="s">
        <v>684</v>
      </c>
      <c r="B616">
        <v>34</v>
      </c>
      <c r="C616" t="s">
        <v>196</v>
      </c>
      <c r="D616" t="s">
        <v>55</v>
      </c>
      <c r="E616" t="s">
        <v>48</v>
      </c>
      <c r="F616">
        <v>1400</v>
      </c>
      <c r="G616" t="s">
        <v>57</v>
      </c>
      <c r="H616">
        <v>9</v>
      </c>
      <c r="I616">
        <v>1</v>
      </c>
      <c r="J616" t="s">
        <v>50</v>
      </c>
      <c r="K616">
        <v>1163</v>
      </c>
      <c r="L616">
        <v>2</v>
      </c>
      <c r="M616" t="s">
        <v>59</v>
      </c>
      <c r="N616">
        <v>3</v>
      </c>
      <c r="O616">
        <v>2</v>
      </c>
      <c r="P616" t="s">
        <v>145</v>
      </c>
      <c r="Q616">
        <v>3</v>
      </c>
      <c r="R616" t="s">
        <v>113</v>
      </c>
      <c r="S616">
        <v>37939</v>
      </c>
      <c r="T616" t="s">
        <v>72</v>
      </c>
      <c r="U616">
        <v>237.12</v>
      </c>
      <c r="V616">
        <v>1</v>
      </c>
      <c r="W616" t="s">
        <v>55</v>
      </c>
      <c r="X616">
        <v>20</v>
      </c>
      <c r="Y616">
        <v>4</v>
      </c>
      <c r="Z616">
        <v>1</v>
      </c>
      <c r="AA616">
        <v>0</v>
      </c>
      <c r="AB616">
        <v>6</v>
      </c>
      <c r="AC616">
        <v>3</v>
      </c>
      <c r="AD616">
        <v>2</v>
      </c>
      <c r="AE616">
        <v>6</v>
      </c>
      <c r="AF616">
        <v>5</v>
      </c>
      <c r="AG616">
        <v>1</v>
      </c>
      <c r="AH616">
        <v>3</v>
      </c>
      <c r="AI616">
        <f t="shared" si="63"/>
        <v>0</v>
      </c>
      <c r="AJ616" t="str">
        <f t="shared" si="64"/>
        <v>6-10 yrs</v>
      </c>
      <c r="AK616" t="str">
        <f t="shared" si="65"/>
        <v>Recent</v>
      </c>
      <c r="AL616">
        <f t="shared" si="66"/>
        <v>1</v>
      </c>
      <c r="AM616" t="str">
        <f t="shared" si="67"/>
        <v>Low Risk</v>
      </c>
      <c r="AN616" s="6">
        <f t="shared" si="68"/>
        <v>-0.2266496085023661</v>
      </c>
      <c r="AO616" s="7">
        <f t="shared" si="69"/>
        <v>455268</v>
      </c>
    </row>
    <row r="617" spans="1:41" x14ac:dyDescent="0.3">
      <c r="A617" t="s">
        <v>685</v>
      </c>
      <c r="B617">
        <v>34</v>
      </c>
      <c r="C617" t="s">
        <v>196</v>
      </c>
      <c r="D617" t="s">
        <v>55</v>
      </c>
      <c r="E617" t="s">
        <v>62</v>
      </c>
      <c r="F617">
        <v>669</v>
      </c>
      <c r="G617" t="s">
        <v>49</v>
      </c>
      <c r="H617">
        <v>1</v>
      </c>
      <c r="I617">
        <v>3</v>
      </c>
      <c r="J617" t="s">
        <v>58</v>
      </c>
      <c r="K617">
        <v>1184</v>
      </c>
      <c r="L617">
        <v>4</v>
      </c>
      <c r="M617" t="s">
        <v>51</v>
      </c>
      <c r="N617">
        <v>2</v>
      </c>
      <c r="O617">
        <v>2</v>
      </c>
      <c r="P617" t="s">
        <v>168</v>
      </c>
      <c r="Q617">
        <v>1</v>
      </c>
      <c r="R617" t="s">
        <v>53</v>
      </c>
      <c r="S617">
        <v>70896</v>
      </c>
      <c r="T617" t="s">
        <v>64</v>
      </c>
      <c r="U617">
        <v>443.1</v>
      </c>
      <c r="V617">
        <v>0</v>
      </c>
      <c r="W617" t="s">
        <v>55</v>
      </c>
      <c r="X617">
        <v>20</v>
      </c>
      <c r="Y617">
        <v>4</v>
      </c>
      <c r="Z617">
        <v>3</v>
      </c>
      <c r="AA617">
        <v>0</v>
      </c>
      <c r="AB617">
        <v>14</v>
      </c>
      <c r="AC617">
        <v>3</v>
      </c>
      <c r="AD617">
        <v>3</v>
      </c>
      <c r="AE617">
        <v>13</v>
      </c>
      <c r="AF617">
        <v>9</v>
      </c>
      <c r="AG617">
        <v>4</v>
      </c>
      <c r="AH617">
        <v>9</v>
      </c>
      <c r="AI617">
        <f t="shared" si="63"/>
        <v>0</v>
      </c>
      <c r="AJ617" t="str">
        <f t="shared" si="64"/>
        <v>10+ yrs</v>
      </c>
      <c r="AK617" t="str">
        <f t="shared" si="65"/>
        <v>Overdue</v>
      </c>
      <c r="AL617">
        <f t="shared" si="66"/>
        <v>2</v>
      </c>
      <c r="AM617" t="str">
        <f t="shared" si="67"/>
        <v>Medium Risk</v>
      </c>
      <c r="AN617" s="6">
        <f t="shared" si="68"/>
        <v>0.47120276055068722</v>
      </c>
      <c r="AO617" s="7">
        <f t="shared" si="69"/>
        <v>850752</v>
      </c>
    </row>
    <row r="618" spans="1:41" x14ac:dyDescent="0.3">
      <c r="A618" t="s">
        <v>686</v>
      </c>
      <c r="B618">
        <v>34</v>
      </c>
      <c r="C618" t="s">
        <v>196</v>
      </c>
      <c r="D618" t="s">
        <v>55</v>
      </c>
      <c r="E618" t="s">
        <v>48</v>
      </c>
      <c r="F618">
        <v>1320</v>
      </c>
      <c r="G618" t="s">
        <v>49</v>
      </c>
      <c r="H618">
        <v>20</v>
      </c>
      <c r="I618">
        <v>3</v>
      </c>
      <c r="J618" t="s">
        <v>77</v>
      </c>
      <c r="K618">
        <v>1265</v>
      </c>
      <c r="L618">
        <v>3</v>
      </c>
      <c r="M618" t="s">
        <v>59</v>
      </c>
      <c r="N618">
        <v>4</v>
      </c>
      <c r="O618">
        <v>1</v>
      </c>
      <c r="P618" t="s">
        <v>67</v>
      </c>
      <c r="Q618">
        <v>3</v>
      </c>
      <c r="R618" t="s">
        <v>113</v>
      </c>
      <c r="S618">
        <v>36270</v>
      </c>
      <c r="T618" t="s">
        <v>72</v>
      </c>
      <c r="U618">
        <v>226.69</v>
      </c>
      <c r="V618">
        <v>0</v>
      </c>
      <c r="W618" t="s">
        <v>55</v>
      </c>
      <c r="X618">
        <v>17</v>
      </c>
      <c r="Y618">
        <v>3</v>
      </c>
      <c r="Z618">
        <v>4</v>
      </c>
      <c r="AA618">
        <v>0</v>
      </c>
      <c r="AB618">
        <v>2</v>
      </c>
      <c r="AC618">
        <v>5</v>
      </c>
      <c r="AD618">
        <v>2</v>
      </c>
      <c r="AE618">
        <v>1</v>
      </c>
      <c r="AF618">
        <v>0</v>
      </c>
      <c r="AG618">
        <v>0</v>
      </c>
      <c r="AH618">
        <v>0</v>
      </c>
      <c r="AI618">
        <f t="shared" si="63"/>
        <v>0</v>
      </c>
      <c r="AJ618" t="str">
        <f t="shared" si="64"/>
        <v>0-1 yr</v>
      </c>
      <c r="AK618" t="str">
        <f t="shared" si="65"/>
        <v>Recent</v>
      </c>
      <c r="AL618">
        <f t="shared" si="66"/>
        <v>1</v>
      </c>
      <c r="AM618" t="str">
        <f t="shared" si="67"/>
        <v>Low Risk</v>
      </c>
      <c r="AN618" s="6">
        <f t="shared" si="68"/>
        <v>-0.27265219733829188</v>
      </c>
      <c r="AO618" s="7">
        <f t="shared" si="69"/>
        <v>435240</v>
      </c>
    </row>
    <row r="619" spans="1:41" x14ac:dyDescent="0.3">
      <c r="A619" t="s">
        <v>687</v>
      </c>
      <c r="B619">
        <v>34</v>
      </c>
      <c r="C619" t="s">
        <v>196</v>
      </c>
      <c r="D619" t="s">
        <v>55</v>
      </c>
      <c r="E619" t="s">
        <v>48</v>
      </c>
      <c r="F619">
        <v>131</v>
      </c>
      <c r="G619" t="s">
        <v>57</v>
      </c>
      <c r="H619">
        <v>2</v>
      </c>
      <c r="I619">
        <v>3</v>
      </c>
      <c r="J619" t="s">
        <v>63</v>
      </c>
      <c r="K619">
        <v>1281</v>
      </c>
      <c r="L619">
        <v>3</v>
      </c>
      <c r="M619" t="s">
        <v>59</v>
      </c>
      <c r="N619">
        <v>3</v>
      </c>
      <c r="O619">
        <v>2</v>
      </c>
      <c r="P619" t="s">
        <v>145</v>
      </c>
      <c r="Q619">
        <v>1</v>
      </c>
      <c r="R619" t="s">
        <v>53</v>
      </c>
      <c r="S619">
        <v>60163</v>
      </c>
      <c r="T619" t="s">
        <v>64</v>
      </c>
      <c r="U619">
        <v>376.02</v>
      </c>
      <c r="V619">
        <v>0</v>
      </c>
      <c r="W619" t="s">
        <v>47</v>
      </c>
      <c r="X619">
        <v>12</v>
      </c>
      <c r="Y619">
        <v>3</v>
      </c>
      <c r="Z619">
        <v>4</v>
      </c>
      <c r="AA619">
        <v>0</v>
      </c>
      <c r="AB619">
        <v>4</v>
      </c>
      <c r="AC619">
        <v>3</v>
      </c>
      <c r="AD619">
        <v>3</v>
      </c>
      <c r="AE619">
        <v>3</v>
      </c>
      <c r="AF619">
        <v>2</v>
      </c>
      <c r="AG619">
        <v>0</v>
      </c>
      <c r="AH619">
        <v>2</v>
      </c>
      <c r="AI619">
        <f t="shared" si="63"/>
        <v>0</v>
      </c>
      <c r="AJ619" t="str">
        <f t="shared" si="64"/>
        <v>2-3 yrs</v>
      </c>
      <c r="AK619" t="str">
        <f t="shared" si="65"/>
        <v>Recent</v>
      </c>
      <c r="AL619">
        <f t="shared" si="66"/>
        <v>2</v>
      </c>
      <c r="AM619" t="str">
        <f t="shared" si="67"/>
        <v>Medium Risk</v>
      </c>
      <c r="AN619" s="6">
        <f t="shared" si="68"/>
        <v>0.22636547098426815</v>
      </c>
      <c r="AO619" s="7">
        <f t="shared" si="69"/>
        <v>721956</v>
      </c>
    </row>
    <row r="620" spans="1:41" x14ac:dyDescent="0.3">
      <c r="A620" t="s">
        <v>688</v>
      </c>
      <c r="B620">
        <v>34</v>
      </c>
      <c r="C620" t="s">
        <v>196</v>
      </c>
      <c r="D620" t="s">
        <v>55</v>
      </c>
      <c r="E620" t="s">
        <v>62</v>
      </c>
      <c r="F620">
        <v>135</v>
      </c>
      <c r="G620" t="s">
        <v>49</v>
      </c>
      <c r="H620">
        <v>19</v>
      </c>
      <c r="I620">
        <v>3</v>
      </c>
      <c r="J620" t="s">
        <v>58</v>
      </c>
      <c r="K620">
        <v>1285</v>
      </c>
      <c r="L620">
        <v>3</v>
      </c>
      <c r="M620" t="s">
        <v>59</v>
      </c>
      <c r="N620">
        <v>3</v>
      </c>
      <c r="O620">
        <v>2</v>
      </c>
      <c r="P620" t="s">
        <v>52</v>
      </c>
      <c r="Q620">
        <v>2</v>
      </c>
      <c r="R620" t="s">
        <v>53</v>
      </c>
      <c r="S620">
        <v>83637</v>
      </c>
      <c r="T620" t="s">
        <v>70</v>
      </c>
      <c r="U620">
        <v>522.73</v>
      </c>
      <c r="V620">
        <v>4</v>
      </c>
      <c r="W620" t="s">
        <v>55</v>
      </c>
      <c r="X620">
        <v>13</v>
      </c>
      <c r="Y620">
        <v>3</v>
      </c>
      <c r="Z620">
        <v>3</v>
      </c>
      <c r="AA620">
        <v>2</v>
      </c>
      <c r="AB620">
        <v>15</v>
      </c>
      <c r="AC620">
        <v>2</v>
      </c>
      <c r="AD620">
        <v>4</v>
      </c>
      <c r="AE620">
        <v>11</v>
      </c>
      <c r="AF620">
        <v>8</v>
      </c>
      <c r="AG620">
        <v>5</v>
      </c>
      <c r="AH620">
        <v>10</v>
      </c>
      <c r="AI620">
        <f t="shared" si="63"/>
        <v>0</v>
      </c>
      <c r="AJ620" t="str">
        <f t="shared" si="64"/>
        <v>10+ yrs</v>
      </c>
      <c r="AK620" t="str">
        <f t="shared" si="65"/>
        <v>Overdue</v>
      </c>
      <c r="AL620">
        <f t="shared" si="66"/>
        <v>2</v>
      </c>
      <c r="AM620" t="str">
        <f t="shared" si="67"/>
        <v>Medium Risk</v>
      </c>
      <c r="AN620" s="6">
        <f t="shared" si="68"/>
        <v>0.61709265742161534</v>
      </c>
      <c r="AO620" s="7">
        <f t="shared" si="69"/>
        <v>1003644</v>
      </c>
    </row>
    <row r="621" spans="1:41" x14ac:dyDescent="0.3">
      <c r="A621" t="s">
        <v>689</v>
      </c>
      <c r="B621">
        <v>34</v>
      </c>
      <c r="C621" t="s">
        <v>196</v>
      </c>
      <c r="D621" t="s">
        <v>55</v>
      </c>
      <c r="E621" t="s">
        <v>62</v>
      </c>
      <c r="F621">
        <v>648</v>
      </c>
      <c r="G621" t="s">
        <v>80</v>
      </c>
      <c r="H621">
        <v>11</v>
      </c>
      <c r="I621">
        <v>3</v>
      </c>
      <c r="J621" t="s">
        <v>50</v>
      </c>
      <c r="K621">
        <v>1289</v>
      </c>
      <c r="L621">
        <v>3</v>
      </c>
      <c r="M621" t="s">
        <v>51</v>
      </c>
      <c r="N621">
        <v>2</v>
      </c>
      <c r="O621">
        <v>2</v>
      </c>
      <c r="P621" t="s">
        <v>80</v>
      </c>
      <c r="Q621">
        <v>2</v>
      </c>
      <c r="R621" t="s">
        <v>113</v>
      </c>
      <c r="S621">
        <v>52934</v>
      </c>
      <c r="T621" t="s">
        <v>64</v>
      </c>
      <c r="U621">
        <v>330.84</v>
      </c>
      <c r="V621">
        <v>4</v>
      </c>
      <c r="W621" t="s">
        <v>55</v>
      </c>
      <c r="X621">
        <v>11</v>
      </c>
      <c r="Y621">
        <v>3</v>
      </c>
      <c r="Z621">
        <v>4</v>
      </c>
      <c r="AA621">
        <v>2</v>
      </c>
      <c r="AB621">
        <v>14</v>
      </c>
      <c r="AC621">
        <v>5</v>
      </c>
      <c r="AD621">
        <v>4</v>
      </c>
      <c r="AE621">
        <v>10</v>
      </c>
      <c r="AF621">
        <v>9</v>
      </c>
      <c r="AG621">
        <v>1</v>
      </c>
      <c r="AH621">
        <v>8</v>
      </c>
      <c r="AI621">
        <f t="shared" si="63"/>
        <v>0</v>
      </c>
      <c r="AJ621" t="str">
        <f t="shared" si="64"/>
        <v>6-10 yrs</v>
      </c>
      <c r="AK621" t="str">
        <f t="shared" si="65"/>
        <v>Recent</v>
      </c>
      <c r="AL621">
        <f t="shared" si="66"/>
        <v>1</v>
      </c>
      <c r="AM621" t="str">
        <f t="shared" si="67"/>
        <v>Low Risk</v>
      </c>
      <c r="AN621" s="6">
        <f t="shared" si="68"/>
        <v>4.3157021097590106E-2</v>
      </c>
      <c r="AO621" s="7">
        <f t="shared" si="69"/>
        <v>635208</v>
      </c>
    </row>
    <row r="622" spans="1:41" x14ac:dyDescent="0.3">
      <c r="A622" t="s">
        <v>690</v>
      </c>
      <c r="B622">
        <v>34</v>
      </c>
      <c r="C622" t="s">
        <v>196</v>
      </c>
      <c r="D622" t="s">
        <v>55</v>
      </c>
      <c r="E622" t="s">
        <v>48</v>
      </c>
      <c r="F622">
        <v>943</v>
      </c>
      <c r="G622" t="s">
        <v>49</v>
      </c>
      <c r="H622">
        <v>9</v>
      </c>
      <c r="I622">
        <v>3</v>
      </c>
      <c r="J622" t="s">
        <v>50</v>
      </c>
      <c r="K622">
        <v>1344</v>
      </c>
      <c r="L622">
        <v>4</v>
      </c>
      <c r="M622" t="s">
        <v>51</v>
      </c>
      <c r="N622">
        <v>3</v>
      </c>
      <c r="O622">
        <v>3</v>
      </c>
      <c r="P622" t="s">
        <v>168</v>
      </c>
      <c r="Q622">
        <v>4</v>
      </c>
      <c r="R622" t="s">
        <v>53</v>
      </c>
      <c r="S622">
        <v>65895</v>
      </c>
      <c r="T622" t="s">
        <v>64</v>
      </c>
      <c r="U622">
        <v>411.84</v>
      </c>
      <c r="V622">
        <v>0</v>
      </c>
      <c r="W622" t="s">
        <v>55</v>
      </c>
      <c r="X622">
        <v>11</v>
      </c>
      <c r="Y622">
        <v>3</v>
      </c>
      <c r="Z622">
        <v>4</v>
      </c>
      <c r="AA622">
        <v>1</v>
      </c>
      <c r="AB622">
        <v>10</v>
      </c>
      <c r="AC622">
        <v>0</v>
      </c>
      <c r="AD622">
        <v>2</v>
      </c>
      <c r="AE622">
        <v>9</v>
      </c>
      <c r="AF622">
        <v>7</v>
      </c>
      <c r="AG622">
        <v>1</v>
      </c>
      <c r="AH622">
        <v>6</v>
      </c>
      <c r="AI622">
        <f t="shared" si="63"/>
        <v>0</v>
      </c>
      <c r="AJ622" t="str">
        <f t="shared" si="64"/>
        <v>6-10 yrs</v>
      </c>
      <c r="AK622" t="str">
        <f t="shared" si="65"/>
        <v>Recent</v>
      </c>
      <c r="AL622">
        <f t="shared" si="66"/>
        <v>1</v>
      </c>
      <c r="AM622" t="str">
        <f t="shared" si="67"/>
        <v>Low Risk</v>
      </c>
      <c r="AN622" s="6">
        <f t="shared" si="68"/>
        <v>0.36742419750744099</v>
      </c>
      <c r="AO622" s="7">
        <f t="shared" si="69"/>
        <v>790740</v>
      </c>
    </row>
    <row r="623" spans="1:41" x14ac:dyDescent="0.3">
      <c r="A623" t="s">
        <v>691</v>
      </c>
      <c r="B623">
        <v>34</v>
      </c>
      <c r="C623" t="s">
        <v>196</v>
      </c>
      <c r="D623" t="s">
        <v>55</v>
      </c>
      <c r="E623" t="s">
        <v>48</v>
      </c>
      <c r="F623">
        <v>507</v>
      </c>
      <c r="G623" t="s">
        <v>57</v>
      </c>
      <c r="H623">
        <v>15</v>
      </c>
      <c r="I623">
        <v>2</v>
      </c>
      <c r="J623" t="s">
        <v>58</v>
      </c>
      <c r="K623">
        <v>1356</v>
      </c>
      <c r="L623">
        <v>3</v>
      </c>
      <c r="M623" t="s">
        <v>59</v>
      </c>
      <c r="N623">
        <v>3</v>
      </c>
      <c r="O623">
        <v>2</v>
      </c>
      <c r="P623" t="s">
        <v>145</v>
      </c>
      <c r="Q623">
        <v>1</v>
      </c>
      <c r="R623" t="s">
        <v>53</v>
      </c>
      <c r="S623">
        <v>33307</v>
      </c>
      <c r="T623" t="s">
        <v>72</v>
      </c>
      <c r="U623">
        <v>208.17</v>
      </c>
      <c r="V623">
        <v>1</v>
      </c>
      <c r="W623" t="s">
        <v>55</v>
      </c>
      <c r="X623">
        <v>12</v>
      </c>
      <c r="Y623">
        <v>3</v>
      </c>
      <c r="Z623">
        <v>4</v>
      </c>
      <c r="AA623">
        <v>0</v>
      </c>
      <c r="AB623">
        <v>10</v>
      </c>
      <c r="AC623">
        <v>6</v>
      </c>
      <c r="AD623">
        <v>4</v>
      </c>
      <c r="AE623">
        <v>10</v>
      </c>
      <c r="AF623">
        <v>8</v>
      </c>
      <c r="AG623">
        <v>9</v>
      </c>
      <c r="AH623">
        <v>6</v>
      </c>
      <c r="AI623">
        <f t="shared" si="63"/>
        <v>0</v>
      </c>
      <c r="AJ623" t="str">
        <f t="shared" si="64"/>
        <v>6-10 yrs</v>
      </c>
      <c r="AK623" t="str">
        <f t="shared" si="65"/>
        <v>Overdue</v>
      </c>
      <c r="AL623">
        <f t="shared" si="66"/>
        <v>2</v>
      </c>
      <c r="AM623" t="str">
        <f t="shared" si="67"/>
        <v>Medium Risk</v>
      </c>
      <c r="AN623" s="6">
        <f t="shared" si="68"/>
        <v>-0.3210685181577877</v>
      </c>
      <c r="AO623" s="7">
        <f t="shared" si="69"/>
        <v>399684</v>
      </c>
    </row>
    <row r="624" spans="1:41" x14ac:dyDescent="0.3">
      <c r="A624" t="s">
        <v>692</v>
      </c>
      <c r="B624">
        <v>34</v>
      </c>
      <c r="C624" t="s">
        <v>196</v>
      </c>
      <c r="D624" t="s">
        <v>55</v>
      </c>
      <c r="E624" t="s">
        <v>66</v>
      </c>
      <c r="F624">
        <v>999</v>
      </c>
      <c r="G624" t="s">
        <v>49</v>
      </c>
      <c r="H624">
        <v>26</v>
      </c>
      <c r="I624">
        <v>1</v>
      </c>
      <c r="J624" t="s">
        <v>77</v>
      </c>
      <c r="K624">
        <v>1374</v>
      </c>
      <c r="L624">
        <v>1</v>
      </c>
      <c r="M624" t="s">
        <v>59</v>
      </c>
      <c r="N624">
        <v>2</v>
      </c>
      <c r="O624">
        <v>1</v>
      </c>
      <c r="P624" t="s">
        <v>67</v>
      </c>
      <c r="Q624">
        <v>3</v>
      </c>
      <c r="R624" t="s">
        <v>53</v>
      </c>
      <c r="S624">
        <v>55098</v>
      </c>
      <c r="T624" t="s">
        <v>64</v>
      </c>
      <c r="U624">
        <v>344.36</v>
      </c>
      <c r="V624">
        <v>1</v>
      </c>
      <c r="W624" t="s">
        <v>55</v>
      </c>
      <c r="X624">
        <v>20</v>
      </c>
      <c r="Y624">
        <v>4</v>
      </c>
      <c r="Z624">
        <v>3</v>
      </c>
      <c r="AA624">
        <v>3</v>
      </c>
      <c r="AB624">
        <v>5</v>
      </c>
      <c r="AC624">
        <v>2</v>
      </c>
      <c r="AD624">
        <v>3</v>
      </c>
      <c r="AE624">
        <v>5</v>
      </c>
      <c r="AF624">
        <v>4</v>
      </c>
      <c r="AG624">
        <v>0</v>
      </c>
      <c r="AH624">
        <v>0</v>
      </c>
      <c r="AI624">
        <f t="shared" si="63"/>
        <v>0</v>
      </c>
      <c r="AJ624" t="str">
        <f t="shared" si="64"/>
        <v>4-5 yrs</v>
      </c>
      <c r="AK624" t="str">
        <f t="shared" si="65"/>
        <v>Recent</v>
      </c>
      <c r="AL624">
        <f t="shared" si="66"/>
        <v>0</v>
      </c>
      <c r="AM624" t="str">
        <f t="shared" si="67"/>
        <v>Minimal Risk</v>
      </c>
      <c r="AN624" s="6">
        <f t="shared" si="68"/>
        <v>0.1049189200731953</v>
      </c>
      <c r="AO624" s="7">
        <f t="shared" si="69"/>
        <v>661176</v>
      </c>
    </row>
    <row r="625" spans="1:41" x14ac:dyDescent="0.3">
      <c r="A625" t="s">
        <v>693</v>
      </c>
      <c r="B625">
        <v>34</v>
      </c>
      <c r="C625" t="s">
        <v>196</v>
      </c>
      <c r="D625" t="s">
        <v>55</v>
      </c>
      <c r="E625" t="s">
        <v>48</v>
      </c>
      <c r="F625">
        <v>285</v>
      </c>
      <c r="G625" t="s">
        <v>49</v>
      </c>
      <c r="H625">
        <v>29</v>
      </c>
      <c r="I625">
        <v>3</v>
      </c>
      <c r="J625" t="s">
        <v>58</v>
      </c>
      <c r="K625">
        <v>1377</v>
      </c>
      <c r="L625">
        <v>2</v>
      </c>
      <c r="M625" t="s">
        <v>51</v>
      </c>
      <c r="N625">
        <v>3</v>
      </c>
      <c r="O625">
        <v>2</v>
      </c>
      <c r="P625" t="s">
        <v>52</v>
      </c>
      <c r="Q625">
        <v>3</v>
      </c>
      <c r="R625" t="s">
        <v>113</v>
      </c>
      <c r="S625">
        <v>61921</v>
      </c>
      <c r="T625" t="s">
        <v>64</v>
      </c>
      <c r="U625">
        <v>387.01</v>
      </c>
      <c r="V625">
        <v>4</v>
      </c>
      <c r="W625" t="s">
        <v>55</v>
      </c>
      <c r="X625">
        <v>13</v>
      </c>
      <c r="Y625">
        <v>3</v>
      </c>
      <c r="Z625">
        <v>1</v>
      </c>
      <c r="AA625">
        <v>2</v>
      </c>
      <c r="AB625">
        <v>10</v>
      </c>
      <c r="AC625">
        <v>1</v>
      </c>
      <c r="AD625">
        <v>3</v>
      </c>
      <c r="AE625">
        <v>8</v>
      </c>
      <c r="AF625">
        <v>7</v>
      </c>
      <c r="AG625">
        <v>7</v>
      </c>
      <c r="AH625">
        <v>7</v>
      </c>
      <c r="AI625">
        <f t="shared" si="63"/>
        <v>0</v>
      </c>
      <c r="AJ625" t="str">
        <f t="shared" si="64"/>
        <v>6-10 yrs</v>
      </c>
      <c r="AK625" t="str">
        <f t="shared" si="65"/>
        <v>Overdue</v>
      </c>
      <c r="AL625">
        <f t="shared" si="66"/>
        <v>1</v>
      </c>
      <c r="AM625" t="str">
        <f t="shared" si="67"/>
        <v>Low Risk</v>
      </c>
      <c r="AN625" s="6">
        <f t="shared" si="68"/>
        <v>0.19722125901459694</v>
      </c>
      <c r="AO625" s="7">
        <f t="shared" si="69"/>
        <v>743052</v>
      </c>
    </row>
    <row r="626" spans="1:41" x14ac:dyDescent="0.3">
      <c r="A626" t="s">
        <v>694</v>
      </c>
      <c r="B626">
        <v>34</v>
      </c>
      <c r="C626" t="s">
        <v>196</v>
      </c>
      <c r="D626" t="s">
        <v>55</v>
      </c>
      <c r="E626" t="s">
        <v>48</v>
      </c>
      <c r="F626">
        <v>404</v>
      </c>
      <c r="G626" t="s">
        <v>49</v>
      </c>
      <c r="H626">
        <v>2</v>
      </c>
      <c r="I626">
        <v>4</v>
      </c>
      <c r="J626" t="s">
        <v>77</v>
      </c>
      <c r="K626">
        <v>1383</v>
      </c>
      <c r="L626">
        <v>3</v>
      </c>
      <c r="M626" t="s">
        <v>59</v>
      </c>
      <c r="N626">
        <v>3</v>
      </c>
      <c r="O626">
        <v>2</v>
      </c>
      <c r="P626" t="s">
        <v>168</v>
      </c>
      <c r="Q626">
        <v>4</v>
      </c>
      <c r="R626" t="s">
        <v>53</v>
      </c>
      <c r="S626">
        <v>6486</v>
      </c>
      <c r="T626" t="s">
        <v>54</v>
      </c>
      <c r="U626">
        <v>40.54</v>
      </c>
      <c r="V626">
        <v>1</v>
      </c>
      <c r="W626" t="s">
        <v>55</v>
      </c>
      <c r="X626">
        <v>11</v>
      </c>
      <c r="Y626">
        <v>3</v>
      </c>
      <c r="Z626">
        <v>4</v>
      </c>
      <c r="AA626">
        <v>0</v>
      </c>
      <c r="AB626">
        <v>14</v>
      </c>
      <c r="AC626">
        <v>2</v>
      </c>
      <c r="AD626">
        <v>4</v>
      </c>
      <c r="AE626">
        <v>14</v>
      </c>
      <c r="AF626">
        <v>11</v>
      </c>
      <c r="AG626">
        <v>4</v>
      </c>
      <c r="AH626">
        <v>11</v>
      </c>
      <c r="AI626">
        <f t="shared" si="63"/>
        <v>0</v>
      </c>
      <c r="AJ626" t="str">
        <f t="shared" si="64"/>
        <v>10+ yrs</v>
      </c>
      <c r="AK626" t="str">
        <f t="shared" si="65"/>
        <v>Overdue</v>
      </c>
      <c r="AL626">
        <f t="shared" si="66"/>
        <v>1</v>
      </c>
      <c r="AM626" t="str">
        <f t="shared" si="67"/>
        <v>Low Risk</v>
      </c>
      <c r="AN626" s="6">
        <f t="shared" si="68"/>
        <v>-0.86540536694691161</v>
      </c>
      <c r="AO626" s="7">
        <f t="shared" si="69"/>
        <v>77832</v>
      </c>
    </row>
    <row r="627" spans="1:41" x14ac:dyDescent="0.3">
      <c r="A627" t="s">
        <v>695</v>
      </c>
      <c r="B627">
        <v>34</v>
      </c>
      <c r="C627" t="s">
        <v>196</v>
      </c>
      <c r="D627" t="s">
        <v>55</v>
      </c>
      <c r="E627" t="s">
        <v>62</v>
      </c>
      <c r="F627">
        <v>560</v>
      </c>
      <c r="G627" t="s">
        <v>49</v>
      </c>
      <c r="H627">
        <v>1</v>
      </c>
      <c r="I627">
        <v>4</v>
      </c>
      <c r="J627" t="s">
        <v>82</v>
      </c>
      <c r="K627">
        <v>1431</v>
      </c>
      <c r="L627">
        <v>4</v>
      </c>
      <c r="M627" t="s">
        <v>51</v>
      </c>
      <c r="N627">
        <v>3</v>
      </c>
      <c r="O627">
        <v>1</v>
      </c>
      <c r="P627" t="s">
        <v>67</v>
      </c>
      <c r="Q627">
        <v>1</v>
      </c>
      <c r="R627" t="s">
        <v>53</v>
      </c>
      <c r="S627">
        <v>9335</v>
      </c>
      <c r="T627" t="s">
        <v>54</v>
      </c>
      <c r="U627">
        <v>58.34</v>
      </c>
      <c r="V627">
        <v>5</v>
      </c>
      <c r="W627" t="s">
        <v>55</v>
      </c>
      <c r="X627">
        <v>14</v>
      </c>
      <c r="Y627">
        <v>3</v>
      </c>
      <c r="Z627">
        <v>3</v>
      </c>
      <c r="AA627">
        <v>2</v>
      </c>
      <c r="AB627">
        <v>10</v>
      </c>
      <c r="AC627">
        <v>2</v>
      </c>
      <c r="AD627">
        <v>3</v>
      </c>
      <c r="AE627">
        <v>4</v>
      </c>
      <c r="AF627">
        <v>3</v>
      </c>
      <c r="AG627">
        <v>1</v>
      </c>
      <c r="AH627">
        <v>3</v>
      </c>
      <c r="AI627">
        <f t="shared" si="63"/>
        <v>0</v>
      </c>
      <c r="AJ627" t="str">
        <f t="shared" si="64"/>
        <v>4-5 yrs</v>
      </c>
      <c r="AK627" t="str">
        <f t="shared" si="65"/>
        <v>Recent</v>
      </c>
      <c r="AL627">
        <f t="shared" si="66"/>
        <v>1</v>
      </c>
      <c r="AM627" t="str">
        <f t="shared" si="67"/>
        <v>Low Risk</v>
      </c>
      <c r="AN627" s="6">
        <f t="shared" si="68"/>
        <v>-0.81279868382004283</v>
      </c>
      <c r="AO627" s="7">
        <f t="shared" si="69"/>
        <v>112020</v>
      </c>
    </row>
    <row r="628" spans="1:41" x14ac:dyDescent="0.3">
      <c r="A628" t="s">
        <v>696</v>
      </c>
      <c r="B628">
        <v>34</v>
      </c>
      <c r="C628" t="s">
        <v>196</v>
      </c>
      <c r="D628" t="s">
        <v>55</v>
      </c>
      <c r="E628" t="s">
        <v>48</v>
      </c>
      <c r="F628">
        <v>401</v>
      </c>
      <c r="G628" t="s">
        <v>49</v>
      </c>
      <c r="H628">
        <v>1</v>
      </c>
      <c r="I628">
        <v>3</v>
      </c>
      <c r="J628" t="s">
        <v>50</v>
      </c>
      <c r="K628">
        <v>1447</v>
      </c>
      <c r="L628">
        <v>4</v>
      </c>
      <c r="M628" t="s">
        <v>59</v>
      </c>
      <c r="N628">
        <v>2</v>
      </c>
      <c r="O628">
        <v>1</v>
      </c>
      <c r="P628" t="s">
        <v>52</v>
      </c>
      <c r="Q628">
        <v>2</v>
      </c>
      <c r="R628" t="s">
        <v>113</v>
      </c>
      <c r="S628">
        <v>87900</v>
      </c>
      <c r="T628" t="s">
        <v>70</v>
      </c>
      <c r="U628">
        <v>549.38</v>
      </c>
      <c r="V628">
        <v>5</v>
      </c>
      <c r="W628" t="s">
        <v>55</v>
      </c>
      <c r="X628">
        <v>17</v>
      </c>
      <c r="Y628">
        <v>3</v>
      </c>
      <c r="Z628">
        <v>1</v>
      </c>
      <c r="AA628">
        <v>1</v>
      </c>
      <c r="AB628">
        <v>7</v>
      </c>
      <c r="AC628">
        <v>2</v>
      </c>
      <c r="AD628">
        <v>2</v>
      </c>
      <c r="AE628">
        <v>5</v>
      </c>
      <c r="AF628">
        <v>4</v>
      </c>
      <c r="AG628">
        <v>0</v>
      </c>
      <c r="AH628">
        <v>2</v>
      </c>
      <c r="AI628">
        <f t="shared" si="63"/>
        <v>0</v>
      </c>
      <c r="AJ628" t="str">
        <f t="shared" si="64"/>
        <v>4-5 yrs</v>
      </c>
      <c r="AK628" t="str">
        <f t="shared" si="65"/>
        <v>Recent</v>
      </c>
      <c r="AL628">
        <f t="shared" si="66"/>
        <v>2</v>
      </c>
      <c r="AM628" t="str">
        <f t="shared" si="67"/>
        <v>Medium Risk</v>
      </c>
      <c r="AN628" s="6">
        <f t="shared" si="68"/>
        <v>0.69951629765964818</v>
      </c>
      <c r="AO628" s="7">
        <f t="shared" si="69"/>
        <v>1054800</v>
      </c>
    </row>
    <row r="629" spans="1:41" x14ac:dyDescent="0.3">
      <c r="A629" t="s">
        <v>697</v>
      </c>
      <c r="B629">
        <v>34</v>
      </c>
      <c r="C629" t="s">
        <v>196</v>
      </c>
      <c r="D629" t="s">
        <v>47</v>
      </c>
      <c r="E629" t="s">
        <v>48</v>
      </c>
      <c r="F629">
        <v>1107</v>
      </c>
      <c r="G629" t="s">
        <v>406</v>
      </c>
      <c r="H629">
        <v>9</v>
      </c>
      <c r="I629">
        <v>4</v>
      </c>
      <c r="J629" t="s">
        <v>77</v>
      </c>
      <c r="K629">
        <v>1467</v>
      </c>
      <c r="L629">
        <v>1</v>
      </c>
      <c r="M629" t="s">
        <v>59</v>
      </c>
      <c r="N629">
        <v>3</v>
      </c>
      <c r="O629">
        <v>1</v>
      </c>
      <c r="P629" t="s">
        <v>80</v>
      </c>
      <c r="Q629">
        <v>3</v>
      </c>
      <c r="R629" t="s">
        <v>113</v>
      </c>
      <c r="S629">
        <v>90112</v>
      </c>
      <c r="T629" t="s">
        <v>70</v>
      </c>
      <c r="U629">
        <v>563.20000000000005</v>
      </c>
      <c r="V629">
        <v>1</v>
      </c>
      <c r="W629" t="s">
        <v>55</v>
      </c>
      <c r="X629">
        <v>15</v>
      </c>
      <c r="Y629">
        <v>3</v>
      </c>
      <c r="Z629">
        <v>4</v>
      </c>
      <c r="AA629">
        <v>0</v>
      </c>
      <c r="AB629">
        <v>2</v>
      </c>
      <c r="AC629">
        <v>0</v>
      </c>
      <c r="AD629">
        <v>3</v>
      </c>
      <c r="AE629">
        <v>2</v>
      </c>
      <c r="AF629">
        <v>2</v>
      </c>
      <c r="AG629">
        <v>2</v>
      </c>
      <c r="AH629">
        <v>2</v>
      </c>
      <c r="AI629">
        <f t="shared" si="63"/>
        <v>1</v>
      </c>
      <c r="AJ629" t="str">
        <f t="shared" si="64"/>
        <v>2-3 yrs</v>
      </c>
      <c r="AK629" t="str">
        <f t="shared" si="65"/>
        <v>Recent</v>
      </c>
      <c r="AL629">
        <f t="shared" si="66"/>
        <v>0</v>
      </c>
      <c r="AM629" t="str">
        <f t="shared" si="67"/>
        <v>Minimal Risk</v>
      </c>
      <c r="AN629" s="6">
        <f t="shared" si="68"/>
        <v>0.77581451402021462</v>
      </c>
      <c r="AO629" s="7">
        <f t="shared" si="69"/>
        <v>1081344</v>
      </c>
    </row>
    <row r="630" spans="1:41" x14ac:dyDescent="0.3">
      <c r="A630" t="s">
        <v>698</v>
      </c>
      <c r="B630">
        <v>34</v>
      </c>
      <c r="C630" t="s">
        <v>196</v>
      </c>
      <c r="D630" t="s">
        <v>55</v>
      </c>
      <c r="E630" t="s">
        <v>48</v>
      </c>
      <c r="F630">
        <v>1326</v>
      </c>
      <c r="G630" t="s">
        <v>57</v>
      </c>
      <c r="H630">
        <v>3</v>
      </c>
      <c r="I630">
        <v>3</v>
      </c>
      <c r="J630" t="s">
        <v>82</v>
      </c>
      <c r="K630">
        <v>1478</v>
      </c>
      <c r="L630">
        <v>4</v>
      </c>
      <c r="M630" t="s">
        <v>51</v>
      </c>
      <c r="N630">
        <v>1</v>
      </c>
      <c r="O630">
        <v>2</v>
      </c>
      <c r="P630" t="s">
        <v>145</v>
      </c>
      <c r="Q630">
        <v>1</v>
      </c>
      <c r="R630" t="s">
        <v>53</v>
      </c>
      <c r="S630">
        <v>98203</v>
      </c>
      <c r="T630" t="s">
        <v>70</v>
      </c>
      <c r="U630">
        <v>613.77</v>
      </c>
      <c r="V630">
        <v>3</v>
      </c>
      <c r="W630" t="s">
        <v>55</v>
      </c>
      <c r="X630">
        <v>18</v>
      </c>
      <c r="Y630">
        <v>3</v>
      </c>
      <c r="Z630">
        <v>4</v>
      </c>
      <c r="AA630">
        <v>0</v>
      </c>
      <c r="AB630">
        <v>15</v>
      </c>
      <c r="AC630">
        <v>2</v>
      </c>
      <c r="AD630">
        <v>3</v>
      </c>
      <c r="AE630">
        <v>13</v>
      </c>
      <c r="AF630">
        <v>9</v>
      </c>
      <c r="AG630">
        <v>3</v>
      </c>
      <c r="AH630">
        <v>12</v>
      </c>
      <c r="AI630">
        <f t="shared" si="63"/>
        <v>0</v>
      </c>
      <c r="AJ630" t="str">
        <f t="shared" si="64"/>
        <v>10+ yrs</v>
      </c>
      <c r="AK630" t="str">
        <f t="shared" si="65"/>
        <v>Overdue</v>
      </c>
      <c r="AL630">
        <f t="shared" si="66"/>
        <v>2</v>
      </c>
      <c r="AM630" t="str">
        <f t="shared" si="67"/>
        <v>Medium Risk</v>
      </c>
      <c r="AN630" s="6">
        <f t="shared" si="68"/>
        <v>1.0017746513150623</v>
      </c>
      <c r="AO630" s="7">
        <f t="shared" si="69"/>
        <v>1178436</v>
      </c>
    </row>
    <row r="631" spans="1:41" x14ac:dyDescent="0.3">
      <c r="A631" t="s">
        <v>699</v>
      </c>
      <c r="B631">
        <v>34</v>
      </c>
      <c r="C631" t="s">
        <v>196</v>
      </c>
      <c r="D631" t="s">
        <v>55</v>
      </c>
      <c r="E631" t="s">
        <v>62</v>
      </c>
      <c r="F631">
        <v>829</v>
      </c>
      <c r="G631" t="s">
        <v>49</v>
      </c>
      <c r="H631">
        <v>15</v>
      </c>
      <c r="I631">
        <v>3</v>
      </c>
      <c r="J631" t="s">
        <v>58</v>
      </c>
      <c r="K631">
        <v>1485</v>
      </c>
      <c r="L631">
        <v>2</v>
      </c>
      <c r="M631" t="s">
        <v>51</v>
      </c>
      <c r="N631">
        <v>3</v>
      </c>
      <c r="O631">
        <v>4</v>
      </c>
      <c r="P631" t="s">
        <v>257</v>
      </c>
      <c r="Q631">
        <v>1</v>
      </c>
      <c r="R631" t="s">
        <v>53</v>
      </c>
      <c r="S631">
        <v>12130</v>
      </c>
      <c r="T631" t="s">
        <v>54</v>
      </c>
      <c r="U631">
        <v>75.81</v>
      </c>
      <c r="V631">
        <v>7</v>
      </c>
      <c r="W631" t="s">
        <v>55</v>
      </c>
      <c r="X631">
        <v>14</v>
      </c>
      <c r="Y631">
        <v>3</v>
      </c>
      <c r="Z631">
        <v>4</v>
      </c>
      <c r="AA631">
        <v>2</v>
      </c>
      <c r="AB631">
        <v>16</v>
      </c>
      <c r="AC631">
        <v>3</v>
      </c>
      <c r="AD631">
        <v>2</v>
      </c>
      <c r="AE631">
        <v>14</v>
      </c>
      <c r="AF631">
        <v>8</v>
      </c>
      <c r="AG631">
        <v>6</v>
      </c>
      <c r="AH631">
        <v>9</v>
      </c>
      <c r="AI631">
        <f t="shared" si="63"/>
        <v>0</v>
      </c>
      <c r="AJ631" t="str">
        <f t="shared" si="64"/>
        <v>10+ yrs</v>
      </c>
      <c r="AK631" t="str">
        <f t="shared" si="65"/>
        <v>Overdue</v>
      </c>
      <c r="AL631">
        <f t="shared" si="66"/>
        <v>3</v>
      </c>
      <c r="AM631" t="str">
        <f t="shared" si="67"/>
        <v>High Risk</v>
      </c>
      <c r="AN631" s="6">
        <f t="shared" si="68"/>
        <v>-0.76057513287537326</v>
      </c>
      <c r="AO631" s="7">
        <f t="shared" si="69"/>
        <v>145560</v>
      </c>
    </row>
    <row r="632" spans="1:41" x14ac:dyDescent="0.3">
      <c r="A632" t="s">
        <v>700</v>
      </c>
      <c r="B632">
        <v>34</v>
      </c>
      <c r="C632" t="s">
        <v>196</v>
      </c>
      <c r="D632" t="s">
        <v>47</v>
      </c>
      <c r="E632" t="s">
        <v>48</v>
      </c>
      <c r="F632">
        <v>790</v>
      </c>
      <c r="G632" t="s">
        <v>57</v>
      </c>
      <c r="H632">
        <v>24</v>
      </c>
      <c r="I632">
        <v>4</v>
      </c>
      <c r="J632" t="s">
        <v>58</v>
      </c>
      <c r="K632">
        <v>1489</v>
      </c>
      <c r="L632">
        <v>1</v>
      </c>
      <c r="M632" t="s">
        <v>59</v>
      </c>
      <c r="N632">
        <v>2</v>
      </c>
      <c r="O632">
        <v>2</v>
      </c>
      <c r="P632" t="s">
        <v>145</v>
      </c>
      <c r="Q632">
        <v>2</v>
      </c>
      <c r="R632" t="s">
        <v>53</v>
      </c>
      <c r="S632">
        <v>88508</v>
      </c>
      <c r="T632" t="s">
        <v>70</v>
      </c>
      <c r="U632">
        <v>553.16999999999996</v>
      </c>
      <c r="V632">
        <v>0</v>
      </c>
      <c r="W632" t="s">
        <v>47</v>
      </c>
      <c r="X632">
        <v>23</v>
      </c>
      <c r="Y632">
        <v>4</v>
      </c>
      <c r="Z632">
        <v>3</v>
      </c>
      <c r="AA632">
        <v>0</v>
      </c>
      <c r="AB632">
        <v>16</v>
      </c>
      <c r="AC632">
        <v>2</v>
      </c>
      <c r="AD632">
        <v>4</v>
      </c>
      <c r="AE632">
        <v>15</v>
      </c>
      <c r="AF632">
        <v>9</v>
      </c>
      <c r="AG632">
        <v>10</v>
      </c>
      <c r="AH632">
        <v>10</v>
      </c>
      <c r="AI632">
        <f t="shared" si="63"/>
        <v>1</v>
      </c>
      <c r="AJ632" t="str">
        <f t="shared" si="64"/>
        <v>10+ yrs</v>
      </c>
      <c r="AK632" t="str">
        <f t="shared" si="65"/>
        <v>Overdue</v>
      </c>
      <c r="AL632">
        <f t="shared" si="66"/>
        <v>3</v>
      </c>
      <c r="AM632" t="str">
        <f t="shared" si="67"/>
        <v>High Risk</v>
      </c>
      <c r="AN632" s="6">
        <f t="shared" si="68"/>
        <v>0.80415130737954565</v>
      </c>
      <c r="AO632" s="7">
        <f t="shared" si="69"/>
        <v>1062096</v>
      </c>
    </row>
    <row r="633" spans="1:41" x14ac:dyDescent="0.3">
      <c r="A633" t="s">
        <v>701</v>
      </c>
      <c r="B633">
        <v>34</v>
      </c>
      <c r="C633" t="s">
        <v>196</v>
      </c>
      <c r="D633" t="s">
        <v>55</v>
      </c>
      <c r="E633" t="s">
        <v>48</v>
      </c>
      <c r="F633">
        <v>971</v>
      </c>
      <c r="G633" t="s">
        <v>57</v>
      </c>
      <c r="H633">
        <v>1</v>
      </c>
      <c r="I633">
        <v>3</v>
      </c>
      <c r="J633" t="s">
        <v>77</v>
      </c>
      <c r="K633">
        <v>1535</v>
      </c>
      <c r="L633">
        <v>4</v>
      </c>
      <c r="M633" t="s">
        <v>51</v>
      </c>
      <c r="N633">
        <v>2</v>
      </c>
      <c r="O633">
        <v>3</v>
      </c>
      <c r="P633" t="s">
        <v>145</v>
      </c>
      <c r="Q633">
        <v>3</v>
      </c>
      <c r="R633" t="s">
        <v>113</v>
      </c>
      <c r="S633">
        <v>61566</v>
      </c>
      <c r="T633" t="s">
        <v>64</v>
      </c>
      <c r="U633">
        <v>384.79</v>
      </c>
      <c r="V633">
        <v>1</v>
      </c>
      <c r="W633" t="s">
        <v>47</v>
      </c>
      <c r="X633">
        <v>14</v>
      </c>
      <c r="Y633">
        <v>3</v>
      </c>
      <c r="Z633">
        <v>4</v>
      </c>
      <c r="AA633">
        <v>0</v>
      </c>
      <c r="AB633">
        <v>10</v>
      </c>
      <c r="AC633">
        <v>3</v>
      </c>
      <c r="AD633">
        <v>3</v>
      </c>
      <c r="AE633">
        <v>10</v>
      </c>
      <c r="AF633">
        <v>9</v>
      </c>
      <c r="AG633">
        <v>8</v>
      </c>
      <c r="AH633">
        <v>6</v>
      </c>
      <c r="AI633">
        <f t="shared" si="63"/>
        <v>0</v>
      </c>
      <c r="AJ633" t="str">
        <f t="shared" si="64"/>
        <v>6-10 yrs</v>
      </c>
      <c r="AK633" t="str">
        <f t="shared" si="65"/>
        <v>Overdue</v>
      </c>
      <c r="AL633">
        <f t="shared" si="66"/>
        <v>2</v>
      </c>
      <c r="AM633" t="str">
        <f t="shared" si="67"/>
        <v>Medium Risk</v>
      </c>
      <c r="AN633" s="6">
        <f t="shared" si="68"/>
        <v>0.25496429012212579</v>
      </c>
      <c r="AO633" s="7">
        <f t="shared" si="69"/>
        <v>738792</v>
      </c>
    </row>
    <row r="634" spans="1:41" x14ac:dyDescent="0.3">
      <c r="A634" t="s">
        <v>702</v>
      </c>
      <c r="B634">
        <v>34</v>
      </c>
      <c r="C634" t="s">
        <v>196</v>
      </c>
      <c r="D634" t="s">
        <v>55</v>
      </c>
      <c r="E634" t="s">
        <v>48</v>
      </c>
      <c r="F634">
        <v>1440</v>
      </c>
      <c r="G634" t="s">
        <v>57</v>
      </c>
      <c r="H634">
        <v>7</v>
      </c>
      <c r="I634">
        <v>2</v>
      </c>
      <c r="J634" t="s">
        <v>77</v>
      </c>
      <c r="K634">
        <v>1541</v>
      </c>
      <c r="L634">
        <v>2</v>
      </c>
      <c r="M634" t="s">
        <v>51</v>
      </c>
      <c r="N634">
        <v>3</v>
      </c>
      <c r="O634">
        <v>1</v>
      </c>
      <c r="P634" t="s">
        <v>60</v>
      </c>
      <c r="Q634">
        <v>3</v>
      </c>
      <c r="R634" t="s">
        <v>113</v>
      </c>
      <c r="S634">
        <v>67703</v>
      </c>
      <c r="T634" t="s">
        <v>64</v>
      </c>
      <c r="U634">
        <v>423.14</v>
      </c>
      <c r="V634">
        <v>0</v>
      </c>
      <c r="W634" t="s">
        <v>47</v>
      </c>
      <c r="X634">
        <v>25</v>
      </c>
      <c r="Y634">
        <v>4</v>
      </c>
      <c r="Z634">
        <v>2</v>
      </c>
      <c r="AA634">
        <v>1</v>
      </c>
      <c r="AB634">
        <v>12</v>
      </c>
      <c r="AC634">
        <v>4</v>
      </c>
      <c r="AD634">
        <v>3</v>
      </c>
      <c r="AE634">
        <v>11</v>
      </c>
      <c r="AF634">
        <v>10</v>
      </c>
      <c r="AG634">
        <v>5</v>
      </c>
      <c r="AH634">
        <v>7</v>
      </c>
      <c r="AI634">
        <f t="shared" si="63"/>
        <v>0</v>
      </c>
      <c r="AJ634" t="str">
        <f t="shared" si="64"/>
        <v>10+ yrs</v>
      </c>
      <c r="AK634" t="str">
        <f t="shared" si="65"/>
        <v>Overdue</v>
      </c>
      <c r="AL634">
        <f t="shared" si="66"/>
        <v>2</v>
      </c>
      <c r="AM634" t="str">
        <f t="shared" si="67"/>
        <v>Medium Risk</v>
      </c>
      <c r="AN634" s="6">
        <f t="shared" si="68"/>
        <v>0.3725399431536659</v>
      </c>
      <c r="AO634" s="7">
        <f t="shared" si="69"/>
        <v>812436</v>
      </c>
    </row>
    <row r="635" spans="1:41" x14ac:dyDescent="0.3">
      <c r="A635" t="s">
        <v>703</v>
      </c>
      <c r="B635">
        <v>34</v>
      </c>
      <c r="C635" t="s">
        <v>196</v>
      </c>
      <c r="D635" t="s">
        <v>55</v>
      </c>
      <c r="E635" t="s">
        <v>48</v>
      </c>
      <c r="F635">
        <v>479</v>
      </c>
      <c r="G635" t="s">
        <v>49</v>
      </c>
      <c r="H635">
        <v>7</v>
      </c>
      <c r="I635">
        <v>4</v>
      </c>
      <c r="J635" t="s">
        <v>58</v>
      </c>
      <c r="K635">
        <v>1577</v>
      </c>
      <c r="L635">
        <v>1</v>
      </c>
      <c r="M635" t="s">
        <v>51</v>
      </c>
      <c r="N635">
        <v>3</v>
      </c>
      <c r="O635">
        <v>1</v>
      </c>
      <c r="P635" t="s">
        <v>67</v>
      </c>
      <c r="Q635">
        <v>4</v>
      </c>
      <c r="R635" t="s">
        <v>53</v>
      </c>
      <c r="S635">
        <v>28192</v>
      </c>
      <c r="T635" t="s">
        <v>72</v>
      </c>
      <c r="U635">
        <v>176.2</v>
      </c>
      <c r="V635">
        <v>1</v>
      </c>
      <c r="W635" t="s">
        <v>55</v>
      </c>
      <c r="X635">
        <v>13</v>
      </c>
      <c r="Y635">
        <v>3</v>
      </c>
      <c r="Z635">
        <v>3</v>
      </c>
      <c r="AA635">
        <v>0</v>
      </c>
      <c r="AB635">
        <v>1</v>
      </c>
      <c r="AC635">
        <v>4</v>
      </c>
      <c r="AD635">
        <v>1</v>
      </c>
      <c r="AE635">
        <v>1</v>
      </c>
      <c r="AF635">
        <v>0</v>
      </c>
      <c r="AG635">
        <v>0</v>
      </c>
      <c r="AH635">
        <v>0</v>
      </c>
      <c r="AI635">
        <f t="shared" si="63"/>
        <v>0</v>
      </c>
      <c r="AJ635" t="str">
        <f t="shared" si="64"/>
        <v>0-1 yr</v>
      </c>
      <c r="AK635" t="str">
        <f t="shared" si="65"/>
        <v>Recent</v>
      </c>
      <c r="AL635">
        <f t="shared" si="66"/>
        <v>1</v>
      </c>
      <c r="AM635" t="str">
        <f t="shared" si="67"/>
        <v>Low Risk</v>
      </c>
      <c r="AN635" s="6">
        <f t="shared" si="68"/>
        <v>-0.43464600902567202</v>
      </c>
      <c r="AO635" s="7">
        <f t="shared" si="69"/>
        <v>338304</v>
      </c>
    </row>
    <row r="636" spans="1:41" x14ac:dyDescent="0.3">
      <c r="A636" t="s">
        <v>704</v>
      </c>
      <c r="B636">
        <v>34</v>
      </c>
      <c r="C636" t="s">
        <v>196</v>
      </c>
      <c r="D636" t="s">
        <v>55</v>
      </c>
      <c r="E636" t="s">
        <v>48</v>
      </c>
      <c r="F636">
        <v>1351</v>
      </c>
      <c r="G636" t="s">
        <v>49</v>
      </c>
      <c r="H636">
        <v>1</v>
      </c>
      <c r="I636">
        <v>4</v>
      </c>
      <c r="J636" t="s">
        <v>50</v>
      </c>
      <c r="K636">
        <v>1580</v>
      </c>
      <c r="L636">
        <v>2</v>
      </c>
      <c r="M636" t="s">
        <v>51</v>
      </c>
      <c r="N636">
        <v>3</v>
      </c>
      <c r="O636">
        <v>2</v>
      </c>
      <c r="P636" t="s">
        <v>67</v>
      </c>
      <c r="Q636">
        <v>4</v>
      </c>
      <c r="R636" t="s">
        <v>113</v>
      </c>
      <c r="S636">
        <v>2062</v>
      </c>
      <c r="T636" t="s">
        <v>54</v>
      </c>
      <c r="U636">
        <v>12.89</v>
      </c>
      <c r="V636">
        <v>9</v>
      </c>
      <c r="W636" t="s">
        <v>55</v>
      </c>
      <c r="X636">
        <v>17</v>
      </c>
      <c r="Y636">
        <v>3</v>
      </c>
      <c r="Z636">
        <v>2</v>
      </c>
      <c r="AA636">
        <v>1</v>
      </c>
      <c r="AB636">
        <v>9</v>
      </c>
      <c r="AC636">
        <v>3</v>
      </c>
      <c r="AD636">
        <v>2</v>
      </c>
      <c r="AE636">
        <v>2</v>
      </c>
      <c r="AF636">
        <v>2</v>
      </c>
      <c r="AG636">
        <v>2</v>
      </c>
      <c r="AH636">
        <v>1</v>
      </c>
      <c r="AI636">
        <f t="shared" si="63"/>
        <v>0</v>
      </c>
      <c r="AJ636" t="str">
        <f t="shared" si="64"/>
        <v>2-3 yrs</v>
      </c>
      <c r="AK636" t="str">
        <f t="shared" si="65"/>
        <v>Recent</v>
      </c>
      <c r="AL636">
        <f t="shared" si="66"/>
        <v>1</v>
      </c>
      <c r="AM636" t="str">
        <f t="shared" si="67"/>
        <v>Low Risk</v>
      </c>
      <c r="AN636" s="6">
        <f t="shared" si="68"/>
        <v>-0.95864926470668754</v>
      </c>
      <c r="AO636" s="7">
        <f t="shared" si="69"/>
        <v>24744</v>
      </c>
    </row>
    <row r="637" spans="1:41" x14ac:dyDescent="0.3">
      <c r="A637" t="s">
        <v>705</v>
      </c>
      <c r="B637">
        <v>34</v>
      </c>
      <c r="C637" t="s">
        <v>196</v>
      </c>
      <c r="D637" t="s">
        <v>55</v>
      </c>
      <c r="E637" t="s">
        <v>62</v>
      </c>
      <c r="F637">
        <v>653</v>
      </c>
      <c r="G637" t="s">
        <v>49</v>
      </c>
      <c r="H637">
        <v>10</v>
      </c>
      <c r="I637">
        <v>4</v>
      </c>
      <c r="J637" t="s">
        <v>77</v>
      </c>
      <c r="K637">
        <v>1597</v>
      </c>
      <c r="L637">
        <v>4</v>
      </c>
      <c r="M637" t="s">
        <v>51</v>
      </c>
      <c r="N637">
        <v>2</v>
      </c>
      <c r="O637">
        <v>2</v>
      </c>
      <c r="P637" t="s">
        <v>168</v>
      </c>
      <c r="Q637">
        <v>3</v>
      </c>
      <c r="R637" t="s">
        <v>113</v>
      </c>
      <c r="S637">
        <v>85076</v>
      </c>
      <c r="T637" t="s">
        <v>70</v>
      </c>
      <c r="U637">
        <v>531.72</v>
      </c>
      <c r="V637">
        <v>1</v>
      </c>
      <c r="W637" t="s">
        <v>55</v>
      </c>
      <c r="X637">
        <v>14</v>
      </c>
      <c r="Y637">
        <v>3</v>
      </c>
      <c r="Z637">
        <v>2</v>
      </c>
      <c r="AA637">
        <v>1</v>
      </c>
      <c r="AB637">
        <v>8</v>
      </c>
      <c r="AC637">
        <v>3</v>
      </c>
      <c r="AD637">
        <v>2</v>
      </c>
      <c r="AE637">
        <v>8</v>
      </c>
      <c r="AF637">
        <v>2</v>
      </c>
      <c r="AG637">
        <v>7</v>
      </c>
      <c r="AH637">
        <v>7</v>
      </c>
      <c r="AI637">
        <f t="shared" si="63"/>
        <v>0</v>
      </c>
      <c r="AJ637" t="str">
        <f t="shared" si="64"/>
        <v>6-10 yrs</v>
      </c>
      <c r="AK637" t="str">
        <f t="shared" si="65"/>
        <v>Overdue</v>
      </c>
      <c r="AL637">
        <f t="shared" si="66"/>
        <v>2</v>
      </c>
      <c r="AM637" t="str">
        <f t="shared" si="67"/>
        <v>Medium Risk</v>
      </c>
      <c r="AN637" s="6">
        <f t="shared" si="68"/>
        <v>0.76545991391066159</v>
      </c>
      <c r="AO637" s="7">
        <f t="shared" si="69"/>
        <v>1020912</v>
      </c>
    </row>
    <row r="638" spans="1:41" x14ac:dyDescent="0.3">
      <c r="A638" t="s">
        <v>705</v>
      </c>
      <c r="B638">
        <v>34</v>
      </c>
      <c r="C638" t="s">
        <v>196</v>
      </c>
      <c r="D638" t="s">
        <v>55</v>
      </c>
      <c r="E638" t="s">
        <v>62</v>
      </c>
      <c r="F638">
        <v>653</v>
      </c>
      <c r="G638" t="s">
        <v>49</v>
      </c>
      <c r="H638">
        <v>10</v>
      </c>
      <c r="I638">
        <v>4</v>
      </c>
      <c r="J638" t="s">
        <v>77</v>
      </c>
      <c r="K638">
        <v>1597</v>
      </c>
      <c r="L638">
        <v>4</v>
      </c>
      <c r="M638" t="s">
        <v>51</v>
      </c>
      <c r="N638">
        <v>2</v>
      </c>
      <c r="O638">
        <v>2</v>
      </c>
      <c r="P638" t="s">
        <v>168</v>
      </c>
      <c r="Q638">
        <v>3</v>
      </c>
      <c r="R638" t="s">
        <v>113</v>
      </c>
      <c r="S638">
        <v>85076</v>
      </c>
      <c r="T638" t="s">
        <v>70</v>
      </c>
      <c r="U638">
        <v>531.72</v>
      </c>
      <c r="V638">
        <v>1</v>
      </c>
      <c r="W638" t="s">
        <v>55</v>
      </c>
      <c r="X638">
        <v>14</v>
      </c>
      <c r="Y638">
        <v>3</v>
      </c>
      <c r="Z638">
        <v>2</v>
      </c>
      <c r="AA638">
        <v>1</v>
      </c>
      <c r="AB638">
        <v>8</v>
      </c>
      <c r="AC638">
        <v>3</v>
      </c>
      <c r="AD638">
        <v>2</v>
      </c>
      <c r="AE638">
        <v>8</v>
      </c>
      <c r="AF638">
        <v>2</v>
      </c>
      <c r="AG638">
        <v>7</v>
      </c>
      <c r="AH638">
        <v>2</v>
      </c>
      <c r="AI638">
        <f t="shared" si="63"/>
        <v>0</v>
      </c>
      <c r="AJ638" t="str">
        <f t="shared" si="64"/>
        <v>6-10 yrs</v>
      </c>
      <c r="AK638" t="str">
        <f t="shared" si="65"/>
        <v>Overdue</v>
      </c>
      <c r="AL638">
        <f t="shared" si="66"/>
        <v>2</v>
      </c>
      <c r="AM638" t="str">
        <f t="shared" si="67"/>
        <v>Medium Risk</v>
      </c>
      <c r="AN638" s="6">
        <f t="shared" si="68"/>
        <v>0.76545991391066159</v>
      </c>
      <c r="AO638" s="7">
        <f t="shared" si="69"/>
        <v>1020912</v>
      </c>
    </row>
    <row r="639" spans="1:41" x14ac:dyDescent="0.3">
      <c r="A639" t="s">
        <v>706</v>
      </c>
      <c r="B639">
        <v>34</v>
      </c>
      <c r="C639" t="s">
        <v>196</v>
      </c>
      <c r="D639" t="s">
        <v>55</v>
      </c>
      <c r="E639" t="s">
        <v>48</v>
      </c>
      <c r="F639">
        <v>1130</v>
      </c>
      <c r="G639" t="s">
        <v>49</v>
      </c>
      <c r="H639">
        <v>3</v>
      </c>
      <c r="I639">
        <v>3</v>
      </c>
      <c r="J639" t="s">
        <v>50</v>
      </c>
      <c r="K639">
        <v>1658</v>
      </c>
      <c r="L639">
        <v>4</v>
      </c>
      <c r="M639" t="s">
        <v>59</v>
      </c>
      <c r="N639">
        <v>3</v>
      </c>
      <c r="O639">
        <v>2</v>
      </c>
      <c r="P639" t="s">
        <v>67</v>
      </c>
      <c r="Q639">
        <v>2</v>
      </c>
      <c r="R639" t="s">
        <v>53</v>
      </c>
      <c r="S639">
        <v>22545</v>
      </c>
      <c r="T639" t="s">
        <v>54</v>
      </c>
      <c r="U639">
        <v>140.91</v>
      </c>
      <c r="V639">
        <v>1</v>
      </c>
      <c r="W639" t="s">
        <v>55</v>
      </c>
      <c r="X639">
        <v>12</v>
      </c>
      <c r="Y639">
        <v>3</v>
      </c>
      <c r="Z639">
        <v>3</v>
      </c>
      <c r="AA639">
        <v>1</v>
      </c>
      <c r="AB639">
        <v>11</v>
      </c>
      <c r="AC639">
        <v>2</v>
      </c>
      <c r="AD639">
        <v>3</v>
      </c>
      <c r="AE639">
        <v>11</v>
      </c>
      <c r="AF639">
        <v>8</v>
      </c>
      <c r="AG639">
        <v>7</v>
      </c>
      <c r="AH639">
        <v>9</v>
      </c>
      <c r="AI639">
        <f t="shared" si="63"/>
        <v>0</v>
      </c>
      <c r="AJ639" t="str">
        <f t="shared" si="64"/>
        <v>10+ yrs</v>
      </c>
      <c r="AK639" t="str">
        <f t="shared" si="65"/>
        <v>Overdue</v>
      </c>
      <c r="AL639">
        <f t="shared" si="66"/>
        <v>2</v>
      </c>
      <c r="AM639" t="str">
        <f t="shared" si="67"/>
        <v>Medium Risk</v>
      </c>
      <c r="AN639" s="6">
        <f t="shared" si="68"/>
        <v>-0.54788926906511692</v>
      </c>
      <c r="AO639" s="7">
        <f t="shared" si="69"/>
        <v>270540</v>
      </c>
    </row>
    <row r="640" spans="1:41" x14ac:dyDescent="0.3">
      <c r="A640" t="s">
        <v>707</v>
      </c>
      <c r="B640">
        <v>34</v>
      </c>
      <c r="C640" t="s">
        <v>196</v>
      </c>
      <c r="D640" t="s">
        <v>55</v>
      </c>
      <c r="E640" t="s">
        <v>48</v>
      </c>
      <c r="F640">
        <v>1157</v>
      </c>
      <c r="G640" t="s">
        <v>49</v>
      </c>
      <c r="H640">
        <v>5</v>
      </c>
      <c r="I640">
        <v>2</v>
      </c>
      <c r="J640" t="s">
        <v>58</v>
      </c>
      <c r="K640">
        <v>1696</v>
      </c>
      <c r="L640">
        <v>2</v>
      </c>
      <c r="M640" t="s">
        <v>51</v>
      </c>
      <c r="N640">
        <v>2</v>
      </c>
      <c r="O640">
        <v>2</v>
      </c>
      <c r="P640" t="s">
        <v>52</v>
      </c>
      <c r="Q640">
        <v>4</v>
      </c>
      <c r="R640" t="s">
        <v>113</v>
      </c>
      <c r="S640">
        <v>22689</v>
      </c>
      <c r="T640" t="s">
        <v>54</v>
      </c>
      <c r="U640">
        <v>141.81</v>
      </c>
      <c r="V640">
        <v>1</v>
      </c>
      <c r="W640" t="s">
        <v>55</v>
      </c>
      <c r="X640">
        <v>14</v>
      </c>
      <c r="Y640">
        <v>3</v>
      </c>
      <c r="Z640">
        <v>3</v>
      </c>
      <c r="AA640">
        <v>1</v>
      </c>
      <c r="AB640">
        <v>15</v>
      </c>
      <c r="AC640">
        <v>3</v>
      </c>
      <c r="AD640">
        <v>4</v>
      </c>
      <c r="AE640">
        <v>15</v>
      </c>
      <c r="AF640">
        <v>10</v>
      </c>
      <c r="AG640">
        <v>4</v>
      </c>
      <c r="AH640">
        <v>13</v>
      </c>
      <c r="AI640">
        <f t="shared" si="63"/>
        <v>0</v>
      </c>
      <c r="AJ640" t="str">
        <f t="shared" si="64"/>
        <v>10+ yrs</v>
      </c>
      <c r="AK640" t="str">
        <f t="shared" si="65"/>
        <v>Overdue</v>
      </c>
      <c r="AL640">
        <f t="shared" si="66"/>
        <v>1</v>
      </c>
      <c r="AM640" t="str">
        <f t="shared" si="67"/>
        <v>Low Risk</v>
      </c>
      <c r="AN640" s="6">
        <f t="shared" si="68"/>
        <v>-0.56131598091467849</v>
      </c>
      <c r="AO640" s="7">
        <f t="shared" si="69"/>
        <v>272268</v>
      </c>
    </row>
    <row r="641" spans="1:41" x14ac:dyDescent="0.3">
      <c r="A641" t="s">
        <v>708</v>
      </c>
      <c r="B641">
        <v>34</v>
      </c>
      <c r="C641" t="s">
        <v>196</v>
      </c>
      <c r="D641" t="s">
        <v>55</v>
      </c>
      <c r="E641" t="s">
        <v>48</v>
      </c>
      <c r="F641">
        <v>678</v>
      </c>
      <c r="G641" t="s">
        <v>49</v>
      </c>
      <c r="H641">
        <v>19</v>
      </c>
      <c r="I641">
        <v>3</v>
      </c>
      <c r="J641" t="s">
        <v>50</v>
      </c>
      <c r="K641">
        <v>1701</v>
      </c>
      <c r="L641">
        <v>2</v>
      </c>
      <c r="M641" t="s">
        <v>59</v>
      </c>
      <c r="N641">
        <v>2</v>
      </c>
      <c r="O641">
        <v>1</v>
      </c>
      <c r="P641" t="s">
        <v>67</v>
      </c>
      <c r="Q641">
        <v>4</v>
      </c>
      <c r="R641" t="s">
        <v>113</v>
      </c>
      <c r="S641">
        <v>12174</v>
      </c>
      <c r="T641" t="s">
        <v>54</v>
      </c>
      <c r="U641">
        <v>76.09</v>
      </c>
      <c r="V641">
        <v>1</v>
      </c>
      <c r="W641" t="s">
        <v>55</v>
      </c>
      <c r="X641">
        <v>12</v>
      </c>
      <c r="Y641">
        <v>3</v>
      </c>
      <c r="Z641">
        <v>2</v>
      </c>
      <c r="AA641">
        <v>0</v>
      </c>
      <c r="AB641">
        <v>10</v>
      </c>
      <c r="AC641">
        <v>3</v>
      </c>
      <c r="AD641">
        <v>3</v>
      </c>
      <c r="AE641">
        <v>10</v>
      </c>
      <c r="AF641">
        <v>9</v>
      </c>
      <c r="AG641">
        <v>8</v>
      </c>
      <c r="AH641">
        <v>7</v>
      </c>
      <c r="AI641">
        <f t="shared" si="63"/>
        <v>0</v>
      </c>
      <c r="AJ641" t="str">
        <f t="shared" si="64"/>
        <v>6-10 yrs</v>
      </c>
      <c r="AK641" t="str">
        <f t="shared" si="65"/>
        <v>Overdue</v>
      </c>
      <c r="AL641">
        <f t="shared" si="66"/>
        <v>1</v>
      </c>
      <c r="AM641" t="str">
        <f t="shared" si="67"/>
        <v>Low Risk</v>
      </c>
      <c r="AN641" s="6">
        <f t="shared" si="68"/>
        <v>-0.75586622140602056</v>
      </c>
      <c r="AO641" s="7">
        <f t="shared" si="69"/>
        <v>146088</v>
      </c>
    </row>
    <row r="642" spans="1:41" x14ac:dyDescent="0.3">
      <c r="A642" t="s">
        <v>709</v>
      </c>
      <c r="B642">
        <v>34</v>
      </c>
      <c r="C642" t="s">
        <v>196</v>
      </c>
      <c r="D642" t="s">
        <v>55</v>
      </c>
      <c r="E642" t="s">
        <v>48</v>
      </c>
      <c r="F642">
        <v>181</v>
      </c>
      <c r="G642" t="s">
        <v>49</v>
      </c>
      <c r="H642">
        <v>2</v>
      </c>
      <c r="I642">
        <v>4</v>
      </c>
      <c r="J642" t="s">
        <v>58</v>
      </c>
      <c r="K642">
        <v>1755</v>
      </c>
      <c r="L642">
        <v>4</v>
      </c>
      <c r="M642" t="s">
        <v>51</v>
      </c>
      <c r="N642">
        <v>4</v>
      </c>
      <c r="O642">
        <v>1</v>
      </c>
      <c r="P642" t="s">
        <v>67</v>
      </c>
      <c r="Q642">
        <v>4</v>
      </c>
      <c r="R642" t="s">
        <v>113</v>
      </c>
      <c r="S642">
        <v>89461</v>
      </c>
      <c r="T642" t="s">
        <v>70</v>
      </c>
      <c r="U642">
        <v>559.13</v>
      </c>
      <c r="V642">
        <v>0</v>
      </c>
      <c r="W642" t="s">
        <v>47</v>
      </c>
      <c r="X642">
        <v>14</v>
      </c>
      <c r="Y642">
        <v>3</v>
      </c>
      <c r="Z642">
        <v>1</v>
      </c>
      <c r="AA642">
        <v>3</v>
      </c>
      <c r="AB642">
        <v>6</v>
      </c>
      <c r="AC642">
        <v>3</v>
      </c>
      <c r="AD642">
        <v>3</v>
      </c>
      <c r="AE642">
        <v>5</v>
      </c>
      <c r="AF642">
        <v>0</v>
      </c>
      <c r="AG642">
        <v>1</v>
      </c>
      <c r="AH642">
        <v>2</v>
      </c>
      <c r="AI642">
        <f t="shared" ref="AI642:AI705" si="70">IF(D642="Yes",1,0)</f>
        <v>0</v>
      </c>
      <c r="AJ642" t="str">
        <f t="shared" ref="AJ642:AJ705" si="71">IF(AE642&lt;=1,"0-1 yr",IF(AE642&lt;=3,"2-3 yrs",IF(AE642&lt;=5,"4-5 yrs",IF(AE642&lt;=10,"6-10 yrs","10+ yrs"))))</f>
        <v>4-5 yrs</v>
      </c>
      <c r="AK642" t="str">
        <f t="shared" ref="AK642:AK705" si="72">IF(AG642&gt;=3,"Overdue","Recent")</f>
        <v>Recent</v>
      </c>
      <c r="AL642">
        <f t="shared" ref="AL642:AL705" si="73">IF(W642="Yes",1,0)+IF(AD642&lt;=2,1,0)+IF(Q642&lt;=2,1,0)+IF(AG642&gt;=3,1,0)</f>
        <v>1</v>
      </c>
      <c r="AM642" t="str">
        <f t="shared" ref="AM642:AM705" si="74">IF(AL642&gt;=3,"High Risk",IF(AL642=2,"Medium Risk",IF(AL642=1,"Low Risk","Minimal Risk")))</f>
        <v>Low Risk</v>
      </c>
      <c r="AN642" s="6">
        <f t="shared" ref="AN642:AN705" si="75">IFERROR((S642-AVERAGEIF(P$2:P$1479,P642,S$2:S$1479))/AVERAGEIF(P$2:P$1479,P642,S$2:S$1479),0)</f>
        <v>0.79402431138458973</v>
      </c>
      <c r="AO642" s="7">
        <f t="shared" ref="AO642:AO705" si="76">S642*12</f>
        <v>1073532</v>
      </c>
    </row>
    <row r="643" spans="1:41" x14ac:dyDescent="0.3">
      <c r="A643" t="s">
        <v>710</v>
      </c>
      <c r="B643">
        <v>34</v>
      </c>
      <c r="C643" t="s">
        <v>196</v>
      </c>
      <c r="D643" t="s">
        <v>55</v>
      </c>
      <c r="E643" t="s">
        <v>66</v>
      </c>
      <c r="F643">
        <v>1375</v>
      </c>
      <c r="G643" t="s">
        <v>63</v>
      </c>
      <c r="H643">
        <v>10</v>
      </c>
      <c r="I643">
        <v>3</v>
      </c>
      <c r="J643" t="s">
        <v>50</v>
      </c>
      <c r="K643">
        <v>1774</v>
      </c>
      <c r="L643">
        <v>4</v>
      </c>
      <c r="M643" t="s">
        <v>51</v>
      </c>
      <c r="N643">
        <v>3</v>
      </c>
      <c r="O643">
        <v>2</v>
      </c>
      <c r="P643" t="s">
        <v>145</v>
      </c>
      <c r="Q643">
        <v>3</v>
      </c>
      <c r="R643" t="s">
        <v>53</v>
      </c>
      <c r="S643">
        <v>10348</v>
      </c>
      <c r="T643" t="s">
        <v>54</v>
      </c>
      <c r="U643">
        <v>64.680000000000007</v>
      </c>
      <c r="V643">
        <v>1</v>
      </c>
      <c r="W643" t="s">
        <v>47</v>
      </c>
      <c r="X643">
        <v>14</v>
      </c>
      <c r="Y643">
        <v>3</v>
      </c>
      <c r="Z643">
        <v>3</v>
      </c>
      <c r="AA643">
        <v>1</v>
      </c>
      <c r="AB643">
        <v>15</v>
      </c>
      <c r="AC643">
        <v>3</v>
      </c>
      <c r="AD643">
        <v>3</v>
      </c>
      <c r="AE643">
        <v>15</v>
      </c>
      <c r="AF643">
        <v>14</v>
      </c>
      <c r="AG643">
        <v>0</v>
      </c>
      <c r="AH643">
        <v>7</v>
      </c>
      <c r="AI643">
        <f t="shared" si="70"/>
        <v>0</v>
      </c>
      <c r="AJ643" t="str">
        <f t="shared" si="71"/>
        <v>10+ yrs</v>
      </c>
      <c r="AK643" t="str">
        <f t="shared" si="72"/>
        <v>Recent</v>
      </c>
      <c r="AL643">
        <f t="shared" si="73"/>
        <v>1</v>
      </c>
      <c r="AM643" t="str">
        <f t="shared" si="74"/>
        <v>Low Risk</v>
      </c>
      <c r="AN643" s="6">
        <f t="shared" si="75"/>
        <v>-0.78906587281642859</v>
      </c>
      <c r="AO643" s="7">
        <f t="shared" si="76"/>
        <v>124176</v>
      </c>
    </row>
    <row r="644" spans="1:41" x14ac:dyDescent="0.3">
      <c r="A644" t="s">
        <v>711</v>
      </c>
      <c r="B644">
        <v>34</v>
      </c>
      <c r="C644" t="s">
        <v>196</v>
      </c>
      <c r="D644" t="s">
        <v>55</v>
      </c>
      <c r="E644" t="s">
        <v>48</v>
      </c>
      <c r="F644">
        <v>511</v>
      </c>
      <c r="G644" t="s">
        <v>63</v>
      </c>
      <c r="H644">
        <v>3</v>
      </c>
      <c r="I644">
        <v>2</v>
      </c>
      <c r="J644" t="s">
        <v>50</v>
      </c>
      <c r="K644">
        <v>1779</v>
      </c>
      <c r="L644">
        <v>4</v>
      </c>
      <c r="M644" t="s">
        <v>59</v>
      </c>
      <c r="N644">
        <v>1</v>
      </c>
      <c r="O644">
        <v>2</v>
      </c>
      <c r="P644" t="s">
        <v>145</v>
      </c>
      <c r="Q644">
        <v>4</v>
      </c>
      <c r="R644" t="s">
        <v>53</v>
      </c>
      <c r="S644">
        <v>24714</v>
      </c>
      <c r="T644" t="s">
        <v>54</v>
      </c>
      <c r="U644">
        <v>154.46</v>
      </c>
      <c r="V644">
        <v>5</v>
      </c>
      <c r="W644" t="s">
        <v>55</v>
      </c>
      <c r="X644">
        <v>12</v>
      </c>
      <c r="Y644">
        <v>3</v>
      </c>
      <c r="Z644">
        <v>1</v>
      </c>
      <c r="AA644">
        <v>0</v>
      </c>
      <c r="AB644">
        <v>6</v>
      </c>
      <c r="AC644">
        <v>3</v>
      </c>
      <c r="AD644">
        <v>3</v>
      </c>
      <c r="AE644">
        <v>2</v>
      </c>
      <c r="AF644">
        <v>2</v>
      </c>
      <c r="AG644">
        <v>2</v>
      </c>
      <c r="AH644">
        <v>2</v>
      </c>
      <c r="AI644">
        <f t="shared" si="70"/>
        <v>0</v>
      </c>
      <c r="AJ644" t="str">
        <f t="shared" si="71"/>
        <v>2-3 yrs</v>
      </c>
      <c r="AK644" t="str">
        <f t="shared" si="72"/>
        <v>Recent</v>
      </c>
      <c r="AL644">
        <f t="shared" si="73"/>
        <v>0</v>
      </c>
      <c r="AM644" t="str">
        <f t="shared" si="74"/>
        <v>Minimal Risk</v>
      </c>
      <c r="AN644" s="6">
        <f t="shared" si="75"/>
        <v>-0.49622864135922073</v>
      </c>
      <c r="AO644" s="7">
        <f t="shared" si="76"/>
        <v>296568</v>
      </c>
    </row>
    <row r="645" spans="1:41" x14ac:dyDescent="0.3">
      <c r="A645" t="s">
        <v>712</v>
      </c>
      <c r="B645">
        <v>34</v>
      </c>
      <c r="C645" t="s">
        <v>196</v>
      </c>
      <c r="D645" t="s">
        <v>47</v>
      </c>
      <c r="E645" t="s">
        <v>62</v>
      </c>
      <c r="F645">
        <v>234</v>
      </c>
      <c r="G645" t="s">
        <v>49</v>
      </c>
      <c r="H645">
        <v>9</v>
      </c>
      <c r="I645">
        <v>4</v>
      </c>
      <c r="J645" t="s">
        <v>50</v>
      </c>
      <c r="K645">
        <v>1807</v>
      </c>
      <c r="L645">
        <v>4</v>
      </c>
      <c r="M645" t="s">
        <v>51</v>
      </c>
      <c r="N645">
        <v>3</v>
      </c>
      <c r="O645">
        <v>2</v>
      </c>
      <c r="P645" t="s">
        <v>52</v>
      </c>
      <c r="Q645">
        <v>1</v>
      </c>
      <c r="R645" t="s">
        <v>113</v>
      </c>
      <c r="S645">
        <v>39102</v>
      </c>
      <c r="T645" t="s">
        <v>72</v>
      </c>
      <c r="U645">
        <v>244.39</v>
      </c>
      <c r="V645">
        <v>4</v>
      </c>
      <c r="W645" t="s">
        <v>55</v>
      </c>
      <c r="X645">
        <v>17</v>
      </c>
      <c r="Y645">
        <v>3</v>
      </c>
      <c r="Z645">
        <v>3</v>
      </c>
      <c r="AA645">
        <v>1</v>
      </c>
      <c r="AB645">
        <v>11</v>
      </c>
      <c r="AC645">
        <v>3</v>
      </c>
      <c r="AD645">
        <v>2</v>
      </c>
      <c r="AE645">
        <v>7</v>
      </c>
      <c r="AF645">
        <v>1</v>
      </c>
      <c r="AG645">
        <v>0</v>
      </c>
      <c r="AH645">
        <v>7</v>
      </c>
      <c r="AI645">
        <f t="shared" si="70"/>
        <v>1</v>
      </c>
      <c r="AJ645" t="str">
        <f t="shared" si="71"/>
        <v>6-10 yrs</v>
      </c>
      <c r="AK645" t="str">
        <f t="shared" si="72"/>
        <v>Recent</v>
      </c>
      <c r="AL645">
        <f t="shared" si="73"/>
        <v>2</v>
      </c>
      <c r="AM645" t="str">
        <f t="shared" si="74"/>
        <v>Medium Risk</v>
      </c>
      <c r="AN645" s="6">
        <f t="shared" si="75"/>
        <v>-0.24397626540287187</v>
      </c>
      <c r="AO645" s="7">
        <f t="shared" si="76"/>
        <v>469224</v>
      </c>
    </row>
    <row r="646" spans="1:41" x14ac:dyDescent="0.3">
      <c r="A646" t="s">
        <v>713</v>
      </c>
      <c r="B646">
        <v>34</v>
      </c>
      <c r="C646" t="s">
        <v>196</v>
      </c>
      <c r="D646" t="s">
        <v>55</v>
      </c>
      <c r="E646" t="s">
        <v>48</v>
      </c>
      <c r="F646">
        <v>810</v>
      </c>
      <c r="G646" t="s">
        <v>63</v>
      </c>
      <c r="H646">
        <v>8</v>
      </c>
      <c r="I646">
        <v>2</v>
      </c>
      <c r="J646" t="s">
        <v>77</v>
      </c>
      <c r="K646">
        <v>1823</v>
      </c>
      <c r="L646">
        <v>2</v>
      </c>
      <c r="M646" t="s">
        <v>51</v>
      </c>
      <c r="N646">
        <v>4</v>
      </c>
      <c r="O646">
        <v>2</v>
      </c>
      <c r="P646" t="s">
        <v>145</v>
      </c>
      <c r="Q646">
        <v>3</v>
      </c>
      <c r="R646" t="s">
        <v>113</v>
      </c>
      <c r="S646">
        <v>75460</v>
      </c>
      <c r="T646" t="s">
        <v>64</v>
      </c>
      <c r="U646">
        <v>471.62</v>
      </c>
      <c r="V646">
        <v>1</v>
      </c>
      <c r="W646" t="s">
        <v>55</v>
      </c>
      <c r="X646">
        <v>21</v>
      </c>
      <c r="Y646">
        <v>4</v>
      </c>
      <c r="Z646">
        <v>3</v>
      </c>
      <c r="AA646">
        <v>2</v>
      </c>
      <c r="AB646">
        <v>10</v>
      </c>
      <c r="AC646">
        <v>5</v>
      </c>
      <c r="AD646">
        <v>3</v>
      </c>
      <c r="AE646">
        <v>10</v>
      </c>
      <c r="AF646">
        <v>8</v>
      </c>
      <c r="AG646">
        <v>4</v>
      </c>
      <c r="AH646">
        <v>8</v>
      </c>
      <c r="AI646">
        <f t="shared" si="70"/>
        <v>0</v>
      </c>
      <c r="AJ646" t="str">
        <f t="shared" si="71"/>
        <v>6-10 yrs</v>
      </c>
      <c r="AK646" t="str">
        <f t="shared" si="72"/>
        <v>Overdue</v>
      </c>
      <c r="AL646">
        <f t="shared" si="73"/>
        <v>1</v>
      </c>
      <c r="AM646" t="str">
        <f t="shared" si="74"/>
        <v>Low Risk</v>
      </c>
      <c r="AN646" s="6">
        <f t="shared" si="75"/>
        <v>0.53818025099268441</v>
      </c>
      <c r="AO646" s="7">
        <f t="shared" si="76"/>
        <v>905520</v>
      </c>
    </row>
    <row r="647" spans="1:41" x14ac:dyDescent="0.3">
      <c r="A647" t="s">
        <v>714</v>
      </c>
      <c r="B647">
        <v>34</v>
      </c>
      <c r="C647" t="s">
        <v>196</v>
      </c>
      <c r="D647" t="s">
        <v>55</v>
      </c>
      <c r="E647" t="s">
        <v>48</v>
      </c>
      <c r="F647">
        <v>1480</v>
      </c>
      <c r="G647" t="s">
        <v>63</v>
      </c>
      <c r="H647">
        <v>4</v>
      </c>
      <c r="I647">
        <v>3</v>
      </c>
      <c r="J647" t="s">
        <v>50</v>
      </c>
      <c r="K647">
        <v>1882</v>
      </c>
      <c r="L647">
        <v>3</v>
      </c>
      <c r="M647" t="s">
        <v>51</v>
      </c>
      <c r="N647">
        <v>3</v>
      </c>
      <c r="O647">
        <v>3</v>
      </c>
      <c r="P647" t="s">
        <v>145</v>
      </c>
      <c r="Q647">
        <v>4</v>
      </c>
      <c r="R647" t="s">
        <v>113</v>
      </c>
      <c r="S647">
        <v>90930</v>
      </c>
      <c r="T647" t="s">
        <v>70</v>
      </c>
      <c r="U647">
        <v>568.30999999999995</v>
      </c>
      <c r="V647">
        <v>2</v>
      </c>
      <c r="W647" t="s">
        <v>47</v>
      </c>
      <c r="X647">
        <v>13</v>
      </c>
      <c r="Y647">
        <v>3</v>
      </c>
      <c r="Z647">
        <v>4</v>
      </c>
      <c r="AA647">
        <v>3</v>
      </c>
      <c r="AB647">
        <v>9</v>
      </c>
      <c r="AC647">
        <v>3</v>
      </c>
      <c r="AD647">
        <v>3</v>
      </c>
      <c r="AE647">
        <v>5</v>
      </c>
      <c r="AF647">
        <v>3</v>
      </c>
      <c r="AG647">
        <v>1</v>
      </c>
      <c r="AH647">
        <v>0</v>
      </c>
      <c r="AI647">
        <f t="shared" si="70"/>
        <v>0</v>
      </c>
      <c r="AJ647" t="str">
        <f t="shared" si="71"/>
        <v>4-5 yrs</v>
      </c>
      <c r="AK647" t="str">
        <f t="shared" si="72"/>
        <v>Recent</v>
      </c>
      <c r="AL647">
        <f t="shared" si="73"/>
        <v>1</v>
      </c>
      <c r="AM647" t="str">
        <f t="shared" si="74"/>
        <v>Low Risk</v>
      </c>
      <c r="AN647" s="6">
        <f t="shared" si="75"/>
        <v>0.85352147127968192</v>
      </c>
      <c r="AO647" s="7">
        <f t="shared" si="76"/>
        <v>1091160</v>
      </c>
    </row>
    <row r="648" spans="1:41" x14ac:dyDescent="0.3">
      <c r="A648" t="s">
        <v>715</v>
      </c>
      <c r="B648">
        <v>34</v>
      </c>
      <c r="C648" t="s">
        <v>196</v>
      </c>
      <c r="D648" t="s">
        <v>47</v>
      </c>
      <c r="E648" t="s">
        <v>66</v>
      </c>
      <c r="F648">
        <v>967</v>
      </c>
      <c r="G648" t="s">
        <v>49</v>
      </c>
      <c r="H648">
        <v>16</v>
      </c>
      <c r="I648">
        <v>4</v>
      </c>
      <c r="J648" t="s">
        <v>77</v>
      </c>
      <c r="K648">
        <v>1905</v>
      </c>
      <c r="L648">
        <v>4</v>
      </c>
      <c r="M648" t="s">
        <v>51</v>
      </c>
      <c r="N648">
        <v>1</v>
      </c>
      <c r="O648">
        <v>1</v>
      </c>
      <c r="P648" t="s">
        <v>67</v>
      </c>
      <c r="Q648">
        <v>1</v>
      </c>
      <c r="R648" t="s">
        <v>113</v>
      </c>
      <c r="S648">
        <v>7801</v>
      </c>
      <c r="T648" t="s">
        <v>54</v>
      </c>
      <c r="U648">
        <v>48.76</v>
      </c>
      <c r="V648">
        <v>1</v>
      </c>
      <c r="W648" t="s">
        <v>47</v>
      </c>
      <c r="X648">
        <v>23</v>
      </c>
      <c r="Y648">
        <v>4</v>
      </c>
      <c r="Z648">
        <v>2</v>
      </c>
      <c r="AA648">
        <v>1</v>
      </c>
      <c r="AB648">
        <v>5</v>
      </c>
      <c r="AC648">
        <v>2</v>
      </c>
      <c r="AD648">
        <v>3</v>
      </c>
      <c r="AE648">
        <v>5</v>
      </c>
      <c r="AF648">
        <v>2</v>
      </c>
      <c r="AG648">
        <v>3</v>
      </c>
      <c r="AH648">
        <v>0</v>
      </c>
      <c r="AI648">
        <f t="shared" si="70"/>
        <v>1</v>
      </c>
      <c r="AJ648" t="str">
        <f t="shared" si="71"/>
        <v>4-5 yrs</v>
      </c>
      <c r="AK648" t="str">
        <f t="shared" si="72"/>
        <v>Overdue</v>
      </c>
      <c r="AL648">
        <f t="shared" si="73"/>
        <v>3</v>
      </c>
      <c r="AM648" t="str">
        <f t="shared" si="74"/>
        <v>High Risk</v>
      </c>
      <c r="AN648" s="6">
        <f t="shared" si="75"/>
        <v>-0.84356106400430153</v>
      </c>
      <c r="AO648" s="7">
        <f t="shared" si="76"/>
        <v>93612</v>
      </c>
    </row>
    <row r="649" spans="1:41" x14ac:dyDescent="0.3">
      <c r="A649" t="s">
        <v>716</v>
      </c>
      <c r="B649">
        <v>34</v>
      </c>
      <c r="C649" t="s">
        <v>196</v>
      </c>
      <c r="D649" t="s">
        <v>55</v>
      </c>
      <c r="E649" t="s">
        <v>48</v>
      </c>
      <c r="F649">
        <v>735</v>
      </c>
      <c r="G649" t="s">
        <v>63</v>
      </c>
      <c r="H649">
        <v>3</v>
      </c>
      <c r="I649">
        <v>1</v>
      </c>
      <c r="J649" t="s">
        <v>58</v>
      </c>
      <c r="K649">
        <v>1915</v>
      </c>
      <c r="L649">
        <v>4</v>
      </c>
      <c r="M649" t="s">
        <v>59</v>
      </c>
      <c r="N649">
        <v>2</v>
      </c>
      <c r="O649">
        <v>2</v>
      </c>
      <c r="P649" t="s">
        <v>145</v>
      </c>
      <c r="Q649">
        <v>4</v>
      </c>
      <c r="R649" t="s">
        <v>113</v>
      </c>
      <c r="S649">
        <v>73267</v>
      </c>
      <c r="T649" t="s">
        <v>64</v>
      </c>
      <c r="U649">
        <v>457.92</v>
      </c>
      <c r="V649">
        <v>3</v>
      </c>
      <c r="W649" t="s">
        <v>47</v>
      </c>
      <c r="X649">
        <v>12</v>
      </c>
      <c r="Y649">
        <v>3</v>
      </c>
      <c r="Z649">
        <v>3</v>
      </c>
      <c r="AA649">
        <v>0</v>
      </c>
      <c r="AB649">
        <v>9</v>
      </c>
      <c r="AC649">
        <v>3</v>
      </c>
      <c r="AD649">
        <v>2</v>
      </c>
      <c r="AE649">
        <v>4</v>
      </c>
      <c r="AF649">
        <v>2</v>
      </c>
      <c r="AG649">
        <v>0</v>
      </c>
      <c r="AH649">
        <v>1</v>
      </c>
      <c r="AI649">
        <f t="shared" si="70"/>
        <v>0</v>
      </c>
      <c r="AJ649" t="str">
        <f t="shared" si="71"/>
        <v>4-5 yrs</v>
      </c>
      <c r="AK649" t="str">
        <f t="shared" si="72"/>
        <v>Recent</v>
      </c>
      <c r="AL649">
        <f t="shared" si="73"/>
        <v>2</v>
      </c>
      <c r="AM649" t="str">
        <f t="shared" si="74"/>
        <v>Medium Risk</v>
      </c>
      <c r="AN649" s="6">
        <f t="shared" si="75"/>
        <v>0.49347803405090129</v>
      </c>
      <c r="AO649" s="7">
        <f t="shared" si="76"/>
        <v>879204</v>
      </c>
    </row>
    <row r="650" spans="1:41" x14ac:dyDescent="0.3">
      <c r="A650" t="s">
        <v>717</v>
      </c>
      <c r="B650">
        <v>34</v>
      </c>
      <c r="C650" t="s">
        <v>196</v>
      </c>
      <c r="D650" t="s">
        <v>55</v>
      </c>
      <c r="E650" t="s">
        <v>62</v>
      </c>
      <c r="F650">
        <v>735</v>
      </c>
      <c r="G650" t="s">
        <v>49</v>
      </c>
      <c r="H650">
        <v>22</v>
      </c>
      <c r="I650">
        <v>4</v>
      </c>
      <c r="J650" t="s">
        <v>82</v>
      </c>
      <c r="K650">
        <v>1932</v>
      </c>
      <c r="L650">
        <v>3</v>
      </c>
      <c r="M650" t="s">
        <v>51</v>
      </c>
      <c r="N650">
        <v>2</v>
      </c>
      <c r="O650">
        <v>2</v>
      </c>
      <c r="P650" t="s">
        <v>67</v>
      </c>
      <c r="Q650">
        <v>4</v>
      </c>
      <c r="R650" t="s">
        <v>113</v>
      </c>
      <c r="S650">
        <v>49136</v>
      </c>
      <c r="T650" t="s">
        <v>72</v>
      </c>
      <c r="U650">
        <v>307.10000000000002</v>
      </c>
      <c r="V650">
        <v>1</v>
      </c>
      <c r="W650" t="s">
        <v>47</v>
      </c>
      <c r="X650">
        <v>15</v>
      </c>
      <c r="Y650">
        <v>3</v>
      </c>
      <c r="Z650">
        <v>2</v>
      </c>
      <c r="AA650">
        <v>0</v>
      </c>
      <c r="AB650">
        <v>16</v>
      </c>
      <c r="AC650">
        <v>3</v>
      </c>
      <c r="AD650">
        <v>3</v>
      </c>
      <c r="AE650">
        <v>15</v>
      </c>
      <c r="AF650">
        <v>10</v>
      </c>
      <c r="AG650">
        <v>6</v>
      </c>
      <c r="AH650">
        <v>11</v>
      </c>
      <c r="AI650">
        <f t="shared" si="70"/>
        <v>0</v>
      </c>
      <c r="AJ650" t="str">
        <f t="shared" si="71"/>
        <v>10+ yrs</v>
      </c>
      <c r="AK650" t="str">
        <f t="shared" si="72"/>
        <v>Overdue</v>
      </c>
      <c r="AL650">
        <f t="shared" si="73"/>
        <v>2</v>
      </c>
      <c r="AM650" t="str">
        <f t="shared" si="74"/>
        <v>Medium Risk</v>
      </c>
      <c r="AN650" s="6">
        <f t="shared" si="75"/>
        <v>-1.464125636653737E-2</v>
      </c>
      <c r="AO650" s="7">
        <f t="shared" si="76"/>
        <v>589632</v>
      </c>
    </row>
    <row r="651" spans="1:41" x14ac:dyDescent="0.3">
      <c r="A651" t="s">
        <v>718</v>
      </c>
      <c r="B651">
        <v>34</v>
      </c>
      <c r="C651" t="s">
        <v>196</v>
      </c>
      <c r="D651" t="s">
        <v>55</v>
      </c>
      <c r="E651" t="s">
        <v>48</v>
      </c>
      <c r="F651">
        <v>937</v>
      </c>
      <c r="G651" t="s">
        <v>63</v>
      </c>
      <c r="H651">
        <v>1</v>
      </c>
      <c r="I651">
        <v>3</v>
      </c>
      <c r="J651" t="s">
        <v>63</v>
      </c>
      <c r="K651">
        <v>1950</v>
      </c>
      <c r="L651">
        <v>1</v>
      </c>
      <c r="M651" t="s">
        <v>51</v>
      </c>
      <c r="N651">
        <v>3</v>
      </c>
      <c r="O651">
        <v>3</v>
      </c>
      <c r="P651" t="s">
        <v>145</v>
      </c>
      <c r="Q651">
        <v>4</v>
      </c>
      <c r="R651" t="s">
        <v>53</v>
      </c>
      <c r="S651">
        <v>24625</v>
      </c>
      <c r="T651" t="s">
        <v>54</v>
      </c>
      <c r="U651">
        <v>153.91</v>
      </c>
      <c r="V651">
        <v>1</v>
      </c>
      <c r="W651" t="s">
        <v>55</v>
      </c>
      <c r="X651">
        <v>21</v>
      </c>
      <c r="Y651">
        <v>4</v>
      </c>
      <c r="Z651">
        <v>1</v>
      </c>
      <c r="AA651">
        <v>0</v>
      </c>
      <c r="AB651">
        <v>14</v>
      </c>
      <c r="AC651">
        <v>3</v>
      </c>
      <c r="AD651">
        <v>2</v>
      </c>
      <c r="AE651">
        <v>14</v>
      </c>
      <c r="AF651">
        <v>8</v>
      </c>
      <c r="AG651">
        <v>2</v>
      </c>
      <c r="AH651">
        <v>1</v>
      </c>
      <c r="AI651">
        <f t="shared" si="70"/>
        <v>0</v>
      </c>
      <c r="AJ651" t="str">
        <f t="shared" si="71"/>
        <v>10+ yrs</v>
      </c>
      <c r="AK651" t="str">
        <f t="shared" si="72"/>
        <v>Recent</v>
      </c>
      <c r="AL651">
        <f t="shared" si="73"/>
        <v>1</v>
      </c>
      <c r="AM651" t="str">
        <f t="shared" si="74"/>
        <v>Low Risk</v>
      </c>
      <c r="AN651" s="6">
        <f t="shared" si="75"/>
        <v>-0.498042821618144</v>
      </c>
      <c r="AO651" s="7">
        <f t="shared" si="76"/>
        <v>295500</v>
      </c>
    </row>
    <row r="652" spans="1:41" x14ac:dyDescent="0.3">
      <c r="A652" t="s">
        <v>719</v>
      </c>
      <c r="B652">
        <v>34</v>
      </c>
      <c r="C652" t="s">
        <v>196</v>
      </c>
      <c r="D652" t="s">
        <v>55</v>
      </c>
      <c r="E652" t="s">
        <v>48</v>
      </c>
      <c r="F652">
        <v>1239</v>
      </c>
      <c r="G652" t="s">
        <v>63</v>
      </c>
      <c r="H652">
        <v>13</v>
      </c>
      <c r="I652">
        <v>4</v>
      </c>
      <c r="J652" t="s">
        <v>58</v>
      </c>
      <c r="K652">
        <v>1951</v>
      </c>
      <c r="L652">
        <v>4</v>
      </c>
      <c r="M652" t="s">
        <v>51</v>
      </c>
      <c r="N652">
        <v>3</v>
      </c>
      <c r="O652">
        <v>3</v>
      </c>
      <c r="P652" t="s">
        <v>145</v>
      </c>
      <c r="Q652">
        <v>3</v>
      </c>
      <c r="R652" t="s">
        <v>53</v>
      </c>
      <c r="S652">
        <v>83873</v>
      </c>
      <c r="T652" t="s">
        <v>70</v>
      </c>
      <c r="U652">
        <v>524.21</v>
      </c>
      <c r="V652">
        <v>1</v>
      </c>
      <c r="W652" t="s">
        <v>55</v>
      </c>
      <c r="X652">
        <v>18</v>
      </c>
      <c r="Y652">
        <v>3</v>
      </c>
      <c r="Z652">
        <v>3</v>
      </c>
      <c r="AA652">
        <v>1</v>
      </c>
      <c r="AB652">
        <v>9</v>
      </c>
      <c r="AC652">
        <v>2</v>
      </c>
      <c r="AD652">
        <v>2</v>
      </c>
      <c r="AE652">
        <v>8</v>
      </c>
      <c r="AF652">
        <v>7</v>
      </c>
      <c r="AG652">
        <v>1</v>
      </c>
      <c r="AH652">
        <v>1</v>
      </c>
      <c r="AI652">
        <f t="shared" si="70"/>
        <v>0</v>
      </c>
      <c r="AJ652" t="str">
        <f t="shared" si="71"/>
        <v>6-10 yrs</v>
      </c>
      <c r="AK652" t="str">
        <f t="shared" si="72"/>
        <v>Recent</v>
      </c>
      <c r="AL652">
        <f t="shared" si="73"/>
        <v>1</v>
      </c>
      <c r="AM652" t="str">
        <f t="shared" si="74"/>
        <v>Low Risk</v>
      </c>
      <c r="AN652" s="6">
        <f t="shared" si="75"/>
        <v>0.70967124558056482</v>
      </c>
      <c r="AO652" s="7">
        <f t="shared" si="76"/>
        <v>1006476</v>
      </c>
    </row>
    <row r="653" spans="1:41" x14ac:dyDescent="0.3">
      <c r="A653" t="s">
        <v>720</v>
      </c>
      <c r="B653">
        <v>34</v>
      </c>
      <c r="C653" t="s">
        <v>196</v>
      </c>
      <c r="D653" t="s">
        <v>55</v>
      </c>
      <c r="E653" t="s">
        <v>48</v>
      </c>
      <c r="F653">
        <v>704</v>
      </c>
      <c r="G653" t="s">
        <v>63</v>
      </c>
      <c r="H653">
        <v>28</v>
      </c>
      <c r="I653">
        <v>3</v>
      </c>
      <c r="J653" t="s">
        <v>63</v>
      </c>
      <c r="K653">
        <v>2035</v>
      </c>
      <c r="L653">
        <v>4</v>
      </c>
      <c r="M653" t="s">
        <v>59</v>
      </c>
      <c r="N653">
        <v>2</v>
      </c>
      <c r="O653">
        <v>2</v>
      </c>
      <c r="P653" t="s">
        <v>145</v>
      </c>
      <c r="Q653">
        <v>3</v>
      </c>
      <c r="R653" t="s">
        <v>113</v>
      </c>
      <c r="S653">
        <v>73592</v>
      </c>
      <c r="T653" t="s">
        <v>64</v>
      </c>
      <c r="U653">
        <v>459.95</v>
      </c>
      <c r="V653">
        <v>1</v>
      </c>
      <c r="W653" t="s">
        <v>55</v>
      </c>
      <c r="X653">
        <v>21</v>
      </c>
      <c r="Y653">
        <v>4</v>
      </c>
      <c r="Z653">
        <v>4</v>
      </c>
      <c r="AA653">
        <v>2</v>
      </c>
      <c r="AB653">
        <v>8</v>
      </c>
      <c r="AC653">
        <v>2</v>
      </c>
      <c r="AD653">
        <v>3</v>
      </c>
      <c r="AE653">
        <v>8</v>
      </c>
      <c r="AF653">
        <v>7</v>
      </c>
      <c r="AG653">
        <v>1</v>
      </c>
      <c r="AH653">
        <v>7</v>
      </c>
      <c r="AI653">
        <f t="shared" si="70"/>
        <v>0</v>
      </c>
      <c r="AJ653" t="str">
        <f t="shared" si="71"/>
        <v>6-10 yrs</v>
      </c>
      <c r="AK653" t="str">
        <f t="shared" si="72"/>
        <v>Recent</v>
      </c>
      <c r="AL653">
        <f t="shared" si="73"/>
        <v>0</v>
      </c>
      <c r="AM653" t="str">
        <f t="shared" si="74"/>
        <v>Minimal Risk</v>
      </c>
      <c r="AN653" s="6">
        <f t="shared" si="75"/>
        <v>0.5001028496031491</v>
      </c>
      <c r="AO653" s="7">
        <f t="shared" si="76"/>
        <v>883104</v>
      </c>
    </row>
    <row r="654" spans="1:41" x14ac:dyDescent="0.3">
      <c r="A654" t="s">
        <v>721</v>
      </c>
      <c r="B654">
        <v>34</v>
      </c>
      <c r="C654" t="s">
        <v>196</v>
      </c>
      <c r="D654" t="s">
        <v>55</v>
      </c>
      <c r="E654" t="s">
        <v>48</v>
      </c>
      <c r="F654">
        <v>628</v>
      </c>
      <c r="G654" t="s">
        <v>49</v>
      </c>
      <c r="H654">
        <v>8</v>
      </c>
      <c r="I654">
        <v>3</v>
      </c>
      <c r="J654" t="s">
        <v>58</v>
      </c>
      <c r="K654">
        <v>2068</v>
      </c>
      <c r="L654">
        <v>2</v>
      </c>
      <c r="M654" t="s">
        <v>51</v>
      </c>
      <c r="N654">
        <v>4</v>
      </c>
      <c r="O654">
        <v>2</v>
      </c>
      <c r="P654" t="s">
        <v>52</v>
      </c>
      <c r="Q654">
        <v>3</v>
      </c>
      <c r="R654" t="s">
        <v>113</v>
      </c>
      <c r="S654">
        <v>78052</v>
      </c>
      <c r="T654" t="s">
        <v>64</v>
      </c>
      <c r="U654">
        <v>487.82</v>
      </c>
      <c r="V654">
        <v>2</v>
      </c>
      <c r="W654" t="s">
        <v>55</v>
      </c>
      <c r="X654">
        <v>12</v>
      </c>
      <c r="Y654">
        <v>3</v>
      </c>
      <c r="Z654">
        <v>1</v>
      </c>
      <c r="AA654">
        <v>0</v>
      </c>
      <c r="AB654">
        <v>6</v>
      </c>
      <c r="AC654">
        <v>3</v>
      </c>
      <c r="AD654">
        <v>4</v>
      </c>
      <c r="AE654">
        <v>4</v>
      </c>
      <c r="AF654">
        <v>3</v>
      </c>
      <c r="AG654">
        <v>1</v>
      </c>
      <c r="AH654">
        <v>2</v>
      </c>
      <c r="AI654">
        <f t="shared" si="70"/>
        <v>0</v>
      </c>
      <c r="AJ654" t="str">
        <f t="shared" si="71"/>
        <v>4-5 yrs</v>
      </c>
      <c r="AK654" t="str">
        <f t="shared" si="72"/>
        <v>Recent</v>
      </c>
      <c r="AL654">
        <f t="shared" si="73"/>
        <v>0</v>
      </c>
      <c r="AM654" t="str">
        <f t="shared" si="74"/>
        <v>Minimal Risk</v>
      </c>
      <c r="AN654" s="6">
        <f t="shared" si="75"/>
        <v>0.50910860142128389</v>
      </c>
      <c r="AO654" s="7">
        <f t="shared" si="76"/>
        <v>936624</v>
      </c>
    </row>
    <row r="655" spans="1:41" x14ac:dyDescent="0.3">
      <c r="A655" t="s">
        <v>721</v>
      </c>
      <c r="B655">
        <v>34</v>
      </c>
      <c r="C655" t="s">
        <v>196</v>
      </c>
      <c r="D655" t="s">
        <v>55</v>
      </c>
      <c r="E655" t="s">
        <v>48</v>
      </c>
      <c r="F655">
        <v>628</v>
      </c>
      <c r="G655" t="s">
        <v>49</v>
      </c>
      <c r="H655">
        <v>8</v>
      </c>
      <c r="I655">
        <v>3</v>
      </c>
      <c r="J655" t="s">
        <v>58</v>
      </c>
      <c r="K655">
        <v>2068</v>
      </c>
      <c r="L655">
        <v>2</v>
      </c>
      <c r="M655" t="s">
        <v>51</v>
      </c>
      <c r="N655">
        <v>4</v>
      </c>
      <c r="O655">
        <v>2</v>
      </c>
      <c r="P655" t="s">
        <v>52</v>
      </c>
      <c r="Q655">
        <v>3</v>
      </c>
      <c r="R655" t="s">
        <v>113</v>
      </c>
      <c r="S655">
        <v>45261</v>
      </c>
      <c r="T655" t="s">
        <v>72</v>
      </c>
      <c r="U655">
        <v>282.88</v>
      </c>
      <c r="V655">
        <v>2</v>
      </c>
      <c r="W655" t="s">
        <v>55</v>
      </c>
      <c r="X655">
        <v>12</v>
      </c>
      <c r="Y655">
        <v>3</v>
      </c>
      <c r="Z655">
        <v>1</v>
      </c>
      <c r="AA655">
        <v>0</v>
      </c>
      <c r="AB655">
        <v>6</v>
      </c>
      <c r="AC655">
        <v>3</v>
      </c>
      <c r="AD655">
        <v>4</v>
      </c>
      <c r="AE655">
        <v>4</v>
      </c>
      <c r="AF655">
        <v>3</v>
      </c>
      <c r="AG655">
        <v>1</v>
      </c>
      <c r="AH655">
        <v>2</v>
      </c>
      <c r="AI655">
        <f t="shared" si="70"/>
        <v>0</v>
      </c>
      <c r="AJ655" t="str">
        <f t="shared" si="71"/>
        <v>4-5 yrs</v>
      </c>
      <c r="AK655" t="str">
        <f t="shared" si="72"/>
        <v>Recent</v>
      </c>
      <c r="AL655">
        <f t="shared" si="73"/>
        <v>0</v>
      </c>
      <c r="AM655" t="str">
        <f t="shared" si="74"/>
        <v>Minimal Risk</v>
      </c>
      <c r="AN655" s="6">
        <f t="shared" si="75"/>
        <v>-0.12489411662828971</v>
      </c>
      <c r="AO655" s="7">
        <f t="shared" si="76"/>
        <v>543132</v>
      </c>
    </row>
    <row r="656" spans="1:41" x14ac:dyDescent="0.3">
      <c r="A656" t="s">
        <v>722</v>
      </c>
      <c r="B656">
        <v>35</v>
      </c>
      <c r="C656" t="s">
        <v>196</v>
      </c>
      <c r="D656" t="s">
        <v>55</v>
      </c>
      <c r="E656" t="s">
        <v>48</v>
      </c>
      <c r="F656">
        <v>809</v>
      </c>
      <c r="G656" t="s">
        <v>49</v>
      </c>
      <c r="H656">
        <v>16</v>
      </c>
      <c r="I656">
        <v>3</v>
      </c>
      <c r="J656" t="s">
        <v>58</v>
      </c>
      <c r="K656">
        <v>14</v>
      </c>
      <c r="L656">
        <v>1</v>
      </c>
      <c r="M656" t="s">
        <v>51</v>
      </c>
      <c r="N656">
        <v>4</v>
      </c>
      <c r="O656">
        <v>1</v>
      </c>
      <c r="P656" t="s">
        <v>52</v>
      </c>
      <c r="Q656">
        <v>2</v>
      </c>
      <c r="R656" t="s">
        <v>113</v>
      </c>
      <c r="S656">
        <v>2542</v>
      </c>
      <c r="T656" t="s">
        <v>54</v>
      </c>
      <c r="U656">
        <v>15.89</v>
      </c>
      <c r="V656">
        <v>0</v>
      </c>
      <c r="W656" t="s">
        <v>55</v>
      </c>
      <c r="X656">
        <v>13</v>
      </c>
      <c r="Y656">
        <v>3</v>
      </c>
      <c r="Z656">
        <v>3</v>
      </c>
      <c r="AA656">
        <v>1</v>
      </c>
      <c r="AB656">
        <v>6</v>
      </c>
      <c r="AC656">
        <v>5</v>
      </c>
      <c r="AD656">
        <v>3</v>
      </c>
      <c r="AE656">
        <v>5</v>
      </c>
      <c r="AF656">
        <v>4</v>
      </c>
      <c r="AG656">
        <v>0</v>
      </c>
      <c r="AH656">
        <v>3</v>
      </c>
      <c r="AI656">
        <f t="shared" si="70"/>
        <v>0</v>
      </c>
      <c r="AJ656" t="str">
        <f t="shared" si="71"/>
        <v>4-5 yrs</v>
      </c>
      <c r="AK656" t="str">
        <f t="shared" si="72"/>
        <v>Recent</v>
      </c>
      <c r="AL656">
        <f t="shared" si="73"/>
        <v>1</v>
      </c>
      <c r="AM656" t="str">
        <f t="shared" si="74"/>
        <v>Low Risk</v>
      </c>
      <c r="AN656" s="6">
        <f t="shared" si="75"/>
        <v>-0.95085130342831825</v>
      </c>
      <c r="AO656" s="7">
        <f t="shared" si="76"/>
        <v>30504</v>
      </c>
    </row>
    <row r="657" spans="1:41" x14ac:dyDescent="0.3">
      <c r="A657" t="s">
        <v>723</v>
      </c>
      <c r="B657">
        <v>35</v>
      </c>
      <c r="C657" t="s">
        <v>196</v>
      </c>
      <c r="D657" t="s">
        <v>55</v>
      </c>
      <c r="E657" t="s">
        <v>48</v>
      </c>
      <c r="F657">
        <v>890</v>
      </c>
      <c r="G657" t="s">
        <v>63</v>
      </c>
      <c r="H657">
        <v>2</v>
      </c>
      <c r="I657">
        <v>3</v>
      </c>
      <c r="J657" t="s">
        <v>63</v>
      </c>
      <c r="K657">
        <v>49</v>
      </c>
      <c r="L657">
        <v>4</v>
      </c>
      <c r="M657" t="s">
        <v>59</v>
      </c>
      <c r="N657">
        <v>3</v>
      </c>
      <c r="O657">
        <v>1</v>
      </c>
      <c r="P657" t="s">
        <v>60</v>
      </c>
      <c r="Q657">
        <v>4</v>
      </c>
      <c r="R657" t="s">
        <v>113</v>
      </c>
      <c r="S657">
        <v>22677</v>
      </c>
      <c r="T657" t="s">
        <v>54</v>
      </c>
      <c r="U657">
        <v>141.72999999999999</v>
      </c>
      <c r="V657">
        <v>1</v>
      </c>
      <c r="W657" t="s">
        <v>55</v>
      </c>
      <c r="X657">
        <v>13</v>
      </c>
      <c r="Y657">
        <v>3</v>
      </c>
      <c r="Z657">
        <v>1</v>
      </c>
      <c r="AA657">
        <v>0</v>
      </c>
      <c r="AB657">
        <v>2</v>
      </c>
      <c r="AC657">
        <v>3</v>
      </c>
      <c r="AD657">
        <v>3</v>
      </c>
      <c r="AE657">
        <v>2</v>
      </c>
      <c r="AF657">
        <v>2</v>
      </c>
      <c r="AG657">
        <v>2</v>
      </c>
      <c r="AH657">
        <v>2</v>
      </c>
      <c r="AI657">
        <f t="shared" si="70"/>
        <v>0</v>
      </c>
      <c r="AJ657" t="str">
        <f t="shared" si="71"/>
        <v>2-3 yrs</v>
      </c>
      <c r="AK657" t="str">
        <f t="shared" si="72"/>
        <v>Recent</v>
      </c>
      <c r="AL657">
        <f t="shared" si="73"/>
        <v>0</v>
      </c>
      <c r="AM657" t="str">
        <f t="shared" si="74"/>
        <v>Minimal Risk</v>
      </c>
      <c r="AN657" s="6">
        <f t="shared" si="75"/>
        <v>-0.54027017575446168</v>
      </c>
      <c r="AO657" s="7">
        <f t="shared" si="76"/>
        <v>272124</v>
      </c>
    </row>
    <row r="658" spans="1:41" x14ac:dyDescent="0.3">
      <c r="A658" t="s">
        <v>724</v>
      </c>
      <c r="B658">
        <v>35</v>
      </c>
      <c r="C658" t="s">
        <v>196</v>
      </c>
      <c r="D658" t="s">
        <v>55</v>
      </c>
      <c r="E658" t="s">
        <v>48</v>
      </c>
      <c r="F658">
        <v>464</v>
      </c>
      <c r="G658" t="s">
        <v>49</v>
      </c>
      <c r="H658">
        <v>4</v>
      </c>
      <c r="I658">
        <v>2</v>
      </c>
      <c r="J658" t="s">
        <v>82</v>
      </c>
      <c r="K658">
        <v>53</v>
      </c>
      <c r="L658">
        <v>3</v>
      </c>
      <c r="M658" t="s">
        <v>51</v>
      </c>
      <c r="N658">
        <v>3</v>
      </c>
      <c r="O658">
        <v>1</v>
      </c>
      <c r="P658" t="s">
        <v>52</v>
      </c>
      <c r="Q658">
        <v>4</v>
      </c>
      <c r="R658" t="s">
        <v>53</v>
      </c>
      <c r="S658">
        <v>47732</v>
      </c>
      <c r="T658" t="s">
        <v>72</v>
      </c>
      <c r="U658">
        <v>298.32</v>
      </c>
      <c r="V658">
        <v>1</v>
      </c>
      <c r="W658" t="s">
        <v>55</v>
      </c>
      <c r="X658">
        <v>12</v>
      </c>
      <c r="Y658">
        <v>3</v>
      </c>
      <c r="Z658">
        <v>3</v>
      </c>
      <c r="AA658">
        <v>1</v>
      </c>
      <c r="AB658">
        <v>1</v>
      </c>
      <c r="AC658">
        <v>3</v>
      </c>
      <c r="AD658">
        <v>3</v>
      </c>
      <c r="AE658">
        <v>1</v>
      </c>
      <c r="AF658">
        <v>0</v>
      </c>
      <c r="AG658">
        <v>0</v>
      </c>
      <c r="AH658">
        <v>0</v>
      </c>
      <c r="AI658">
        <f t="shared" si="70"/>
        <v>0</v>
      </c>
      <c r="AJ658" t="str">
        <f t="shared" si="71"/>
        <v>0-1 yr</v>
      </c>
      <c r="AK658" t="str">
        <f t="shared" si="72"/>
        <v>Recent</v>
      </c>
      <c r="AL658">
        <f t="shared" si="73"/>
        <v>0</v>
      </c>
      <c r="AM658" t="str">
        <f t="shared" si="74"/>
        <v>Minimal Risk</v>
      </c>
      <c r="AN658" s="6">
        <f t="shared" si="75"/>
        <v>-7.7118180661088456E-2</v>
      </c>
      <c r="AO658" s="7">
        <f t="shared" si="76"/>
        <v>572784</v>
      </c>
    </row>
    <row r="659" spans="1:41" x14ac:dyDescent="0.3">
      <c r="A659" t="s">
        <v>725</v>
      </c>
      <c r="B659">
        <v>35</v>
      </c>
      <c r="C659" t="s">
        <v>196</v>
      </c>
      <c r="D659" t="s">
        <v>55</v>
      </c>
      <c r="E659" t="s">
        <v>48</v>
      </c>
      <c r="F659">
        <v>1229</v>
      </c>
      <c r="G659" t="s">
        <v>49</v>
      </c>
      <c r="H659">
        <v>8</v>
      </c>
      <c r="I659">
        <v>1</v>
      </c>
      <c r="J659" t="s">
        <v>50</v>
      </c>
      <c r="K659">
        <v>63</v>
      </c>
      <c r="L659">
        <v>4</v>
      </c>
      <c r="M659" t="s">
        <v>51</v>
      </c>
      <c r="N659">
        <v>4</v>
      </c>
      <c r="O659">
        <v>1</v>
      </c>
      <c r="P659" t="s">
        <v>52</v>
      </c>
      <c r="Q659">
        <v>4</v>
      </c>
      <c r="R659" t="s">
        <v>113</v>
      </c>
      <c r="S659">
        <v>51343</v>
      </c>
      <c r="T659" t="s">
        <v>64</v>
      </c>
      <c r="U659">
        <v>320.89</v>
      </c>
      <c r="V659">
        <v>1</v>
      </c>
      <c r="W659" t="s">
        <v>55</v>
      </c>
      <c r="X659">
        <v>19</v>
      </c>
      <c r="Y659">
        <v>3</v>
      </c>
      <c r="Z659">
        <v>4</v>
      </c>
      <c r="AA659">
        <v>0</v>
      </c>
      <c r="AB659">
        <v>1</v>
      </c>
      <c r="AC659">
        <v>2</v>
      </c>
      <c r="AD659">
        <v>3</v>
      </c>
      <c r="AE659">
        <v>1</v>
      </c>
      <c r="AF659">
        <v>0</v>
      </c>
      <c r="AG659">
        <v>0</v>
      </c>
      <c r="AH659">
        <v>1</v>
      </c>
      <c r="AI659">
        <f t="shared" si="70"/>
        <v>0</v>
      </c>
      <c r="AJ659" t="str">
        <f t="shared" si="71"/>
        <v>0-1 yr</v>
      </c>
      <c r="AK659" t="str">
        <f t="shared" si="72"/>
        <v>Recent</v>
      </c>
      <c r="AL659">
        <f t="shared" si="73"/>
        <v>0</v>
      </c>
      <c r="AM659" t="str">
        <f t="shared" si="74"/>
        <v>Minimal Risk</v>
      </c>
      <c r="AN659" s="6">
        <f t="shared" si="75"/>
        <v>-7.3007363965948337E-3</v>
      </c>
      <c r="AO659" s="7">
        <f t="shared" si="76"/>
        <v>616116</v>
      </c>
    </row>
    <row r="660" spans="1:41" x14ac:dyDescent="0.3">
      <c r="A660" t="s">
        <v>726</v>
      </c>
      <c r="B660">
        <v>35</v>
      </c>
      <c r="C660" t="s">
        <v>196</v>
      </c>
      <c r="D660" t="s">
        <v>55</v>
      </c>
      <c r="E660" t="s">
        <v>66</v>
      </c>
      <c r="F660">
        <v>1097</v>
      </c>
      <c r="G660" t="s">
        <v>49</v>
      </c>
      <c r="H660">
        <v>11</v>
      </c>
      <c r="I660">
        <v>2</v>
      </c>
      <c r="J660" t="s">
        <v>58</v>
      </c>
      <c r="K660">
        <v>70</v>
      </c>
      <c r="L660">
        <v>3</v>
      </c>
      <c r="M660" t="s">
        <v>51</v>
      </c>
      <c r="N660">
        <v>2</v>
      </c>
      <c r="O660">
        <v>3</v>
      </c>
      <c r="P660" t="s">
        <v>168</v>
      </c>
      <c r="Q660">
        <v>1</v>
      </c>
      <c r="R660" t="s">
        <v>113</v>
      </c>
      <c r="S660">
        <v>40081</v>
      </c>
      <c r="T660" t="s">
        <v>72</v>
      </c>
      <c r="U660">
        <v>250.51</v>
      </c>
      <c r="V660">
        <v>2</v>
      </c>
      <c r="W660" t="s">
        <v>47</v>
      </c>
      <c r="X660">
        <v>13</v>
      </c>
      <c r="Y660">
        <v>3</v>
      </c>
      <c r="Z660">
        <v>3</v>
      </c>
      <c r="AA660">
        <v>1</v>
      </c>
      <c r="AB660">
        <v>10</v>
      </c>
      <c r="AC660">
        <v>3</v>
      </c>
      <c r="AD660">
        <v>3</v>
      </c>
      <c r="AE660">
        <v>4</v>
      </c>
      <c r="AF660">
        <v>0</v>
      </c>
      <c r="AG660">
        <v>2</v>
      </c>
      <c r="AH660">
        <v>3</v>
      </c>
      <c r="AI660">
        <f t="shared" si="70"/>
        <v>0</v>
      </c>
      <c r="AJ660" t="str">
        <f t="shared" si="71"/>
        <v>4-5 yrs</v>
      </c>
      <c r="AK660" t="str">
        <f t="shared" si="72"/>
        <v>Recent</v>
      </c>
      <c r="AL660">
        <f t="shared" si="73"/>
        <v>2</v>
      </c>
      <c r="AM660" t="str">
        <f t="shared" si="74"/>
        <v>Medium Risk</v>
      </c>
      <c r="AN660" s="6">
        <f t="shared" si="75"/>
        <v>-0.16825663160640805</v>
      </c>
      <c r="AO660" s="7">
        <f t="shared" si="76"/>
        <v>480972</v>
      </c>
    </row>
    <row r="661" spans="1:41" x14ac:dyDescent="0.3">
      <c r="A661" t="s">
        <v>727</v>
      </c>
      <c r="B661">
        <v>35</v>
      </c>
      <c r="C661" t="s">
        <v>196</v>
      </c>
      <c r="D661" t="s">
        <v>55</v>
      </c>
      <c r="E661" t="s">
        <v>62</v>
      </c>
      <c r="F661">
        <v>853</v>
      </c>
      <c r="G661" t="s">
        <v>63</v>
      </c>
      <c r="H661">
        <v>18</v>
      </c>
      <c r="I661">
        <v>5</v>
      </c>
      <c r="J661" t="s">
        <v>50</v>
      </c>
      <c r="K661">
        <v>74</v>
      </c>
      <c r="L661">
        <v>2</v>
      </c>
      <c r="M661" t="s">
        <v>51</v>
      </c>
      <c r="N661">
        <v>3</v>
      </c>
      <c r="O661">
        <v>3</v>
      </c>
      <c r="P661" t="s">
        <v>145</v>
      </c>
      <c r="Q661">
        <v>1</v>
      </c>
      <c r="R661" t="s">
        <v>113</v>
      </c>
      <c r="S661">
        <v>63856</v>
      </c>
      <c r="T661" t="s">
        <v>64</v>
      </c>
      <c r="U661">
        <v>399.1</v>
      </c>
      <c r="V661">
        <v>1</v>
      </c>
      <c r="W661" t="s">
        <v>55</v>
      </c>
      <c r="X661">
        <v>22</v>
      </c>
      <c r="Y661">
        <v>4</v>
      </c>
      <c r="Z661">
        <v>4</v>
      </c>
      <c r="AA661">
        <v>1</v>
      </c>
      <c r="AB661">
        <v>9</v>
      </c>
      <c r="AC661">
        <v>3</v>
      </c>
      <c r="AD661">
        <v>2</v>
      </c>
      <c r="AE661">
        <v>9</v>
      </c>
      <c r="AF661">
        <v>8</v>
      </c>
      <c r="AG661">
        <v>1</v>
      </c>
      <c r="AH661">
        <v>8</v>
      </c>
      <c r="AI661">
        <f t="shared" si="70"/>
        <v>0</v>
      </c>
      <c r="AJ661" t="str">
        <f t="shared" si="71"/>
        <v>6-10 yrs</v>
      </c>
      <c r="AK661" t="str">
        <f t="shared" si="72"/>
        <v>Recent</v>
      </c>
      <c r="AL661">
        <f t="shared" si="73"/>
        <v>2</v>
      </c>
      <c r="AM661" t="str">
        <f t="shared" si="74"/>
        <v>Medium Risk</v>
      </c>
      <c r="AN661" s="6">
        <f t="shared" si="75"/>
        <v>0.30164375970565677</v>
      </c>
      <c r="AO661" s="7">
        <f t="shared" si="76"/>
        <v>766272</v>
      </c>
    </row>
    <row r="662" spans="1:41" x14ac:dyDescent="0.3">
      <c r="A662" t="s">
        <v>728</v>
      </c>
      <c r="B662">
        <v>35</v>
      </c>
      <c r="C662" t="s">
        <v>196</v>
      </c>
      <c r="D662" t="s">
        <v>55</v>
      </c>
      <c r="E662" t="s">
        <v>48</v>
      </c>
      <c r="F662">
        <v>1142</v>
      </c>
      <c r="G662" t="s">
        <v>49</v>
      </c>
      <c r="H662">
        <v>23</v>
      </c>
      <c r="I662">
        <v>4</v>
      </c>
      <c r="J662" t="s">
        <v>58</v>
      </c>
      <c r="K662">
        <v>75</v>
      </c>
      <c r="L662">
        <v>3</v>
      </c>
      <c r="M662" t="s">
        <v>59</v>
      </c>
      <c r="N662">
        <v>3</v>
      </c>
      <c r="O662">
        <v>1</v>
      </c>
      <c r="P662" t="s">
        <v>52</v>
      </c>
      <c r="Q662">
        <v>1</v>
      </c>
      <c r="R662" t="s">
        <v>113</v>
      </c>
      <c r="S662">
        <v>94105</v>
      </c>
      <c r="T662" t="s">
        <v>70</v>
      </c>
      <c r="U662">
        <v>588.16</v>
      </c>
      <c r="V662">
        <v>3</v>
      </c>
      <c r="W662" t="s">
        <v>47</v>
      </c>
      <c r="X662">
        <v>15</v>
      </c>
      <c r="Y662">
        <v>3</v>
      </c>
      <c r="Z662">
        <v>3</v>
      </c>
      <c r="AA662">
        <v>1</v>
      </c>
      <c r="AB662">
        <v>4</v>
      </c>
      <c r="AC662">
        <v>3</v>
      </c>
      <c r="AD662">
        <v>3</v>
      </c>
      <c r="AE662">
        <v>2</v>
      </c>
      <c r="AF662">
        <v>2</v>
      </c>
      <c r="AG662">
        <v>2</v>
      </c>
      <c r="AH662">
        <v>2</v>
      </c>
      <c r="AI662">
        <f t="shared" si="70"/>
        <v>0</v>
      </c>
      <c r="AJ662" t="str">
        <f t="shared" si="71"/>
        <v>2-3 yrs</v>
      </c>
      <c r="AK662" t="str">
        <f t="shared" si="72"/>
        <v>Recent</v>
      </c>
      <c r="AL662">
        <f t="shared" si="73"/>
        <v>2</v>
      </c>
      <c r="AM662" t="str">
        <f t="shared" si="74"/>
        <v>Medium Risk</v>
      </c>
      <c r="AN662" s="6">
        <f t="shared" si="75"/>
        <v>0.81948784062868241</v>
      </c>
      <c r="AO662" s="7">
        <f t="shared" si="76"/>
        <v>1129260</v>
      </c>
    </row>
    <row r="663" spans="1:41" x14ac:dyDescent="0.3">
      <c r="A663" t="s">
        <v>729</v>
      </c>
      <c r="B663">
        <v>35</v>
      </c>
      <c r="C663" t="s">
        <v>196</v>
      </c>
      <c r="D663" t="s">
        <v>55</v>
      </c>
      <c r="E663" t="s">
        <v>62</v>
      </c>
      <c r="F663">
        <v>664</v>
      </c>
      <c r="G663" t="s">
        <v>49</v>
      </c>
      <c r="H663">
        <v>1</v>
      </c>
      <c r="I663">
        <v>3</v>
      </c>
      <c r="J663" t="s">
        <v>58</v>
      </c>
      <c r="K663">
        <v>88</v>
      </c>
      <c r="L663">
        <v>2</v>
      </c>
      <c r="M663" t="s">
        <v>51</v>
      </c>
      <c r="N663">
        <v>3</v>
      </c>
      <c r="O663">
        <v>1</v>
      </c>
      <c r="P663" t="s">
        <v>67</v>
      </c>
      <c r="Q663">
        <v>1</v>
      </c>
      <c r="R663" t="s">
        <v>113</v>
      </c>
      <c r="S663">
        <v>89858</v>
      </c>
      <c r="T663" t="s">
        <v>70</v>
      </c>
      <c r="U663">
        <v>561.61</v>
      </c>
      <c r="V663">
        <v>4</v>
      </c>
      <c r="W663" t="s">
        <v>55</v>
      </c>
      <c r="X663">
        <v>13</v>
      </c>
      <c r="Y663">
        <v>3</v>
      </c>
      <c r="Z663">
        <v>4</v>
      </c>
      <c r="AA663">
        <v>1</v>
      </c>
      <c r="AB663">
        <v>5</v>
      </c>
      <c r="AC663">
        <v>2</v>
      </c>
      <c r="AD663">
        <v>2</v>
      </c>
      <c r="AE663">
        <v>3</v>
      </c>
      <c r="AF663">
        <v>2</v>
      </c>
      <c r="AG663">
        <v>1</v>
      </c>
      <c r="AH663">
        <v>2</v>
      </c>
      <c r="AI663">
        <f t="shared" si="70"/>
        <v>0</v>
      </c>
      <c r="AJ663" t="str">
        <f t="shared" si="71"/>
        <v>2-3 yrs</v>
      </c>
      <c r="AK663" t="str">
        <f t="shared" si="72"/>
        <v>Recent</v>
      </c>
      <c r="AL663">
        <f t="shared" si="73"/>
        <v>2</v>
      </c>
      <c r="AM663" t="str">
        <f t="shared" si="74"/>
        <v>Medium Risk</v>
      </c>
      <c r="AN663" s="6">
        <f t="shared" si="75"/>
        <v>0.80198563141923818</v>
      </c>
      <c r="AO663" s="7">
        <f t="shared" si="76"/>
        <v>1078296</v>
      </c>
    </row>
    <row r="664" spans="1:41" x14ac:dyDescent="0.3">
      <c r="A664" t="s">
        <v>730</v>
      </c>
      <c r="B664">
        <v>35</v>
      </c>
      <c r="C664" t="s">
        <v>196</v>
      </c>
      <c r="D664" t="s">
        <v>55</v>
      </c>
      <c r="E664" t="s">
        <v>48</v>
      </c>
      <c r="F664">
        <v>776</v>
      </c>
      <c r="G664" t="s">
        <v>63</v>
      </c>
      <c r="H664">
        <v>1</v>
      </c>
      <c r="I664">
        <v>4</v>
      </c>
      <c r="J664" t="s">
        <v>63</v>
      </c>
      <c r="K664">
        <v>100</v>
      </c>
      <c r="L664">
        <v>3</v>
      </c>
      <c r="M664" t="s">
        <v>51</v>
      </c>
      <c r="N664">
        <v>2</v>
      </c>
      <c r="O664">
        <v>2</v>
      </c>
      <c r="P664" t="s">
        <v>145</v>
      </c>
      <c r="Q664">
        <v>1</v>
      </c>
      <c r="R664" t="s">
        <v>53</v>
      </c>
      <c r="S664">
        <v>20065</v>
      </c>
      <c r="T664" t="s">
        <v>54</v>
      </c>
      <c r="U664">
        <v>125.41</v>
      </c>
      <c r="V664">
        <v>0</v>
      </c>
      <c r="W664" t="s">
        <v>55</v>
      </c>
      <c r="X664">
        <v>14</v>
      </c>
      <c r="Y664">
        <v>3</v>
      </c>
      <c r="Z664">
        <v>2</v>
      </c>
      <c r="AA664">
        <v>0</v>
      </c>
      <c r="AB664">
        <v>16</v>
      </c>
      <c r="AC664">
        <v>2</v>
      </c>
      <c r="AD664">
        <v>3</v>
      </c>
      <c r="AE664">
        <v>15</v>
      </c>
      <c r="AF664">
        <v>13</v>
      </c>
      <c r="AG664">
        <v>2</v>
      </c>
      <c r="AH664">
        <v>13</v>
      </c>
      <c r="AI664">
        <f t="shared" si="70"/>
        <v>0</v>
      </c>
      <c r="AJ664" t="str">
        <f t="shared" si="71"/>
        <v>10+ yrs</v>
      </c>
      <c r="AK664" t="str">
        <f t="shared" si="72"/>
        <v>Recent</v>
      </c>
      <c r="AL664">
        <f t="shared" si="73"/>
        <v>1</v>
      </c>
      <c r="AM664" t="str">
        <f t="shared" si="74"/>
        <v>Low Risk</v>
      </c>
      <c r="AN664" s="6">
        <f t="shared" si="75"/>
        <v>-0.59099407982814456</v>
      </c>
      <c r="AO664" s="7">
        <f t="shared" si="76"/>
        <v>240780</v>
      </c>
    </row>
    <row r="665" spans="1:41" x14ac:dyDescent="0.3">
      <c r="A665" t="s">
        <v>731</v>
      </c>
      <c r="B665">
        <v>35</v>
      </c>
      <c r="C665" t="s">
        <v>196</v>
      </c>
      <c r="D665" t="s">
        <v>55</v>
      </c>
      <c r="E665" t="s">
        <v>48</v>
      </c>
      <c r="F665">
        <v>1214</v>
      </c>
      <c r="G665" t="s">
        <v>49</v>
      </c>
      <c r="H665">
        <v>1</v>
      </c>
      <c r="I665">
        <v>3</v>
      </c>
      <c r="J665" t="s">
        <v>58</v>
      </c>
      <c r="K665">
        <v>105</v>
      </c>
      <c r="L665">
        <v>2</v>
      </c>
      <c r="M665" t="s">
        <v>51</v>
      </c>
      <c r="N665">
        <v>2</v>
      </c>
      <c r="O665">
        <v>1</v>
      </c>
      <c r="P665" t="s">
        <v>67</v>
      </c>
      <c r="Q665">
        <v>3</v>
      </c>
      <c r="R665" t="s">
        <v>53</v>
      </c>
      <c r="S665">
        <v>84460</v>
      </c>
      <c r="T665" t="s">
        <v>70</v>
      </c>
      <c r="U665">
        <v>527.88</v>
      </c>
      <c r="V665">
        <v>1</v>
      </c>
      <c r="W665" t="s">
        <v>55</v>
      </c>
      <c r="X665">
        <v>18</v>
      </c>
      <c r="Y665">
        <v>3</v>
      </c>
      <c r="Z665">
        <v>1</v>
      </c>
      <c r="AA665">
        <v>0</v>
      </c>
      <c r="AB665">
        <v>6</v>
      </c>
      <c r="AC665">
        <v>3</v>
      </c>
      <c r="AD665">
        <v>3</v>
      </c>
      <c r="AE665">
        <v>6</v>
      </c>
      <c r="AF665">
        <v>4</v>
      </c>
      <c r="AG665">
        <v>0</v>
      </c>
      <c r="AH665">
        <v>4</v>
      </c>
      <c r="AI665">
        <f t="shared" si="70"/>
        <v>0</v>
      </c>
      <c r="AJ665" t="str">
        <f t="shared" si="71"/>
        <v>6-10 yrs</v>
      </c>
      <c r="AK665" t="str">
        <f t="shared" si="72"/>
        <v>Recent</v>
      </c>
      <c r="AL665">
        <f t="shared" si="73"/>
        <v>0</v>
      </c>
      <c r="AM665" t="str">
        <f t="shared" si="74"/>
        <v>Minimal Risk</v>
      </c>
      <c r="AN665" s="6">
        <f t="shared" si="75"/>
        <v>0.69373574339144928</v>
      </c>
      <c r="AO665" s="7">
        <f t="shared" si="76"/>
        <v>1013520</v>
      </c>
    </row>
    <row r="666" spans="1:41" x14ac:dyDescent="0.3">
      <c r="A666" t="s">
        <v>732</v>
      </c>
      <c r="B666">
        <v>35</v>
      </c>
      <c r="C666" t="s">
        <v>196</v>
      </c>
      <c r="D666" t="s">
        <v>55</v>
      </c>
      <c r="E666" t="s">
        <v>48</v>
      </c>
      <c r="F666">
        <v>662</v>
      </c>
      <c r="G666" t="s">
        <v>63</v>
      </c>
      <c r="H666">
        <v>1</v>
      </c>
      <c r="I666">
        <v>5</v>
      </c>
      <c r="J666" t="s">
        <v>63</v>
      </c>
      <c r="K666">
        <v>204</v>
      </c>
      <c r="L666">
        <v>3</v>
      </c>
      <c r="M666" t="s">
        <v>51</v>
      </c>
      <c r="N666">
        <v>3</v>
      </c>
      <c r="O666">
        <v>3</v>
      </c>
      <c r="P666" t="s">
        <v>145</v>
      </c>
      <c r="Q666">
        <v>2</v>
      </c>
      <c r="R666" t="s">
        <v>113</v>
      </c>
      <c r="S666">
        <v>89092</v>
      </c>
      <c r="T666" t="s">
        <v>70</v>
      </c>
      <c r="U666">
        <v>556.83000000000004</v>
      </c>
      <c r="V666">
        <v>1</v>
      </c>
      <c r="W666" t="s">
        <v>55</v>
      </c>
      <c r="X666">
        <v>13</v>
      </c>
      <c r="Y666">
        <v>3</v>
      </c>
      <c r="Z666">
        <v>1</v>
      </c>
      <c r="AA666">
        <v>2</v>
      </c>
      <c r="AB666">
        <v>10</v>
      </c>
      <c r="AC666">
        <v>3</v>
      </c>
      <c r="AD666">
        <v>3</v>
      </c>
      <c r="AE666">
        <v>10</v>
      </c>
      <c r="AF666">
        <v>8</v>
      </c>
      <c r="AG666">
        <v>0</v>
      </c>
      <c r="AH666">
        <v>6</v>
      </c>
      <c r="AI666">
        <f t="shared" si="70"/>
        <v>0</v>
      </c>
      <c r="AJ666" t="str">
        <f t="shared" si="71"/>
        <v>6-10 yrs</v>
      </c>
      <c r="AK666" t="str">
        <f t="shared" si="72"/>
        <v>Recent</v>
      </c>
      <c r="AL666">
        <f t="shared" si="73"/>
        <v>1</v>
      </c>
      <c r="AM666" t="str">
        <f t="shared" si="74"/>
        <v>Low Risk</v>
      </c>
      <c r="AN666" s="6">
        <f t="shared" si="75"/>
        <v>0.81605559132573868</v>
      </c>
      <c r="AO666" s="7">
        <f t="shared" si="76"/>
        <v>1069104</v>
      </c>
    </row>
    <row r="667" spans="1:41" x14ac:dyDescent="0.3">
      <c r="A667" t="s">
        <v>733</v>
      </c>
      <c r="B667">
        <v>35</v>
      </c>
      <c r="C667" t="s">
        <v>196</v>
      </c>
      <c r="D667" t="s">
        <v>47</v>
      </c>
      <c r="E667" t="s">
        <v>48</v>
      </c>
      <c r="F667">
        <v>556</v>
      </c>
      <c r="G667" t="s">
        <v>49</v>
      </c>
      <c r="H667">
        <v>23</v>
      </c>
      <c r="I667">
        <v>2</v>
      </c>
      <c r="J667" t="s">
        <v>50</v>
      </c>
      <c r="K667">
        <v>261</v>
      </c>
      <c r="L667">
        <v>2</v>
      </c>
      <c r="M667" t="s">
        <v>51</v>
      </c>
      <c r="N667">
        <v>2</v>
      </c>
      <c r="O667">
        <v>2</v>
      </c>
      <c r="P667" t="s">
        <v>120</v>
      </c>
      <c r="Q667">
        <v>3</v>
      </c>
      <c r="R667" t="s">
        <v>113</v>
      </c>
      <c r="S667">
        <v>55693</v>
      </c>
      <c r="T667" t="s">
        <v>64</v>
      </c>
      <c r="U667">
        <v>348.08</v>
      </c>
      <c r="V667">
        <v>3</v>
      </c>
      <c r="W667" t="s">
        <v>47</v>
      </c>
      <c r="X667">
        <v>13</v>
      </c>
      <c r="Y667">
        <v>3</v>
      </c>
      <c r="Z667">
        <v>1</v>
      </c>
      <c r="AA667">
        <v>0</v>
      </c>
      <c r="AB667">
        <v>8</v>
      </c>
      <c r="AC667">
        <v>1</v>
      </c>
      <c r="AD667">
        <v>3</v>
      </c>
      <c r="AE667">
        <v>1</v>
      </c>
      <c r="AF667">
        <v>0</v>
      </c>
      <c r="AG667">
        <v>0</v>
      </c>
      <c r="AH667">
        <v>1</v>
      </c>
      <c r="AI667">
        <f t="shared" si="70"/>
        <v>1</v>
      </c>
      <c r="AJ667" t="str">
        <f t="shared" si="71"/>
        <v>0-1 yr</v>
      </c>
      <c r="AK667" t="str">
        <f t="shared" si="72"/>
        <v>Recent</v>
      </c>
      <c r="AL667">
        <f t="shared" si="73"/>
        <v>1</v>
      </c>
      <c r="AM667" t="str">
        <f t="shared" si="74"/>
        <v>Low Risk</v>
      </c>
      <c r="AN667" s="6">
        <f t="shared" si="75"/>
        <v>0.25731071285374518</v>
      </c>
      <c r="AO667" s="7">
        <f t="shared" si="76"/>
        <v>668316</v>
      </c>
    </row>
    <row r="668" spans="1:41" x14ac:dyDescent="0.3">
      <c r="A668" t="s">
        <v>734</v>
      </c>
      <c r="B668">
        <v>35</v>
      </c>
      <c r="C668" t="s">
        <v>196</v>
      </c>
      <c r="D668" t="s">
        <v>55</v>
      </c>
      <c r="E668" t="s">
        <v>62</v>
      </c>
      <c r="F668">
        <v>138</v>
      </c>
      <c r="G668" t="s">
        <v>735</v>
      </c>
      <c r="H668">
        <v>2</v>
      </c>
      <c r="I668">
        <v>3</v>
      </c>
      <c r="J668" t="s">
        <v>58</v>
      </c>
      <c r="K668">
        <v>269</v>
      </c>
      <c r="L668">
        <v>2</v>
      </c>
      <c r="M668" t="s">
        <v>59</v>
      </c>
      <c r="N668">
        <v>3</v>
      </c>
      <c r="O668">
        <v>2</v>
      </c>
      <c r="P668" t="s">
        <v>52</v>
      </c>
      <c r="Q668">
        <v>2</v>
      </c>
      <c r="R668" t="s">
        <v>53</v>
      </c>
      <c r="S668">
        <v>27962</v>
      </c>
      <c r="T668" t="s">
        <v>72</v>
      </c>
      <c r="U668">
        <v>174.76</v>
      </c>
      <c r="V668">
        <v>5</v>
      </c>
      <c r="W668" t="s">
        <v>55</v>
      </c>
      <c r="X668">
        <v>11</v>
      </c>
      <c r="Y668">
        <v>3</v>
      </c>
      <c r="Z668">
        <v>4</v>
      </c>
      <c r="AA668">
        <v>0</v>
      </c>
      <c r="AB668">
        <v>10</v>
      </c>
      <c r="AC668">
        <v>5</v>
      </c>
      <c r="AD668">
        <v>3</v>
      </c>
      <c r="AE668">
        <v>6</v>
      </c>
      <c r="AF668">
        <v>2</v>
      </c>
      <c r="AG668">
        <v>1</v>
      </c>
      <c r="AH668">
        <v>2</v>
      </c>
      <c r="AI668">
        <f t="shared" si="70"/>
        <v>0</v>
      </c>
      <c r="AJ668" t="str">
        <f t="shared" si="71"/>
        <v>6-10 yrs</v>
      </c>
      <c r="AK668" t="str">
        <f t="shared" si="72"/>
        <v>Recent</v>
      </c>
      <c r="AL668">
        <f t="shared" si="73"/>
        <v>1</v>
      </c>
      <c r="AM668" t="str">
        <f t="shared" si="74"/>
        <v>Low Risk</v>
      </c>
      <c r="AN668" s="6">
        <f t="shared" si="75"/>
        <v>-0.45936433771150076</v>
      </c>
      <c r="AO668" s="7">
        <f t="shared" si="76"/>
        <v>335544</v>
      </c>
    </row>
    <row r="669" spans="1:41" x14ac:dyDescent="0.3">
      <c r="A669" t="s">
        <v>736</v>
      </c>
      <c r="B669">
        <v>35</v>
      </c>
      <c r="C669" t="s">
        <v>196</v>
      </c>
      <c r="D669" t="s">
        <v>55</v>
      </c>
      <c r="E669" t="s">
        <v>62</v>
      </c>
      <c r="F669">
        <v>944</v>
      </c>
      <c r="G669" t="s">
        <v>63</v>
      </c>
      <c r="H669">
        <v>1</v>
      </c>
      <c r="I669">
        <v>3</v>
      </c>
      <c r="J669" t="s">
        <v>63</v>
      </c>
      <c r="K669">
        <v>314</v>
      </c>
      <c r="L669">
        <v>3</v>
      </c>
      <c r="M669" t="s">
        <v>59</v>
      </c>
      <c r="N669">
        <v>3</v>
      </c>
      <c r="O669">
        <v>3</v>
      </c>
      <c r="P669" t="s">
        <v>145</v>
      </c>
      <c r="Q669">
        <v>3</v>
      </c>
      <c r="R669" t="s">
        <v>53</v>
      </c>
      <c r="S669">
        <v>29295</v>
      </c>
      <c r="T669" t="s">
        <v>72</v>
      </c>
      <c r="U669">
        <v>183.09</v>
      </c>
      <c r="V669">
        <v>1</v>
      </c>
      <c r="W669" t="s">
        <v>55</v>
      </c>
      <c r="X669">
        <v>14</v>
      </c>
      <c r="Y669">
        <v>3</v>
      </c>
      <c r="Z669">
        <v>1</v>
      </c>
      <c r="AA669">
        <v>0</v>
      </c>
      <c r="AB669">
        <v>10</v>
      </c>
      <c r="AC669">
        <v>3</v>
      </c>
      <c r="AD669">
        <v>4</v>
      </c>
      <c r="AE669">
        <v>10</v>
      </c>
      <c r="AF669">
        <v>7</v>
      </c>
      <c r="AG669">
        <v>0</v>
      </c>
      <c r="AH669">
        <v>8</v>
      </c>
      <c r="AI669">
        <f t="shared" si="70"/>
        <v>0</v>
      </c>
      <c r="AJ669" t="str">
        <f t="shared" si="71"/>
        <v>6-10 yrs</v>
      </c>
      <c r="AK669" t="str">
        <f t="shared" si="72"/>
        <v>Recent</v>
      </c>
      <c r="AL669">
        <f t="shared" si="73"/>
        <v>0</v>
      </c>
      <c r="AM669" t="str">
        <f t="shared" si="74"/>
        <v>Minimal Risk</v>
      </c>
      <c r="AN669" s="6">
        <f t="shared" si="75"/>
        <v>-0.40284931814430569</v>
      </c>
      <c r="AO669" s="7">
        <f t="shared" si="76"/>
        <v>351540</v>
      </c>
    </row>
    <row r="670" spans="1:41" x14ac:dyDescent="0.3">
      <c r="A670" t="s">
        <v>737</v>
      </c>
      <c r="B670">
        <v>35</v>
      </c>
      <c r="C670" t="s">
        <v>196</v>
      </c>
      <c r="D670" t="s">
        <v>55</v>
      </c>
      <c r="E670" t="s">
        <v>48</v>
      </c>
      <c r="F670">
        <v>1315</v>
      </c>
      <c r="G670" t="s">
        <v>735</v>
      </c>
      <c r="H670">
        <v>22</v>
      </c>
      <c r="I670">
        <v>3</v>
      </c>
      <c r="J670" t="s">
        <v>50</v>
      </c>
      <c r="K670">
        <v>381</v>
      </c>
      <c r="L670">
        <v>2</v>
      </c>
      <c r="M670" t="s">
        <v>59</v>
      </c>
      <c r="N670">
        <v>4</v>
      </c>
      <c r="O670">
        <v>3</v>
      </c>
      <c r="P670" t="s">
        <v>444</v>
      </c>
      <c r="Q670">
        <v>2</v>
      </c>
      <c r="R670" t="s">
        <v>53</v>
      </c>
      <c r="S670">
        <v>14807</v>
      </c>
      <c r="T670" t="s">
        <v>54</v>
      </c>
      <c r="U670">
        <v>92.54</v>
      </c>
      <c r="V670">
        <v>7</v>
      </c>
      <c r="W670" t="s">
        <v>55</v>
      </c>
      <c r="X670">
        <v>18</v>
      </c>
      <c r="Y670">
        <v>3</v>
      </c>
      <c r="Z670">
        <v>2</v>
      </c>
      <c r="AA670">
        <v>1</v>
      </c>
      <c r="AB670">
        <v>10</v>
      </c>
      <c r="AC670">
        <v>6</v>
      </c>
      <c r="AD670">
        <v>2</v>
      </c>
      <c r="AE670">
        <v>7</v>
      </c>
      <c r="AF670">
        <v>7</v>
      </c>
      <c r="AG670">
        <v>6</v>
      </c>
      <c r="AH670">
        <v>2</v>
      </c>
      <c r="AI670">
        <f t="shared" si="70"/>
        <v>0</v>
      </c>
      <c r="AJ670" t="str">
        <f t="shared" si="71"/>
        <v>6-10 yrs</v>
      </c>
      <c r="AK670" t="str">
        <f t="shared" si="72"/>
        <v>Overdue</v>
      </c>
      <c r="AL670">
        <f t="shared" si="73"/>
        <v>3</v>
      </c>
      <c r="AM670" t="str">
        <f t="shared" si="74"/>
        <v>High Risk</v>
      </c>
      <c r="AN670" s="6">
        <f t="shared" si="75"/>
        <v>-0.71633183252107158</v>
      </c>
      <c r="AO670" s="7">
        <f t="shared" si="76"/>
        <v>177684</v>
      </c>
    </row>
    <row r="671" spans="1:41" x14ac:dyDescent="0.3">
      <c r="A671" t="s">
        <v>738</v>
      </c>
      <c r="B671">
        <v>35</v>
      </c>
      <c r="C671" t="s">
        <v>196</v>
      </c>
      <c r="D671" t="s">
        <v>55</v>
      </c>
      <c r="E671" t="s">
        <v>48</v>
      </c>
      <c r="F671">
        <v>1232</v>
      </c>
      <c r="G671" t="s">
        <v>63</v>
      </c>
      <c r="H671">
        <v>16</v>
      </c>
      <c r="I671">
        <v>3</v>
      </c>
      <c r="J671" t="s">
        <v>63</v>
      </c>
      <c r="K671">
        <v>406</v>
      </c>
      <c r="L671">
        <v>3</v>
      </c>
      <c r="M671" t="s">
        <v>51</v>
      </c>
      <c r="N671">
        <v>3</v>
      </c>
      <c r="O671">
        <v>3</v>
      </c>
      <c r="P671" t="s">
        <v>145</v>
      </c>
      <c r="Q671">
        <v>2</v>
      </c>
      <c r="R671" t="s">
        <v>113</v>
      </c>
      <c r="S671">
        <v>43348</v>
      </c>
      <c r="T671" t="s">
        <v>72</v>
      </c>
      <c r="U671">
        <v>270.92</v>
      </c>
      <c r="V671">
        <v>0</v>
      </c>
      <c r="W671" t="s">
        <v>55</v>
      </c>
      <c r="X671">
        <v>15</v>
      </c>
      <c r="Y671">
        <v>3</v>
      </c>
      <c r="Z671">
        <v>3</v>
      </c>
      <c r="AA671">
        <v>2</v>
      </c>
      <c r="AB671">
        <v>12</v>
      </c>
      <c r="AC671">
        <v>3</v>
      </c>
      <c r="AD671">
        <v>2</v>
      </c>
      <c r="AE671">
        <v>11</v>
      </c>
      <c r="AF671">
        <v>9</v>
      </c>
      <c r="AG671">
        <v>6</v>
      </c>
      <c r="AH671">
        <v>9</v>
      </c>
      <c r="AI671">
        <f t="shared" si="70"/>
        <v>0</v>
      </c>
      <c r="AJ671" t="str">
        <f t="shared" si="71"/>
        <v>10+ yrs</v>
      </c>
      <c r="AK671" t="str">
        <f t="shared" si="72"/>
        <v>Overdue</v>
      </c>
      <c r="AL671">
        <f t="shared" si="73"/>
        <v>3</v>
      </c>
      <c r="AM671" t="str">
        <f t="shared" si="74"/>
        <v>High Risk</v>
      </c>
      <c r="AN671" s="6">
        <f t="shared" si="75"/>
        <v>-0.11639229366510886</v>
      </c>
      <c r="AO671" s="7">
        <f t="shared" si="76"/>
        <v>520176</v>
      </c>
    </row>
    <row r="672" spans="1:41" x14ac:dyDescent="0.3">
      <c r="A672" t="s">
        <v>739</v>
      </c>
      <c r="B672">
        <v>35</v>
      </c>
      <c r="C672" t="s">
        <v>196</v>
      </c>
      <c r="D672" t="s">
        <v>55</v>
      </c>
      <c r="E672" t="s">
        <v>48</v>
      </c>
      <c r="F672">
        <v>1296</v>
      </c>
      <c r="G672" t="s">
        <v>735</v>
      </c>
      <c r="H672">
        <v>5</v>
      </c>
      <c r="I672">
        <v>4</v>
      </c>
      <c r="J672" t="s">
        <v>77</v>
      </c>
      <c r="K672">
        <v>464</v>
      </c>
      <c r="L672">
        <v>3</v>
      </c>
      <c r="M672" t="s">
        <v>51</v>
      </c>
      <c r="N672">
        <v>3</v>
      </c>
      <c r="O672">
        <v>3</v>
      </c>
      <c r="P672" t="s">
        <v>120</v>
      </c>
      <c r="Q672">
        <v>2</v>
      </c>
      <c r="R672" t="s">
        <v>53</v>
      </c>
      <c r="S672">
        <v>27432</v>
      </c>
      <c r="T672" t="s">
        <v>72</v>
      </c>
      <c r="U672">
        <v>171.45</v>
      </c>
      <c r="V672">
        <v>0</v>
      </c>
      <c r="W672" t="s">
        <v>55</v>
      </c>
      <c r="X672">
        <v>13</v>
      </c>
      <c r="Y672">
        <v>3</v>
      </c>
      <c r="Z672">
        <v>4</v>
      </c>
      <c r="AA672">
        <v>0</v>
      </c>
      <c r="AB672">
        <v>17</v>
      </c>
      <c r="AC672">
        <v>5</v>
      </c>
      <c r="AD672">
        <v>3</v>
      </c>
      <c r="AE672">
        <v>16</v>
      </c>
      <c r="AF672">
        <v>6</v>
      </c>
      <c r="AG672">
        <v>0</v>
      </c>
      <c r="AH672">
        <v>13</v>
      </c>
      <c r="AI672">
        <f t="shared" si="70"/>
        <v>0</v>
      </c>
      <c r="AJ672" t="str">
        <f t="shared" si="71"/>
        <v>10+ yrs</v>
      </c>
      <c r="AK672" t="str">
        <f t="shared" si="72"/>
        <v>Recent</v>
      </c>
      <c r="AL672">
        <f t="shared" si="73"/>
        <v>1</v>
      </c>
      <c r="AM672" t="str">
        <f t="shared" si="74"/>
        <v>Low Risk</v>
      </c>
      <c r="AN672" s="6">
        <f t="shared" si="75"/>
        <v>-0.38070228798944322</v>
      </c>
      <c r="AO672" s="7">
        <f t="shared" si="76"/>
        <v>329184</v>
      </c>
    </row>
    <row r="673" spans="1:41" x14ac:dyDescent="0.3">
      <c r="A673" t="s">
        <v>740</v>
      </c>
      <c r="B673">
        <v>35</v>
      </c>
      <c r="C673" t="s">
        <v>196</v>
      </c>
      <c r="D673" t="s">
        <v>55</v>
      </c>
      <c r="E673" t="s">
        <v>48</v>
      </c>
      <c r="F673">
        <v>755</v>
      </c>
      <c r="G673" t="s">
        <v>735</v>
      </c>
      <c r="H673">
        <v>9</v>
      </c>
      <c r="I673">
        <v>4</v>
      </c>
      <c r="J673" t="s">
        <v>50</v>
      </c>
      <c r="K673">
        <v>496</v>
      </c>
      <c r="L673">
        <v>3</v>
      </c>
      <c r="M673" t="s">
        <v>51</v>
      </c>
      <c r="N673">
        <v>2</v>
      </c>
      <c r="O673">
        <v>2</v>
      </c>
      <c r="P673" t="s">
        <v>168</v>
      </c>
      <c r="Q673">
        <v>2</v>
      </c>
      <c r="R673" t="s">
        <v>53</v>
      </c>
      <c r="S673">
        <v>84285</v>
      </c>
      <c r="T673" t="s">
        <v>70</v>
      </c>
      <c r="U673">
        <v>526.78</v>
      </c>
      <c r="V673">
        <v>9</v>
      </c>
      <c r="W673" t="s">
        <v>55</v>
      </c>
      <c r="X673">
        <v>19</v>
      </c>
      <c r="Y673">
        <v>3</v>
      </c>
      <c r="Z673">
        <v>3</v>
      </c>
      <c r="AA673">
        <v>0</v>
      </c>
      <c r="AB673">
        <v>10</v>
      </c>
      <c r="AC673">
        <v>5</v>
      </c>
      <c r="AD673">
        <v>3</v>
      </c>
      <c r="AE673">
        <v>1</v>
      </c>
      <c r="AF673">
        <v>1</v>
      </c>
      <c r="AG673">
        <v>0</v>
      </c>
      <c r="AH673">
        <v>0</v>
      </c>
      <c r="AI673">
        <f t="shared" si="70"/>
        <v>0</v>
      </c>
      <c r="AJ673" t="str">
        <f t="shared" si="71"/>
        <v>0-1 yr</v>
      </c>
      <c r="AK673" t="str">
        <f t="shared" si="72"/>
        <v>Recent</v>
      </c>
      <c r="AL673">
        <f t="shared" si="73"/>
        <v>1</v>
      </c>
      <c r="AM673" t="str">
        <f t="shared" si="74"/>
        <v>Low Risk</v>
      </c>
      <c r="AN673" s="6">
        <f t="shared" si="75"/>
        <v>0.74904542813437536</v>
      </c>
      <c r="AO673" s="7">
        <f t="shared" si="76"/>
        <v>1011420</v>
      </c>
    </row>
    <row r="674" spans="1:41" x14ac:dyDescent="0.3">
      <c r="A674" t="s">
        <v>741</v>
      </c>
      <c r="B674">
        <v>35</v>
      </c>
      <c r="C674" t="s">
        <v>196</v>
      </c>
      <c r="D674" t="s">
        <v>55</v>
      </c>
      <c r="E674" t="s">
        <v>48</v>
      </c>
      <c r="F674">
        <v>144</v>
      </c>
      <c r="G674" t="s">
        <v>735</v>
      </c>
      <c r="H674">
        <v>22</v>
      </c>
      <c r="I674">
        <v>3</v>
      </c>
      <c r="J674" t="s">
        <v>50</v>
      </c>
      <c r="K674">
        <v>577</v>
      </c>
      <c r="L674">
        <v>4</v>
      </c>
      <c r="M674" t="s">
        <v>51</v>
      </c>
      <c r="N674">
        <v>1</v>
      </c>
      <c r="O674">
        <v>1</v>
      </c>
      <c r="P674" t="s">
        <v>52</v>
      </c>
      <c r="Q674">
        <v>3</v>
      </c>
      <c r="R674" t="s">
        <v>53</v>
      </c>
      <c r="S674">
        <v>92792</v>
      </c>
      <c r="T674" t="s">
        <v>70</v>
      </c>
      <c r="U674">
        <v>579.95000000000005</v>
      </c>
      <c r="V674">
        <v>0</v>
      </c>
      <c r="W674" t="s">
        <v>55</v>
      </c>
      <c r="X674">
        <v>15</v>
      </c>
      <c r="Y674">
        <v>3</v>
      </c>
      <c r="Z674">
        <v>3</v>
      </c>
      <c r="AA674">
        <v>0</v>
      </c>
      <c r="AB674">
        <v>6</v>
      </c>
      <c r="AC674">
        <v>2</v>
      </c>
      <c r="AD674">
        <v>3</v>
      </c>
      <c r="AE674">
        <v>5</v>
      </c>
      <c r="AF674">
        <v>4</v>
      </c>
      <c r="AG674">
        <v>4</v>
      </c>
      <c r="AH674">
        <v>3</v>
      </c>
      <c r="AI674">
        <f t="shared" si="70"/>
        <v>0</v>
      </c>
      <c r="AJ674" t="str">
        <f t="shared" si="71"/>
        <v>4-5 yrs</v>
      </c>
      <c r="AK674" t="str">
        <f t="shared" si="72"/>
        <v>Overdue</v>
      </c>
      <c r="AL674">
        <f t="shared" si="73"/>
        <v>1</v>
      </c>
      <c r="AM674" t="str">
        <f t="shared" si="74"/>
        <v>Low Risk</v>
      </c>
      <c r="AN674" s="6">
        <f t="shared" si="75"/>
        <v>0.79410143677399392</v>
      </c>
      <c r="AO674" s="7">
        <f t="shared" si="76"/>
        <v>1113504</v>
      </c>
    </row>
    <row r="675" spans="1:41" x14ac:dyDescent="0.3">
      <c r="A675" t="s">
        <v>742</v>
      </c>
      <c r="B675">
        <v>35</v>
      </c>
      <c r="C675" t="s">
        <v>196</v>
      </c>
      <c r="D675" t="s">
        <v>55</v>
      </c>
      <c r="E675" t="s">
        <v>48</v>
      </c>
      <c r="F675">
        <v>1276</v>
      </c>
      <c r="G675" t="s">
        <v>735</v>
      </c>
      <c r="H675">
        <v>16</v>
      </c>
      <c r="I675">
        <v>3</v>
      </c>
      <c r="J675" t="s">
        <v>50</v>
      </c>
      <c r="K675">
        <v>586</v>
      </c>
      <c r="L675">
        <v>4</v>
      </c>
      <c r="M675" t="s">
        <v>51</v>
      </c>
      <c r="N675">
        <v>3</v>
      </c>
      <c r="O675">
        <v>3</v>
      </c>
      <c r="P675" t="s">
        <v>168</v>
      </c>
      <c r="Q675">
        <v>3</v>
      </c>
      <c r="R675" t="s">
        <v>113</v>
      </c>
      <c r="S675">
        <v>58854</v>
      </c>
      <c r="T675" t="s">
        <v>64</v>
      </c>
      <c r="U675">
        <v>367.84</v>
      </c>
      <c r="V675">
        <v>4</v>
      </c>
      <c r="W675" t="s">
        <v>47</v>
      </c>
      <c r="X675">
        <v>12</v>
      </c>
      <c r="Y675">
        <v>3</v>
      </c>
      <c r="Z675">
        <v>3</v>
      </c>
      <c r="AA675">
        <v>0</v>
      </c>
      <c r="AB675">
        <v>10</v>
      </c>
      <c r="AC675">
        <v>2</v>
      </c>
      <c r="AD675">
        <v>3</v>
      </c>
      <c r="AE675">
        <v>8</v>
      </c>
      <c r="AF675">
        <v>7</v>
      </c>
      <c r="AG675">
        <v>0</v>
      </c>
      <c r="AH675">
        <v>0</v>
      </c>
      <c r="AI675">
        <f t="shared" si="70"/>
        <v>0</v>
      </c>
      <c r="AJ675" t="str">
        <f t="shared" si="71"/>
        <v>6-10 yrs</v>
      </c>
      <c r="AK675" t="str">
        <f t="shared" si="72"/>
        <v>Recent</v>
      </c>
      <c r="AL675">
        <f t="shared" si="73"/>
        <v>1</v>
      </c>
      <c r="AM675" t="str">
        <f t="shared" si="74"/>
        <v>Low Risk</v>
      </c>
      <c r="AN675" s="6">
        <f t="shared" si="75"/>
        <v>0.22131244737996708</v>
      </c>
      <c r="AO675" s="7">
        <f t="shared" si="76"/>
        <v>706248</v>
      </c>
    </row>
    <row r="676" spans="1:41" x14ac:dyDescent="0.3">
      <c r="A676" t="s">
        <v>743</v>
      </c>
      <c r="B676">
        <v>35</v>
      </c>
      <c r="C676" t="s">
        <v>196</v>
      </c>
      <c r="D676" t="s">
        <v>55</v>
      </c>
      <c r="E676" t="s">
        <v>48</v>
      </c>
      <c r="F676">
        <v>619</v>
      </c>
      <c r="G676" t="s">
        <v>63</v>
      </c>
      <c r="H676">
        <v>1</v>
      </c>
      <c r="I676">
        <v>3</v>
      </c>
      <c r="J676" t="s">
        <v>63</v>
      </c>
      <c r="K676">
        <v>600</v>
      </c>
      <c r="L676">
        <v>2</v>
      </c>
      <c r="M676" t="s">
        <v>51</v>
      </c>
      <c r="N676">
        <v>3</v>
      </c>
      <c r="O676">
        <v>2</v>
      </c>
      <c r="P676" t="s">
        <v>145</v>
      </c>
      <c r="Q676">
        <v>3</v>
      </c>
      <c r="R676" t="s">
        <v>113</v>
      </c>
      <c r="S676">
        <v>41262</v>
      </c>
      <c r="T676" t="s">
        <v>72</v>
      </c>
      <c r="U676">
        <v>257.89</v>
      </c>
      <c r="V676">
        <v>9</v>
      </c>
      <c r="W676" t="s">
        <v>55</v>
      </c>
      <c r="X676">
        <v>11</v>
      </c>
      <c r="Y676">
        <v>3</v>
      </c>
      <c r="Z676">
        <v>3</v>
      </c>
      <c r="AA676">
        <v>0</v>
      </c>
      <c r="AB676">
        <v>15</v>
      </c>
      <c r="AC676">
        <v>2</v>
      </c>
      <c r="AD676">
        <v>3</v>
      </c>
      <c r="AE676">
        <v>11</v>
      </c>
      <c r="AF676">
        <v>9</v>
      </c>
      <c r="AG676">
        <v>6</v>
      </c>
      <c r="AH676">
        <v>9</v>
      </c>
      <c r="AI676">
        <f t="shared" si="70"/>
        <v>0</v>
      </c>
      <c r="AJ676" t="str">
        <f t="shared" si="71"/>
        <v>10+ yrs</v>
      </c>
      <c r="AK676" t="str">
        <f t="shared" si="72"/>
        <v>Overdue</v>
      </c>
      <c r="AL676">
        <f t="shared" si="73"/>
        <v>1</v>
      </c>
      <c r="AM676" t="str">
        <f t="shared" si="74"/>
        <v>Low Risk</v>
      </c>
      <c r="AN676" s="6">
        <f t="shared" si="75"/>
        <v>-0.1589134174866135</v>
      </c>
      <c r="AO676" s="7">
        <f t="shared" si="76"/>
        <v>495144</v>
      </c>
    </row>
    <row r="677" spans="1:41" x14ac:dyDescent="0.3">
      <c r="A677" t="s">
        <v>744</v>
      </c>
      <c r="B677">
        <v>35</v>
      </c>
      <c r="C677" t="s">
        <v>196</v>
      </c>
      <c r="D677" t="s">
        <v>55</v>
      </c>
      <c r="E677" t="s">
        <v>48</v>
      </c>
      <c r="F677">
        <v>195</v>
      </c>
      <c r="G677" t="s">
        <v>63</v>
      </c>
      <c r="H677">
        <v>1</v>
      </c>
      <c r="I677">
        <v>3</v>
      </c>
      <c r="J677" t="s">
        <v>58</v>
      </c>
      <c r="K677">
        <v>620</v>
      </c>
      <c r="L677">
        <v>1</v>
      </c>
      <c r="M677" t="s">
        <v>59</v>
      </c>
      <c r="N677">
        <v>3</v>
      </c>
      <c r="O677">
        <v>2</v>
      </c>
      <c r="P677" t="s">
        <v>145</v>
      </c>
      <c r="Q677">
        <v>3</v>
      </c>
      <c r="R677" t="s">
        <v>53</v>
      </c>
      <c r="S677">
        <v>38080</v>
      </c>
      <c r="T677" t="s">
        <v>72</v>
      </c>
      <c r="U677">
        <v>238</v>
      </c>
      <c r="V677">
        <v>1</v>
      </c>
      <c r="W677" t="s">
        <v>55</v>
      </c>
      <c r="X677">
        <v>16</v>
      </c>
      <c r="Y677">
        <v>3</v>
      </c>
      <c r="Z677">
        <v>4</v>
      </c>
      <c r="AA677">
        <v>0</v>
      </c>
      <c r="AB677">
        <v>5</v>
      </c>
      <c r="AC677">
        <v>3</v>
      </c>
      <c r="AD677">
        <v>3</v>
      </c>
      <c r="AE677">
        <v>5</v>
      </c>
      <c r="AF677">
        <v>4</v>
      </c>
      <c r="AG677">
        <v>0</v>
      </c>
      <c r="AH677">
        <v>3</v>
      </c>
      <c r="AI677">
        <f t="shared" si="70"/>
        <v>0</v>
      </c>
      <c r="AJ677" t="str">
        <f t="shared" si="71"/>
        <v>4-5 yrs</v>
      </c>
      <c r="AK677" t="str">
        <f t="shared" si="72"/>
        <v>Recent</v>
      </c>
      <c r="AL677">
        <f t="shared" si="73"/>
        <v>0</v>
      </c>
      <c r="AM677" t="str">
        <f t="shared" si="74"/>
        <v>Minimal Risk</v>
      </c>
      <c r="AN677" s="6">
        <f t="shared" si="75"/>
        <v>-0.22377545775508317</v>
      </c>
      <c r="AO677" s="7">
        <f t="shared" si="76"/>
        <v>456960</v>
      </c>
    </row>
    <row r="678" spans="1:41" x14ac:dyDescent="0.3">
      <c r="A678" t="s">
        <v>745</v>
      </c>
      <c r="B678">
        <v>35</v>
      </c>
      <c r="C678" t="s">
        <v>196</v>
      </c>
      <c r="D678" t="s">
        <v>55</v>
      </c>
      <c r="E678" t="s">
        <v>48</v>
      </c>
      <c r="F678">
        <v>538</v>
      </c>
      <c r="G678" t="s">
        <v>735</v>
      </c>
      <c r="H678">
        <v>25</v>
      </c>
      <c r="I678">
        <v>2</v>
      </c>
      <c r="J678" t="s">
        <v>82</v>
      </c>
      <c r="K678">
        <v>652</v>
      </c>
      <c r="L678">
        <v>1</v>
      </c>
      <c r="M678" t="s">
        <v>51</v>
      </c>
      <c r="N678">
        <v>2</v>
      </c>
      <c r="O678">
        <v>2</v>
      </c>
      <c r="P678" t="s">
        <v>52</v>
      </c>
      <c r="Q678">
        <v>4</v>
      </c>
      <c r="R678" t="s">
        <v>53</v>
      </c>
      <c r="S678">
        <v>2324</v>
      </c>
      <c r="T678" t="s">
        <v>54</v>
      </c>
      <c r="U678">
        <v>14.52</v>
      </c>
      <c r="V678">
        <v>4</v>
      </c>
      <c r="W678" t="s">
        <v>55</v>
      </c>
      <c r="X678">
        <v>14</v>
      </c>
      <c r="Y678">
        <v>3</v>
      </c>
      <c r="Z678">
        <v>4</v>
      </c>
      <c r="AA678">
        <v>0</v>
      </c>
      <c r="AB678">
        <v>9</v>
      </c>
      <c r="AC678">
        <v>3</v>
      </c>
      <c r="AD678">
        <v>3</v>
      </c>
      <c r="AE678">
        <v>3</v>
      </c>
      <c r="AF678">
        <v>2</v>
      </c>
      <c r="AG678">
        <v>0</v>
      </c>
      <c r="AH678">
        <v>2</v>
      </c>
      <c r="AI678">
        <f t="shared" si="70"/>
        <v>0</v>
      </c>
      <c r="AJ678" t="str">
        <f t="shared" si="71"/>
        <v>2-3 yrs</v>
      </c>
      <c r="AK678" t="str">
        <f t="shared" si="72"/>
        <v>Recent</v>
      </c>
      <c r="AL678">
        <f t="shared" si="73"/>
        <v>0</v>
      </c>
      <c r="AM678" t="str">
        <f t="shared" si="74"/>
        <v>Minimal Risk</v>
      </c>
      <c r="AN678" s="6">
        <f t="shared" si="75"/>
        <v>-0.95506625852376537</v>
      </c>
      <c r="AO678" s="7">
        <f t="shared" si="76"/>
        <v>27888</v>
      </c>
    </row>
    <row r="679" spans="1:41" x14ac:dyDescent="0.3">
      <c r="A679" t="s">
        <v>746</v>
      </c>
      <c r="B679">
        <v>35</v>
      </c>
      <c r="C679" t="s">
        <v>196</v>
      </c>
      <c r="D679" t="s">
        <v>55</v>
      </c>
      <c r="E679" t="s">
        <v>48</v>
      </c>
      <c r="F679">
        <v>1017</v>
      </c>
      <c r="G679" t="s">
        <v>735</v>
      </c>
      <c r="H679">
        <v>6</v>
      </c>
      <c r="I679">
        <v>4</v>
      </c>
      <c r="J679" t="s">
        <v>50</v>
      </c>
      <c r="K679">
        <v>691</v>
      </c>
      <c r="L679">
        <v>2</v>
      </c>
      <c r="M679" t="s">
        <v>51</v>
      </c>
      <c r="N679">
        <v>1</v>
      </c>
      <c r="O679">
        <v>2</v>
      </c>
      <c r="P679" t="s">
        <v>67</v>
      </c>
      <c r="Q679">
        <v>4</v>
      </c>
      <c r="R679" t="s">
        <v>53</v>
      </c>
      <c r="S679">
        <v>92267</v>
      </c>
      <c r="T679" t="s">
        <v>70</v>
      </c>
      <c r="U679">
        <v>576.66999999999996</v>
      </c>
      <c r="V679">
        <v>1</v>
      </c>
      <c r="W679" t="s">
        <v>55</v>
      </c>
      <c r="X679">
        <v>13</v>
      </c>
      <c r="Y679">
        <v>3</v>
      </c>
      <c r="Z679">
        <v>2</v>
      </c>
      <c r="AA679">
        <v>0</v>
      </c>
      <c r="AB679">
        <v>17</v>
      </c>
      <c r="AC679">
        <v>3</v>
      </c>
      <c r="AD679">
        <v>3</v>
      </c>
      <c r="AE679">
        <v>17</v>
      </c>
      <c r="AF679">
        <v>11</v>
      </c>
      <c r="AG679">
        <v>11</v>
      </c>
      <c r="AH679">
        <v>8</v>
      </c>
      <c r="AI679">
        <f t="shared" si="70"/>
        <v>0</v>
      </c>
      <c r="AJ679" t="str">
        <f t="shared" si="71"/>
        <v>10+ yrs</v>
      </c>
      <c r="AK679" t="str">
        <f t="shared" si="72"/>
        <v>Overdue</v>
      </c>
      <c r="AL679">
        <f t="shared" si="73"/>
        <v>1</v>
      </c>
      <c r="AM679" t="str">
        <f t="shared" si="74"/>
        <v>Low Risk</v>
      </c>
      <c r="AN679" s="6">
        <f t="shared" si="75"/>
        <v>0.85029500160429616</v>
      </c>
      <c r="AO679" s="7">
        <f t="shared" si="76"/>
        <v>1107204</v>
      </c>
    </row>
    <row r="680" spans="1:41" x14ac:dyDescent="0.3">
      <c r="A680" t="s">
        <v>747</v>
      </c>
      <c r="B680">
        <v>35</v>
      </c>
      <c r="C680" t="s">
        <v>196</v>
      </c>
      <c r="D680" t="s">
        <v>55</v>
      </c>
      <c r="E680" t="s">
        <v>66</v>
      </c>
      <c r="F680">
        <v>727</v>
      </c>
      <c r="G680" t="s">
        <v>735</v>
      </c>
      <c r="H680">
        <v>3</v>
      </c>
      <c r="I680">
        <v>3</v>
      </c>
      <c r="J680" t="s">
        <v>50</v>
      </c>
      <c r="K680">
        <v>704</v>
      </c>
      <c r="L680">
        <v>3</v>
      </c>
      <c r="M680" t="s">
        <v>51</v>
      </c>
      <c r="N680">
        <v>2</v>
      </c>
      <c r="O680">
        <v>1</v>
      </c>
      <c r="P680" t="s">
        <v>52</v>
      </c>
      <c r="Q680">
        <v>3</v>
      </c>
      <c r="R680" t="s">
        <v>113</v>
      </c>
      <c r="S680">
        <v>36909</v>
      </c>
      <c r="T680" t="s">
        <v>72</v>
      </c>
      <c r="U680">
        <v>230.68</v>
      </c>
      <c r="V680">
        <v>1</v>
      </c>
      <c r="W680" t="s">
        <v>55</v>
      </c>
      <c r="X680">
        <v>18</v>
      </c>
      <c r="Y680">
        <v>3</v>
      </c>
      <c r="Z680">
        <v>3</v>
      </c>
      <c r="AA680">
        <v>2</v>
      </c>
      <c r="AB680">
        <v>1</v>
      </c>
      <c r="AC680">
        <v>3</v>
      </c>
      <c r="AD680">
        <v>3</v>
      </c>
      <c r="AE680">
        <v>1</v>
      </c>
      <c r="AF680">
        <v>0</v>
      </c>
      <c r="AG680">
        <v>0</v>
      </c>
      <c r="AH680">
        <v>0</v>
      </c>
      <c r="AI680">
        <f t="shared" si="70"/>
        <v>0</v>
      </c>
      <c r="AJ680" t="str">
        <f t="shared" si="71"/>
        <v>0-1 yr</v>
      </c>
      <c r="AK680" t="str">
        <f t="shared" si="72"/>
        <v>Recent</v>
      </c>
      <c r="AL680">
        <f t="shared" si="73"/>
        <v>0</v>
      </c>
      <c r="AM680" t="str">
        <f t="shared" si="74"/>
        <v>Minimal Risk</v>
      </c>
      <c r="AN680" s="6">
        <f t="shared" si="75"/>
        <v>-0.28637716689055798</v>
      </c>
      <c r="AO680" s="7">
        <f t="shared" si="76"/>
        <v>442908</v>
      </c>
    </row>
    <row r="681" spans="1:41" x14ac:dyDescent="0.3">
      <c r="A681" t="s">
        <v>748</v>
      </c>
      <c r="B681">
        <v>35</v>
      </c>
      <c r="C681" t="s">
        <v>196</v>
      </c>
      <c r="D681" t="s">
        <v>55</v>
      </c>
      <c r="E681" t="s">
        <v>66</v>
      </c>
      <c r="F681">
        <v>1225</v>
      </c>
      <c r="G681" t="s">
        <v>735</v>
      </c>
      <c r="H681">
        <v>2</v>
      </c>
      <c r="I681">
        <v>4</v>
      </c>
      <c r="J681" t="s">
        <v>50</v>
      </c>
      <c r="K681">
        <v>771</v>
      </c>
      <c r="L681">
        <v>4</v>
      </c>
      <c r="M681" t="s">
        <v>59</v>
      </c>
      <c r="N681">
        <v>3</v>
      </c>
      <c r="O681">
        <v>2</v>
      </c>
      <c r="P681" t="s">
        <v>168</v>
      </c>
      <c r="Q681">
        <v>1</v>
      </c>
      <c r="R681" t="s">
        <v>53</v>
      </c>
      <c r="S681">
        <v>90339</v>
      </c>
      <c r="T681" t="s">
        <v>70</v>
      </c>
      <c r="U681">
        <v>564.62</v>
      </c>
      <c r="V681">
        <v>2</v>
      </c>
      <c r="W681" t="s">
        <v>55</v>
      </c>
      <c r="X681">
        <v>11</v>
      </c>
      <c r="Y681">
        <v>3</v>
      </c>
      <c r="Z681">
        <v>1</v>
      </c>
      <c r="AA681">
        <v>1</v>
      </c>
      <c r="AB681">
        <v>16</v>
      </c>
      <c r="AC681">
        <v>2</v>
      </c>
      <c r="AD681">
        <v>4</v>
      </c>
      <c r="AE681">
        <v>1</v>
      </c>
      <c r="AF681">
        <v>0</v>
      </c>
      <c r="AG681">
        <v>0</v>
      </c>
      <c r="AH681">
        <v>0</v>
      </c>
      <c r="AI681">
        <f t="shared" si="70"/>
        <v>0</v>
      </c>
      <c r="AJ681" t="str">
        <f t="shared" si="71"/>
        <v>0-1 yr</v>
      </c>
      <c r="AK681" t="str">
        <f t="shared" si="72"/>
        <v>Recent</v>
      </c>
      <c r="AL681">
        <f t="shared" si="73"/>
        <v>1</v>
      </c>
      <c r="AM681" t="str">
        <f t="shared" si="74"/>
        <v>Low Risk</v>
      </c>
      <c r="AN681" s="6">
        <f t="shared" si="75"/>
        <v>0.87467538627550967</v>
      </c>
      <c r="AO681" s="7">
        <f t="shared" si="76"/>
        <v>1084068</v>
      </c>
    </row>
    <row r="682" spans="1:41" x14ac:dyDescent="0.3">
      <c r="A682" t="s">
        <v>749</v>
      </c>
      <c r="B682">
        <v>35</v>
      </c>
      <c r="C682" t="s">
        <v>196</v>
      </c>
      <c r="D682" t="s">
        <v>55</v>
      </c>
      <c r="E682" t="s">
        <v>48</v>
      </c>
      <c r="F682">
        <v>384</v>
      </c>
      <c r="G682" t="s">
        <v>63</v>
      </c>
      <c r="H682">
        <v>8</v>
      </c>
      <c r="I682">
        <v>4</v>
      </c>
      <c r="J682" t="s">
        <v>50</v>
      </c>
      <c r="K682">
        <v>805</v>
      </c>
      <c r="L682">
        <v>1</v>
      </c>
      <c r="M682" t="s">
        <v>59</v>
      </c>
      <c r="N682">
        <v>3</v>
      </c>
      <c r="O682">
        <v>1</v>
      </c>
      <c r="P682" t="s">
        <v>60</v>
      </c>
      <c r="Q682">
        <v>4</v>
      </c>
      <c r="R682" t="s">
        <v>113</v>
      </c>
      <c r="S682">
        <v>20870</v>
      </c>
      <c r="T682" t="s">
        <v>54</v>
      </c>
      <c r="U682">
        <v>130.44</v>
      </c>
      <c r="V682">
        <v>1</v>
      </c>
      <c r="W682" t="s">
        <v>55</v>
      </c>
      <c r="X682">
        <v>16</v>
      </c>
      <c r="Y682">
        <v>3</v>
      </c>
      <c r="Z682">
        <v>2</v>
      </c>
      <c r="AA682">
        <v>1</v>
      </c>
      <c r="AB682">
        <v>3</v>
      </c>
      <c r="AC682">
        <v>1</v>
      </c>
      <c r="AD682">
        <v>2</v>
      </c>
      <c r="AE682">
        <v>3</v>
      </c>
      <c r="AF682">
        <v>2</v>
      </c>
      <c r="AG682">
        <v>0</v>
      </c>
      <c r="AH682">
        <v>2</v>
      </c>
      <c r="AI682">
        <f t="shared" si="70"/>
        <v>0</v>
      </c>
      <c r="AJ682" t="str">
        <f t="shared" si="71"/>
        <v>2-3 yrs</v>
      </c>
      <c r="AK682" t="str">
        <f t="shared" si="72"/>
        <v>Recent</v>
      </c>
      <c r="AL682">
        <f t="shared" si="73"/>
        <v>1</v>
      </c>
      <c r="AM682" t="str">
        <f t="shared" si="74"/>
        <v>Low Risk</v>
      </c>
      <c r="AN682" s="6">
        <f t="shared" si="75"/>
        <v>-0.5769034073288184</v>
      </c>
      <c r="AO682" s="7">
        <f t="shared" si="76"/>
        <v>250440</v>
      </c>
    </row>
    <row r="683" spans="1:41" x14ac:dyDescent="0.3">
      <c r="A683" t="s">
        <v>750</v>
      </c>
      <c r="B683">
        <v>35</v>
      </c>
      <c r="C683" t="s">
        <v>196</v>
      </c>
      <c r="D683" t="s">
        <v>55</v>
      </c>
      <c r="E683" t="s">
        <v>48</v>
      </c>
      <c r="F683">
        <v>1258</v>
      </c>
      <c r="G683" t="s">
        <v>735</v>
      </c>
      <c r="H683">
        <v>1</v>
      </c>
      <c r="I683">
        <v>4</v>
      </c>
      <c r="J683" t="s">
        <v>50</v>
      </c>
      <c r="K683">
        <v>826</v>
      </c>
      <c r="L683">
        <v>4</v>
      </c>
      <c r="M683" t="s">
        <v>59</v>
      </c>
      <c r="N683">
        <v>4</v>
      </c>
      <c r="O683">
        <v>1</v>
      </c>
      <c r="P683" t="s">
        <v>67</v>
      </c>
      <c r="Q683">
        <v>3</v>
      </c>
      <c r="R683" t="s">
        <v>53</v>
      </c>
      <c r="S683">
        <v>35578</v>
      </c>
      <c r="T683" t="s">
        <v>72</v>
      </c>
      <c r="U683">
        <v>222.36</v>
      </c>
      <c r="V683">
        <v>3</v>
      </c>
      <c r="W683" t="s">
        <v>55</v>
      </c>
      <c r="X683">
        <v>13</v>
      </c>
      <c r="Y683">
        <v>3</v>
      </c>
      <c r="Z683">
        <v>3</v>
      </c>
      <c r="AA683">
        <v>0</v>
      </c>
      <c r="AB683">
        <v>7</v>
      </c>
      <c r="AC683">
        <v>0</v>
      </c>
      <c r="AD683">
        <v>3</v>
      </c>
      <c r="AE683">
        <v>2</v>
      </c>
      <c r="AF683">
        <v>2</v>
      </c>
      <c r="AG683">
        <v>2</v>
      </c>
      <c r="AH683">
        <v>2</v>
      </c>
      <c r="AI683">
        <f t="shared" si="70"/>
        <v>0</v>
      </c>
      <c r="AJ683" t="str">
        <f t="shared" si="71"/>
        <v>2-3 yrs</v>
      </c>
      <c r="AK683" t="str">
        <f t="shared" si="72"/>
        <v>Recent</v>
      </c>
      <c r="AL683">
        <f t="shared" si="73"/>
        <v>0</v>
      </c>
      <c r="AM683" t="str">
        <f t="shared" si="74"/>
        <v>Minimal Risk</v>
      </c>
      <c r="AN683" s="6">
        <f t="shared" si="75"/>
        <v>-0.28652935971606697</v>
      </c>
      <c r="AO683" s="7">
        <f t="shared" si="76"/>
        <v>426936</v>
      </c>
    </row>
    <row r="684" spans="1:41" x14ac:dyDescent="0.3">
      <c r="A684" t="s">
        <v>751</v>
      </c>
      <c r="B684">
        <v>35</v>
      </c>
      <c r="C684" t="s">
        <v>196</v>
      </c>
      <c r="D684" t="s">
        <v>55</v>
      </c>
      <c r="E684" t="s">
        <v>48</v>
      </c>
      <c r="F684">
        <v>950</v>
      </c>
      <c r="G684" t="s">
        <v>735</v>
      </c>
      <c r="H684">
        <v>7</v>
      </c>
      <c r="I684">
        <v>3</v>
      </c>
      <c r="J684" t="s">
        <v>82</v>
      </c>
      <c r="K684">
        <v>845</v>
      </c>
      <c r="L684">
        <v>3</v>
      </c>
      <c r="M684" t="s">
        <v>51</v>
      </c>
      <c r="N684">
        <v>3</v>
      </c>
      <c r="O684">
        <v>3</v>
      </c>
      <c r="P684" t="s">
        <v>120</v>
      </c>
      <c r="Q684">
        <v>3</v>
      </c>
      <c r="R684" t="s">
        <v>53</v>
      </c>
      <c r="S684">
        <v>73124</v>
      </c>
      <c r="T684" t="s">
        <v>64</v>
      </c>
      <c r="U684">
        <v>457.02</v>
      </c>
      <c r="V684">
        <v>3</v>
      </c>
      <c r="W684" t="s">
        <v>55</v>
      </c>
      <c r="X684">
        <v>21</v>
      </c>
      <c r="Y684">
        <v>4</v>
      </c>
      <c r="Z684">
        <v>2</v>
      </c>
      <c r="AA684">
        <v>0</v>
      </c>
      <c r="AB684">
        <v>17</v>
      </c>
      <c r="AC684">
        <v>3</v>
      </c>
      <c r="AD684">
        <v>4</v>
      </c>
      <c r="AE684">
        <v>8</v>
      </c>
      <c r="AF684">
        <v>5</v>
      </c>
      <c r="AG684">
        <v>1</v>
      </c>
      <c r="AH684">
        <v>6</v>
      </c>
      <c r="AI684">
        <f t="shared" si="70"/>
        <v>0</v>
      </c>
      <c r="AJ684" t="str">
        <f t="shared" si="71"/>
        <v>6-10 yrs</v>
      </c>
      <c r="AK684" t="str">
        <f t="shared" si="72"/>
        <v>Recent</v>
      </c>
      <c r="AL684">
        <f t="shared" si="73"/>
        <v>0</v>
      </c>
      <c r="AM684" t="str">
        <f t="shared" si="74"/>
        <v>Minimal Risk</v>
      </c>
      <c r="AN684" s="6">
        <f t="shared" si="75"/>
        <v>0.65082844462889877</v>
      </c>
      <c r="AO684" s="7">
        <f t="shared" si="76"/>
        <v>877488</v>
      </c>
    </row>
    <row r="685" spans="1:41" x14ac:dyDescent="0.3">
      <c r="A685" t="s">
        <v>752</v>
      </c>
      <c r="B685">
        <v>35</v>
      </c>
      <c r="C685" t="s">
        <v>196</v>
      </c>
      <c r="D685" t="s">
        <v>55</v>
      </c>
      <c r="E685" t="s">
        <v>48</v>
      </c>
      <c r="F685">
        <v>1343</v>
      </c>
      <c r="G685" t="s">
        <v>735</v>
      </c>
      <c r="H685">
        <v>27</v>
      </c>
      <c r="I685">
        <v>1</v>
      </c>
      <c r="J685" t="s">
        <v>58</v>
      </c>
      <c r="K685">
        <v>856</v>
      </c>
      <c r="L685">
        <v>3</v>
      </c>
      <c r="M685" t="s">
        <v>59</v>
      </c>
      <c r="N685">
        <v>2</v>
      </c>
      <c r="O685">
        <v>1</v>
      </c>
      <c r="P685" t="s">
        <v>67</v>
      </c>
      <c r="Q685">
        <v>1</v>
      </c>
      <c r="R685" t="s">
        <v>53</v>
      </c>
      <c r="S685">
        <v>27790</v>
      </c>
      <c r="T685" t="s">
        <v>72</v>
      </c>
      <c r="U685">
        <v>173.69</v>
      </c>
      <c r="V685">
        <v>1</v>
      </c>
      <c r="W685" t="s">
        <v>55</v>
      </c>
      <c r="X685">
        <v>11</v>
      </c>
      <c r="Y685">
        <v>3</v>
      </c>
      <c r="Z685">
        <v>4</v>
      </c>
      <c r="AA685">
        <v>0</v>
      </c>
      <c r="AB685">
        <v>6</v>
      </c>
      <c r="AC685">
        <v>3</v>
      </c>
      <c r="AD685">
        <v>2</v>
      </c>
      <c r="AE685">
        <v>6</v>
      </c>
      <c r="AF685">
        <v>5</v>
      </c>
      <c r="AG685">
        <v>1</v>
      </c>
      <c r="AH685">
        <v>1</v>
      </c>
      <c r="AI685">
        <f t="shared" si="70"/>
        <v>0</v>
      </c>
      <c r="AJ685" t="str">
        <f t="shared" si="71"/>
        <v>6-10 yrs</v>
      </c>
      <c r="AK685" t="str">
        <f t="shared" si="72"/>
        <v>Recent</v>
      </c>
      <c r="AL685">
        <f t="shared" si="73"/>
        <v>2</v>
      </c>
      <c r="AM685" t="str">
        <f t="shared" si="74"/>
        <v>Medium Risk</v>
      </c>
      <c r="AN685" s="6">
        <f t="shared" si="75"/>
        <v>-0.44270759757461076</v>
      </c>
      <c r="AO685" s="7">
        <f t="shared" si="76"/>
        <v>333480</v>
      </c>
    </row>
    <row r="686" spans="1:41" x14ac:dyDescent="0.3">
      <c r="A686" t="s">
        <v>753</v>
      </c>
      <c r="B686">
        <v>35</v>
      </c>
      <c r="C686" t="s">
        <v>196</v>
      </c>
      <c r="D686" t="s">
        <v>55</v>
      </c>
      <c r="E686" t="s">
        <v>48</v>
      </c>
      <c r="F686">
        <v>607</v>
      </c>
      <c r="G686" t="s">
        <v>735</v>
      </c>
      <c r="H686">
        <v>9</v>
      </c>
      <c r="I686">
        <v>3</v>
      </c>
      <c r="J686" t="s">
        <v>50</v>
      </c>
      <c r="K686">
        <v>880</v>
      </c>
      <c r="L686">
        <v>4</v>
      </c>
      <c r="M686" t="s">
        <v>59</v>
      </c>
      <c r="N686">
        <v>2</v>
      </c>
      <c r="O686">
        <v>3</v>
      </c>
      <c r="P686" t="s">
        <v>120</v>
      </c>
      <c r="Q686">
        <v>3</v>
      </c>
      <c r="R686" t="s">
        <v>113</v>
      </c>
      <c r="S686">
        <v>26289</v>
      </c>
      <c r="T686" t="s">
        <v>72</v>
      </c>
      <c r="U686">
        <v>164.31</v>
      </c>
      <c r="V686">
        <v>1</v>
      </c>
      <c r="W686" t="s">
        <v>47</v>
      </c>
      <c r="X686">
        <v>20</v>
      </c>
      <c r="Y686">
        <v>4</v>
      </c>
      <c r="Z686">
        <v>2</v>
      </c>
      <c r="AA686">
        <v>1</v>
      </c>
      <c r="AB686">
        <v>17</v>
      </c>
      <c r="AC686">
        <v>2</v>
      </c>
      <c r="AD686">
        <v>3</v>
      </c>
      <c r="AE686">
        <v>17</v>
      </c>
      <c r="AF686">
        <v>14</v>
      </c>
      <c r="AG686">
        <v>5</v>
      </c>
      <c r="AH686">
        <v>15</v>
      </c>
      <c r="AI686">
        <f t="shared" si="70"/>
        <v>0</v>
      </c>
      <c r="AJ686" t="str">
        <f t="shared" si="71"/>
        <v>10+ yrs</v>
      </c>
      <c r="AK686" t="str">
        <f t="shared" si="72"/>
        <v>Overdue</v>
      </c>
      <c r="AL686">
        <f t="shared" si="73"/>
        <v>2</v>
      </c>
      <c r="AM686" t="str">
        <f t="shared" si="74"/>
        <v>Medium Risk</v>
      </c>
      <c r="AN686" s="6">
        <f t="shared" si="75"/>
        <v>-0.40650635932321644</v>
      </c>
      <c r="AO686" s="7">
        <f t="shared" si="76"/>
        <v>315468</v>
      </c>
    </row>
    <row r="687" spans="1:41" x14ac:dyDescent="0.3">
      <c r="A687" t="s">
        <v>754</v>
      </c>
      <c r="B687">
        <v>35</v>
      </c>
      <c r="C687" t="s">
        <v>196</v>
      </c>
      <c r="D687" t="s">
        <v>47</v>
      </c>
      <c r="E687" t="s">
        <v>62</v>
      </c>
      <c r="F687">
        <v>130</v>
      </c>
      <c r="G687" t="s">
        <v>735</v>
      </c>
      <c r="H687">
        <v>25</v>
      </c>
      <c r="I687">
        <v>4</v>
      </c>
      <c r="J687" t="s">
        <v>50</v>
      </c>
      <c r="K687">
        <v>881</v>
      </c>
      <c r="L687">
        <v>4</v>
      </c>
      <c r="M687" t="s">
        <v>59</v>
      </c>
      <c r="N687">
        <v>3</v>
      </c>
      <c r="O687">
        <v>1</v>
      </c>
      <c r="P687" t="s">
        <v>67</v>
      </c>
      <c r="Q687">
        <v>2</v>
      </c>
      <c r="R687" t="s">
        <v>53</v>
      </c>
      <c r="S687">
        <v>56129</v>
      </c>
      <c r="T687" t="s">
        <v>64</v>
      </c>
      <c r="U687">
        <v>350.81</v>
      </c>
      <c r="V687">
        <v>1</v>
      </c>
      <c r="W687" t="s">
        <v>47</v>
      </c>
      <c r="X687">
        <v>19</v>
      </c>
      <c r="Y687">
        <v>3</v>
      </c>
      <c r="Z687">
        <v>1</v>
      </c>
      <c r="AA687">
        <v>1</v>
      </c>
      <c r="AB687">
        <v>10</v>
      </c>
      <c r="AC687">
        <v>3</v>
      </c>
      <c r="AD687">
        <v>2</v>
      </c>
      <c r="AE687">
        <v>10</v>
      </c>
      <c r="AF687">
        <v>2</v>
      </c>
      <c r="AG687">
        <v>7</v>
      </c>
      <c r="AH687">
        <v>8</v>
      </c>
      <c r="AI687">
        <f t="shared" si="70"/>
        <v>1</v>
      </c>
      <c r="AJ687" t="str">
        <f t="shared" si="71"/>
        <v>6-10 yrs</v>
      </c>
      <c r="AK687" t="str">
        <f t="shared" si="72"/>
        <v>Overdue</v>
      </c>
      <c r="AL687">
        <f t="shared" si="73"/>
        <v>4</v>
      </c>
      <c r="AM687" t="str">
        <f t="shared" si="74"/>
        <v>High Risk</v>
      </c>
      <c r="AN687" s="6">
        <f t="shared" si="75"/>
        <v>0.12559428771985151</v>
      </c>
      <c r="AO687" s="7">
        <f t="shared" si="76"/>
        <v>673548</v>
      </c>
    </row>
    <row r="688" spans="1:41" x14ac:dyDescent="0.3">
      <c r="A688" t="s">
        <v>755</v>
      </c>
      <c r="B688">
        <v>35</v>
      </c>
      <c r="C688" t="s">
        <v>196</v>
      </c>
      <c r="D688" t="s">
        <v>55</v>
      </c>
      <c r="E688" t="s">
        <v>48</v>
      </c>
      <c r="F688">
        <v>672</v>
      </c>
      <c r="G688" t="s">
        <v>735</v>
      </c>
      <c r="H688">
        <v>25</v>
      </c>
      <c r="I688">
        <v>3</v>
      </c>
      <c r="J688" t="s">
        <v>77</v>
      </c>
      <c r="K688">
        <v>899</v>
      </c>
      <c r="L688">
        <v>4</v>
      </c>
      <c r="M688" t="s">
        <v>51</v>
      </c>
      <c r="N688">
        <v>2</v>
      </c>
      <c r="O688">
        <v>3</v>
      </c>
      <c r="P688" t="s">
        <v>120</v>
      </c>
      <c r="Q688">
        <v>2</v>
      </c>
      <c r="R688" t="s">
        <v>113</v>
      </c>
      <c r="S688">
        <v>94714</v>
      </c>
      <c r="T688" t="s">
        <v>70</v>
      </c>
      <c r="U688">
        <v>591.96</v>
      </c>
      <c r="V688">
        <v>3</v>
      </c>
      <c r="W688" t="s">
        <v>55</v>
      </c>
      <c r="X688">
        <v>16</v>
      </c>
      <c r="Y688">
        <v>3</v>
      </c>
      <c r="Z688">
        <v>1</v>
      </c>
      <c r="AA688">
        <v>0</v>
      </c>
      <c r="AB688">
        <v>16</v>
      </c>
      <c r="AC688">
        <v>2</v>
      </c>
      <c r="AD688">
        <v>3</v>
      </c>
      <c r="AE688">
        <v>13</v>
      </c>
      <c r="AF688">
        <v>10</v>
      </c>
      <c r="AG688">
        <v>4</v>
      </c>
      <c r="AH688">
        <v>8</v>
      </c>
      <c r="AI688">
        <f t="shared" si="70"/>
        <v>0</v>
      </c>
      <c r="AJ688" t="str">
        <f t="shared" si="71"/>
        <v>10+ yrs</v>
      </c>
      <c r="AK688" t="str">
        <f t="shared" si="72"/>
        <v>Overdue</v>
      </c>
      <c r="AL688">
        <f t="shared" si="73"/>
        <v>2</v>
      </c>
      <c r="AM688" t="str">
        <f t="shared" si="74"/>
        <v>Medium Risk</v>
      </c>
      <c r="AN688" s="6">
        <f t="shared" si="75"/>
        <v>1.1382386809335037</v>
      </c>
      <c r="AO688" s="7">
        <f t="shared" si="76"/>
        <v>1136568</v>
      </c>
    </row>
    <row r="689" spans="1:41" x14ac:dyDescent="0.3">
      <c r="A689" t="s">
        <v>756</v>
      </c>
      <c r="B689">
        <v>35</v>
      </c>
      <c r="C689" t="s">
        <v>196</v>
      </c>
      <c r="D689" t="s">
        <v>55</v>
      </c>
      <c r="E689" t="s">
        <v>48</v>
      </c>
      <c r="F689">
        <v>1137</v>
      </c>
      <c r="G689" t="s">
        <v>735</v>
      </c>
      <c r="H689">
        <v>21</v>
      </c>
      <c r="I689">
        <v>1</v>
      </c>
      <c r="J689" t="s">
        <v>50</v>
      </c>
      <c r="K689">
        <v>942</v>
      </c>
      <c r="L689">
        <v>4</v>
      </c>
      <c r="M689" t="s">
        <v>59</v>
      </c>
      <c r="N689">
        <v>3</v>
      </c>
      <c r="O689">
        <v>2</v>
      </c>
      <c r="P689" t="s">
        <v>168</v>
      </c>
      <c r="Q689">
        <v>4</v>
      </c>
      <c r="R689" t="s">
        <v>113</v>
      </c>
      <c r="S689">
        <v>95246</v>
      </c>
      <c r="T689" t="s">
        <v>70</v>
      </c>
      <c r="U689">
        <v>595.29</v>
      </c>
      <c r="V689">
        <v>1</v>
      </c>
      <c r="W689" t="s">
        <v>47</v>
      </c>
      <c r="X689">
        <v>25</v>
      </c>
      <c r="Y689">
        <v>4</v>
      </c>
      <c r="Z689">
        <v>4</v>
      </c>
      <c r="AA689">
        <v>1</v>
      </c>
      <c r="AB689">
        <v>10</v>
      </c>
      <c r="AC689">
        <v>2</v>
      </c>
      <c r="AD689">
        <v>1</v>
      </c>
      <c r="AE689">
        <v>10</v>
      </c>
      <c r="AF689">
        <v>6</v>
      </c>
      <c r="AG689">
        <v>0</v>
      </c>
      <c r="AH689">
        <v>7</v>
      </c>
      <c r="AI689">
        <f t="shared" si="70"/>
        <v>0</v>
      </c>
      <c r="AJ689" t="str">
        <f t="shared" si="71"/>
        <v>6-10 yrs</v>
      </c>
      <c r="AK689" t="str">
        <f t="shared" si="72"/>
        <v>Recent</v>
      </c>
      <c r="AL689">
        <f t="shared" si="73"/>
        <v>2</v>
      </c>
      <c r="AM689" t="str">
        <f t="shared" si="74"/>
        <v>Medium Risk</v>
      </c>
      <c r="AN689" s="6">
        <f t="shared" si="75"/>
        <v>0.97650330246291406</v>
      </c>
      <c r="AO689" s="7">
        <f t="shared" si="76"/>
        <v>1142952</v>
      </c>
    </row>
    <row r="690" spans="1:41" x14ac:dyDescent="0.3">
      <c r="A690" t="s">
        <v>757</v>
      </c>
      <c r="B690">
        <v>35</v>
      </c>
      <c r="C690" t="s">
        <v>196</v>
      </c>
      <c r="D690" t="s">
        <v>55</v>
      </c>
      <c r="E690" t="s">
        <v>48</v>
      </c>
      <c r="F690">
        <v>1219</v>
      </c>
      <c r="G690" t="s">
        <v>63</v>
      </c>
      <c r="H690">
        <v>18</v>
      </c>
      <c r="I690">
        <v>3</v>
      </c>
      <c r="J690" t="s">
        <v>58</v>
      </c>
      <c r="K690">
        <v>975</v>
      </c>
      <c r="L690">
        <v>3</v>
      </c>
      <c r="M690" t="s">
        <v>59</v>
      </c>
      <c r="N690">
        <v>3</v>
      </c>
      <c r="O690">
        <v>2</v>
      </c>
      <c r="P690" t="s">
        <v>145</v>
      </c>
      <c r="Q690">
        <v>3</v>
      </c>
      <c r="R690" t="s">
        <v>113</v>
      </c>
      <c r="S690">
        <v>16485</v>
      </c>
      <c r="T690" t="s">
        <v>54</v>
      </c>
      <c r="U690">
        <v>103.03</v>
      </c>
      <c r="V690">
        <v>1</v>
      </c>
      <c r="W690" t="s">
        <v>55</v>
      </c>
      <c r="X690">
        <v>16</v>
      </c>
      <c r="Y690">
        <v>3</v>
      </c>
      <c r="Z690">
        <v>2</v>
      </c>
      <c r="AA690">
        <v>0</v>
      </c>
      <c r="AB690">
        <v>5</v>
      </c>
      <c r="AC690">
        <v>3</v>
      </c>
      <c r="AD690">
        <v>3</v>
      </c>
      <c r="AE690">
        <v>5</v>
      </c>
      <c r="AF690">
        <v>2</v>
      </c>
      <c r="AG690">
        <v>1</v>
      </c>
      <c r="AH690">
        <v>0</v>
      </c>
      <c r="AI690">
        <f t="shared" si="70"/>
        <v>0</v>
      </c>
      <c r="AJ690" t="str">
        <f t="shared" si="71"/>
        <v>4-5 yrs</v>
      </c>
      <c r="AK690" t="str">
        <f t="shared" si="72"/>
        <v>Recent</v>
      </c>
      <c r="AL690">
        <f t="shared" si="73"/>
        <v>0</v>
      </c>
      <c r="AM690" t="str">
        <f t="shared" si="74"/>
        <v>Minimal Risk</v>
      </c>
      <c r="AN690" s="6">
        <f t="shared" si="75"/>
        <v>-0.66396897114213616</v>
      </c>
      <c r="AO690" s="7">
        <f t="shared" si="76"/>
        <v>197820</v>
      </c>
    </row>
    <row r="691" spans="1:41" x14ac:dyDescent="0.3">
      <c r="A691" t="s">
        <v>758</v>
      </c>
      <c r="B691">
        <v>35</v>
      </c>
      <c r="C691" t="s">
        <v>196</v>
      </c>
      <c r="D691" t="s">
        <v>55</v>
      </c>
      <c r="E691" t="s">
        <v>48</v>
      </c>
      <c r="F691">
        <v>882</v>
      </c>
      <c r="G691" t="s">
        <v>63</v>
      </c>
      <c r="H691">
        <v>3</v>
      </c>
      <c r="I691">
        <v>4</v>
      </c>
      <c r="J691" t="s">
        <v>50</v>
      </c>
      <c r="K691">
        <v>984</v>
      </c>
      <c r="L691">
        <v>4</v>
      </c>
      <c r="M691" t="s">
        <v>51</v>
      </c>
      <c r="N691">
        <v>3</v>
      </c>
      <c r="O691">
        <v>3</v>
      </c>
      <c r="P691" t="s">
        <v>145</v>
      </c>
      <c r="Q691">
        <v>4</v>
      </c>
      <c r="R691" t="s">
        <v>53</v>
      </c>
      <c r="S691">
        <v>45482</v>
      </c>
      <c r="T691" t="s">
        <v>72</v>
      </c>
      <c r="U691">
        <v>284.26</v>
      </c>
      <c r="V691">
        <v>6</v>
      </c>
      <c r="W691" t="s">
        <v>55</v>
      </c>
      <c r="X691">
        <v>13</v>
      </c>
      <c r="Y691">
        <v>3</v>
      </c>
      <c r="Z691">
        <v>2</v>
      </c>
      <c r="AA691">
        <v>1</v>
      </c>
      <c r="AB691">
        <v>12</v>
      </c>
      <c r="AC691">
        <v>2</v>
      </c>
      <c r="AD691">
        <v>3</v>
      </c>
      <c r="AE691">
        <v>10</v>
      </c>
      <c r="AF691">
        <v>9</v>
      </c>
      <c r="AG691">
        <v>0</v>
      </c>
      <c r="AH691">
        <v>8</v>
      </c>
      <c r="AI691">
        <f t="shared" si="70"/>
        <v>0</v>
      </c>
      <c r="AJ691" t="str">
        <f t="shared" si="71"/>
        <v>6-10 yrs</v>
      </c>
      <c r="AK691" t="str">
        <f t="shared" si="72"/>
        <v>Recent</v>
      </c>
      <c r="AL691">
        <f t="shared" si="73"/>
        <v>0</v>
      </c>
      <c r="AM691" t="str">
        <f t="shared" si="74"/>
        <v>Minimal Risk</v>
      </c>
      <c r="AN691" s="6">
        <f t="shared" si="75"/>
        <v>-7.2892735546656845E-2</v>
      </c>
      <c r="AO691" s="7">
        <f t="shared" si="76"/>
        <v>545784</v>
      </c>
    </row>
    <row r="692" spans="1:41" x14ac:dyDescent="0.3">
      <c r="A692" t="s">
        <v>759</v>
      </c>
      <c r="B692">
        <v>35</v>
      </c>
      <c r="C692" t="s">
        <v>196</v>
      </c>
      <c r="D692" t="s">
        <v>47</v>
      </c>
      <c r="E692" t="s">
        <v>48</v>
      </c>
      <c r="F692">
        <v>622</v>
      </c>
      <c r="G692" t="s">
        <v>735</v>
      </c>
      <c r="H692">
        <v>14</v>
      </c>
      <c r="I692">
        <v>4</v>
      </c>
      <c r="J692" t="s">
        <v>82</v>
      </c>
      <c r="K692">
        <v>1010</v>
      </c>
      <c r="L692">
        <v>3</v>
      </c>
      <c r="M692" t="s">
        <v>51</v>
      </c>
      <c r="N692">
        <v>2</v>
      </c>
      <c r="O692">
        <v>1</v>
      </c>
      <c r="P692" t="s">
        <v>52</v>
      </c>
      <c r="Q692">
        <v>2</v>
      </c>
      <c r="R692" t="s">
        <v>53</v>
      </c>
      <c r="S692">
        <v>87188</v>
      </c>
      <c r="T692" t="s">
        <v>70</v>
      </c>
      <c r="U692">
        <v>544.91999999999996</v>
      </c>
      <c r="V692">
        <v>1</v>
      </c>
      <c r="W692" t="s">
        <v>47</v>
      </c>
      <c r="X692">
        <v>24</v>
      </c>
      <c r="Y692">
        <v>4</v>
      </c>
      <c r="Z692">
        <v>4</v>
      </c>
      <c r="AA692">
        <v>1</v>
      </c>
      <c r="AB692">
        <v>5</v>
      </c>
      <c r="AC692">
        <v>2</v>
      </c>
      <c r="AD692">
        <v>1</v>
      </c>
      <c r="AE692">
        <v>4</v>
      </c>
      <c r="AF692">
        <v>2</v>
      </c>
      <c r="AG692">
        <v>0</v>
      </c>
      <c r="AH692">
        <v>2</v>
      </c>
      <c r="AI692">
        <f t="shared" si="70"/>
        <v>1</v>
      </c>
      <c r="AJ692" t="str">
        <f t="shared" si="71"/>
        <v>4-5 yrs</v>
      </c>
      <c r="AK692" t="str">
        <f t="shared" si="72"/>
        <v>Recent</v>
      </c>
      <c r="AL692">
        <f t="shared" si="73"/>
        <v>3</v>
      </c>
      <c r="AM692" t="str">
        <f t="shared" si="74"/>
        <v>High Risk</v>
      </c>
      <c r="AN692" s="6">
        <f t="shared" si="75"/>
        <v>0.68575002230204096</v>
      </c>
      <c r="AO692" s="7">
        <f t="shared" si="76"/>
        <v>1046256</v>
      </c>
    </row>
    <row r="693" spans="1:41" x14ac:dyDescent="0.3">
      <c r="A693" t="s">
        <v>760</v>
      </c>
      <c r="B693">
        <v>35</v>
      </c>
      <c r="C693" t="s">
        <v>196</v>
      </c>
      <c r="D693" t="s">
        <v>55</v>
      </c>
      <c r="E693" t="s">
        <v>48</v>
      </c>
      <c r="F693">
        <v>583</v>
      </c>
      <c r="G693" t="s">
        <v>735</v>
      </c>
      <c r="H693">
        <v>25</v>
      </c>
      <c r="I693">
        <v>4</v>
      </c>
      <c r="J693" t="s">
        <v>58</v>
      </c>
      <c r="K693">
        <v>1014</v>
      </c>
      <c r="L693">
        <v>3</v>
      </c>
      <c r="M693" t="s">
        <v>59</v>
      </c>
      <c r="N693">
        <v>3</v>
      </c>
      <c r="O693">
        <v>3</v>
      </c>
      <c r="P693" t="s">
        <v>168</v>
      </c>
      <c r="Q693">
        <v>3</v>
      </c>
      <c r="R693" t="s">
        <v>53</v>
      </c>
      <c r="S693">
        <v>5748</v>
      </c>
      <c r="T693" t="s">
        <v>54</v>
      </c>
      <c r="U693">
        <v>35.92</v>
      </c>
      <c r="V693">
        <v>1</v>
      </c>
      <c r="W693" t="s">
        <v>47</v>
      </c>
      <c r="X693">
        <v>11</v>
      </c>
      <c r="Y693">
        <v>3</v>
      </c>
      <c r="Z693">
        <v>3</v>
      </c>
      <c r="AA693">
        <v>1</v>
      </c>
      <c r="AB693">
        <v>16</v>
      </c>
      <c r="AC693">
        <v>3</v>
      </c>
      <c r="AD693">
        <v>2</v>
      </c>
      <c r="AE693">
        <v>16</v>
      </c>
      <c r="AF693">
        <v>10</v>
      </c>
      <c r="AG693">
        <v>10</v>
      </c>
      <c r="AH693">
        <v>1</v>
      </c>
      <c r="AI693">
        <f t="shared" si="70"/>
        <v>0</v>
      </c>
      <c r="AJ693" t="str">
        <f t="shared" si="71"/>
        <v>10+ yrs</v>
      </c>
      <c r="AK693" t="str">
        <f t="shared" si="72"/>
        <v>Overdue</v>
      </c>
      <c r="AL693">
        <f t="shared" si="73"/>
        <v>3</v>
      </c>
      <c r="AM693" t="str">
        <f t="shared" si="74"/>
        <v>High Risk</v>
      </c>
      <c r="AN693" s="6">
        <f t="shared" si="75"/>
        <v>-0.88072001992149984</v>
      </c>
      <c r="AO693" s="7">
        <f t="shared" si="76"/>
        <v>68976</v>
      </c>
    </row>
    <row r="694" spans="1:41" x14ac:dyDescent="0.3">
      <c r="A694" t="s">
        <v>761</v>
      </c>
      <c r="B694">
        <v>35</v>
      </c>
      <c r="C694" t="s">
        <v>196</v>
      </c>
      <c r="D694" t="s">
        <v>55</v>
      </c>
      <c r="E694" t="s">
        <v>48</v>
      </c>
      <c r="F694">
        <v>802</v>
      </c>
      <c r="G694" t="s">
        <v>735</v>
      </c>
      <c r="H694">
        <v>10</v>
      </c>
      <c r="I694">
        <v>3</v>
      </c>
      <c r="J694" t="s">
        <v>82</v>
      </c>
      <c r="K694">
        <v>1028</v>
      </c>
      <c r="L694">
        <v>2</v>
      </c>
      <c r="M694" t="s">
        <v>51</v>
      </c>
      <c r="N694">
        <v>3</v>
      </c>
      <c r="O694">
        <v>1</v>
      </c>
      <c r="P694" t="s">
        <v>52</v>
      </c>
      <c r="Q694">
        <v>4</v>
      </c>
      <c r="R694" t="s">
        <v>53</v>
      </c>
      <c r="S694">
        <v>87769</v>
      </c>
      <c r="T694" t="s">
        <v>70</v>
      </c>
      <c r="U694">
        <v>548.55999999999995</v>
      </c>
      <c r="V694">
        <v>1</v>
      </c>
      <c r="W694" t="s">
        <v>55</v>
      </c>
      <c r="X694">
        <v>20</v>
      </c>
      <c r="Y694">
        <v>4</v>
      </c>
      <c r="Z694">
        <v>1</v>
      </c>
      <c r="AA694">
        <v>1</v>
      </c>
      <c r="AB694">
        <v>3</v>
      </c>
      <c r="AC694">
        <v>4</v>
      </c>
      <c r="AD694">
        <v>2</v>
      </c>
      <c r="AE694">
        <v>3</v>
      </c>
      <c r="AF694">
        <v>2</v>
      </c>
      <c r="AG694">
        <v>1</v>
      </c>
      <c r="AH694">
        <v>2</v>
      </c>
      <c r="AI694">
        <f t="shared" si="70"/>
        <v>0</v>
      </c>
      <c r="AJ694" t="str">
        <f t="shared" si="71"/>
        <v>2-3 yrs</v>
      </c>
      <c r="AK694" t="str">
        <f t="shared" si="72"/>
        <v>Recent</v>
      </c>
      <c r="AL694">
        <f t="shared" si="73"/>
        <v>1</v>
      </c>
      <c r="AM694" t="str">
        <f t="shared" si="74"/>
        <v>Low Risk</v>
      </c>
      <c r="AN694" s="6">
        <f t="shared" si="75"/>
        <v>0.69698345767109959</v>
      </c>
      <c r="AO694" s="7">
        <f t="shared" si="76"/>
        <v>1053228</v>
      </c>
    </row>
    <row r="695" spans="1:41" x14ac:dyDescent="0.3">
      <c r="A695" t="s">
        <v>762</v>
      </c>
      <c r="B695">
        <v>35</v>
      </c>
      <c r="C695" t="s">
        <v>196</v>
      </c>
      <c r="D695" t="s">
        <v>47</v>
      </c>
      <c r="E695" t="s">
        <v>48</v>
      </c>
      <c r="F695">
        <v>1204</v>
      </c>
      <c r="G695" t="s">
        <v>63</v>
      </c>
      <c r="H695">
        <v>4</v>
      </c>
      <c r="I695">
        <v>3</v>
      </c>
      <c r="J695" t="s">
        <v>77</v>
      </c>
      <c r="K695">
        <v>1100</v>
      </c>
      <c r="L695">
        <v>4</v>
      </c>
      <c r="M695" t="s">
        <v>51</v>
      </c>
      <c r="N695">
        <v>3</v>
      </c>
      <c r="O695">
        <v>3</v>
      </c>
      <c r="P695" t="s">
        <v>145</v>
      </c>
      <c r="Q695">
        <v>1</v>
      </c>
      <c r="R695" t="s">
        <v>53</v>
      </c>
      <c r="S695">
        <v>10435</v>
      </c>
      <c r="T695" t="s">
        <v>54</v>
      </c>
      <c r="U695">
        <v>65.22</v>
      </c>
      <c r="V695">
        <v>0</v>
      </c>
      <c r="W695" t="s">
        <v>47</v>
      </c>
      <c r="X695">
        <v>22</v>
      </c>
      <c r="Y695">
        <v>4</v>
      </c>
      <c r="Z695">
        <v>1</v>
      </c>
      <c r="AA695">
        <v>0</v>
      </c>
      <c r="AB695">
        <v>9</v>
      </c>
      <c r="AC695">
        <v>2</v>
      </c>
      <c r="AD695">
        <v>3</v>
      </c>
      <c r="AE695">
        <v>8</v>
      </c>
      <c r="AF695">
        <v>7</v>
      </c>
      <c r="AG695">
        <v>4</v>
      </c>
      <c r="AH695">
        <v>7</v>
      </c>
      <c r="AI695">
        <f t="shared" si="70"/>
        <v>1</v>
      </c>
      <c r="AJ695" t="str">
        <f t="shared" si="71"/>
        <v>6-10 yrs</v>
      </c>
      <c r="AK695" t="str">
        <f t="shared" si="72"/>
        <v>Overdue</v>
      </c>
      <c r="AL695">
        <f t="shared" si="73"/>
        <v>3</v>
      </c>
      <c r="AM695" t="str">
        <f t="shared" si="74"/>
        <v>High Risk</v>
      </c>
      <c r="AN695" s="6">
        <f t="shared" si="75"/>
        <v>-0.78729246065321146</v>
      </c>
      <c r="AO695" s="7">
        <f t="shared" si="76"/>
        <v>125220</v>
      </c>
    </row>
    <row r="696" spans="1:41" x14ac:dyDescent="0.3">
      <c r="A696" t="s">
        <v>763</v>
      </c>
      <c r="B696">
        <v>35</v>
      </c>
      <c r="C696" t="s">
        <v>196</v>
      </c>
      <c r="D696" t="s">
        <v>55</v>
      </c>
      <c r="E696" t="s">
        <v>62</v>
      </c>
      <c r="F696">
        <v>1182</v>
      </c>
      <c r="G696" t="s">
        <v>63</v>
      </c>
      <c r="H696">
        <v>11</v>
      </c>
      <c r="I696">
        <v>2</v>
      </c>
      <c r="J696" t="s">
        <v>63</v>
      </c>
      <c r="K696">
        <v>1137</v>
      </c>
      <c r="L696">
        <v>4</v>
      </c>
      <c r="M696" t="s">
        <v>51</v>
      </c>
      <c r="N696">
        <v>3</v>
      </c>
      <c r="O696">
        <v>2</v>
      </c>
      <c r="P696" t="s">
        <v>145</v>
      </c>
      <c r="Q696">
        <v>4</v>
      </c>
      <c r="R696" t="s">
        <v>53</v>
      </c>
      <c r="S696">
        <v>4709</v>
      </c>
      <c r="T696" t="s">
        <v>54</v>
      </c>
      <c r="U696">
        <v>29.43</v>
      </c>
      <c r="V696">
        <v>1</v>
      </c>
      <c r="W696" t="s">
        <v>55</v>
      </c>
      <c r="X696">
        <v>11</v>
      </c>
      <c r="Y696">
        <v>3</v>
      </c>
      <c r="Z696">
        <v>4</v>
      </c>
      <c r="AA696">
        <v>1</v>
      </c>
      <c r="AB696">
        <v>5</v>
      </c>
      <c r="AC696">
        <v>3</v>
      </c>
      <c r="AD696">
        <v>3</v>
      </c>
      <c r="AE696">
        <v>5</v>
      </c>
      <c r="AF696">
        <v>2</v>
      </c>
      <c r="AG696">
        <v>0</v>
      </c>
      <c r="AH696">
        <v>2</v>
      </c>
      <c r="AI696">
        <f t="shared" si="70"/>
        <v>0</v>
      </c>
      <c r="AJ696" t="str">
        <f t="shared" si="71"/>
        <v>4-5 yrs</v>
      </c>
      <c r="AK696" t="str">
        <f t="shared" si="72"/>
        <v>Recent</v>
      </c>
      <c r="AL696">
        <f t="shared" si="73"/>
        <v>0</v>
      </c>
      <c r="AM696" t="str">
        <f t="shared" si="74"/>
        <v>Minimal Risk</v>
      </c>
      <c r="AN696" s="6">
        <f t="shared" si="75"/>
        <v>-0.90401151865989193</v>
      </c>
      <c r="AO696" s="7">
        <f t="shared" si="76"/>
        <v>56508</v>
      </c>
    </row>
    <row r="697" spans="1:41" x14ac:dyDescent="0.3">
      <c r="A697" t="s">
        <v>764</v>
      </c>
      <c r="B697">
        <v>35</v>
      </c>
      <c r="C697" t="s">
        <v>196</v>
      </c>
      <c r="D697" t="s">
        <v>55</v>
      </c>
      <c r="E697" t="s">
        <v>48</v>
      </c>
      <c r="F697">
        <v>528</v>
      </c>
      <c r="G697" t="s">
        <v>406</v>
      </c>
      <c r="H697">
        <v>8</v>
      </c>
      <c r="I697">
        <v>4</v>
      </c>
      <c r="J697" t="s">
        <v>77</v>
      </c>
      <c r="K697">
        <v>1164</v>
      </c>
      <c r="L697">
        <v>3</v>
      </c>
      <c r="M697" t="s">
        <v>51</v>
      </c>
      <c r="N697">
        <v>3</v>
      </c>
      <c r="O697">
        <v>1</v>
      </c>
      <c r="P697" t="s">
        <v>80</v>
      </c>
      <c r="Q697">
        <v>3</v>
      </c>
      <c r="R697" t="s">
        <v>53</v>
      </c>
      <c r="S697">
        <v>31355</v>
      </c>
      <c r="T697" t="s">
        <v>72</v>
      </c>
      <c r="U697">
        <v>195.97</v>
      </c>
      <c r="V697">
        <v>1</v>
      </c>
      <c r="W697" t="s">
        <v>55</v>
      </c>
      <c r="X697">
        <v>17</v>
      </c>
      <c r="Y697">
        <v>3</v>
      </c>
      <c r="Z697">
        <v>2</v>
      </c>
      <c r="AA697">
        <v>0</v>
      </c>
      <c r="AB697">
        <v>6</v>
      </c>
      <c r="AC697">
        <v>2</v>
      </c>
      <c r="AD697">
        <v>1</v>
      </c>
      <c r="AE697">
        <v>5</v>
      </c>
      <c r="AF697">
        <v>4</v>
      </c>
      <c r="AG697">
        <v>1</v>
      </c>
      <c r="AH697">
        <v>4</v>
      </c>
      <c r="AI697">
        <f t="shared" si="70"/>
        <v>0</v>
      </c>
      <c r="AJ697" t="str">
        <f t="shared" si="71"/>
        <v>4-5 yrs</v>
      </c>
      <c r="AK697" t="str">
        <f t="shared" si="72"/>
        <v>Recent</v>
      </c>
      <c r="AL697">
        <f t="shared" si="73"/>
        <v>1</v>
      </c>
      <c r="AM697" t="str">
        <f t="shared" si="74"/>
        <v>Low Risk</v>
      </c>
      <c r="AN697" s="6">
        <f t="shared" si="75"/>
        <v>-0.38209490315270078</v>
      </c>
      <c r="AO697" s="7">
        <f t="shared" si="76"/>
        <v>376260</v>
      </c>
    </row>
    <row r="698" spans="1:41" x14ac:dyDescent="0.3">
      <c r="A698" t="s">
        <v>765</v>
      </c>
      <c r="B698">
        <v>35</v>
      </c>
      <c r="C698" t="s">
        <v>196</v>
      </c>
      <c r="D698" t="s">
        <v>55</v>
      </c>
      <c r="E698" t="s">
        <v>48</v>
      </c>
      <c r="F698">
        <v>982</v>
      </c>
      <c r="G698" t="s">
        <v>735</v>
      </c>
      <c r="H698">
        <v>1</v>
      </c>
      <c r="I698">
        <v>4</v>
      </c>
      <c r="J698" t="s">
        <v>58</v>
      </c>
      <c r="K698">
        <v>1172</v>
      </c>
      <c r="L698">
        <v>4</v>
      </c>
      <c r="M698" t="s">
        <v>51</v>
      </c>
      <c r="N698">
        <v>2</v>
      </c>
      <c r="O698">
        <v>1</v>
      </c>
      <c r="P698" t="s">
        <v>52</v>
      </c>
      <c r="Q698">
        <v>3</v>
      </c>
      <c r="R698" t="s">
        <v>113</v>
      </c>
      <c r="S698">
        <v>56771</v>
      </c>
      <c r="T698" t="s">
        <v>64</v>
      </c>
      <c r="U698">
        <v>354.82</v>
      </c>
      <c r="V698">
        <v>6</v>
      </c>
      <c r="W698" t="s">
        <v>55</v>
      </c>
      <c r="X698">
        <v>12</v>
      </c>
      <c r="Y698">
        <v>3</v>
      </c>
      <c r="Z698">
        <v>2</v>
      </c>
      <c r="AA698">
        <v>1</v>
      </c>
      <c r="AB698">
        <v>10</v>
      </c>
      <c r="AC698">
        <v>2</v>
      </c>
      <c r="AD698">
        <v>3</v>
      </c>
      <c r="AE698">
        <v>8</v>
      </c>
      <c r="AF698">
        <v>0</v>
      </c>
      <c r="AG698">
        <v>1</v>
      </c>
      <c r="AH698">
        <v>7</v>
      </c>
      <c r="AI698">
        <f t="shared" si="70"/>
        <v>0</v>
      </c>
      <c r="AJ698" t="str">
        <f t="shared" si="71"/>
        <v>6-10 yrs</v>
      </c>
      <c r="AK698" t="str">
        <f t="shared" si="72"/>
        <v>Recent</v>
      </c>
      <c r="AL698">
        <f t="shared" si="73"/>
        <v>0</v>
      </c>
      <c r="AM698" t="str">
        <f t="shared" si="74"/>
        <v>Minimal Risk</v>
      </c>
      <c r="AN698" s="6">
        <f t="shared" si="75"/>
        <v>9.764777854875864E-2</v>
      </c>
      <c r="AO698" s="7">
        <f t="shared" si="76"/>
        <v>681252</v>
      </c>
    </row>
    <row r="699" spans="1:41" x14ac:dyDescent="0.3">
      <c r="A699" t="s">
        <v>766</v>
      </c>
      <c r="B699">
        <v>35</v>
      </c>
      <c r="C699" t="s">
        <v>196</v>
      </c>
      <c r="D699" t="s">
        <v>55</v>
      </c>
      <c r="E699" t="s">
        <v>48</v>
      </c>
      <c r="F699">
        <v>819</v>
      </c>
      <c r="G699" t="s">
        <v>735</v>
      </c>
      <c r="H699">
        <v>2</v>
      </c>
      <c r="I699">
        <v>3</v>
      </c>
      <c r="J699" t="s">
        <v>50</v>
      </c>
      <c r="K699">
        <v>1182</v>
      </c>
      <c r="L699">
        <v>3</v>
      </c>
      <c r="M699" t="s">
        <v>51</v>
      </c>
      <c r="N699">
        <v>2</v>
      </c>
      <c r="O699">
        <v>3</v>
      </c>
      <c r="P699" t="s">
        <v>120</v>
      </c>
      <c r="Q699">
        <v>2</v>
      </c>
      <c r="R699" t="s">
        <v>53</v>
      </c>
      <c r="S699">
        <v>58799</v>
      </c>
      <c r="T699" t="s">
        <v>64</v>
      </c>
      <c r="U699">
        <v>367.49</v>
      </c>
      <c r="V699">
        <v>2</v>
      </c>
      <c r="W699" t="s">
        <v>55</v>
      </c>
      <c r="X699">
        <v>18</v>
      </c>
      <c r="Y699">
        <v>3</v>
      </c>
      <c r="Z699">
        <v>2</v>
      </c>
      <c r="AA699">
        <v>1</v>
      </c>
      <c r="AB699">
        <v>15</v>
      </c>
      <c r="AC699">
        <v>2</v>
      </c>
      <c r="AD699">
        <v>4</v>
      </c>
      <c r="AE699">
        <v>7</v>
      </c>
      <c r="AF699">
        <v>7</v>
      </c>
      <c r="AG699">
        <v>6</v>
      </c>
      <c r="AH699">
        <v>4</v>
      </c>
      <c r="AI699">
        <f t="shared" si="70"/>
        <v>0</v>
      </c>
      <c r="AJ699" t="str">
        <f t="shared" si="71"/>
        <v>6-10 yrs</v>
      </c>
      <c r="AK699" t="str">
        <f t="shared" si="72"/>
        <v>Overdue</v>
      </c>
      <c r="AL699">
        <f t="shared" si="73"/>
        <v>2</v>
      </c>
      <c r="AM699" t="str">
        <f t="shared" si="74"/>
        <v>Medium Risk</v>
      </c>
      <c r="AN699" s="6">
        <f t="shared" si="75"/>
        <v>0.32743096268987776</v>
      </c>
      <c r="AO699" s="7">
        <f t="shared" si="76"/>
        <v>705588</v>
      </c>
    </row>
    <row r="700" spans="1:41" x14ac:dyDescent="0.3">
      <c r="A700" t="s">
        <v>767</v>
      </c>
      <c r="B700">
        <v>35</v>
      </c>
      <c r="C700" t="s">
        <v>196</v>
      </c>
      <c r="D700" t="s">
        <v>55</v>
      </c>
      <c r="E700" t="s">
        <v>62</v>
      </c>
      <c r="F700">
        <v>636</v>
      </c>
      <c r="G700" t="s">
        <v>735</v>
      </c>
      <c r="H700">
        <v>4</v>
      </c>
      <c r="I700">
        <v>4</v>
      </c>
      <c r="J700" t="s">
        <v>82</v>
      </c>
      <c r="K700">
        <v>1185</v>
      </c>
      <c r="L700">
        <v>4</v>
      </c>
      <c r="M700" t="s">
        <v>51</v>
      </c>
      <c r="N700">
        <v>2</v>
      </c>
      <c r="O700">
        <v>1</v>
      </c>
      <c r="P700" t="s">
        <v>52</v>
      </c>
      <c r="Q700">
        <v>4</v>
      </c>
      <c r="R700" t="s">
        <v>113</v>
      </c>
      <c r="S700">
        <v>14116</v>
      </c>
      <c r="T700" t="s">
        <v>54</v>
      </c>
      <c r="U700">
        <v>88.22</v>
      </c>
      <c r="V700">
        <v>1</v>
      </c>
      <c r="W700" t="s">
        <v>55</v>
      </c>
      <c r="X700">
        <v>13</v>
      </c>
      <c r="Y700">
        <v>3</v>
      </c>
      <c r="Z700">
        <v>2</v>
      </c>
      <c r="AA700">
        <v>1</v>
      </c>
      <c r="AB700">
        <v>2</v>
      </c>
      <c r="AC700">
        <v>2</v>
      </c>
      <c r="AD700">
        <v>4</v>
      </c>
      <c r="AE700">
        <v>2</v>
      </c>
      <c r="AF700">
        <v>2</v>
      </c>
      <c r="AG700">
        <v>2</v>
      </c>
      <c r="AH700">
        <v>2</v>
      </c>
      <c r="AI700">
        <f t="shared" si="70"/>
        <v>0</v>
      </c>
      <c r="AJ700" t="str">
        <f t="shared" si="71"/>
        <v>2-3 yrs</v>
      </c>
      <c r="AK700" t="str">
        <f t="shared" si="72"/>
        <v>Recent</v>
      </c>
      <c r="AL700">
        <f t="shared" si="73"/>
        <v>0</v>
      </c>
      <c r="AM700" t="str">
        <f t="shared" si="74"/>
        <v>Minimal Risk</v>
      </c>
      <c r="AN700" s="6">
        <f t="shared" si="75"/>
        <v>-0.7270719902415973</v>
      </c>
      <c r="AO700" s="7">
        <f t="shared" si="76"/>
        <v>169392</v>
      </c>
    </row>
    <row r="701" spans="1:41" x14ac:dyDescent="0.3">
      <c r="A701" t="s">
        <v>768</v>
      </c>
      <c r="B701">
        <v>35</v>
      </c>
      <c r="C701" t="s">
        <v>196</v>
      </c>
      <c r="D701" t="s">
        <v>55</v>
      </c>
      <c r="E701" t="s">
        <v>48</v>
      </c>
      <c r="F701">
        <v>1361</v>
      </c>
      <c r="G701" t="s">
        <v>63</v>
      </c>
      <c r="H701">
        <v>17</v>
      </c>
      <c r="I701">
        <v>4</v>
      </c>
      <c r="J701" t="s">
        <v>50</v>
      </c>
      <c r="K701">
        <v>1218</v>
      </c>
      <c r="L701">
        <v>3</v>
      </c>
      <c r="M701" t="s">
        <v>51</v>
      </c>
      <c r="N701">
        <v>3</v>
      </c>
      <c r="O701">
        <v>2</v>
      </c>
      <c r="P701" t="s">
        <v>145</v>
      </c>
      <c r="Q701">
        <v>1</v>
      </c>
      <c r="R701" t="s">
        <v>113</v>
      </c>
      <c r="S701">
        <v>26470</v>
      </c>
      <c r="T701" t="s">
        <v>72</v>
      </c>
      <c r="U701">
        <v>165.44</v>
      </c>
      <c r="V701">
        <v>3</v>
      </c>
      <c r="W701" t="s">
        <v>47</v>
      </c>
      <c r="X701">
        <v>15</v>
      </c>
      <c r="Y701">
        <v>3</v>
      </c>
      <c r="Z701">
        <v>4</v>
      </c>
      <c r="AA701">
        <v>3</v>
      </c>
      <c r="AB701">
        <v>15</v>
      </c>
      <c r="AC701">
        <v>2</v>
      </c>
      <c r="AD701">
        <v>3</v>
      </c>
      <c r="AE701">
        <v>7</v>
      </c>
      <c r="AF701">
        <v>7</v>
      </c>
      <c r="AG701">
        <v>1</v>
      </c>
      <c r="AH701">
        <v>7</v>
      </c>
      <c r="AI701">
        <f t="shared" si="70"/>
        <v>0</v>
      </c>
      <c r="AJ701" t="str">
        <f t="shared" si="71"/>
        <v>6-10 yrs</v>
      </c>
      <c r="AK701" t="str">
        <f t="shared" si="72"/>
        <v>Recent</v>
      </c>
      <c r="AL701">
        <f t="shared" si="73"/>
        <v>2</v>
      </c>
      <c r="AM701" t="str">
        <f t="shared" si="74"/>
        <v>Medium Risk</v>
      </c>
      <c r="AN701" s="6">
        <f t="shared" si="75"/>
        <v>-0.46043425332922927</v>
      </c>
      <c r="AO701" s="7">
        <f t="shared" si="76"/>
        <v>317640</v>
      </c>
    </row>
    <row r="702" spans="1:41" x14ac:dyDescent="0.3">
      <c r="A702" t="s">
        <v>769</v>
      </c>
      <c r="B702">
        <v>35</v>
      </c>
      <c r="C702" t="s">
        <v>196</v>
      </c>
      <c r="D702" t="s">
        <v>55</v>
      </c>
      <c r="E702" t="s">
        <v>66</v>
      </c>
      <c r="F702">
        <v>1212</v>
      </c>
      <c r="G702" t="s">
        <v>63</v>
      </c>
      <c r="H702">
        <v>8</v>
      </c>
      <c r="I702">
        <v>2</v>
      </c>
      <c r="J702" t="s">
        <v>63</v>
      </c>
      <c r="K702">
        <v>1243</v>
      </c>
      <c r="L702">
        <v>3</v>
      </c>
      <c r="M702" t="s">
        <v>59</v>
      </c>
      <c r="N702">
        <v>2</v>
      </c>
      <c r="O702">
        <v>3</v>
      </c>
      <c r="P702" t="s">
        <v>145</v>
      </c>
      <c r="Q702">
        <v>4</v>
      </c>
      <c r="R702" t="s">
        <v>113</v>
      </c>
      <c r="S702">
        <v>43344</v>
      </c>
      <c r="T702" t="s">
        <v>72</v>
      </c>
      <c r="U702">
        <v>270.89999999999998</v>
      </c>
      <c r="V702">
        <v>4</v>
      </c>
      <c r="W702" t="s">
        <v>47</v>
      </c>
      <c r="X702">
        <v>11</v>
      </c>
      <c r="Y702">
        <v>3</v>
      </c>
      <c r="Z702">
        <v>2</v>
      </c>
      <c r="AA702">
        <v>1</v>
      </c>
      <c r="AB702">
        <v>16</v>
      </c>
      <c r="AC702">
        <v>6</v>
      </c>
      <c r="AD702">
        <v>2</v>
      </c>
      <c r="AE702">
        <v>13</v>
      </c>
      <c r="AF702">
        <v>2</v>
      </c>
      <c r="AG702">
        <v>4</v>
      </c>
      <c r="AH702">
        <v>12</v>
      </c>
      <c r="AI702">
        <f t="shared" si="70"/>
        <v>0</v>
      </c>
      <c r="AJ702" t="str">
        <f t="shared" si="71"/>
        <v>10+ yrs</v>
      </c>
      <c r="AK702" t="str">
        <f t="shared" si="72"/>
        <v>Overdue</v>
      </c>
      <c r="AL702">
        <f t="shared" si="73"/>
        <v>3</v>
      </c>
      <c r="AM702" t="str">
        <f t="shared" si="74"/>
        <v>High Risk</v>
      </c>
      <c r="AN702" s="6">
        <f t="shared" si="75"/>
        <v>-0.11647382985652115</v>
      </c>
      <c r="AO702" s="7">
        <f t="shared" si="76"/>
        <v>520128</v>
      </c>
    </row>
    <row r="703" spans="1:41" x14ac:dyDescent="0.3">
      <c r="A703" t="s">
        <v>770</v>
      </c>
      <c r="B703">
        <v>35</v>
      </c>
      <c r="C703" t="s">
        <v>196</v>
      </c>
      <c r="D703" t="s">
        <v>55</v>
      </c>
      <c r="E703" t="s">
        <v>48</v>
      </c>
      <c r="F703">
        <v>735</v>
      </c>
      <c r="G703" t="s">
        <v>735</v>
      </c>
      <c r="H703">
        <v>6</v>
      </c>
      <c r="I703">
        <v>1</v>
      </c>
      <c r="J703" t="s">
        <v>50</v>
      </c>
      <c r="K703">
        <v>1291</v>
      </c>
      <c r="L703">
        <v>3</v>
      </c>
      <c r="M703" t="s">
        <v>51</v>
      </c>
      <c r="N703">
        <v>3</v>
      </c>
      <c r="O703">
        <v>1</v>
      </c>
      <c r="P703" t="s">
        <v>67</v>
      </c>
      <c r="Q703">
        <v>3</v>
      </c>
      <c r="R703" t="s">
        <v>113</v>
      </c>
      <c r="S703">
        <v>43918</v>
      </c>
      <c r="T703" t="s">
        <v>72</v>
      </c>
      <c r="U703">
        <v>274.49</v>
      </c>
      <c r="V703">
        <v>0</v>
      </c>
      <c r="W703" t="s">
        <v>47</v>
      </c>
      <c r="X703">
        <v>14</v>
      </c>
      <c r="Y703">
        <v>3</v>
      </c>
      <c r="Z703">
        <v>4</v>
      </c>
      <c r="AA703">
        <v>0</v>
      </c>
      <c r="AB703">
        <v>4</v>
      </c>
      <c r="AC703">
        <v>3</v>
      </c>
      <c r="AD703">
        <v>3</v>
      </c>
      <c r="AE703">
        <v>3</v>
      </c>
      <c r="AF703">
        <v>2</v>
      </c>
      <c r="AG703">
        <v>2</v>
      </c>
      <c r="AH703">
        <v>2</v>
      </c>
      <c r="AI703">
        <f t="shared" si="70"/>
        <v>0</v>
      </c>
      <c r="AJ703" t="str">
        <f t="shared" si="71"/>
        <v>2-3 yrs</v>
      </c>
      <c r="AK703" t="str">
        <f t="shared" si="72"/>
        <v>Recent</v>
      </c>
      <c r="AL703">
        <f t="shared" si="73"/>
        <v>1</v>
      </c>
      <c r="AM703" t="str">
        <f t="shared" si="74"/>
        <v>Low Risk</v>
      </c>
      <c r="AN703" s="6">
        <f t="shared" si="75"/>
        <v>-0.11928147787987602</v>
      </c>
      <c r="AO703" s="7">
        <f t="shared" si="76"/>
        <v>527016</v>
      </c>
    </row>
    <row r="704" spans="1:41" x14ac:dyDescent="0.3">
      <c r="A704" t="s">
        <v>771</v>
      </c>
      <c r="B704">
        <v>35</v>
      </c>
      <c r="C704" t="s">
        <v>196</v>
      </c>
      <c r="D704" t="s">
        <v>55</v>
      </c>
      <c r="E704" t="s">
        <v>62</v>
      </c>
      <c r="F704">
        <v>482</v>
      </c>
      <c r="G704" t="s">
        <v>735</v>
      </c>
      <c r="H704">
        <v>4</v>
      </c>
      <c r="I704">
        <v>4</v>
      </c>
      <c r="J704" t="s">
        <v>50</v>
      </c>
      <c r="K704">
        <v>1350</v>
      </c>
      <c r="L704">
        <v>3</v>
      </c>
      <c r="M704" t="s">
        <v>51</v>
      </c>
      <c r="N704">
        <v>3</v>
      </c>
      <c r="O704">
        <v>2</v>
      </c>
      <c r="P704" t="s">
        <v>67</v>
      </c>
      <c r="Q704">
        <v>3</v>
      </c>
      <c r="R704" t="s">
        <v>53</v>
      </c>
      <c r="S704">
        <v>53224</v>
      </c>
      <c r="T704" t="s">
        <v>64</v>
      </c>
      <c r="U704">
        <v>332.65</v>
      </c>
      <c r="V704">
        <v>1</v>
      </c>
      <c r="W704" t="s">
        <v>47</v>
      </c>
      <c r="X704">
        <v>11</v>
      </c>
      <c r="Y704">
        <v>3</v>
      </c>
      <c r="Z704">
        <v>2</v>
      </c>
      <c r="AA704">
        <v>0</v>
      </c>
      <c r="AB704">
        <v>9</v>
      </c>
      <c r="AC704">
        <v>3</v>
      </c>
      <c r="AD704">
        <v>3</v>
      </c>
      <c r="AE704">
        <v>9</v>
      </c>
      <c r="AF704">
        <v>6</v>
      </c>
      <c r="AG704">
        <v>1</v>
      </c>
      <c r="AH704">
        <v>1</v>
      </c>
      <c r="AI704">
        <f t="shared" si="70"/>
        <v>0</v>
      </c>
      <c r="AJ704" t="str">
        <f t="shared" si="71"/>
        <v>6-10 yrs</v>
      </c>
      <c r="AK704" t="str">
        <f t="shared" si="72"/>
        <v>Recent</v>
      </c>
      <c r="AL704">
        <f t="shared" si="73"/>
        <v>1</v>
      </c>
      <c r="AM704" t="str">
        <f t="shared" si="74"/>
        <v>Low Risk</v>
      </c>
      <c r="AN704" s="6">
        <f t="shared" si="75"/>
        <v>6.7338280917197471E-2</v>
      </c>
      <c r="AO704" s="7">
        <f t="shared" si="76"/>
        <v>638688</v>
      </c>
    </row>
    <row r="705" spans="1:41" x14ac:dyDescent="0.3">
      <c r="A705" t="s">
        <v>772</v>
      </c>
      <c r="B705">
        <v>35</v>
      </c>
      <c r="C705" t="s">
        <v>196</v>
      </c>
      <c r="D705" t="s">
        <v>55</v>
      </c>
      <c r="E705" t="s">
        <v>48</v>
      </c>
      <c r="F705">
        <v>817</v>
      </c>
      <c r="G705" t="s">
        <v>735</v>
      </c>
      <c r="H705">
        <v>1</v>
      </c>
      <c r="I705">
        <v>3</v>
      </c>
      <c r="J705" t="s">
        <v>58</v>
      </c>
      <c r="K705">
        <v>1369</v>
      </c>
      <c r="L705">
        <v>4</v>
      </c>
      <c r="M705" t="s">
        <v>59</v>
      </c>
      <c r="N705">
        <v>2</v>
      </c>
      <c r="O705">
        <v>2</v>
      </c>
      <c r="P705" t="s">
        <v>52</v>
      </c>
      <c r="Q705">
        <v>4</v>
      </c>
      <c r="R705" t="s">
        <v>113</v>
      </c>
      <c r="S705">
        <v>40298</v>
      </c>
      <c r="T705" t="s">
        <v>72</v>
      </c>
      <c r="U705">
        <v>251.86</v>
      </c>
      <c r="V705">
        <v>0</v>
      </c>
      <c r="W705" t="s">
        <v>55</v>
      </c>
      <c r="X705">
        <v>12</v>
      </c>
      <c r="Y705">
        <v>3</v>
      </c>
      <c r="Z705">
        <v>2</v>
      </c>
      <c r="AA705">
        <v>1</v>
      </c>
      <c r="AB705">
        <v>10</v>
      </c>
      <c r="AC705">
        <v>0</v>
      </c>
      <c r="AD705">
        <v>3</v>
      </c>
      <c r="AE705">
        <v>9</v>
      </c>
      <c r="AF705">
        <v>7</v>
      </c>
      <c r="AG705">
        <v>0</v>
      </c>
      <c r="AH705">
        <v>0</v>
      </c>
      <c r="AI705">
        <f t="shared" si="70"/>
        <v>0</v>
      </c>
      <c r="AJ705" t="str">
        <f t="shared" si="71"/>
        <v>6-10 yrs</v>
      </c>
      <c r="AK705" t="str">
        <f t="shared" si="72"/>
        <v>Recent</v>
      </c>
      <c r="AL705">
        <f t="shared" si="73"/>
        <v>0</v>
      </c>
      <c r="AM705" t="str">
        <f t="shared" si="74"/>
        <v>Minimal Risk</v>
      </c>
      <c r="AN705" s="6">
        <f t="shared" si="75"/>
        <v>-0.22085201634711604</v>
      </c>
      <c r="AO705" s="7">
        <f t="shared" si="76"/>
        <v>483576</v>
      </c>
    </row>
    <row r="706" spans="1:41" x14ac:dyDescent="0.3">
      <c r="A706" t="s">
        <v>773</v>
      </c>
      <c r="B706">
        <v>35</v>
      </c>
      <c r="C706" t="s">
        <v>196</v>
      </c>
      <c r="D706" t="s">
        <v>47</v>
      </c>
      <c r="E706" t="s">
        <v>62</v>
      </c>
      <c r="F706">
        <v>662</v>
      </c>
      <c r="G706" t="s">
        <v>63</v>
      </c>
      <c r="H706">
        <v>18</v>
      </c>
      <c r="I706">
        <v>4</v>
      </c>
      <c r="J706" t="s">
        <v>63</v>
      </c>
      <c r="K706">
        <v>1380</v>
      </c>
      <c r="L706">
        <v>4</v>
      </c>
      <c r="M706" t="s">
        <v>59</v>
      </c>
      <c r="N706">
        <v>3</v>
      </c>
      <c r="O706">
        <v>2</v>
      </c>
      <c r="P706" t="s">
        <v>145</v>
      </c>
      <c r="Q706">
        <v>3</v>
      </c>
      <c r="R706" t="s">
        <v>113</v>
      </c>
      <c r="S706">
        <v>81219</v>
      </c>
      <c r="T706" t="s">
        <v>64</v>
      </c>
      <c r="U706">
        <v>507.62</v>
      </c>
      <c r="V706">
        <v>0</v>
      </c>
      <c r="W706" t="s">
        <v>47</v>
      </c>
      <c r="X706">
        <v>18</v>
      </c>
      <c r="Y706">
        <v>3</v>
      </c>
      <c r="Z706">
        <v>3</v>
      </c>
      <c r="AA706">
        <v>1</v>
      </c>
      <c r="AB706">
        <v>5</v>
      </c>
      <c r="AC706">
        <v>0</v>
      </c>
      <c r="AD706">
        <v>2</v>
      </c>
      <c r="AE706">
        <v>4</v>
      </c>
      <c r="AF706">
        <v>2</v>
      </c>
      <c r="AG706">
        <v>3</v>
      </c>
      <c r="AH706">
        <v>2</v>
      </c>
      <c r="AI706">
        <f t="shared" ref="AI706:AI769" si="77">IF(D706="Yes",1,0)</f>
        <v>1</v>
      </c>
      <c r="AJ706" t="str">
        <f t="shared" ref="AJ706:AJ769" si="78">IF(AE706&lt;=1,"0-1 yr",IF(AE706&lt;=3,"2-3 yrs",IF(AE706&lt;=5,"4-5 yrs",IF(AE706&lt;=10,"6-10 yrs","10+ yrs"))))</f>
        <v>4-5 yrs</v>
      </c>
      <c r="AK706" t="str">
        <f t="shared" ref="AK706:AK769" si="79">IF(AG706&gt;=3,"Overdue","Recent")</f>
        <v>Overdue</v>
      </c>
      <c r="AL706">
        <f t="shared" ref="AL706:AL769" si="80">IF(W706="Yes",1,0)+IF(AD706&lt;=2,1,0)+IF(Q706&lt;=2,1,0)+IF(AG706&gt;=3,1,0)</f>
        <v>3</v>
      </c>
      <c r="AM706" t="str">
        <f t="shared" ref="AM706:AM769" si="81">IF(AL706&gt;=3,"High Risk",IF(AL706=2,"Medium Risk",IF(AL706=1,"Low Risk","Minimal Risk")))</f>
        <v>High Risk</v>
      </c>
      <c r="AN706" s="6">
        <f t="shared" ref="AN706:AN769" si="82">IFERROR((S706-AVERAGEIF(P$2:P$1479,P706,S$2:S$1479))/AVERAGEIF(P$2:P$1479,P706,S$2:S$1479),0)</f>
        <v>0.65557198257851623</v>
      </c>
      <c r="AO706" s="7">
        <f t="shared" ref="AO706:AO769" si="83">S706*12</f>
        <v>974628</v>
      </c>
    </row>
    <row r="707" spans="1:41" x14ac:dyDescent="0.3">
      <c r="A707" t="s">
        <v>774</v>
      </c>
      <c r="B707">
        <v>35</v>
      </c>
      <c r="C707" t="s">
        <v>196</v>
      </c>
      <c r="D707" t="s">
        <v>55</v>
      </c>
      <c r="E707" t="s">
        <v>62</v>
      </c>
      <c r="F707">
        <v>200</v>
      </c>
      <c r="G707" t="s">
        <v>735</v>
      </c>
      <c r="H707">
        <v>18</v>
      </c>
      <c r="I707">
        <v>2</v>
      </c>
      <c r="J707" t="s">
        <v>50</v>
      </c>
      <c r="K707">
        <v>1412</v>
      </c>
      <c r="L707">
        <v>3</v>
      </c>
      <c r="M707" t="s">
        <v>51</v>
      </c>
      <c r="N707">
        <v>3</v>
      </c>
      <c r="O707">
        <v>3</v>
      </c>
      <c r="P707" t="s">
        <v>120</v>
      </c>
      <c r="Q707">
        <v>4</v>
      </c>
      <c r="R707" t="s">
        <v>53</v>
      </c>
      <c r="S707">
        <v>62629</v>
      </c>
      <c r="T707" t="s">
        <v>64</v>
      </c>
      <c r="U707">
        <v>391.43</v>
      </c>
      <c r="V707">
        <v>2</v>
      </c>
      <c r="W707" t="s">
        <v>55</v>
      </c>
      <c r="X707">
        <v>11</v>
      </c>
      <c r="Y707">
        <v>3</v>
      </c>
      <c r="Z707">
        <v>3</v>
      </c>
      <c r="AA707">
        <v>0</v>
      </c>
      <c r="AB707">
        <v>10</v>
      </c>
      <c r="AC707">
        <v>2</v>
      </c>
      <c r="AD707">
        <v>3</v>
      </c>
      <c r="AE707">
        <v>2</v>
      </c>
      <c r="AF707">
        <v>2</v>
      </c>
      <c r="AG707">
        <v>2</v>
      </c>
      <c r="AH707">
        <v>2</v>
      </c>
      <c r="AI707">
        <f t="shared" si="77"/>
        <v>0</v>
      </c>
      <c r="AJ707" t="str">
        <f t="shared" si="78"/>
        <v>2-3 yrs</v>
      </c>
      <c r="AK707" t="str">
        <f t="shared" si="79"/>
        <v>Recent</v>
      </c>
      <c r="AL707">
        <f t="shared" si="80"/>
        <v>0</v>
      </c>
      <c r="AM707" t="str">
        <f t="shared" si="81"/>
        <v>Minimal Risk</v>
      </c>
      <c r="AN707" s="6">
        <f t="shared" si="82"/>
        <v>0.41389604861144497</v>
      </c>
      <c r="AO707" s="7">
        <f t="shared" si="83"/>
        <v>751548</v>
      </c>
    </row>
    <row r="708" spans="1:41" x14ac:dyDescent="0.3">
      <c r="A708" t="s">
        <v>775</v>
      </c>
      <c r="B708">
        <v>35</v>
      </c>
      <c r="C708" t="s">
        <v>196</v>
      </c>
      <c r="D708" t="s">
        <v>55</v>
      </c>
      <c r="E708" t="s">
        <v>48</v>
      </c>
      <c r="F708">
        <v>660</v>
      </c>
      <c r="G708" t="s">
        <v>63</v>
      </c>
      <c r="H708">
        <v>7</v>
      </c>
      <c r="I708">
        <v>1</v>
      </c>
      <c r="J708" t="s">
        <v>50</v>
      </c>
      <c r="K708">
        <v>1492</v>
      </c>
      <c r="L708">
        <v>4</v>
      </c>
      <c r="M708" t="s">
        <v>51</v>
      </c>
      <c r="N708">
        <v>3</v>
      </c>
      <c r="O708">
        <v>1</v>
      </c>
      <c r="P708" t="s">
        <v>60</v>
      </c>
      <c r="Q708">
        <v>3</v>
      </c>
      <c r="R708" t="s">
        <v>113</v>
      </c>
      <c r="S708">
        <v>67040</v>
      </c>
      <c r="T708" t="s">
        <v>64</v>
      </c>
      <c r="U708">
        <v>419</v>
      </c>
      <c r="V708">
        <v>1</v>
      </c>
      <c r="W708" t="s">
        <v>55</v>
      </c>
      <c r="X708">
        <v>13</v>
      </c>
      <c r="Y708">
        <v>3</v>
      </c>
      <c r="Z708">
        <v>1</v>
      </c>
      <c r="AA708">
        <v>1</v>
      </c>
      <c r="AB708">
        <v>1</v>
      </c>
      <c r="AC708">
        <v>3</v>
      </c>
      <c r="AD708">
        <v>3</v>
      </c>
      <c r="AE708">
        <v>1</v>
      </c>
      <c r="AF708">
        <v>0</v>
      </c>
      <c r="AG708">
        <v>0</v>
      </c>
      <c r="AH708">
        <v>0</v>
      </c>
      <c r="AI708">
        <f t="shared" si="77"/>
        <v>0</v>
      </c>
      <c r="AJ708" t="str">
        <f t="shared" si="78"/>
        <v>0-1 yr</v>
      </c>
      <c r="AK708" t="str">
        <f t="shared" si="79"/>
        <v>Recent</v>
      </c>
      <c r="AL708">
        <f t="shared" si="80"/>
        <v>0</v>
      </c>
      <c r="AM708" t="str">
        <f t="shared" si="81"/>
        <v>Minimal Risk</v>
      </c>
      <c r="AN708" s="6">
        <f t="shared" si="82"/>
        <v>0.35909897329544865</v>
      </c>
      <c r="AO708" s="7">
        <f t="shared" si="83"/>
        <v>804480</v>
      </c>
    </row>
    <row r="709" spans="1:41" x14ac:dyDescent="0.3">
      <c r="A709" t="s">
        <v>776</v>
      </c>
      <c r="B709">
        <v>35</v>
      </c>
      <c r="C709" t="s">
        <v>196</v>
      </c>
      <c r="D709" t="s">
        <v>55</v>
      </c>
      <c r="E709" t="s">
        <v>48</v>
      </c>
      <c r="F709">
        <v>1029</v>
      </c>
      <c r="G709" t="s">
        <v>735</v>
      </c>
      <c r="H709">
        <v>16</v>
      </c>
      <c r="I709">
        <v>3</v>
      </c>
      <c r="J709" t="s">
        <v>50</v>
      </c>
      <c r="K709">
        <v>1529</v>
      </c>
      <c r="L709">
        <v>4</v>
      </c>
      <c r="M709" t="s">
        <v>59</v>
      </c>
      <c r="N709">
        <v>2</v>
      </c>
      <c r="O709">
        <v>3</v>
      </c>
      <c r="P709" t="s">
        <v>168</v>
      </c>
      <c r="Q709">
        <v>2</v>
      </c>
      <c r="R709" t="s">
        <v>53</v>
      </c>
      <c r="S709">
        <v>29016</v>
      </c>
      <c r="T709" t="s">
        <v>72</v>
      </c>
      <c r="U709">
        <v>181.35</v>
      </c>
      <c r="V709">
        <v>1</v>
      </c>
      <c r="W709" t="s">
        <v>55</v>
      </c>
      <c r="X709">
        <v>19</v>
      </c>
      <c r="Y709">
        <v>3</v>
      </c>
      <c r="Z709">
        <v>4</v>
      </c>
      <c r="AA709">
        <v>0</v>
      </c>
      <c r="AB709">
        <v>11</v>
      </c>
      <c r="AC709">
        <v>3</v>
      </c>
      <c r="AD709">
        <v>1</v>
      </c>
      <c r="AE709">
        <v>11</v>
      </c>
      <c r="AF709">
        <v>8</v>
      </c>
      <c r="AG709">
        <v>3</v>
      </c>
      <c r="AH709">
        <v>3</v>
      </c>
      <c r="AI709">
        <f t="shared" si="77"/>
        <v>0</v>
      </c>
      <c r="AJ709" t="str">
        <f t="shared" si="78"/>
        <v>10+ yrs</v>
      </c>
      <c r="AK709" t="str">
        <f t="shared" si="79"/>
        <v>Overdue</v>
      </c>
      <c r="AL709">
        <f t="shared" si="80"/>
        <v>3</v>
      </c>
      <c r="AM709" t="str">
        <f t="shared" si="81"/>
        <v>High Risk</v>
      </c>
      <c r="AN709" s="6">
        <f t="shared" si="82"/>
        <v>-0.39787266841375057</v>
      </c>
      <c r="AO709" s="7">
        <f t="shared" si="83"/>
        <v>348192</v>
      </c>
    </row>
    <row r="710" spans="1:41" x14ac:dyDescent="0.3">
      <c r="A710" t="s">
        <v>777</v>
      </c>
      <c r="B710">
        <v>35</v>
      </c>
      <c r="C710" t="s">
        <v>196</v>
      </c>
      <c r="D710" t="s">
        <v>55</v>
      </c>
      <c r="E710" t="s">
        <v>48</v>
      </c>
      <c r="F710">
        <v>1402</v>
      </c>
      <c r="G710" t="s">
        <v>63</v>
      </c>
      <c r="H710">
        <v>28</v>
      </c>
      <c r="I710">
        <v>4</v>
      </c>
      <c r="J710" t="s">
        <v>50</v>
      </c>
      <c r="K710">
        <v>1554</v>
      </c>
      <c r="L710">
        <v>2</v>
      </c>
      <c r="M710" t="s">
        <v>59</v>
      </c>
      <c r="N710">
        <v>2</v>
      </c>
      <c r="O710">
        <v>1</v>
      </c>
      <c r="P710" t="s">
        <v>60</v>
      </c>
      <c r="Q710">
        <v>3</v>
      </c>
      <c r="R710" t="s">
        <v>113</v>
      </c>
      <c r="S710">
        <v>24960</v>
      </c>
      <c r="T710" t="s">
        <v>54</v>
      </c>
      <c r="U710">
        <v>156</v>
      </c>
      <c r="V710">
        <v>0</v>
      </c>
      <c r="W710" t="s">
        <v>55</v>
      </c>
      <c r="X710">
        <v>23</v>
      </c>
      <c r="Y710">
        <v>4</v>
      </c>
      <c r="Z710">
        <v>1</v>
      </c>
      <c r="AA710">
        <v>2</v>
      </c>
      <c r="AB710">
        <v>6</v>
      </c>
      <c r="AC710">
        <v>5</v>
      </c>
      <c r="AD710">
        <v>3</v>
      </c>
      <c r="AE710">
        <v>5</v>
      </c>
      <c r="AF710">
        <v>3</v>
      </c>
      <c r="AG710">
        <v>4</v>
      </c>
      <c r="AH710">
        <v>2</v>
      </c>
      <c r="AI710">
        <f t="shared" si="77"/>
        <v>0</v>
      </c>
      <c r="AJ710" t="str">
        <f t="shared" si="78"/>
        <v>4-5 yrs</v>
      </c>
      <c r="AK710" t="str">
        <f t="shared" si="79"/>
        <v>Overdue</v>
      </c>
      <c r="AL710">
        <f t="shared" si="80"/>
        <v>1</v>
      </c>
      <c r="AM710" t="str">
        <f t="shared" si="81"/>
        <v>Low Risk</v>
      </c>
      <c r="AN710" s="6">
        <f t="shared" si="82"/>
        <v>-0.4939870171024105</v>
      </c>
      <c r="AO710" s="7">
        <f t="shared" si="83"/>
        <v>299520</v>
      </c>
    </row>
    <row r="711" spans="1:41" x14ac:dyDescent="0.3">
      <c r="A711" t="s">
        <v>778</v>
      </c>
      <c r="B711">
        <v>35</v>
      </c>
      <c r="C711" t="s">
        <v>196</v>
      </c>
      <c r="D711" t="s">
        <v>55</v>
      </c>
      <c r="E711" t="s">
        <v>48</v>
      </c>
      <c r="F711">
        <v>992</v>
      </c>
      <c r="G711" t="s">
        <v>735</v>
      </c>
      <c r="H711">
        <v>1</v>
      </c>
      <c r="I711">
        <v>3</v>
      </c>
      <c r="J711" t="s">
        <v>58</v>
      </c>
      <c r="K711">
        <v>1564</v>
      </c>
      <c r="L711">
        <v>4</v>
      </c>
      <c r="M711" t="s">
        <v>51</v>
      </c>
      <c r="N711">
        <v>2</v>
      </c>
      <c r="O711">
        <v>1</v>
      </c>
      <c r="P711" t="s">
        <v>52</v>
      </c>
      <c r="Q711">
        <v>1</v>
      </c>
      <c r="R711" t="s">
        <v>53</v>
      </c>
      <c r="S711">
        <v>34591</v>
      </c>
      <c r="T711" t="s">
        <v>72</v>
      </c>
      <c r="U711">
        <v>216.19</v>
      </c>
      <c r="V711">
        <v>1</v>
      </c>
      <c r="W711" t="s">
        <v>55</v>
      </c>
      <c r="X711">
        <v>19</v>
      </c>
      <c r="Y711">
        <v>3</v>
      </c>
      <c r="Z711">
        <v>2</v>
      </c>
      <c r="AA711">
        <v>0</v>
      </c>
      <c r="AB711">
        <v>3</v>
      </c>
      <c r="AC711">
        <v>3</v>
      </c>
      <c r="AD711">
        <v>3</v>
      </c>
      <c r="AE711">
        <v>3</v>
      </c>
      <c r="AF711">
        <v>0</v>
      </c>
      <c r="AG711">
        <v>1</v>
      </c>
      <c r="AH711">
        <v>2</v>
      </c>
      <c r="AI711">
        <f t="shared" si="77"/>
        <v>0</v>
      </c>
      <c r="AJ711" t="str">
        <f t="shared" si="78"/>
        <v>2-3 yrs</v>
      </c>
      <c r="AK711" t="str">
        <f t="shared" si="79"/>
        <v>Recent</v>
      </c>
      <c r="AL711">
        <f t="shared" si="80"/>
        <v>1</v>
      </c>
      <c r="AM711" t="str">
        <f t="shared" si="81"/>
        <v>Low Risk</v>
      </c>
      <c r="AN711" s="6">
        <f t="shared" si="82"/>
        <v>-0.33119490042838579</v>
      </c>
      <c r="AO711" s="7">
        <f t="shared" si="83"/>
        <v>415092</v>
      </c>
    </row>
    <row r="712" spans="1:41" x14ac:dyDescent="0.3">
      <c r="A712" t="s">
        <v>779</v>
      </c>
      <c r="B712">
        <v>35</v>
      </c>
      <c r="C712" t="s">
        <v>196</v>
      </c>
      <c r="D712" t="s">
        <v>47</v>
      </c>
      <c r="E712" t="s">
        <v>48</v>
      </c>
      <c r="F712">
        <v>104</v>
      </c>
      <c r="G712" t="s">
        <v>735</v>
      </c>
      <c r="H712">
        <v>2</v>
      </c>
      <c r="I712">
        <v>3</v>
      </c>
      <c r="J712" t="s">
        <v>50</v>
      </c>
      <c r="K712">
        <v>1569</v>
      </c>
      <c r="L712">
        <v>1</v>
      </c>
      <c r="M712" t="s">
        <v>59</v>
      </c>
      <c r="N712">
        <v>3</v>
      </c>
      <c r="O712">
        <v>1</v>
      </c>
      <c r="P712" t="s">
        <v>52</v>
      </c>
      <c r="Q712">
        <v>1</v>
      </c>
      <c r="R712" t="s">
        <v>53</v>
      </c>
      <c r="S712">
        <v>83848</v>
      </c>
      <c r="T712" t="s">
        <v>70</v>
      </c>
      <c r="U712">
        <v>524.04999999999995</v>
      </c>
      <c r="V712">
        <v>1</v>
      </c>
      <c r="W712" t="s">
        <v>47</v>
      </c>
      <c r="X712">
        <v>12</v>
      </c>
      <c r="Y712">
        <v>3</v>
      </c>
      <c r="Z712">
        <v>4</v>
      </c>
      <c r="AA712">
        <v>1</v>
      </c>
      <c r="AB712">
        <v>1</v>
      </c>
      <c r="AC712">
        <v>2</v>
      </c>
      <c r="AD712">
        <v>3</v>
      </c>
      <c r="AE712">
        <v>1</v>
      </c>
      <c r="AF712">
        <v>0</v>
      </c>
      <c r="AG712">
        <v>0</v>
      </c>
      <c r="AH712">
        <v>0</v>
      </c>
      <c r="AI712">
        <f t="shared" si="77"/>
        <v>1</v>
      </c>
      <c r="AJ712" t="str">
        <f t="shared" si="78"/>
        <v>0-1 yr</v>
      </c>
      <c r="AK712" t="str">
        <f t="shared" si="79"/>
        <v>Recent</v>
      </c>
      <c r="AL712">
        <f t="shared" si="80"/>
        <v>2</v>
      </c>
      <c r="AM712" t="str">
        <f t="shared" si="81"/>
        <v>Medium Risk</v>
      </c>
      <c r="AN712" s="6">
        <f t="shared" si="82"/>
        <v>0.62117226992225461</v>
      </c>
      <c r="AO712" s="7">
        <f t="shared" si="83"/>
        <v>1006176</v>
      </c>
    </row>
    <row r="713" spans="1:41" x14ac:dyDescent="0.3">
      <c r="A713" t="s">
        <v>780</v>
      </c>
      <c r="B713">
        <v>35</v>
      </c>
      <c r="C713" t="s">
        <v>196</v>
      </c>
      <c r="D713" t="s">
        <v>55</v>
      </c>
      <c r="E713" t="s">
        <v>48</v>
      </c>
      <c r="F713">
        <v>670</v>
      </c>
      <c r="G713" t="s">
        <v>735</v>
      </c>
      <c r="H713">
        <v>10</v>
      </c>
      <c r="I713">
        <v>4</v>
      </c>
      <c r="J713" t="s">
        <v>58</v>
      </c>
      <c r="K713">
        <v>1587</v>
      </c>
      <c r="L713">
        <v>1</v>
      </c>
      <c r="M713" t="s">
        <v>59</v>
      </c>
      <c r="N713">
        <v>3</v>
      </c>
      <c r="O713">
        <v>2</v>
      </c>
      <c r="P713" t="s">
        <v>168</v>
      </c>
      <c r="Q713">
        <v>3</v>
      </c>
      <c r="R713" t="s">
        <v>53</v>
      </c>
      <c r="S713">
        <v>68641</v>
      </c>
      <c r="T713" t="s">
        <v>64</v>
      </c>
      <c r="U713">
        <v>429.01</v>
      </c>
      <c r="V713">
        <v>3</v>
      </c>
      <c r="W713" t="s">
        <v>47</v>
      </c>
      <c r="X713">
        <v>16</v>
      </c>
      <c r="Y713">
        <v>3</v>
      </c>
      <c r="Z713">
        <v>3</v>
      </c>
      <c r="AA713">
        <v>0</v>
      </c>
      <c r="AB713">
        <v>10</v>
      </c>
      <c r="AC713">
        <v>4</v>
      </c>
      <c r="AD713">
        <v>3</v>
      </c>
      <c r="AE713">
        <v>5</v>
      </c>
      <c r="AF713">
        <v>2</v>
      </c>
      <c r="AG713">
        <v>0</v>
      </c>
      <c r="AH713">
        <v>4</v>
      </c>
      <c r="AI713">
        <f t="shared" si="77"/>
        <v>0</v>
      </c>
      <c r="AJ713" t="str">
        <f t="shared" si="78"/>
        <v>4-5 yrs</v>
      </c>
      <c r="AK713" t="str">
        <f t="shared" si="79"/>
        <v>Recent</v>
      </c>
      <c r="AL713">
        <f t="shared" si="80"/>
        <v>1</v>
      </c>
      <c r="AM713" t="str">
        <f t="shared" si="81"/>
        <v>Low Risk</v>
      </c>
      <c r="AN713" s="6">
        <f t="shared" si="82"/>
        <v>0.42440798757277876</v>
      </c>
      <c r="AO713" s="7">
        <f t="shared" si="83"/>
        <v>823692</v>
      </c>
    </row>
    <row r="714" spans="1:41" x14ac:dyDescent="0.3">
      <c r="A714" t="s">
        <v>781</v>
      </c>
      <c r="B714">
        <v>35</v>
      </c>
      <c r="C714" t="s">
        <v>196</v>
      </c>
      <c r="D714" t="s">
        <v>55</v>
      </c>
      <c r="E714" t="s">
        <v>48</v>
      </c>
      <c r="F714">
        <v>750</v>
      </c>
      <c r="G714" t="s">
        <v>735</v>
      </c>
      <c r="H714">
        <v>28</v>
      </c>
      <c r="I714">
        <v>3</v>
      </c>
      <c r="J714" t="s">
        <v>50</v>
      </c>
      <c r="K714">
        <v>1596</v>
      </c>
      <c r="L714">
        <v>2</v>
      </c>
      <c r="M714" t="s">
        <v>51</v>
      </c>
      <c r="N714">
        <v>4</v>
      </c>
      <c r="O714">
        <v>2</v>
      </c>
      <c r="P714" t="s">
        <v>52</v>
      </c>
      <c r="Q714">
        <v>3</v>
      </c>
      <c r="R714" t="s">
        <v>113</v>
      </c>
      <c r="S714">
        <v>37395</v>
      </c>
      <c r="T714" t="s">
        <v>72</v>
      </c>
      <c r="U714">
        <v>233.72</v>
      </c>
      <c r="V714">
        <v>1</v>
      </c>
      <c r="W714" t="s">
        <v>55</v>
      </c>
      <c r="X714">
        <v>17</v>
      </c>
      <c r="Y714">
        <v>3</v>
      </c>
      <c r="Z714">
        <v>4</v>
      </c>
      <c r="AA714">
        <v>2</v>
      </c>
      <c r="AB714">
        <v>10</v>
      </c>
      <c r="AC714">
        <v>3</v>
      </c>
      <c r="AD714">
        <v>2</v>
      </c>
      <c r="AE714">
        <v>10</v>
      </c>
      <c r="AF714">
        <v>9</v>
      </c>
      <c r="AG714">
        <v>6</v>
      </c>
      <c r="AH714">
        <v>8</v>
      </c>
      <c r="AI714">
        <f t="shared" si="77"/>
        <v>0</v>
      </c>
      <c r="AJ714" t="str">
        <f t="shared" si="78"/>
        <v>6-10 yrs</v>
      </c>
      <c r="AK714" t="str">
        <f t="shared" si="79"/>
        <v>Overdue</v>
      </c>
      <c r="AL714">
        <f t="shared" si="80"/>
        <v>2</v>
      </c>
      <c r="AM714" t="str">
        <f t="shared" si="81"/>
        <v>Medium Risk</v>
      </c>
      <c r="AN714" s="6">
        <f t="shared" si="82"/>
        <v>-0.27698052387960703</v>
      </c>
      <c r="AO714" s="7">
        <f t="shared" si="83"/>
        <v>448740</v>
      </c>
    </row>
    <row r="715" spans="1:41" x14ac:dyDescent="0.3">
      <c r="A715" t="s">
        <v>782</v>
      </c>
      <c r="B715">
        <v>35</v>
      </c>
      <c r="C715" t="s">
        <v>196</v>
      </c>
      <c r="D715" t="s">
        <v>55</v>
      </c>
      <c r="E715" t="s">
        <v>48</v>
      </c>
      <c r="F715">
        <v>1349</v>
      </c>
      <c r="G715" t="s">
        <v>735</v>
      </c>
      <c r="H715">
        <v>7</v>
      </c>
      <c r="I715">
        <v>2</v>
      </c>
      <c r="J715" t="s">
        <v>50</v>
      </c>
      <c r="K715">
        <v>1601</v>
      </c>
      <c r="L715">
        <v>3</v>
      </c>
      <c r="M715" t="s">
        <v>51</v>
      </c>
      <c r="N715">
        <v>2</v>
      </c>
      <c r="O715">
        <v>1</v>
      </c>
      <c r="P715" t="s">
        <v>52</v>
      </c>
      <c r="Q715">
        <v>4</v>
      </c>
      <c r="R715" t="s">
        <v>113</v>
      </c>
      <c r="S715">
        <v>23700</v>
      </c>
      <c r="T715" t="s">
        <v>54</v>
      </c>
      <c r="U715">
        <v>148.12</v>
      </c>
      <c r="V715">
        <v>1</v>
      </c>
      <c r="W715" t="s">
        <v>55</v>
      </c>
      <c r="X715">
        <v>18</v>
      </c>
      <c r="Y715">
        <v>3</v>
      </c>
      <c r="Z715">
        <v>4</v>
      </c>
      <c r="AA715">
        <v>1</v>
      </c>
      <c r="AB715">
        <v>1</v>
      </c>
      <c r="AC715">
        <v>5</v>
      </c>
      <c r="AD715">
        <v>2</v>
      </c>
      <c r="AE715">
        <v>1</v>
      </c>
      <c r="AF715">
        <v>0</v>
      </c>
      <c r="AG715">
        <v>0</v>
      </c>
      <c r="AH715">
        <v>1</v>
      </c>
      <c r="AI715">
        <f t="shared" si="77"/>
        <v>0</v>
      </c>
      <c r="AJ715" t="str">
        <f t="shared" si="78"/>
        <v>0-1 yr</v>
      </c>
      <c r="AK715" t="str">
        <f t="shared" si="79"/>
        <v>Recent</v>
      </c>
      <c r="AL715">
        <f t="shared" si="80"/>
        <v>1</v>
      </c>
      <c r="AM715" t="str">
        <f t="shared" si="81"/>
        <v>Low Risk</v>
      </c>
      <c r="AN715" s="6">
        <f t="shared" si="82"/>
        <v>-0.54176864329313246</v>
      </c>
      <c r="AO715" s="7">
        <f t="shared" si="83"/>
        <v>284400</v>
      </c>
    </row>
    <row r="716" spans="1:41" x14ac:dyDescent="0.3">
      <c r="A716" t="s">
        <v>783</v>
      </c>
      <c r="B716">
        <v>35</v>
      </c>
      <c r="C716" t="s">
        <v>196</v>
      </c>
      <c r="D716" t="s">
        <v>55</v>
      </c>
      <c r="E716" t="s">
        <v>48</v>
      </c>
      <c r="F716">
        <v>819</v>
      </c>
      <c r="G716" t="s">
        <v>735</v>
      </c>
      <c r="H716">
        <v>18</v>
      </c>
      <c r="I716">
        <v>5</v>
      </c>
      <c r="J716" t="s">
        <v>50</v>
      </c>
      <c r="K716">
        <v>1621</v>
      </c>
      <c r="L716">
        <v>2</v>
      </c>
      <c r="M716" t="s">
        <v>51</v>
      </c>
      <c r="N716">
        <v>4</v>
      </c>
      <c r="O716">
        <v>2</v>
      </c>
      <c r="P716" t="s">
        <v>67</v>
      </c>
      <c r="Q716">
        <v>1</v>
      </c>
      <c r="R716" t="s">
        <v>113</v>
      </c>
      <c r="S716">
        <v>35620</v>
      </c>
      <c r="T716" t="s">
        <v>72</v>
      </c>
      <c r="U716">
        <v>222.62</v>
      </c>
      <c r="V716">
        <v>1</v>
      </c>
      <c r="W716" t="s">
        <v>55</v>
      </c>
      <c r="X716">
        <v>11</v>
      </c>
      <c r="Y716">
        <v>3</v>
      </c>
      <c r="Z716">
        <v>4</v>
      </c>
      <c r="AA716">
        <v>0</v>
      </c>
      <c r="AB716">
        <v>16</v>
      </c>
      <c r="AC716">
        <v>2</v>
      </c>
      <c r="AD716">
        <v>3</v>
      </c>
      <c r="AE716">
        <v>16</v>
      </c>
      <c r="AF716">
        <v>15</v>
      </c>
      <c r="AG716">
        <v>1</v>
      </c>
      <c r="AH716">
        <v>10</v>
      </c>
      <c r="AI716">
        <f t="shared" si="77"/>
        <v>0</v>
      </c>
      <c r="AJ716" t="str">
        <f t="shared" si="78"/>
        <v>10+ yrs</v>
      </c>
      <c r="AK716" t="str">
        <f t="shared" si="79"/>
        <v>Recent</v>
      </c>
      <c r="AL716">
        <f t="shared" si="80"/>
        <v>1</v>
      </c>
      <c r="AM716" t="str">
        <f t="shared" si="81"/>
        <v>Low Risk</v>
      </c>
      <c r="AN716" s="6">
        <f t="shared" si="82"/>
        <v>-0.28568710419602861</v>
      </c>
      <c r="AO716" s="7">
        <f t="shared" si="83"/>
        <v>427440</v>
      </c>
    </row>
    <row r="717" spans="1:41" x14ac:dyDescent="0.3">
      <c r="A717" t="s">
        <v>784</v>
      </c>
      <c r="B717">
        <v>35</v>
      </c>
      <c r="C717" t="s">
        <v>196</v>
      </c>
      <c r="D717" t="s">
        <v>55</v>
      </c>
      <c r="E717" t="s">
        <v>66</v>
      </c>
      <c r="F717">
        <v>208</v>
      </c>
      <c r="G717" t="s">
        <v>735</v>
      </c>
      <c r="H717">
        <v>8</v>
      </c>
      <c r="I717">
        <v>4</v>
      </c>
      <c r="J717" t="s">
        <v>50</v>
      </c>
      <c r="K717">
        <v>1630</v>
      </c>
      <c r="L717">
        <v>3</v>
      </c>
      <c r="M717" t="s">
        <v>59</v>
      </c>
      <c r="N717">
        <v>3</v>
      </c>
      <c r="O717">
        <v>2</v>
      </c>
      <c r="P717" t="s">
        <v>168</v>
      </c>
      <c r="Q717">
        <v>3</v>
      </c>
      <c r="R717" t="s">
        <v>113</v>
      </c>
      <c r="S717">
        <v>21559</v>
      </c>
      <c r="T717" t="s">
        <v>54</v>
      </c>
      <c r="U717">
        <v>134.74</v>
      </c>
      <c r="V717">
        <v>1</v>
      </c>
      <c r="W717" t="s">
        <v>55</v>
      </c>
      <c r="X717">
        <v>12</v>
      </c>
      <c r="Y717">
        <v>3</v>
      </c>
      <c r="Z717">
        <v>4</v>
      </c>
      <c r="AA717">
        <v>1</v>
      </c>
      <c r="AB717">
        <v>15</v>
      </c>
      <c r="AC717">
        <v>5</v>
      </c>
      <c r="AD717">
        <v>3</v>
      </c>
      <c r="AE717">
        <v>14</v>
      </c>
      <c r="AF717">
        <v>11</v>
      </c>
      <c r="AG717">
        <v>2</v>
      </c>
      <c r="AH717">
        <v>9</v>
      </c>
      <c r="AI717">
        <f t="shared" si="77"/>
        <v>0</v>
      </c>
      <c r="AJ717" t="str">
        <f t="shared" si="78"/>
        <v>10+ yrs</v>
      </c>
      <c r="AK717" t="str">
        <f t="shared" si="79"/>
        <v>Recent</v>
      </c>
      <c r="AL717">
        <f t="shared" si="80"/>
        <v>0</v>
      </c>
      <c r="AM717" t="str">
        <f t="shared" si="81"/>
        <v>Minimal Risk</v>
      </c>
      <c r="AN717" s="6">
        <f t="shared" si="82"/>
        <v>-0.55261706845643954</v>
      </c>
      <c r="AO717" s="7">
        <f t="shared" si="83"/>
        <v>258708</v>
      </c>
    </row>
    <row r="718" spans="1:41" x14ac:dyDescent="0.3">
      <c r="A718" t="s">
        <v>785</v>
      </c>
      <c r="B718">
        <v>35</v>
      </c>
      <c r="C718" t="s">
        <v>196</v>
      </c>
      <c r="D718" t="s">
        <v>47</v>
      </c>
      <c r="E718" t="s">
        <v>48</v>
      </c>
      <c r="F718">
        <v>737</v>
      </c>
      <c r="G718" t="s">
        <v>63</v>
      </c>
      <c r="H718">
        <v>10</v>
      </c>
      <c r="I718">
        <v>3</v>
      </c>
      <c r="J718" t="s">
        <v>58</v>
      </c>
      <c r="K718">
        <v>1639</v>
      </c>
      <c r="L718">
        <v>4</v>
      </c>
      <c r="M718" t="s">
        <v>51</v>
      </c>
      <c r="N718">
        <v>2</v>
      </c>
      <c r="O718">
        <v>3</v>
      </c>
      <c r="P718" t="s">
        <v>145</v>
      </c>
      <c r="Q718">
        <v>1</v>
      </c>
      <c r="R718" t="s">
        <v>113</v>
      </c>
      <c r="S718">
        <v>94045</v>
      </c>
      <c r="T718" t="s">
        <v>70</v>
      </c>
      <c r="U718">
        <v>587.78</v>
      </c>
      <c r="V718">
        <v>9</v>
      </c>
      <c r="W718" t="s">
        <v>55</v>
      </c>
      <c r="X718">
        <v>17</v>
      </c>
      <c r="Y718">
        <v>3</v>
      </c>
      <c r="Z718">
        <v>3</v>
      </c>
      <c r="AA718">
        <v>0</v>
      </c>
      <c r="AB718">
        <v>15</v>
      </c>
      <c r="AC718">
        <v>3</v>
      </c>
      <c r="AD718">
        <v>3</v>
      </c>
      <c r="AE718">
        <v>13</v>
      </c>
      <c r="AF718">
        <v>12</v>
      </c>
      <c r="AG718">
        <v>6</v>
      </c>
      <c r="AH718">
        <v>0</v>
      </c>
      <c r="AI718">
        <f t="shared" si="77"/>
        <v>1</v>
      </c>
      <c r="AJ718" t="str">
        <f t="shared" si="78"/>
        <v>10+ yrs</v>
      </c>
      <c r="AK718" t="str">
        <f t="shared" si="79"/>
        <v>Overdue</v>
      </c>
      <c r="AL718">
        <f t="shared" si="80"/>
        <v>2</v>
      </c>
      <c r="AM718" t="str">
        <f t="shared" si="81"/>
        <v>Medium Risk</v>
      </c>
      <c r="AN718" s="6">
        <f t="shared" si="82"/>
        <v>0.91701778034199588</v>
      </c>
      <c r="AO718" s="7">
        <f t="shared" si="83"/>
        <v>1128540</v>
      </c>
    </row>
    <row r="719" spans="1:41" x14ac:dyDescent="0.3">
      <c r="A719" t="s">
        <v>786</v>
      </c>
      <c r="B719">
        <v>35</v>
      </c>
      <c r="C719" t="s">
        <v>196</v>
      </c>
      <c r="D719" t="s">
        <v>47</v>
      </c>
      <c r="E719" t="s">
        <v>48</v>
      </c>
      <c r="F719">
        <v>763</v>
      </c>
      <c r="G719" t="s">
        <v>63</v>
      </c>
      <c r="H719">
        <v>15</v>
      </c>
      <c r="I719">
        <v>2</v>
      </c>
      <c r="J719" t="s">
        <v>58</v>
      </c>
      <c r="K719">
        <v>1645</v>
      </c>
      <c r="L719">
        <v>1</v>
      </c>
      <c r="M719" t="s">
        <v>51</v>
      </c>
      <c r="N719">
        <v>1</v>
      </c>
      <c r="O719">
        <v>2</v>
      </c>
      <c r="P719" t="s">
        <v>145</v>
      </c>
      <c r="Q719">
        <v>4</v>
      </c>
      <c r="R719" t="s">
        <v>53</v>
      </c>
      <c r="S719">
        <v>94396</v>
      </c>
      <c r="T719" t="s">
        <v>70</v>
      </c>
      <c r="U719">
        <v>589.98</v>
      </c>
      <c r="V719">
        <v>6</v>
      </c>
      <c r="W719" t="s">
        <v>47</v>
      </c>
      <c r="X719">
        <v>14</v>
      </c>
      <c r="Y719">
        <v>3</v>
      </c>
      <c r="Z719">
        <v>4</v>
      </c>
      <c r="AA719">
        <v>2</v>
      </c>
      <c r="AB719">
        <v>7</v>
      </c>
      <c r="AC719">
        <v>2</v>
      </c>
      <c r="AD719">
        <v>2</v>
      </c>
      <c r="AE719">
        <v>2</v>
      </c>
      <c r="AF719">
        <v>2</v>
      </c>
      <c r="AG719">
        <v>2</v>
      </c>
      <c r="AH719">
        <v>2</v>
      </c>
      <c r="AI719">
        <f t="shared" si="77"/>
        <v>1</v>
      </c>
      <c r="AJ719" t="str">
        <f t="shared" si="78"/>
        <v>2-3 yrs</v>
      </c>
      <c r="AK719" t="str">
        <f t="shared" si="79"/>
        <v>Recent</v>
      </c>
      <c r="AL719">
        <f t="shared" si="80"/>
        <v>2</v>
      </c>
      <c r="AM719" t="str">
        <f t="shared" si="81"/>
        <v>Medium Risk</v>
      </c>
      <c r="AN719" s="6">
        <f t="shared" si="82"/>
        <v>0.9241725811384236</v>
      </c>
      <c r="AO719" s="7">
        <f t="shared" si="83"/>
        <v>1132752</v>
      </c>
    </row>
    <row r="720" spans="1:41" x14ac:dyDescent="0.3">
      <c r="A720" t="s">
        <v>787</v>
      </c>
      <c r="B720">
        <v>35</v>
      </c>
      <c r="C720" t="s">
        <v>196</v>
      </c>
      <c r="D720" t="s">
        <v>47</v>
      </c>
      <c r="E720" t="s">
        <v>62</v>
      </c>
      <c r="F720">
        <v>880</v>
      </c>
      <c r="G720" t="s">
        <v>63</v>
      </c>
      <c r="H720">
        <v>12</v>
      </c>
      <c r="I720">
        <v>4</v>
      </c>
      <c r="J720" t="s">
        <v>82</v>
      </c>
      <c r="K720">
        <v>1667</v>
      </c>
      <c r="L720">
        <v>4</v>
      </c>
      <c r="M720" t="s">
        <v>51</v>
      </c>
      <c r="N720">
        <v>3</v>
      </c>
      <c r="O720">
        <v>2</v>
      </c>
      <c r="P720" t="s">
        <v>145</v>
      </c>
      <c r="Q720">
        <v>4</v>
      </c>
      <c r="R720" t="s">
        <v>53</v>
      </c>
      <c r="S720">
        <v>62642</v>
      </c>
      <c r="T720" t="s">
        <v>64</v>
      </c>
      <c r="U720">
        <v>391.51</v>
      </c>
      <c r="V720">
        <v>3</v>
      </c>
      <c r="W720" t="s">
        <v>47</v>
      </c>
      <c r="X720">
        <v>24</v>
      </c>
      <c r="Y720">
        <v>4</v>
      </c>
      <c r="Z720">
        <v>1</v>
      </c>
      <c r="AA720">
        <v>0</v>
      </c>
      <c r="AB720">
        <v>13</v>
      </c>
      <c r="AC720">
        <v>2</v>
      </c>
      <c r="AD720">
        <v>4</v>
      </c>
      <c r="AE720">
        <v>11</v>
      </c>
      <c r="AF720">
        <v>9</v>
      </c>
      <c r="AG720">
        <v>6</v>
      </c>
      <c r="AH720">
        <v>7</v>
      </c>
      <c r="AI720">
        <f t="shared" si="77"/>
        <v>1</v>
      </c>
      <c r="AJ720" t="str">
        <f t="shared" si="78"/>
        <v>10+ yrs</v>
      </c>
      <c r="AK720" t="str">
        <f t="shared" si="79"/>
        <v>Overdue</v>
      </c>
      <c r="AL720">
        <f t="shared" si="80"/>
        <v>2</v>
      </c>
      <c r="AM720" t="str">
        <f t="shared" si="81"/>
        <v>Medium Risk</v>
      </c>
      <c r="AN720" s="6">
        <f t="shared" si="82"/>
        <v>0.2768975256120294</v>
      </c>
      <c r="AO720" s="7">
        <f t="shared" si="83"/>
        <v>751704</v>
      </c>
    </row>
    <row r="721" spans="1:41" x14ac:dyDescent="0.3">
      <c r="A721" t="s">
        <v>788</v>
      </c>
      <c r="B721">
        <v>35</v>
      </c>
      <c r="C721" t="s">
        <v>196</v>
      </c>
      <c r="D721" t="s">
        <v>55</v>
      </c>
      <c r="E721" t="s">
        <v>62</v>
      </c>
      <c r="F721">
        <v>146</v>
      </c>
      <c r="G721" t="s">
        <v>735</v>
      </c>
      <c r="H721">
        <v>2</v>
      </c>
      <c r="I721">
        <v>4</v>
      </c>
      <c r="J721" t="s">
        <v>58</v>
      </c>
      <c r="K721">
        <v>1704</v>
      </c>
      <c r="L721">
        <v>1</v>
      </c>
      <c r="M721" t="s">
        <v>51</v>
      </c>
      <c r="N721">
        <v>2</v>
      </c>
      <c r="O721">
        <v>1</v>
      </c>
      <c r="P721" t="s">
        <v>67</v>
      </c>
      <c r="Q721">
        <v>4</v>
      </c>
      <c r="R721" t="s">
        <v>53</v>
      </c>
      <c r="S721">
        <v>77539</v>
      </c>
      <c r="T721" t="s">
        <v>64</v>
      </c>
      <c r="U721">
        <v>484.62</v>
      </c>
      <c r="V721">
        <v>0</v>
      </c>
      <c r="W721" t="s">
        <v>47</v>
      </c>
      <c r="X721">
        <v>14</v>
      </c>
      <c r="Y721">
        <v>3</v>
      </c>
      <c r="Z721">
        <v>3</v>
      </c>
      <c r="AA721">
        <v>0</v>
      </c>
      <c r="AB721">
        <v>6</v>
      </c>
      <c r="AC721">
        <v>2</v>
      </c>
      <c r="AD721">
        <v>4</v>
      </c>
      <c r="AE721">
        <v>5</v>
      </c>
      <c r="AF721">
        <v>4</v>
      </c>
      <c r="AG721">
        <v>1</v>
      </c>
      <c r="AH721">
        <v>4</v>
      </c>
      <c r="AI721">
        <f t="shared" si="77"/>
        <v>0</v>
      </c>
      <c r="AJ721" t="str">
        <f t="shared" si="78"/>
        <v>4-5 yrs</v>
      </c>
      <c r="AK721" t="str">
        <f t="shared" si="79"/>
        <v>Recent</v>
      </c>
      <c r="AL721">
        <f t="shared" si="80"/>
        <v>1</v>
      </c>
      <c r="AM721" t="str">
        <f t="shared" si="81"/>
        <v>Low Risk</v>
      </c>
      <c r="AN721" s="6">
        <f t="shared" si="82"/>
        <v>0.55494406591084044</v>
      </c>
      <c r="AO721" s="7">
        <f t="shared" si="83"/>
        <v>930468</v>
      </c>
    </row>
    <row r="722" spans="1:41" x14ac:dyDescent="0.3">
      <c r="A722" t="s">
        <v>789</v>
      </c>
      <c r="B722">
        <v>35</v>
      </c>
      <c r="C722" t="s">
        <v>196</v>
      </c>
      <c r="D722" t="s">
        <v>55</v>
      </c>
      <c r="E722" t="s">
        <v>48</v>
      </c>
      <c r="F722">
        <v>1370</v>
      </c>
      <c r="G722" t="s">
        <v>735</v>
      </c>
      <c r="H722">
        <v>27</v>
      </c>
      <c r="I722">
        <v>4</v>
      </c>
      <c r="J722" t="s">
        <v>50</v>
      </c>
      <c r="K722">
        <v>1728</v>
      </c>
      <c r="L722">
        <v>4</v>
      </c>
      <c r="M722" t="s">
        <v>51</v>
      </c>
      <c r="N722">
        <v>3</v>
      </c>
      <c r="O722">
        <v>2</v>
      </c>
      <c r="P722" t="s">
        <v>120</v>
      </c>
      <c r="Q722">
        <v>3</v>
      </c>
      <c r="R722" t="s">
        <v>113</v>
      </c>
      <c r="S722">
        <v>22732</v>
      </c>
      <c r="T722" t="s">
        <v>54</v>
      </c>
      <c r="U722">
        <v>142.07</v>
      </c>
      <c r="V722">
        <v>2</v>
      </c>
      <c r="W722" t="s">
        <v>55</v>
      </c>
      <c r="X722">
        <v>16</v>
      </c>
      <c r="Y722">
        <v>3</v>
      </c>
      <c r="Z722">
        <v>2</v>
      </c>
      <c r="AA722">
        <v>1</v>
      </c>
      <c r="AB722">
        <v>17</v>
      </c>
      <c r="AC722">
        <v>3</v>
      </c>
      <c r="AD722">
        <v>3</v>
      </c>
      <c r="AE722">
        <v>7</v>
      </c>
      <c r="AF722">
        <v>7</v>
      </c>
      <c r="AG722">
        <v>0</v>
      </c>
      <c r="AH722">
        <v>7</v>
      </c>
      <c r="AI722">
        <f t="shared" si="77"/>
        <v>0</v>
      </c>
      <c r="AJ722" t="str">
        <f t="shared" si="78"/>
        <v>6-10 yrs</v>
      </c>
      <c r="AK722" t="str">
        <f t="shared" si="79"/>
        <v>Recent</v>
      </c>
      <c r="AL722">
        <f t="shared" si="80"/>
        <v>0</v>
      </c>
      <c r="AM722" t="str">
        <f t="shared" si="81"/>
        <v>Minimal Risk</v>
      </c>
      <c r="AN722" s="6">
        <f t="shared" si="82"/>
        <v>-0.48680826810207145</v>
      </c>
      <c r="AO722" s="7">
        <f t="shared" si="83"/>
        <v>272784</v>
      </c>
    </row>
    <row r="723" spans="1:41" x14ac:dyDescent="0.3">
      <c r="A723" t="s">
        <v>790</v>
      </c>
      <c r="B723">
        <v>35</v>
      </c>
      <c r="C723" t="s">
        <v>196</v>
      </c>
      <c r="D723" t="s">
        <v>47</v>
      </c>
      <c r="E723" t="s">
        <v>48</v>
      </c>
      <c r="F723">
        <v>303</v>
      </c>
      <c r="G723" t="s">
        <v>63</v>
      </c>
      <c r="H723">
        <v>27</v>
      </c>
      <c r="I723">
        <v>3</v>
      </c>
      <c r="J723" t="s">
        <v>50</v>
      </c>
      <c r="K723">
        <v>1797</v>
      </c>
      <c r="L723">
        <v>3</v>
      </c>
      <c r="M723" t="s">
        <v>51</v>
      </c>
      <c r="N723">
        <v>3</v>
      </c>
      <c r="O723">
        <v>2</v>
      </c>
      <c r="P723" t="s">
        <v>145</v>
      </c>
      <c r="Q723">
        <v>4</v>
      </c>
      <c r="R723" t="s">
        <v>53</v>
      </c>
      <c r="S723">
        <v>92362</v>
      </c>
      <c r="T723" t="s">
        <v>70</v>
      </c>
      <c r="U723">
        <v>577.26</v>
      </c>
      <c r="V723">
        <v>1</v>
      </c>
      <c r="W723" t="s">
        <v>47</v>
      </c>
      <c r="X723">
        <v>18</v>
      </c>
      <c r="Y723">
        <v>3</v>
      </c>
      <c r="Z723">
        <v>4</v>
      </c>
      <c r="AA723">
        <v>0</v>
      </c>
      <c r="AB723">
        <v>10</v>
      </c>
      <c r="AC723">
        <v>2</v>
      </c>
      <c r="AD723">
        <v>3</v>
      </c>
      <c r="AE723">
        <v>10</v>
      </c>
      <c r="AF723">
        <v>7</v>
      </c>
      <c r="AG723">
        <v>7</v>
      </c>
      <c r="AH723">
        <v>7</v>
      </c>
      <c r="AI723">
        <f t="shared" si="77"/>
        <v>1</v>
      </c>
      <c r="AJ723" t="str">
        <f t="shared" si="78"/>
        <v>6-10 yrs</v>
      </c>
      <c r="AK723" t="str">
        <f t="shared" si="79"/>
        <v>Overdue</v>
      </c>
      <c r="AL723">
        <f t="shared" si="80"/>
        <v>2</v>
      </c>
      <c r="AM723" t="str">
        <f t="shared" si="81"/>
        <v>Medium Risk</v>
      </c>
      <c r="AN723" s="6">
        <f t="shared" si="82"/>
        <v>0.88271142780527856</v>
      </c>
      <c r="AO723" s="7">
        <f t="shared" si="83"/>
        <v>1108344</v>
      </c>
    </row>
    <row r="724" spans="1:41" x14ac:dyDescent="0.3">
      <c r="A724" t="s">
        <v>791</v>
      </c>
      <c r="B724">
        <v>35</v>
      </c>
      <c r="C724" t="s">
        <v>196</v>
      </c>
      <c r="D724" t="s">
        <v>55</v>
      </c>
      <c r="E724" t="s">
        <v>66</v>
      </c>
      <c r="F724">
        <v>1180</v>
      </c>
      <c r="G724" t="s">
        <v>735</v>
      </c>
      <c r="H724">
        <v>2</v>
      </c>
      <c r="I724">
        <v>2</v>
      </c>
      <c r="J724" t="s">
        <v>58</v>
      </c>
      <c r="K724">
        <v>1804</v>
      </c>
      <c r="L724">
        <v>2</v>
      </c>
      <c r="M724" t="s">
        <v>51</v>
      </c>
      <c r="N724">
        <v>3</v>
      </c>
      <c r="O724">
        <v>2</v>
      </c>
      <c r="P724" t="s">
        <v>120</v>
      </c>
      <c r="Q724">
        <v>4</v>
      </c>
      <c r="R724" t="s">
        <v>53</v>
      </c>
      <c r="S724">
        <v>31354</v>
      </c>
      <c r="T724" t="s">
        <v>72</v>
      </c>
      <c r="U724">
        <v>195.96</v>
      </c>
      <c r="V724">
        <v>2</v>
      </c>
      <c r="W724" t="s">
        <v>55</v>
      </c>
      <c r="X724">
        <v>14</v>
      </c>
      <c r="Y724">
        <v>3</v>
      </c>
      <c r="Z724">
        <v>3</v>
      </c>
      <c r="AA724">
        <v>1</v>
      </c>
      <c r="AB724">
        <v>15</v>
      </c>
      <c r="AC724">
        <v>6</v>
      </c>
      <c r="AD724">
        <v>3</v>
      </c>
      <c r="AE724">
        <v>7</v>
      </c>
      <c r="AF724">
        <v>7</v>
      </c>
      <c r="AG724">
        <v>1</v>
      </c>
      <c r="AH724">
        <v>7</v>
      </c>
      <c r="AI724">
        <f t="shared" si="77"/>
        <v>0</v>
      </c>
      <c r="AJ724" t="str">
        <f t="shared" si="78"/>
        <v>6-10 yrs</v>
      </c>
      <c r="AK724" t="str">
        <f t="shared" si="79"/>
        <v>Recent</v>
      </c>
      <c r="AL724">
        <f t="shared" si="80"/>
        <v>0</v>
      </c>
      <c r="AM724" t="str">
        <f t="shared" si="81"/>
        <v>Minimal Risk</v>
      </c>
      <c r="AN724" s="6">
        <f t="shared" si="82"/>
        <v>-0.29216023394652246</v>
      </c>
      <c r="AO724" s="7">
        <f t="shared" si="83"/>
        <v>376248</v>
      </c>
    </row>
    <row r="725" spans="1:41" x14ac:dyDescent="0.3">
      <c r="A725" t="s">
        <v>792</v>
      </c>
      <c r="B725">
        <v>35</v>
      </c>
      <c r="C725" t="s">
        <v>196</v>
      </c>
      <c r="D725" t="s">
        <v>55</v>
      </c>
      <c r="E725" t="s">
        <v>48</v>
      </c>
      <c r="F725">
        <v>185</v>
      </c>
      <c r="G725" t="s">
        <v>735</v>
      </c>
      <c r="H725">
        <v>23</v>
      </c>
      <c r="I725">
        <v>4</v>
      </c>
      <c r="J725" t="s">
        <v>58</v>
      </c>
      <c r="K725">
        <v>1826</v>
      </c>
      <c r="L725">
        <v>2</v>
      </c>
      <c r="M725" t="s">
        <v>51</v>
      </c>
      <c r="N725">
        <v>1</v>
      </c>
      <c r="O725">
        <v>1</v>
      </c>
      <c r="P725" t="s">
        <v>52</v>
      </c>
      <c r="Q725">
        <v>3</v>
      </c>
      <c r="R725" t="s">
        <v>113</v>
      </c>
      <c r="S725">
        <v>14843</v>
      </c>
      <c r="T725" t="s">
        <v>54</v>
      </c>
      <c r="U725">
        <v>92.77</v>
      </c>
      <c r="V725">
        <v>0</v>
      </c>
      <c r="W725" t="s">
        <v>55</v>
      </c>
      <c r="X725">
        <v>16</v>
      </c>
      <c r="Y725">
        <v>3</v>
      </c>
      <c r="Z725">
        <v>2</v>
      </c>
      <c r="AA725">
        <v>1</v>
      </c>
      <c r="AB725">
        <v>6</v>
      </c>
      <c r="AC725">
        <v>2</v>
      </c>
      <c r="AD725">
        <v>4</v>
      </c>
      <c r="AE725">
        <v>5</v>
      </c>
      <c r="AF725">
        <v>4</v>
      </c>
      <c r="AG725">
        <v>0</v>
      </c>
      <c r="AH725">
        <v>3</v>
      </c>
      <c r="AI725">
        <f t="shared" si="77"/>
        <v>0</v>
      </c>
      <c r="AJ725" t="str">
        <f t="shared" si="78"/>
        <v>4-5 yrs</v>
      </c>
      <c r="AK725" t="str">
        <f t="shared" si="79"/>
        <v>Recent</v>
      </c>
      <c r="AL725">
        <f t="shared" si="80"/>
        <v>0</v>
      </c>
      <c r="AM725" t="str">
        <f t="shared" si="81"/>
        <v>Minimal Risk</v>
      </c>
      <c r="AN725" s="6">
        <f t="shared" si="82"/>
        <v>-0.71301569503797313</v>
      </c>
      <c r="AO725" s="7">
        <f t="shared" si="83"/>
        <v>178116</v>
      </c>
    </row>
    <row r="726" spans="1:41" x14ac:dyDescent="0.3">
      <c r="A726" t="s">
        <v>793</v>
      </c>
      <c r="B726">
        <v>35</v>
      </c>
      <c r="C726" t="s">
        <v>196</v>
      </c>
      <c r="D726" t="s">
        <v>55</v>
      </c>
      <c r="E726" t="s">
        <v>48</v>
      </c>
      <c r="F726">
        <v>219</v>
      </c>
      <c r="G726" t="s">
        <v>735</v>
      </c>
      <c r="H726">
        <v>16</v>
      </c>
      <c r="I726">
        <v>2</v>
      </c>
      <c r="J726" t="s">
        <v>82</v>
      </c>
      <c r="K726">
        <v>1886</v>
      </c>
      <c r="L726">
        <v>4</v>
      </c>
      <c r="M726" t="s">
        <v>59</v>
      </c>
      <c r="N726">
        <v>2</v>
      </c>
      <c r="O726">
        <v>2</v>
      </c>
      <c r="P726" t="s">
        <v>120</v>
      </c>
      <c r="Q726">
        <v>2</v>
      </c>
      <c r="R726" t="s">
        <v>113</v>
      </c>
      <c r="S726">
        <v>72726</v>
      </c>
      <c r="T726" t="s">
        <v>64</v>
      </c>
      <c r="U726">
        <v>454.54</v>
      </c>
      <c r="V726">
        <v>0</v>
      </c>
      <c r="W726" t="s">
        <v>47</v>
      </c>
      <c r="X726">
        <v>11</v>
      </c>
      <c r="Y726">
        <v>3</v>
      </c>
      <c r="Z726">
        <v>4</v>
      </c>
      <c r="AA726">
        <v>0</v>
      </c>
      <c r="AB726">
        <v>4</v>
      </c>
      <c r="AC726">
        <v>2</v>
      </c>
      <c r="AD726">
        <v>3</v>
      </c>
      <c r="AE726">
        <v>3</v>
      </c>
      <c r="AF726">
        <v>2</v>
      </c>
      <c r="AG726">
        <v>0</v>
      </c>
      <c r="AH726">
        <v>2</v>
      </c>
      <c r="AI726">
        <f t="shared" si="77"/>
        <v>0</v>
      </c>
      <c r="AJ726" t="str">
        <f t="shared" si="78"/>
        <v>2-3 yrs</v>
      </c>
      <c r="AK726" t="str">
        <f t="shared" si="79"/>
        <v>Recent</v>
      </c>
      <c r="AL726">
        <f t="shared" si="80"/>
        <v>2</v>
      </c>
      <c r="AM726" t="str">
        <f t="shared" si="81"/>
        <v>Medium Risk</v>
      </c>
      <c r="AN726" s="6">
        <f t="shared" si="82"/>
        <v>0.64184329992999967</v>
      </c>
      <c r="AO726" s="7">
        <f t="shared" si="83"/>
        <v>872712</v>
      </c>
    </row>
    <row r="727" spans="1:41" x14ac:dyDescent="0.3">
      <c r="A727" t="s">
        <v>794</v>
      </c>
      <c r="B727">
        <v>35</v>
      </c>
      <c r="C727" t="s">
        <v>196</v>
      </c>
      <c r="D727" t="s">
        <v>55</v>
      </c>
      <c r="E727" t="s">
        <v>48</v>
      </c>
      <c r="F727">
        <v>682</v>
      </c>
      <c r="G727" t="s">
        <v>63</v>
      </c>
      <c r="H727">
        <v>18</v>
      </c>
      <c r="I727">
        <v>4</v>
      </c>
      <c r="J727" t="s">
        <v>58</v>
      </c>
      <c r="K727">
        <v>1945</v>
      </c>
      <c r="L727">
        <v>2</v>
      </c>
      <c r="M727" t="s">
        <v>51</v>
      </c>
      <c r="N727">
        <v>3</v>
      </c>
      <c r="O727">
        <v>2</v>
      </c>
      <c r="P727" t="s">
        <v>145</v>
      </c>
      <c r="Q727">
        <v>1</v>
      </c>
      <c r="R727" t="s">
        <v>113</v>
      </c>
      <c r="S727">
        <v>18640</v>
      </c>
      <c r="T727" t="s">
        <v>54</v>
      </c>
      <c r="U727">
        <v>116.5</v>
      </c>
      <c r="V727">
        <v>0</v>
      </c>
      <c r="W727" t="s">
        <v>55</v>
      </c>
      <c r="X727">
        <v>16</v>
      </c>
      <c r="Y727">
        <v>3</v>
      </c>
      <c r="Z727">
        <v>4</v>
      </c>
      <c r="AA727">
        <v>1</v>
      </c>
      <c r="AB727">
        <v>6</v>
      </c>
      <c r="AC727">
        <v>2</v>
      </c>
      <c r="AD727">
        <v>1</v>
      </c>
      <c r="AE727">
        <v>5</v>
      </c>
      <c r="AF727">
        <v>3</v>
      </c>
      <c r="AG727">
        <v>0</v>
      </c>
      <c r="AH727">
        <v>4</v>
      </c>
      <c r="AI727">
        <f t="shared" si="77"/>
        <v>0</v>
      </c>
      <c r="AJ727" t="str">
        <f t="shared" si="78"/>
        <v>4-5 yrs</v>
      </c>
      <c r="AK727" t="str">
        <f t="shared" si="79"/>
        <v>Recent</v>
      </c>
      <c r="AL727">
        <f t="shared" si="80"/>
        <v>2</v>
      </c>
      <c r="AM727" t="str">
        <f t="shared" si="81"/>
        <v>Medium Risk</v>
      </c>
      <c r="AN727" s="6">
        <f t="shared" si="82"/>
        <v>-0.62004134801876976</v>
      </c>
      <c r="AO727" s="7">
        <f t="shared" si="83"/>
        <v>223680</v>
      </c>
    </row>
    <row r="728" spans="1:41" x14ac:dyDescent="0.3">
      <c r="A728" t="s">
        <v>795</v>
      </c>
      <c r="B728">
        <v>35</v>
      </c>
      <c r="C728" t="s">
        <v>196</v>
      </c>
      <c r="D728" t="s">
        <v>55</v>
      </c>
      <c r="E728" t="s">
        <v>48</v>
      </c>
      <c r="F728">
        <v>1224</v>
      </c>
      <c r="G728" t="s">
        <v>63</v>
      </c>
      <c r="H728">
        <v>7</v>
      </c>
      <c r="I728">
        <v>4</v>
      </c>
      <c r="J728" t="s">
        <v>50</v>
      </c>
      <c r="K728">
        <v>1962</v>
      </c>
      <c r="L728">
        <v>3</v>
      </c>
      <c r="M728" t="s">
        <v>59</v>
      </c>
      <c r="N728">
        <v>3</v>
      </c>
      <c r="O728">
        <v>2</v>
      </c>
      <c r="P728" t="s">
        <v>145</v>
      </c>
      <c r="Q728">
        <v>4</v>
      </c>
      <c r="R728" t="s">
        <v>113</v>
      </c>
      <c r="S728">
        <v>53528</v>
      </c>
      <c r="T728" t="s">
        <v>64</v>
      </c>
      <c r="U728">
        <v>334.55</v>
      </c>
      <c r="V728">
        <v>1</v>
      </c>
      <c r="W728" t="s">
        <v>47</v>
      </c>
      <c r="X728">
        <v>11</v>
      </c>
      <c r="Y728">
        <v>3</v>
      </c>
      <c r="Z728">
        <v>4</v>
      </c>
      <c r="AA728">
        <v>0</v>
      </c>
      <c r="AB728">
        <v>10</v>
      </c>
      <c r="AC728">
        <v>2</v>
      </c>
      <c r="AD728">
        <v>3</v>
      </c>
      <c r="AE728">
        <v>10</v>
      </c>
      <c r="AF728">
        <v>8</v>
      </c>
      <c r="AG728">
        <v>0</v>
      </c>
      <c r="AH728">
        <v>9</v>
      </c>
      <c r="AI728">
        <f t="shared" si="77"/>
        <v>0</v>
      </c>
      <c r="AJ728" t="str">
        <f t="shared" si="78"/>
        <v>6-10 yrs</v>
      </c>
      <c r="AK728" t="str">
        <f t="shared" si="79"/>
        <v>Recent</v>
      </c>
      <c r="AL728">
        <f t="shared" si="80"/>
        <v>1</v>
      </c>
      <c r="AM728" t="str">
        <f t="shared" si="81"/>
        <v>Low Risk</v>
      </c>
      <c r="AN728" s="6">
        <f t="shared" si="82"/>
        <v>9.1117313479146742E-2</v>
      </c>
      <c r="AO728" s="7">
        <f t="shared" si="83"/>
        <v>642336</v>
      </c>
    </row>
    <row r="729" spans="1:41" x14ac:dyDescent="0.3">
      <c r="A729" t="s">
        <v>796</v>
      </c>
      <c r="B729">
        <v>35</v>
      </c>
      <c r="C729" t="s">
        <v>196</v>
      </c>
      <c r="D729" t="s">
        <v>55</v>
      </c>
      <c r="E729" t="s">
        <v>48</v>
      </c>
      <c r="F729">
        <v>1490</v>
      </c>
      <c r="G729" t="s">
        <v>735</v>
      </c>
      <c r="H729">
        <v>11</v>
      </c>
      <c r="I729">
        <v>4</v>
      </c>
      <c r="J729" t="s">
        <v>58</v>
      </c>
      <c r="K729">
        <v>2003</v>
      </c>
      <c r="L729">
        <v>4</v>
      </c>
      <c r="M729" t="s">
        <v>51</v>
      </c>
      <c r="N729">
        <v>3</v>
      </c>
      <c r="O729">
        <v>1</v>
      </c>
      <c r="P729" t="s">
        <v>52</v>
      </c>
      <c r="Q729">
        <v>3</v>
      </c>
      <c r="R729" t="s">
        <v>113</v>
      </c>
      <c r="S729">
        <v>39413</v>
      </c>
      <c r="T729" t="s">
        <v>72</v>
      </c>
      <c r="U729">
        <v>246.33</v>
      </c>
      <c r="V729">
        <v>7</v>
      </c>
      <c r="W729" t="s">
        <v>47</v>
      </c>
      <c r="X729">
        <v>11</v>
      </c>
      <c r="Y729">
        <v>3</v>
      </c>
      <c r="Z729">
        <v>3</v>
      </c>
      <c r="AA729">
        <v>1</v>
      </c>
      <c r="AB729">
        <v>5</v>
      </c>
      <c r="AC729">
        <v>3</v>
      </c>
      <c r="AD729">
        <v>3</v>
      </c>
      <c r="AE729">
        <v>2</v>
      </c>
      <c r="AF729">
        <v>2</v>
      </c>
      <c r="AG729">
        <v>2</v>
      </c>
      <c r="AH729">
        <v>2</v>
      </c>
      <c r="AI729">
        <f t="shared" si="77"/>
        <v>0</v>
      </c>
      <c r="AJ729" t="str">
        <f t="shared" si="78"/>
        <v>2-3 yrs</v>
      </c>
      <c r="AK729" t="str">
        <f t="shared" si="79"/>
        <v>Recent</v>
      </c>
      <c r="AL729">
        <f t="shared" si="80"/>
        <v>1</v>
      </c>
      <c r="AM729" t="str">
        <f t="shared" si="81"/>
        <v>Low Risk</v>
      </c>
      <c r="AN729" s="6">
        <f t="shared" si="82"/>
        <v>-0.23796318726211932</v>
      </c>
      <c r="AO729" s="7">
        <f t="shared" si="83"/>
        <v>472956</v>
      </c>
    </row>
    <row r="730" spans="1:41" x14ac:dyDescent="0.3">
      <c r="A730" t="s">
        <v>797</v>
      </c>
      <c r="B730">
        <v>35</v>
      </c>
      <c r="C730" t="s">
        <v>196</v>
      </c>
      <c r="D730" t="s">
        <v>55</v>
      </c>
      <c r="E730" t="s">
        <v>48</v>
      </c>
      <c r="F730">
        <v>1395</v>
      </c>
      <c r="G730" t="s">
        <v>735</v>
      </c>
      <c r="H730">
        <v>9</v>
      </c>
      <c r="I730">
        <v>4</v>
      </c>
      <c r="J730" t="s">
        <v>58</v>
      </c>
      <c r="K730">
        <v>2008</v>
      </c>
      <c r="L730">
        <v>2</v>
      </c>
      <c r="M730" t="s">
        <v>51</v>
      </c>
      <c r="N730">
        <v>3</v>
      </c>
      <c r="O730">
        <v>2</v>
      </c>
      <c r="P730" t="s">
        <v>67</v>
      </c>
      <c r="Q730">
        <v>3</v>
      </c>
      <c r="R730" t="s">
        <v>53</v>
      </c>
      <c r="S730">
        <v>53638</v>
      </c>
      <c r="T730" t="s">
        <v>64</v>
      </c>
      <c r="U730">
        <v>335.24</v>
      </c>
      <c r="V730">
        <v>1</v>
      </c>
      <c r="W730" t="s">
        <v>55</v>
      </c>
      <c r="X730">
        <v>19</v>
      </c>
      <c r="Y730">
        <v>3</v>
      </c>
      <c r="Z730">
        <v>2</v>
      </c>
      <c r="AA730">
        <v>0</v>
      </c>
      <c r="AB730">
        <v>10</v>
      </c>
      <c r="AC730">
        <v>5</v>
      </c>
      <c r="AD730">
        <v>3</v>
      </c>
      <c r="AE730">
        <v>10</v>
      </c>
      <c r="AF730">
        <v>7</v>
      </c>
      <c r="AG730">
        <v>0</v>
      </c>
      <c r="AH730">
        <v>8</v>
      </c>
      <c r="AI730">
        <f t="shared" si="77"/>
        <v>0</v>
      </c>
      <c r="AJ730" t="str">
        <f t="shared" si="78"/>
        <v>6-10 yrs</v>
      </c>
      <c r="AK730" t="str">
        <f t="shared" si="79"/>
        <v>Recent</v>
      </c>
      <c r="AL730">
        <f t="shared" si="80"/>
        <v>0</v>
      </c>
      <c r="AM730" t="str">
        <f t="shared" si="81"/>
        <v>Minimal Risk</v>
      </c>
      <c r="AN730" s="6">
        <f t="shared" si="82"/>
        <v>7.5640513900432846E-2</v>
      </c>
      <c r="AO730" s="7">
        <f t="shared" si="83"/>
        <v>643656</v>
      </c>
    </row>
    <row r="731" spans="1:41" x14ac:dyDescent="0.3">
      <c r="A731" t="s">
        <v>798</v>
      </c>
      <c r="B731">
        <v>35</v>
      </c>
      <c r="C731" t="s">
        <v>196</v>
      </c>
      <c r="D731" t="s">
        <v>55</v>
      </c>
      <c r="E731" t="s">
        <v>48</v>
      </c>
      <c r="F731">
        <v>1146</v>
      </c>
      <c r="G731" t="s">
        <v>406</v>
      </c>
      <c r="H731">
        <v>26</v>
      </c>
      <c r="I731">
        <v>4</v>
      </c>
      <c r="J731" t="s">
        <v>50</v>
      </c>
      <c r="K731">
        <v>2040</v>
      </c>
      <c r="L731">
        <v>3</v>
      </c>
      <c r="M731" t="s">
        <v>59</v>
      </c>
      <c r="N731">
        <v>3</v>
      </c>
      <c r="O731">
        <v>3</v>
      </c>
      <c r="P731" t="s">
        <v>80</v>
      </c>
      <c r="Q731">
        <v>4</v>
      </c>
      <c r="R731" t="s">
        <v>53</v>
      </c>
      <c r="S731">
        <v>53736</v>
      </c>
      <c r="T731" t="s">
        <v>64</v>
      </c>
      <c r="U731">
        <v>335.85</v>
      </c>
      <c r="V731">
        <v>1</v>
      </c>
      <c r="W731" t="s">
        <v>47</v>
      </c>
      <c r="X731">
        <v>16</v>
      </c>
      <c r="Y731">
        <v>3</v>
      </c>
      <c r="Z731">
        <v>3</v>
      </c>
      <c r="AA731">
        <v>0</v>
      </c>
      <c r="AB731">
        <v>9</v>
      </c>
      <c r="AC731">
        <v>2</v>
      </c>
      <c r="AD731">
        <v>3</v>
      </c>
      <c r="AE731">
        <v>9</v>
      </c>
      <c r="AF731">
        <v>0</v>
      </c>
      <c r="AG731">
        <v>1</v>
      </c>
      <c r="AH731">
        <v>7</v>
      </c>
      <c r="AI731">
        <f t="shared" si="77"/>
        <v>0</v>
      </c>
      <c r="AJ731" t="str">
        <f t="shared" si="78"/>
        <v>6-10 yrs</v>
      </c>
      <c r="AK731" t="str">
        <f t="shared" si="79"/>
        <v>Recent</v>
      </c>
      <c r="AL731">
        <f t="shared" si="80"/>
        <v>1</v>
      </c>
      <c r="AM731" t="str">
        <f t="shared" si="81"/>
        <v>Low Risk</v>
      </c>
      <c r="AN731" s="6">
        <f t="shared" si="82"/>
        <v>5.8961833333964972E-2</v>
      </c>
      <c r="AO731" s="7">
        <f t="shared" si="83"/>
        <v>644832</v>
      </c>
    </row>
    <row r="732" spans="1:41" x14ac:dyDescent="0.3">
      <c r="A732" t="s">
        <v>799</v>
      </c>
      <c r="B732">
        <v>35</v>
      </c>
      <c r="C732" t="s">
        <v>196</v>
      </c>
      <c r="D732" t="s">
        <v>55</v>
      </c>
      <c r="E732" t="s">
        <v>62</v>
      </c>
      <c r="F732">
        <v>1199</v>
      </c>
      <c r="G732" t="s">
        <v>735</v>
      </c>
      <c r="H732">
        <v>18</v>
      </c>
      <c r="I732">
        <v>4</v>
      </c>
      <c r="J732" t="s">
        <v>50</v>
      </c>
      <c r="K732">
        <v>2049</v>
      </c>
      <c r="L732">
        <v>3</v>
      </c>
      <c r="M732" t="s">
        <v>51</v>
      </c>
      <c r="N732">
        <v>3</v>
      </c>
      <c r="O732">
        <v>2</v>
      </c>
      <c r="P732" t="s">
        <v>168</v>
      </c>
      <c r="Q732">
        <v>3</v>
      </c>
      <c r="R732" t="s">
        <v>113</v>
      </c>
      <c r="S732">
        <v>69866</v>
      </c>
      <c r="T732" t="s">
        <v>64</v>
      </c>
      <c r="U732">
        <v>436.66</v>
      </c>
      <c r="V732">
        <v>1</v>
      </c>
      <c r="W732" t="s">
        <v>47</v>
      </c>
      <c r="X732">
        <v>14</v>
      </c>
      <c r="Y732">
        <v>3</v>
      </c>
      <c r="Z732">
        <v>4</v>
      </c>
      <c r="AA732">
        <v>2</v>
      </c>
      <c r="AB732">
        <v>10</v>
      </c>
      <c r="AC732">
        <v>2</v>
      </c>
      <c r="AD732">
        <v>4</v>
      </c>
      <c r="AE732">
        <v>10</v>
      </c>
      <c r="AF732">
        <v>2</v>
      </c>
      <c r="AG732">
        <v>0</v>
      </c>
      <c r="AH732">
        <v>2</v>
      </c>
      <c r="AI732">
        <f t="shared" si="77"/>
        <v>0</v>
      </c>
      <c r="AJ732" t="str">
        <f t="shared" si="78"/>
        <v>6-10 yrs</v>
      </c>
      <c r="AK732" t="str">
        <f t="shared" si="79"/>
        <v>Recent</v>
      </c>
      <c r="AL732">
        <f t="shared" si="80"/>
        <v>1</v>
      </c>
      <c r="AM732" t="str">
        <f t="shared" si="81"/>
        <v>Low Risk</v>
      </c>
      <c r="AN732" s="6">
        <f t="shared" si="82"/>
        <v>0.44982865138561151</v>
      </c>
      <c r="AO732" s="7">
        <f t="shared" si="83"/>
        <v>838392</v>
      </c>
    </row>
    <row r="733" spans="1:41" x14ac:dyDescent="0.3">
      <c r="A733" t="s">
        <v>800</v>
      </c>
      <c r="B733">
        <v>35</v>
      </c>
      <c r="C733" t="s">
        <v>196</v>
      </c>
      <c r="D733" t="s">
        <v>55</v>
      </c>
      <c r="E733" t="s">
        <v>48</v>
      </c>
      <c r="F733">
        <v>287</v>
      </c>
      <c r="G733" t="s">
        <v>735</v>
      </c>
      <c r="H733">
        <v>1</v>
      </c>
      <c r="I733">
        <v>4</v>
      </c>
      <c r="J733" t="s">
        <v>50</v>
      </c>
      <c r="K733">
        <v>2052</v>
      </c>
      <c r="L733">
        <v>3</v>
      </c>
      <c r="M733" t="s">
        <v>59</v>
      </c>
      <c r="N733">
        <v>1</v>
      </c>
      <c r="O733">
        <v>1</v>
      </c>
      <c r="P733" t="s">
        <v>67</v>
      </c>
      <c r="Q733">
        <v>4</v>
      </c>
      <c r="R733" t="s">
        <v>113</v>
      </c>
      <c r="S733">
        <v>20087</v>
      </c>
      <c r="T733" t="s">
        <v>54</v>
      </c>
      <c r="U733">
        <v>125.54</v>
      </c>
      <c r="V733">
        <v>1</v>
      </c>
      <c r="W733" t="s">
        <v>55</v>
      </c>
      <c r="X733">
        <v>12</v>
      </c>
      <c r="Y733">
        <v>3</v>
      </c>
      <c r="Z733">
        <v>4</v>
      </c>
      <c r="AA733">
        <v>1</v>
      </c>
      <c r="AB733">
        <v>4</v>
      </c>
      <c r="AC733">
        <v>5</v>
      </c>
      <c r="AD733">
        <v>3</v>
      </c>
      <c r="AE733">
        <v>4</v>
      </c>
      <c r="AF733">
        <v>3</v>
      </c>
      <c r="AG733">
        <v>1</v>
      </c>
      <c r="AH733">
        <v>1</v>
      </c>
      <c r="AI733">
        <f t="shared" si="77"/>
        <v>0</v>
      </c>
      <c r="AJ733" t="str">
        <f t="shared" si="78"/>
        <v>4-5 yrs</v>
      </c>
      <c r="AK733" t="str">
        <f t="shared" si="79"/>
        <v>Recent</v>
      </c>
      <c r="AL733">
        <f t="shared" si="80"/>
        <v>0</v>
      </c>
      <c r="AM733" t="str">
        <f t="shared" si="81"/>
        <v>Minimal Risk</v>
      </c>
      <c r="AN733" s="6">
        <f t="shared" si="82"/>
        <v>-0.59718127069021976</v>
      </c>
      <c r="AO733" s="7">
        <f t="shared" si="83"/>
        <v>241044</v>
      </c>
    </row>
    <row r="734" spans="1:41" x14ac:dyDescent="0.3">
      <c r="A734" t="s">
        <v>801</v>
      </c>
      <c r="B734">
        <v>36</v>
      </c>
      <c r="C734" t="s">
        <v>802</v>
      </c>
      <c r="D734" t="s">
        <v>55</v>
      </c>
      <c r="E734" t="s">
        <v>48</v>
      </c>
      <c r="F734">
        <v>1299</v>
      </c>
      <c r="G734" t="s">
        <v>735</v>
      </c>
      <c r="H734">
        <v>27</v>
      </c>
      <c r="I734">
        <v>3</v>
      </c>
      <c r="J734" t="s">
        <v>58</v>
      </c>
      <c r="K734">
        <v>13</v>
      </c>
      <c r="L734">
        <v>3</v>
      </c>
      <c r="M734" t="s">
        <v>51</v>
      </c>
      <c r="N734">
        <v>3</v>
      </c>
      <c r="O734">
        <v>2</v>
      </c>
      <c r="P734" t="s">
        <v>168</v>
      </c>
      <c r="Q734">
        <v>3</v>
      </c>
      <c r="R734" t="s">
        <v>113</v>
      </c>
      <c r="S734">
        <v>42430</v>
      </c>
      <c r="T734" t="s">
        <v>72</v>
      </c>
      <c r="U734">
        <v>265.19</v>
      </c>
      <c r="V734">
        <v>6</v>
      </c>
      <c r="W734" t="s">
        <v>55</v>
      </c>
      <c r="X734">
        <v>13</v>
      </c>
      <c r="Y734">
        <v>3</v>
      </c>
      <c r="Z734">
        <v>2</v>
      </c>
      <c r="AA734">
        <v>2</v>
      </c>
      <c r="AB734">
        <v>17</v>
      </c>
      <c r="AC734">
        <v>3</v>
      </c>
      <c r="AD734">
        <v>2</v>
      </c>
      <c r="AE734">
        <v>7</v>
      </c>
      <c r="AF734">
        <v>7</v>
      </c>
      <c r="AG734">
        <v>7</v>
      </c>
      <c r="AH734">
        <v>7</v>
      </c>
      <c r="AI734">
        <f t="shared" si="77"/>
        <v>0</v>
      </c>
      <c r="AJ734" t="str">
        <f t="shared" si="78"/>
        <v>6-10 yrs</v>
      </c>
      <c r="AK734" t="str">
        <f t="shared" si="79"/>
        <v>Overdue</v>
      </c>
      <c r="AL734">
        <f t="shared" si="80"/>
        <v>2</v>
      </c>
      <c r="AM734" t="str">
        <f t="shared" si="81"/>
        <v>Medium Risk</v>
      </c>
      <c r="AN734" s="6">
        <f t="shared" si="82"/>
        <v>-0.11951121177265771</v>
      </c>
      <c r="AO734" s="7">
        <f t="shared" si="83"/>
        <v>509160</v>
      </c>
    </row>
    <row r="735" spans="1:41" x14ac:dyDescent="0.3">
      <c r="A735" t="s">
        <v>803</v>
      </c>
      <c r="B735">
        <v>36</v>
      </c>
      <c r="C735" t="s">
        <v>802</v>
      </c>
      <c r="D735" t="s">
        <v>47</v>
      </c>
      <c r="E735" t="s">
        <v>48</v>
      </c>
      <c r="F735">
        <v>1218</v>
      </c>
      <c r="G735" t="s">
        <v>63</v>
      </c>
      <c r="H735">
        <v>9</v>
      </c>
      <c r="I735">
        <v>4</v>
      </c>
      <c r="J735" t="s">
        <v>50</v>
      </c>
      <c r="K735">
        <v>27</v>
      </c>
      <c r="L735">
        <v>3</v>
      </c>
      <c r="M735" t="s">
        <v>51</v>
      </c>
      <c r="N735">
        <v>2</v>
      </c>
      <c r="O735">
        <v>1</v>
      </c>
      <c r="P735" t="s">
        <v>60</v>
      </c>
      <c r="Q735">
        <v>1</v>
      </c>
      <c r="R735" t="s">
        <v>53</v>
      </c>
      <c r="S735">
        <v>25504</v>
      </c>
      <c r="T735" t="s">
        <v>72</v>
      </c>
      <c r="U735">
        <v>159.4</v>
      </c>
      <c r="V735">
        <v>7</v>
      </c>
      <c r="W735" t="s">
        <v>55</v>
      </c>
      <c r="X735">
        <v>23</v>
      </c>
      <c r="Y735">
        <v>4</v>
      </c>
      <c r="Z735">
        <v>2</v>
      </c>
      <c r="AA735">
        <v>0</v>
      </c>
      <c r="AB735">
        <v>10</v>
      </c>
      <c r="AC735">
        <v>4</v>
      </c>
      <c r="AD735">
        <v>3</v>
      </c>
      <c r="AE735">
        <v>5</v>
      </c>
      <c r="AF735">
        <v>3</v>
      </c>
      <c r="AG735">
        <v>0</v>
      </c>
      <c r="AH735">
        <v>3</v>
      </c>
      <c r="AI735">
        <f t="shared" si="77"/>
        <v>1</v>
      </c>
      <c r="AJ735" t="str">
        <f t="shared" si="78"/>
        <v>4-5 yrs</v>
      </c>
      <c r="AK735" t="str">
        <f t="shared" si="79"/>
        <v>Recent</v>
      </c>
      <c r="AL735">
        <f t="shared" si="80"/>
        <v>1</v>
      </c>
      <c r="AM735" t="str">
        <f t="shared" si="81"/>
        <v>Low Risk</v>
      </c>
      <c r="AN735" s="6">
        <f t="shared" si="82"/>
        <v>-0.48295852901361691</v>
      </c>
      <c r="AO735" s="7">
        <f t="shared" si="83"/>
        <v>306048</v>
      </c>
    </row>
    <row r="736" spans="1:41" x14ac:dyDescent="0.3">
      <c r="A736" t="s">
        <v>804</v>
      </c>
      <c r="B736">
        <v>36</v>
      </c>
      <c r="C736" t="s">
        <v>802</v>
      </c>
      <c r="D736" t="s">
        <v>55</v>
      </c>
      <c r="E736" t="s">
        <v>48</v>
      </c>
      <c r="F736">
        <v>852</v>
      </c>
      <c r="G736" t="s">
        <v>735</v>
      </c>
      <c r="H736">
        <v>5</v>
      </c>
      <c r="I736">
        <v>4</v>
      </c>
      <c r="J736" t="s">
        <v>50</v>
      </c>
      <c r="K736">
        <v>51</v>
      </c>
      <c r="L736">
        <v>2</v>
      </c>
      <c r="M736" t="s">
        <v>59</v>
      </c>
      <c r="N736">
        <v>2</v>
      </c>
      <c r="O736">
        <v>1</v>
      </c>
      <c r="P736" t="s">
        <v>67</v>
      </c>
      <c r="Q736">
        <v>1</v>
      </c>
      <c r="R736" t="s">
        <v>113</v>
      </c>
      <c r="S736">
        <v>8114</v>
      </c>
      <c r="T736" t="s">
        <v>54</v>
      </c>
      <c r="U736">
        <v>50.71</v>
      </c>
      <c r="V736">
        <v>9</v>
      </c>
      <c r="W736" t="s">
        <v>47</v>
      </c>
      <c r="X736">
        <v>14</v>
      </c>
      <c r="Y736">
        <v>3</v>
      </c>
      <c r="Z736">
        <v>4</v>
      </c>
      <c r="AA736">
        <v>1</v>
      </c>
      <c r="AB736">
        <v>6</v>
      </c>
      <c r="AC736">
        <v>3</v>
      </c>
      <c r="AD736">
        <v>4</v>
      </c>
      <c r="AE736">
        <v>1</v>
      </c>
      <c r="AF736">
        <v>1</v>
      </c>
      <c r="AG736">
        <v>0</v>
      </c>
      <c r="AH736">
        <v>0</v>
      </c>
      <c r="AI736">
        <f t="shared" si="77"/>
        <v>0</v>
      </c>
      <c r="AJ736" t="str">
        <f t="shared" si="78"/>
        <v>0-1 yr</v>
      </c>
      <c r="AK736" t="str">
        <f t="shared" si="79"/>
        <v>Recent</v>
      </c>
      <c r="AL736">
        <f t="shared" si="80"/>
        <v>2</v>
      </c>
      <c r="AM736" t="str">
        <f t="shared" si="81"/>
        <v>Medium Risk</v>
      </c>
      <c r="AN736" s="6">
        <f t="shared" si="82"/>
        <v>-0.83728425500972981</v>
      </c>
      <c r="AO736" s="7">
        <f t="shared" si="83"/>
        <v>97368</v>
      </c>
    </row>
    <row r="737" spans="1:41" x14ac:dyDescent="0.3">
      <c r="A737" t="s">
        <v>805</v>
      </c>
      <c r="B737">
        <v>36</v>
      </c>
      <c r="C737" t="s">
        <v>802</v>
      </c>
      <c r="D737" t="s">
        <v>55</v>
      </c>
      <c r="E737" t="s">
        <v>48</v>
      </c>
      <c r="F737">
        <v>1223</v>
      </c>
      <c r="G737" t="s">
        <v>735</v>
      </c>
      <c r="H737">
        <v>8</v>
      </c>
      <c r="I737">
        <v>3</v>
      </c>
      <c r="J737" t="s">
        <v>77</v>
      </c>
      <c r="K737">
        <v>83</v>
      </c>
      <c r="L737">
        <v>3</v>
      </c>
      <c r="M737" t="s">
        <v>59</v>
      </c>
      <c r="N737">
        <v>3</v>
      </c>
      <c r="O737">
        <v>3</v>
      </c>
      <c r="P737" t="s">
        <v>168</v>
      </c>
      <c r="Q737">
        <v>3</v>
      </c>
      <c r="R737" t="s">
        <v>53</v>
      </c>
      <c r="S737">
        <v>79859</v>
      </c>
      <c r="T737" t="s">
        <v>64</v>
      </c>
      <c r="U737">
        <v>499.12</v>
      </c>
      <c r="V737">
        <v>1</v>
      </c>
      <c r="W737" t="s">
        <v>55</v>
      </c>
      <c r="X737">
        <v>13</v>
      </c>
      <c r="Y737">
        <v>3</v>
      </c>
      <c r="Z737">
        <v>2</v>
      </c>
      <c r="AA737">
        <v>3</v>
      </c>
      <c r="AB737">
        <v>17</v>
      </c>
      <c r="AC737">
        <v>2</v>
      </c>
      <c r="AD737">
        <v>3</v>
      </c>
      <c r="AE737">
        <v>17</v>
      </c>
      <c r="AF737">
        <v>14</v>
      </c>
      <c r="AG737">
        <v>12</v>
      </c>
      <c r="AH737">
        <v>8</v>
      </c>
      <c r="AI737">
        <f t="shared" si="77"/>
        <v>0</v>
      </c>
      <c r="AJ737" t="str">
        <f t="shared" si="78"/>
        <v>10+ yrs</v>
      </c>
      <c r="AK737" t="str">
        <f t="shared" si="79"/>
        <v>Overdue</v>
      </c>
      <c r="AL737">
        <f t="shared" si="80"/>
        <v>1</v>
      </c>
      <c r="AM737" t="str">
        <f t="shared" si="81"/>
        <v>Low Risk</v>
      </c>
      <c r="AN737" s="6">
        <f t="shared" si="82"/>
        <v>0.65719901341143838</v>
      </c>
      <c r="AO737" s="7">
        <f t="shared" si="83"/>
        <v>958308</v>
      </c>
    </row>
    <row r="738" spans="1:41" x14ac:dyDescent="0.3">
      <c r="A738" t="s">
        <v>806</v>
      </c>
      <c r="B738">
        <v>36</v>
      </c>
      <c r="C738" t="s">
        <v>802</v>
      </c>
      <c r="D738" t="s">
        <v>55</v>
      </c>
      <c r="E738" t="s">
        <v>62</v>
      </c>
      <c r="F738">
        <v>1195</v>
      </c>
      <c r="G738" t="s">
        <v>735</v>
      </c>
      <c r="H738">
        <v>11</v>
      </c>
      <c r="I738">
        <v>3</v>
      </c>
      <c r="J738" t="s">
        <v>50</v>
      </c>
      <c r="K738">
        <v>85</v>
      </c>
      <c r="L738">
        <v>2</v>
      </c>
      <c r="M738" t="s">
        <v>51</v>
      </c>
      <c r="N738">
        <v>2</v>
      </c>
      <c r="O738">
        <v>2</v>
      </c>
      <c r="P738" t="s">
        <v>120</v>
      </c>
      <c r="Q738">
        <v>2</v>
      </c>
      <c r="R738" t="s">
        <v>53</v>
      </c>
      <c r="S738">
        <v>11975</v>
      </c>
      <c r="T738" t="s">
        <v>54</v>
      </c>
      <c r="U738">
        <v>74.84</v>
      </c>
      <c r="V738">
        <v>1</v>
      </c>
      <c r="W738" t="s">
        <v>55</v>
      </c>
      <c r="X738">
        <v>13</v>
      </c>
      <c r="Y738">
        <v>3</v>
      </c>
      <c r="Z738">
        <v>3</v>
      </c>
      <c r="AA738">
        <v>0</v>
      </c>
      <c r="AB738">
        <v>6</v>
      </c>
      <c r="AC738">
        <v>3</v>
      </c>
      <c r="AD738">
        <v>3</v>
      </c>
      <c r="AE738">
        <v>6</v>
      </c>
      <c r="AF738">
        <v>5</v>
      </c>
      <c r="AG738">
        <v>0</v>
      </c>
      <c r="AH738">
        <v>3</v>
      </c>
      <c r="AI738">
        <f t="shared" si="77"/>
        <v>0</v>
      </c>
      <c r="AJ738" t="str">
        <f t="shared" si="78"/>
        <v>6-10 yrs</v>
      </c>
      <c r="AK738" t="str">
        <f t="shared" si="79"/>
        <v>Recent</v>
      </c>
      <c r="AL738">
        <f t="shared" si="80"/>
        <v>1</v>
      </c>
      <c r="AM738" t="str">
        <f t="shared" si="81"/>
        <v>Low Risk</v>
      </c>
      <c r="AN738" s="6">
        <f t="shared" si="82"/>
        <v>-0.72965550811729307</v>
      </c>
      <c r="AO738" s="7">
        <f t="shared" si="83"/>
        <v>143700</v>
      </c>
    </row>
    <row r="739" spans="1:41" x14ac:dyDescent="0.3">
      <c r="A739" t="s">
        <v>807</v>
      </c>
      <c r="B739">
        <v>36</v>
      </c>
      <c r="C739" t="s">
        <v>802</v>
      </c>
      <c r="D739" t="s">
        <v>47</v>
      </c>
      <c r="E739" t="s">
        <v>48</v>
      </c>
      <c r="F739">
        <v>318</v>
      </c>
      <c r="G739" t="s">
        <v>735</v>
      </c>
      <c r="H739">
        <v>9</v>
      </c>
      <c r="I739">
        <v>3</v>
      </c>
      <c r="J739" t="s">
        <v>58</v>
      </c>
      <c r="K739">
        <v>90</v>
      </c>
      <c r="L739">
        <v>4</v>
      </c>
      <c r="M739" t="s">
        <v>51</v>
      </c>
      <c r="N739">
        <v>2</v>
      </c>
      <c r="O739">
        <v>1</v>
      </c>
      <c r="P739" t="s">
        <v>67</v>
      </c>
      <c r="Q739">
        <v>3</v>
      </c>
      <c r="R739" t="s">
        <v>113</v>
      </c>
      <c r="S739">
        <v>12023</v>
      </c>
      <c r="T739" t="s">
        <v>54</v>
      </c>
      <c r="U739">
        <v>75.14</v>
      </c>
      <c r="V739">
        <v>0</v>
      </c>
      <c r="W739" t="s">
        <v>47</v>
      </c>
      <c r="X739">
        <v>17</v>
      </c>
      <c r="Y739">
        <v>3</v>
      </c>
      <c r="Z739">
        <v>1</v>
      </c>
      <c r="AA739">
        <v>1</v>
      </c>
      <c r="AB739">
        <v>2</v>
      </c>
      <c r="AC739">
        <v>0</v>
      </c>
      <c r="AD739">
        <v>2</v>
      </c>
      <c r="AE739">
        <v>1</v>
      </c>
      <c r="AF739">
        <v>0</v>
      </c>
      <c r="AG739">
        <v>0</v>
      </c>
      <c r="AH739">
        <v>0</v>
      </c>
      <c r="AI739">
        <f t="shared" si="77"/>
        <v>1</v>
      </c>
      <c r="AJ739" t="str">
        <f t="shared" si="78"/>
        <v>0-1 yr</v>
      </c>
      <c r="AK739" t="str">
        <f t="shared" si="79"/>
        <v>Recent</v>
      </c>
      <c r="AL739">
        <f t="shared" si="80"/>
        <v>2</v>
      </c>
      <c r="AM739" t="str">
        <f t="shared" si="81"/>
        <v>Medium Risk</v>
      </c>
      <c r="AN739" s="6">
        <f t="shared" si="82"/>
        <v>-0.75889433053758704</v>
      </c>
      <c r="AO739" s="7">
        <f t="shared" si="83"/>
        <v>144276</v>
      </c>
    </row>
    <row r="740" spans="1:41" x14ac:dyDescent="0.3">
      <c r="A740" t="s">
        <v>808</v>
      </c>
      <c r="B740">
        <v>36</v>
      </c>
      <c r="C740" t="s">
        <v>802</v>
      </c>
      <c r="D740" t="s">
        <v>55</v>
      </c>
      <c r="E740" t="s">
        <v>48</v>
      </c>
      <c r="F740">
        <v>132</v>
      </c>
      <c r="G740" t="s">
        <v>735</v>
      </c>
      <c r="H740">
        <v>6</v>
      </c>
      <c r="I740">
        <v>3</v>
      </c>
      <c r="J740" t="s">
        <v>50</v>
      </c>
      <c r="K740">
        <v>97</v>
      </c>
      <c r="L740">
        <v>2</v>
      </c>
      <c r="M740" t="s">
        <v>59</v>
      </c>
      <c r="N740">
        <v>4</v>
      </c>
      <c r="O740">
        <v>1</v>
      </c>
      <c r="P740" t="s">
        <v>52</v>
      </c>
      <c r="Q740">
        <v>4</v>
      </c>
      <c r="R740" t="s">
        <v>113</v>
      </c>
      <c r="S740">
        <v>22447</v>
      </c>
      <c r="T740" t="s">
        <v>54</v>
      </c>
      <c r="U740">
        <v>140.29</v>
      </c>
      <c r="V740">
        <v>3</v>
      </c>
      <c r="W740" t="s">
        <v>55</v>
      </c>
      <c r="X740">
        <v>12</v>
      </c>
      <c r="Y740">
        <v>3</v>
      </c>
      <c r="Z740">
        <v>2</v>
      </c>
      <c r="AA740">
        <v>0</v>
      </c>
      <c r="AB740">
        <v>5</v>
      </c>
      <c r="AC740">
        <v>3</v>
      </c>
      <c r="AD740">
        <v>3</v>
      </c>
      <c r="AE740">
        <v>1</v>
      </c>
      <c r="AF740">
        <v>0</v>
      </c>
      <c r="AG740">
        <v>0</v>
      </c>
      <c r="AH740">
        <v>0</v>
      </c>
      <c r="AI740">
        <f t="shared" si="77"/>
        <v>0</v>
      </c>
      <c r="AJ740" t="str">
        <f t="shared" si="78"/>
        <v>0-1 yr</v>
      </c>
      <c r="AK740" t="str">
        <f t="shared" si="79"/>
        <v>Recent</v>
      </c>
      <c r="AL740">
        <f t="shared" si="80"/>
        <v>0</v>
      </c>
      <c r="AM740" t="str">
        <f t="shared" si="81"/>
        <v>Minimal Risk</v>
      </c>
      <c r="AN740" s="6">
        <f t="shared" si="82"/>
        <v>-0.56599496776375291</v>
      </c>
      <c r="AO740" s="7">
        <f t="shared" si="83"/>
        <v>269364</v>
      </c>
    </row>
    <row r="741" spans="1:41" x14ac:dyDescent="0.3">
      <c r="A741" t="s">
        <v>809</v>
      </c>
      <c r="B741">
        <v>36</v>
      </c>
      <c r="C741" t="s">
        <v>802</v>
      </c>
      <c r="D741" t="s">
        <v>55</v>
      </c>
      <c r="E741" t="s">
        <v>62</v>
      </c>
      <c r="F741">
        <v>1467</v>
      </c>
      <c r="G741" t="s">
        <v>63</v>
      </c>
      <c r="H741">
        <v>11</v>
      </c>
      <c r="I741">
        <v>2</v>
      </c>
      <c r="J741" t="s">
        <v>77</v>
      </c>
      <c r="K741">
        <v>154</v>
      </c>
      <c r="L741">
        <v>2</v>
      </c>
      <c r="M741" t="s">
        <v>59</v>
      </c>
      <c r="N741">
        <v>3</v>
      </c>
      <c r="O741">
        <v>3</v>
      </c>
      <c r="P741" t="s">
        <v>145</v>
      </c>
      <c r="Q741">
        <v>4</v>
      </c>
      <c r="R741" t="s">
        <v>113</v>
      </c>
      <c r="S741">
        <v>91469</v>
      </c>
      <c r="T741" t="s">
        <v>70</v>
      </c>
      <c r="U741">
        <v>571.67999999999995</v>
      </c>
      <c r="V741">
        <v>0</v>
      </c>
      <c r="W741" t="s">
        <v>55</v>
      </c>
      <c r="X741">
        <v>14</v>
      </c>
      <c r="Y741">
        <v>3</v>
      </c>
      <c r="Z741">
        <v>3</v>
      </c>
      <c r="AA741">
        <v>1</v>
      </c>
      <c r="AB741">
        <v>10</v>
      </c>
      <c r="AC741">
        <v>6</v>
      </c>
      <c r="AD741">
        <v>3</v>
      </c>
      <c r="AE741">
        <v>9</v>
      </c>
      <c r="AF741">
        <v>7</v>
      </c>
      <c r="AG741">
        <v>2</v>
      </c>
      <c r="AH741">
        <v>8</v>
      </c>
      <c r="AI741">
        <f t="shared" si="77"/>
        <v>0</v>
      </c>
      <c r="AJ741" t="str">
        <f t="shared" si="78"/>
        <v>6-10 yrs</v>
      </c>
      <c r="AK741" t="str">
        <f t="shared" si="79"/>
        <v>Recent</v>
      </c>
      <c r="AL741">
        <f t="shared" si="80"/>
        <v>0</v>
      </c>
      <c r="AM741" t="str">
        <f t="shared" si="81"/>
        <v>Minimal Risk</v>
      </c>
      <c r="AN741" s="6">
        <f t="shared" si="82"/>
        <v>0.86450847307248679</v>
      </c>
      <c r="AO741" s="7">
        <f t="shared" si="83"/>
        <v>1097628</v>
      </c>
    </row>
    <row r="742" spans="1:41" x14ac:dyDescent="0.3">
      <c r="A742" t="s">
        <v>810</v>
      </c>
      <c r="B742">
        <v>36</v>
      </c>
      <c r="C742" t="s">
        <v>802</v>
      </c>
      <c r="D742" t="s">
        <v>55</v>
      </c>
      <c r="E742" t="s">
        <v>48</v>
      </c>
      <c r="F742">
        <v>922</v>
      </c>
      <c r="G742" t="s">
        <v>735</v>
      </c>
      <c r="H742">
        <v>3</v>
      </c>
      <c r="I742">
        <v>2</v>
      </c>
      <c r="J742" t="s">
        <v>50</v>
      </c>
      <c r="K742">
        <v>155</v>
      </c>
      <c r="L742">
        <v>1</v>
      </c>
      <c r="M742" t="s">
        <v>59</v>
      </c>
      <c r="N742">
        <v>3</v>
      </c>
      <c r="O742">
        <v>1</v>
      </c>
      <c r="P742" t="s">
        <v>52</v>
      </c>
      <c r="Q742">
        <v>4</v>
      </c>
      <c r="R742" t="s">
        <v>53</v>
      </c>
      <c r="S742">
        <v>24959</v>
      </c>
      <c r="T742" t="s">
        <v>54</v>
      </c>
      <c r="U742">
        <v>155.99</v>
      </c>
      <c r="V742">
        <v>5</v>
      </c>
      <c r="W742" t="s">
        <v>55</v>
      </c>
      <c r="X742">
        <v>22</v>
      </c>
      <c r="Y742">
        <v>4</v>
      </c>
      <c r="Z742">
        <v>1</v>
      </c>
      <c r="AA742">
        <v>1</v>
      </c>
      <c r="AB742">
        <v>7</v>
      </c>
      <c r="AC742">
        <v>2</v>
      </c>
      <c r="AD742">
        <v>3</v>
      </c>
      <c r="AE742">
        <v>1</v>
      </c>
      <c r="AF742">
        <v>0</v>
      </c>
      <c r="AG742">
        <v>0</v>
      </c>
      <c r="AH742">
        <v>0</v>
      </c>
      <c r="AI742">
        <f t="shared" si="77"/>
        <v>0</v>
      </c>
      <c r="AJ742" t="str">
        <f t="shared" si="78"/>
        <v>0-1 yr</v>
      </c>
      <c r="AK742" t="str">
        <f t="shared" si="79"/>
        <v>Recent</v>
      </c>
      <c r="AL742">
        <f t="shared" si="80"/>
        <v>0</v>
      </c>
      <c r="AM742" t="str">
        <f t="shared" si="81"/>
        <v>Minimal Risk</v>
      </c>
      <c r="AN742" s="6">
        <f t="shared" si="82"/>
        <v>-0.51742631088410518</v>
      </c>
      <c r="AO742" s="7">
        <f t="shared" si="83"/>
        <v>299508</v>
      </c>
    </row>
    <row r="743" spans="1:41" x14ac:dyDescent="0.3">
      <c r="A743" t="s">
        <v>811</v>
      </c>
      <c r="B743">
        <v>36</v>
      </c>
      <c r="C743" t="s">
        <v>802</v>
      </c>
      <c r="D743" t="s">
        <v>55</v>
      </c>
      <c r="E743" t="s">
        <v>48</v>
      </c>
      <c r="F743">
        <v>216</v>
      </c>
      <c r="G743" t="s">
        <v>735</v>
      </c>
      <c r="H743">
        <v>6</v>
      </c>
      <c r="I743">
        <v>2</v>
      </c>
      <c r="J743" t="s">
        <v>58</v>
      </c>
      <c r="K743">
        <v>178</v>
      </c>
      <c r="L743">
        <v>2</v>
      </c>
      <c r="M743" t="s">
        <v>51</v>
      </c>
      <c r="N743">
        <v>3</v>
      </c>
      <c r="O743">
        <v>2</v>
      </c>
      <c r="P743" t="s">
        <v>120</v>
      </c>
      <c r="Q743">
        <v>2</v>
      </c>
      <c r="R743" t="s">
        <v>53</v>
      </c>
      <c r="S743">
        <v>67203</v>
      </c>
      <c r="T743" t="s">
        <v>64</v>
      </c>
      <c r="U743">
        <v>420.02</v>
      </c>
      <c r="V743">
        <v>6</v>
      </c>
      <c r="W743" t="s">
        <v>55</v>
      </c>
      <c r="X743">
        <v>20</v>
      </c>
      <c r="Y743">
        <v>4</v>
      </c>
      <c r="Z743">
        <v>4</v>
      </c>
      <c r="AA743">
        <v>2</v>
      </c>
      <c r="AB743">
        <v>7</v>
      </c>
      <c r="AC743">
        <v>0</v>
      </c>
      <c r="AD743">
        <v>3</v>
      </c>
      <c r="AE743">
        <v>3</v>
      </c>
      <c r="AF743">
        <v>2</v>
      </c>
      <c r="AG743">
        <v>0</v>
      </c>
      <c r="AH743">
        <v>1</v>
      </c>
      <c r="AI743">
        <f t="shared" si="77"/>
        <v>0</v>
      </c>
      <c r="AJ743" t="str">
        <f t="shared" si="78"/>
        <v>2-3 yrs</v>
      </c>
      <c r="AK743" t="str">
        <f t="shared" si="79"/>
        <v>Recent</v>
      </c>
      <c r="AL743">
        <f t="shared" si="80"/>
        <v>1</v>
      </c>
      <c r="AM743" t="str">
        <f t="shared" si="81"/>
        <v>Low Risk</v>
      </c>
      <c r="AN743" s="6">
        <f t="shared" si="82"/>
        <v>0.51715748542743678</v>
      </c>
      <c r="AO743" s="7">
        <f t="shared" si="83"/>
        <v>806436</v>
      </c>
    </row>
    <row r="744" spans="1:41" x14ac:dyDescent="0.3">
      <c r="A744" t="s">
        <v>812</v>
      </c>
      <c r="B744">
        <v>36</v>
      </c>
      <c r="C744" t="s">
        <v>802</v>
      </c>
      <c r="D744" t="s">
        <v>55</v>
      </c>
      <c r="E744" t="s">
        <v>62</v>
      </c>
      <c r="F744">
        <v>1480</v>
      </c>
      <c r="G744" t="s">
        <v>735</v>
      </c>
      <c r="H744">
        <v>3</v>
      </c>
      <c r="I744">
        <v>2</v>
      </c>
      <c r="J744" t="s">
        <v>58</v>
      </c>
      <c r="K744">
        <v>238</v>
      </c>
      <c r="L744">
        <v>4</v>
      </c>
      <c r="M744" t="s">
        <v>51</v>
      </c>
      <c r="N744">
        <v>3</v>
      </c>
      <c r="O744">
        <v>1</v>
      </c>
      <c r="P744" t="s">
        <v>52</v>
      </c>
      <c r="Q744">
        <v>2</v>
      </c>
      <c r="R744" t="s">
        <v>53</v>
      </c>
      <c r="S744">
        <v>30703</v>
      </c>
      <c r="T744" t="s">
        <v>72</v>
      </c>
      <c r="U744">
        <v>191.89</v>
      </c>
      <c r="V744">
        <v>4</v>
      </c>
      <c r="W744" t="s">
        <v>55</v>
      </c>
      <c r="X744">
        <v>12</v>
      </c>
      <c r="Y744">
        <v>3</v>
      </c>
      <c r="Z744">
        <v>3</v>
      </c>
      <c r="AA744">
        <v>0</v>
      </c>
      <c r="AB744">
        <v>13</v>
      </c>
      <c r="AC744">
        <v>3</v>
      </c>
      <c r="AD744">
        <v>2</v>
      </c>
      <c r="AE744">
        <v>8</v>
      </c>
      <c r="AF744">
        <v>7</v>
      </c>
      <c r="AG744">
        <v>7</v>
      </c>
      <c r="AH744">
        <v>2</v>
      </c>
      <c r="AI744">
        <f t="shared" si="77"/>
        <v>0</v>
      </c>
      <c r="AJ744" t="str">
        <f t="shared" si="78"/>
        <v>6-10 yrs</v>
      </c>
      <c r="AK744" t="str">
        <f t="shared" si="79"/>
        <v>Overdue</v>
      </c>
      <c r="AL744">
        <f t="shared" si="80"/>
        <v>3</v>
      </c>
      <c r="AM744" t="str">
        <f t="shared" si="81"/>
        <v>High Risk</v>
      </c>
      <c r="AN744" s="6">
        <f t="shared" si="82"/>
        <v>-0.40636804451599345</v>
      </c>
      <c r="AO744" s="7">
        <f t="shared" si="83"/>
        <v>368436</v>
      </c>
    </row>
    <row r="745" spans="1:41" x14ac:dyDescent="0.3">
      <c r="A745" t="s">
        <v>813</v>
      </c>
      <c r="B745">
        <v>36</v>
      </c>
      <c r="C745" t="s">
        <v>802</v>
      </c>
      <c r="D745" t="s">
        <v>55</v>
      </c>
      <c r="E745" t="s">
        <v>62</v>
      </c>
      <c r="F745">
        <v>635</v>
      </c>
      <c r="G745" t="s">
        <v>735</v>
      </c>
      <c r="H745">
        <v>18</v>
      </c>
      <c r="I745">
        <v>1</v>
      </c>
      <c r="J745" t="s">
        <v>58</v>
      </c>
      <c r="K745">
        <v>286</v>
      </c>
      <c r="L745">
        <v>2</v>
      </c>
      <c r="M745" t="s">
        <v>59</v>
      </c>
      <c r="N745">
        <v>3</v>
      </c>
      <c r="O745">
        <v>1</v>
      </c>
      <c r="P745" t="s">
        <v>52</v>
      </c>
      <c r="Q745">
        <v>4</v>
      </c>
      <c r="R745" t="s">
        <v>53</v>
      </c>
      <c r="S745">
        <v>10337</v>
      </c>
      <c r="T745" t="s">
        <v>54</v>
      </c>
      <c r="U745">
        <v>64.61</v>
      </c>
      <c r="V745">
        <v>1</v>
      </c>
      <c r="W745" t="s">
        <v>55</v>
      </c>
      <c r="X745">
        <v>13</v>
      </c>
      <c r="Y745">
        <v>3</v>
      </c>
      <c r="Z745">
        <v>1</v>
      </c>
      <c r="AA745">
        <v>0</v>
      </c>
      <c r="AB745">
        <v>8</v>
      </c>
      <c r="AC745">
        <v>2</v>
      </c>
      <c r="AD745">
        <v>3</v>
      </c>
      <c r="AE745">
        <v>8</v>
      </c>
      <c r="AF745">
        <v>1</v>
      </c>
      <c r="AG745">
        <v>1</v>
      </c>
      <c r="AH745">
        <v>1</v>
      </c>
      <c r="AI745">
        <f t="shared" si="77"/>
        <v>0</v>
      </c>
      <c r="AJ745" t="str">
        <f t="shared" si="78"/>
        <v>6-10 yrs</v>
      </c>
      <c r="AK745" t="str">
        <f t="shared" si="79"/>
        <v>Recent</v>
      </c>
      <c r="AL745">
        <f t="shared" si="80"/>
        <v>0</v>
      </c>
      <c r="AM745" t="str">
        <f t="shared" si="81"/>
        <v>Minimal Risk</v>
      </c>
      <c r="AN745" s="6">
        <f t="shared" si="82"/>
        <v>-0.80013765678148141</v>
      </c>
      <c r="AO745" s="7">
        <f t="shared" si="83"/>
        <v>124044</v>
      </c>
    </row>
    <row r="746" spans="1:41" x14ac:dyDescent="0.3">
      <c r="A746" t="s">
        <v>814</v>
      </c>
      <c r="B746">
        <v>36</v>
      </c>
      <c r="C746" t="s">
        <v>802</v>
      </c>
      <c r="D746" t="s">
        <v>55</v>
      </c>
      <c r="E746" t="s">
        <v>48</v>
      </c>
      <c r="F746">
        <v>1396</v>
      </c>
      <c r="G746" t="s">
        <v>735</v>
      </c>
      <c r="H746">
        <v>5</v>
      </c>
      <c r="I746">
        <v>2</v>
      </c>
      <c r="J746" t="s">
        <v>50</v>
      </c>
      <c r="K746">
        <v>304</v>
      </c>
      <c r="L746">
        <v>4</v>
      </c>
      <c r="M746" t="s">
        <v>51</v>
      </c>
      <c r="N746">
        <v>3</v>
      </c>
      <c r="O746">
        <v>2</v>
      </c>
      <c r="P746" t="s">
        <v>52</v>
      </c>
      <c r="Q746">
        <v>2</v>
      </c>
      <c r="R746" t="s">
        <v>53</v>
      </c>
      <c r="S746">
        <v>47427</v>
      </c>
      <c r="T746" t="s">
        <v>72</v>
      </c>
      <c r="U746">
        <v>296.42</v>
      </c>
      <c r="V746">
        <v>8</v>
      </c>
      <c r="W746" t="s">
        <v>55</v>
      </c>
      <c r="X746">
        <v>16</v>
      </c>
      <c r="Y746">
        <v>3</v>
      </c>
      <c r="Z746">
        <v>4</v>
      </c>
      <c r="AA746">
        <v>0</v>
      </c>
      <c r="AB746">
        <v>16</v>
      </c>
      <c r="AC746">
        <v>3</v>
      </c>
      <c r="AD746">
        <v>4</v>
      </c>
      <c r="AE746">
        <v>13</v>
      </c>
      <c r="AF746">
        <v>11</v>
      </c>
      <c r="AG746">
        <v>3</v>
      </c>
      <c r="AH746">
        <v>7</v>
      </c>
      <c r="AI746">
        <f t="shared" si="77"/>
        <v>0</v>
      </c>
      <c r="AJ746" t="str">
        <f t="shared" si="78"/>
        <v>10+ yrs</v>
      </c>
      <c r="AK746" t="str">
        <f t="shared" si="79"/>
        <v>Overdue</v>
      </c>
      <c r="AL746">
        <f t="shared" si="80"/>
        <v>2</v>
      </c>
      <c r="AM746" t="str">
        <f t="shared" si="81"/>
        <v>Medium Risk</v>
      </c>
      <c r="AN746" s="6">
        <f t="shared" si="82"/>
        <v>-8.3015250863434226E-2</v>
      </c>
      <c r="AO746" s="7">
        <f t="shared" si="83"/>
        <v>569124</v>
      </c>
    </row>
    <row r="747" spans="1:41" x14ac:dyDescent="0.3">
      <c r="A747" t="s">
        <v>815</v>
      </c>
      <c r="B747">
        <v>36</v>
      </c>
      <c r="C747" t="s">
        <v>802</v>
      </c>
      <c r="D747" t="s">
        <v>55</v>
      </c>
      <c r="E747" t="s">
        <v>48</v>
      </c>
      <c r="F747">
        <v>1403</v>
      </c>
      <c r="G747" t="s">
        <v>735</v>
      </c>
      <c r="H747">
        <v>6</v>
      </c>
      <c r="I747">
        <v>3</v>
      </c>
      <c r="J747" t="s">
        <v>50</v>
      </c>
      <c r="K747">
        <v>373</v>
      </c>
      <c r="L747">
        <v>4</v>
      </c>
      <c r="M747" t="s">
        <v>51</v>
      </c>
      <c r="N747">
        <v>3</v>
      </c>
      <c r="O747">
        <v>1</v>
      </c>
      <c r="P747" t="s">
        <v>52</v>
      </c>
      <c r="Q747">
        <v>4</v>
      </c>
      <c r="R747" t="s">
        <v>113</v>
      </c>
      <c r="S747">
        <v>62529</v>
      </c>
      <c r="T747" t="s">
        <v>64</v>
      </c>
      <c r="U747">
        <v>390.81</v>
      </c>
      <c r="V747">
        <v>0</v>
      </c>
      <c r="W747" t="s">
        <v>55</v>
      </c>
      <c r="X747">
        <v>11</v>
      </c>
      <c r="Y747">
        <v>3</v>
      </c>
      <c r="Z747">
        <v>3</v>
      </c>
      <c r="AA747">
        <v>1</v>
      </c>
      <c r="AB747">
        <v>16</v>
      </c>
      <c r="AC747">
        <v>4</v>
      </c>
      <c r="AD747">
        <v>3</v>
      </c>
      <c r="AE747">
        <v>15</v>
      </c>
      <c r="AF747">
        <v>13</v>
      </c>
      <c r="AG747">
        <v>10</v>
      </c>
      <c r="AH747">
        <v>11</v>
      </c>
      <c r="AI747">
        <f t="shared" si="77"/>
        <v>0</v>
      </c>
      <c r="AJ747" t="str">
        <f t="shared" si="78"/>
        <v>10+ yrs</v>
      </c>
      <c r="AK747" t="str">
        <f t="shared" si="79"/>
        <v>Overdue</v>
      </c>
      <c r="AL747">
        <f t="shared" si="80"/>
        <v>1</v>
      </c>
      <c r="AM747" t="str">
        <f t="shared" si="81"/>
        <v>Low Risk</v>
      </c>
      <c r="AN747" s="6">
        <f t="shared" si="82"/>
        <v>0.20897673010648621</v>
      </c>
      <c r="AO747" s="7">
        <f t="shared" si="83"/>
        <v>750348</v>
      </c>
    </row>
    <row r="748" spans="1:41" x14ac:dyDescent="0.3">
      <c r="A748" t="s">
        <v>816</v>
      </c>
      <c r="B748">
        <v>36</v>
      </c>
      <c r="C748" t="s">
        <v>802</v>
      </c>
      <c r="D748" t="s">
        <v>55</v>
      </c>
      <c r="E748" t="s">
        <v>48</v>
      </c>
      <c r="F748">
        <v>506</v>
      </c>
      <c r="G748" t="s">
        <v>735</v>
      </c>
      <c r="H748">
        <v>3</v>
      </c>
      <c r="I748">
        <v>3</v>
      </c>
      <c r="J748" t="s">
        <v>77</v>
      </c>
      <c r="K748">
        <v>397</v>
      </c>
      <c r="L748">
        <v>3</v>
      </c>
      <c r="M748" t="s">
        <v>51</v>
      </c>
      <c r="N748">
        <v>3</v>
      </c>
      <c r="O748">
        <v>2</v>
      </c>
      <c r="P748" t="s">
        <v>67</v>
      </c>
      <c r="Q748">
        <v>2</v>
      </c>
      <c r="R748" t="s">
        <v>53</v>
      </c>
      <c r="S748">
        <v>85665</v>
      </c>
      <c r="T748" t="s">
        <v>70</v>
      </c>
      <c r="U748">
        <v>535.41</v>
      </c>
      <c r="V748">
        <v>4</v>
      </c>
      <c r="W748" t="s">
        <v>55</v>
      </c>
      <c r="X748">
        <v>12</v>
      </c>
      <c r="Y748">
        <v>3</v>
      </c>
      <c r="Z748">
        <v>4</v>
      </c>
      <c r="AA748">
        <v>0</v>
      </c>
      <c r="AB748">
        <v>10</v>
      </c>
      <c r="AC748">
        <v>2</v>
      </c>
      <c r="AD748">
        <v>3</v>
      </c>
      <c r="AE748">
        <v>8</v>
      </c>
      <c r="AF748">
        <v>0</v>
      </c>
      <c r="AG748">
        <v>7</v>
      </c>
      <c r="AH748">
        <v>7</v>
      </c>
      <c r="AI748">
        <f t="shared" si="77"/>
        <v>0</v>
      </c>
      <c r="AJ748" t="str">
        <f t="shared" si="78"/>
        <v>6-10 yrs</v>
      </c>
      <c r="AK748" t="str">
        <f t="shared" si="79"/>
        <v>Overdue</v>
      </c>
      <c r="AL748">
        <f t="shared" si="80"/>
        <v>2</v>
      </c>
      <c r="AM748" t="str">
        <f t="shared" si="81"/>
        <v>Medium Risk</v>
      </c>
      <c r="AN748" s="6">
        <f t="shared" si="82"/>
        <v>0.71790045533540736</v>
      </c>
      <c r="AO748" s="7">
        <f t="shared" si="83"/>
        <v>1027980</v>
      </c>
    </row>
    <row r="749" spans="1:41" x14ac:dyDescent="0.3">
      <c r="A749" t="s">
        <v>817</v>
      </c>
      <c r="B749">
        <v>36</v>
      </c>
      <c r="C749" t="s">
        <v>802</v>
      </c>
      <c r="D749" t="s">
        <v>55</v>
      </c>
      <c r="E749" t="s">
        <v>62</v>
      </c>
      <c r="F749">
        <v>566</v>
      </c>
      <c r="G749" t="s">
        <v>735</v>
      </c>
      <c r="H749">
        <v>18</v>
      </c>
      <c r="I749">
        <v>4</v>
      </c>
      <c r="J749" t="s">
        <v>50</v>
      </c>
      <c r="K749">
        <v>407</v>
      </c>
      <c r="L749">
        <v>3</v>
      </c>
      <c r="M749" t="s">
        <v>51</v>
      </c>
      <c r="N749">
        <v>4</v>
      </c>
      <c r="O749">
        <v>1</v>
      </c>
      <c r="P749" t="s">
        <v>52</v>
      </c>
      <c r="Q749">
        <v>4</v>
      </c>
      <c r="R749" t="s">
        <v>113</v>
      </c>
      <c r="S749">
        <v>32921</v>
      </c>
      <c r="T749" t="s">
        <v>72</v>
      </c>
      <c r="U749">
        <v>205.76</v>
      </c>
      <c r="V749">
        <v>4</v>
      </c>
      <c r="W749" t="s">
        <v>55</v>
      </c>
      <c r="X749">
        <v>18</v>
      </c>
      <c r="Y749">
        <v>3</v>
      </c>
      <c r="Z749">
        <v>4</v>
      </c>
      <c r="AA749">
        <v>2</v>
      </c>
      <c r="AB749">
        <v>4</v>
      </c>
      <c r="AC749">
        <v>2</v>
      </c>
      <c r="AD749">
        <v>3</v>
      </c>
      <c r="AE749">
        <v>1</v>
      </c>
      <c r="AF749">
        <v>0</v>
      </c>
      <c r="AG749">
        <v>0</v>
      </c>
      <c r="AH749">
        <v>0</v>
      </c>
      <c r="AI749">
        <f t="shared" si="77"/>
        <v>0</v>
      </c>
      <c r="AJ749" t="str">
        <f t="shared" si="78"/>
        <v>0-1 yr</v>
      </c>
      <c r="AK749" t="str">
        <f t="shared" si="79"/>
        <v>Recent</v>
      </c>
      <c r="AL749">
        <f t="shared" si="80"/>
        <v>0</v>
      </c>
      <c r="AM749" t="str">
        <f t="shared" si="81"/>
        <v>Minimal Risk</v>
      </c>
      <c r="AN749" s="6">
        <f t="shared" si="82"/>
        <v>-0.36348377661827902</v>
      </c>
      <c r="AO749" s="7">
        <f t="shared" si="83"/>
        <v>395052</v>
      </c>
    </row>
    <row r="750" spans="1:41" x14ac:dyDescent="0.3">
      <c r="A750" t="s">
        <v>818</v>
      </c>
      <c r="B750">
        <v>36</v>
      </c>
      <c r="C750" t="s">
        <v>802</v>
      </c>
      <c r="D750" t="s">
        <v>55</v>
      </c>
      <c r="E750" t="s">
        <v>66</v>
      </c>
      <c r="F750">
        <v>1105</v>
      </c>
      <c r="G750" t="s">
        <v>735</v>
      </c>
      <c r="H750">
        <v>24</v>
      </c>
      <c r="I750">
        <v>4</v>
      </c>
      <c r="J750" t="s">
        <v>50</v>
      </c>
      <c r="K750">
        <v>419</v>
      </c>
      <c r="L750">
        <v>2</v>
      </c>
      <c r="M750" t="s">
        <v>59</v>
      </c>
      <c r="N750">
        <v>3</v>
      </c>
      <c r="O750">
        <v>2</v>
      </c>
      <c r="P750" t="s">
        <v>52</v>
      </c>
      <c r="Q750">
        <v>2</v>
      </c>
      <c r="R750" t="s">
        <v>113</v>
      </c>
      <c r="S750">
        <v>34307</v>
      </c>
      <c r="T750" t="s">
        <v>72</v>
      </c>
      <c r="U750">
        <v>214.42</v>
      </c>
      <c r="V750">
        <v>7</v>
      </c>
      <c r="W750" t="s">
        <v>55</v>
      </c>
      <c r="X750">
        <v>15</v>
      </c>
      <c r="Y750">
        <v>3</v>
      </c>
      <c r="Z750">
        <v>3</v>
      </c>
      <c r="AA750">
        <v>1</v>
      </c>
      <c r="AB750">
        <v>11</v>
      </c>
      <c r="AC750">
        <v>3</v>
      </c>
      <c r="AD750">
        <v>3</v>
      </c>
      <c r="AE750">
        <v>9</v>
      </c>
      <c r="AF750">
        <v>8</v>
      </c>
      <c r="AG750">
        <v>0</v>
      </c>
      <c r="AH750">
        <v>8</v>
      </c>
      <c r="AI750">
        <f t="shared" si="77"/>
        <v>0</v>
      </c>
      <c r="AJ750" t="str">
        <f t="shared" si="78"/>
        <v>6-10 yrs</v>
      </c>
      <c r="AK750" t="str">
        <f t="shared" si="79"/>
        <v>Recent</v>
      </c>
      <c r="AL750">
        <f t="shared" si="80"/>
        <v>1</v>
      </c>
      <c r="AM750" t="str">
        <f t="shared" si="81"/>
        <v>Low Risk</v>
      </c>
      <c r="AN750" s="6">
        <f t="shared" si="82"/>
        <v>-0.33668594284630776</v>
      </c>
      <c r="AO750" s="7">
        <f t="shared" si="83"/>
        <v>411684</v>
      </c>
    </row>
    <row r="751" spans="1:41" x14ac:dyDescent="0.3">
      <c r="A751" t="s">
        <v>819</v>
      </c>
      <c r="B751">
        <v>36</v>
      </c>
      <c r="C751" t="s">
        <v>802</v>
      </c>
      <c r="D751" t="s">
        <v>55</v>
      </c>
      <c r="E751" t="s">
        <v>66</v>
      </c>
      <c r="F751">
        <v>845</v>
      </c>
      <c r="G751" t="s">
        <v>63</v>
      </c>
      <c r="H751">
        <v>1</v>
      </c>
      <c r="I751">
        <v>5</v>
      </c>
      <c r="J751" t="s">
        <v>58</v>
      </c>
      <c r="K751">
        <v>479</v>
      </c>
      <c r="L751">
        <v>4</v>
      </c>
      <c r="M751" t="s">
        <v>59</v>
      </c>
      <c r="N751">
        <v>3</v>
      </c>
      <c r="O751">
        <v>2</v>
      </c>
      <c r="P751" t="s">
        <v>145</v>
      </c>
      <c r="Q751">
        <v>4</v>
      </c>
      <c r="R751" t="s">
        <v>53</v>
      </c>
      <c r="S751">
        <v>28355</v>
      </c>
      <c r="T751" t="s">
        <v>72</v>
      </c>
      <c r="U751">
        <v>177.22</v>
      </c>
      <c r="V751">
        <v>4</v>
      </c>
      <c r="W751" t="s">
        <v>55</v>
      </c>
      <c r="X751">
        <v>15</v>
      </c>
      <c r="Y751">
        <v>3</v>
      </c>
      <c r="Z751">
        <v>2</v>
      </c>
      <c r="AA751">
        <v>0</v>
      </c>
      <c r="AB751">
        <v>7</v>
      </c>
      <c r="AC751">
        <v>6</v>
      </c>
      <c r="AD751">
        <v>3</v>
      </c>
      <c r="AE751">
        <v>1</v>
      </c>
      <c r="AF751">
        <v>0</v>
      </c>
      <c r="AG751">
        <v>0</v>
      </c>
      <c r="AH751">
        <v>0</v>
      </c>
      <c r="AI751">
        <f t="shared" si="77"/>
        <v>0</v>
      </c>
      <c r="AJ751" t="str">
        <f t="shared" si="78"/>
        <v>0-1 yr</v>
      </c>
      <c r="AK751" t="str">
        <f t="shared" si="79"/>
        <v>Recent</v>
      </c>
      <c r="AL751">
        <f t="shared" si="80"/>
        <v>0</v>
      </c>
      <c r="AM751" t="str">
        <f t="shared" si="81"/>
        <v>Minimal Risk</v>
      </c>
      <c r="AN751" s="6">
        <f t="shared" si="82"/>
        <v>-0.4220103231261918</v>
      </c>
      <c r="AO751" s="7">
        <f t="shared" si="83"/>
        <v>340260</v>
      </c>
    </row>
    <row r="752" spans="1:41" x14ac:dyDescent="0.3">
      <c r="A752" t="s">
        <v>820</v>
      </c>
      <c r="B752">
        <v>36</v>
      </c>
      <c r="C752" t="s">
        <v>802</v>
      </c>
      <c r="D752" t="s">
        <v>55</v>
      </c>
      <c r="E752" t="s">
        <v>62</v>
      </c>
      <c r="F752">
        <v>541</v>
      </c>
      <c r="G752" t="s">
        <v>63</v>
      </c>
      <c r="H752">
        <v>3</v>
      </c>
      <c r="I752">
        <v>4</v>
      </c>
      <c r="J752" t="s">
        <v>58</v>
      </c>
      <c r="K752">
        <v>481</v>
      </c>
      <c r="L752">
        <v>1</v>
      </c>
      <c r="M752" t="s">
        <v>51</v>
      </c>
      <c r="N752">
        <v>2</v>
      </c>
      <c r="O752">
        <v>3</v>
      </c>
      <c r="P752" t="s">
        <v>145</v>
      </c>
      <c r="Q752">
        <v>4</v>
      </c>
      <c r="R752" t="s">
        <v>113</v>
      </c>
      <c r="S752">
        <v>5835</v>
      </c>
      <c r="T752" t="s">
        <v>54</v>
      </c>
      <c r="U752">
        <v>36.47</v>
      </c>
      <c r="V752">
        <v>4</v>
      </c>
      <c r="W752" t="s">
        <v>55</v>
      </c>
      <c r="X752">
        <v>11</v>
      </c>
      <c r="Y752">
        <v>3</v>
      </c>
      <c r="Z752">
        <v>1</v>
      </c>
      <c r="AA752">
        <v>1</v>
      </c>
      <c r="AB752">
        <v>16</v>
      </c>
      <c r="AC752">
        <v>2</v>
      </c>
      <c r="AD752">
        <v>3</v>
      </c>
      <c r="AE752">
        <v>13</v>
      </c>
      <c r="AF752">
        <v>9</v>
      </c>
      <c r="AG752">
        <v>1</v>
      </c>
      <c r="AH752">
        <v>9</v>
      </c>
      <c r="AI752">
        <f t="shared" si="77"/>
        <v>0</v>
      </c>
      <c r="AJ752" t="str">
        <f t="shared" si="78"/>
        <v>10+ yrs</v>
      </c>
      <c r="AK752" t="str">
        <f t="shared" si="79"/>
        <v>Recent</v>
      </c>
      <c r="AL752">
        <f t="shared" si="80"/>
        <v>0</v>
      </c>
      <c r="AM752" t="str">
        <f t="shared" si="81"/>
        <v>Minimal Risk</v>
      </c>
      <c r="AN752" s="6">
        <f t="shared" si="82"/>
        <v>-0.88105908077733486</v>
      </c>
      <c r="AO752" s="7">
        <f t="shared" si="83"/>
        <v>70020</v>
      </c>
    </row>
    <row r="753" spans="1:41" x14ac:dyDescent="0.3">
      <c r="A753" t="s">
        <v>821</v>
      </c>
      <c r="B753">
        <v>36</v>
      </c>
      <c r="C753" t="s">
        <v>802</v>
      </c>
      <c r="D753" t="s">
        <v>55</v>
      </c>
      <c r="E753" t="s">
        <v>48</v>
      </c>
      <c r="F753">
        <v>329</v>
      </c>
      <c r="G753" t="s">
        <v>735</v>
      </c>
      <c r="H753">
        <v>2</v>
      </c>
      <c r="I753">
        <v>3</v>
      </c>
      <c r="J753" t="s">
        <v>50</v>
      </c>
      <c r="K753">
        <v>501</v>
      </c>
      <c r="L753">
        <v>4</v>
      </c>
      <c r="M753" t="s">
        <v>59</v>
      </c>
      <c r="N753">
        <v>3</v>
      </c>
      <c r="O753">
        <v>1</v>
      </c>
      <c r="P753" t="s">
        <v>67</v>
      </c>
      <c r="Q753">
        <v>3</v>
      </c>
      <c r="R753" t="s">
        <v>113</v>
      </c>
      <c r="S753">
        <v>21159</v>
      </c>
      <c r="T753" t="s">
        <v>54</v>
      </c>
      <c r="U753">
        <v>132.24</v>
      </c>
      <c r="V753">
        <v>4</v>
      </c>
      <c r="W753" t="s">
        <v>55</v>
      </c>
      <c r="X753">
        <v>13</v>
      </c>
      <c r="Y753">
        <v>3</v>
      </c>
      <c r="Z753">
        <v>2</v>
      </c>
      <c r="AA753">
        <v>1</v>
      </c>
      <c r="AB753">
        <v>6</v>
      </c>
      <c r="AC753">
        <v>3</v>
      </c>
      <c r="AD753">
        <v>3</v>
      </c>
      <c r="AE753">
        <v>2</v>
      </c>
      <c r="AF753">
        <v>2</v>
      </c>
      <c r="AG753">
        <v>2</v>
      </c>
      <c r="AH753">
        <v>2</v>
      </c>
      <c r="AI753">
        <f t="shared" si="77"/>
        <v>0</v>
      </c>
      <c r="AJ753" t="str">
        <f t="shared" si="78"/>
        <v>2-3 yrs</v>
      </c>
      <c r="AK753" t="str">
        <f t="shared" si="79"/>
        <v>Recent</v>
      </c>
      <c r="AL753">
        <f t="shared" si="80"/>
        <v>0</v>
      </c>
      <c r="AM753" t="str">
        <f t="shared" si="81"/>
        <v>Minimal Risk</v>
      </c>
      <c r="AN753" s="6">
        <f t="shared" si="82"/>
        <v>-0.57568370122638324</v>
      </c>
      <c r="AO753" s="7">
        <f t="shared" si="83"/>
        <v>253908</v>
      </c>
    </row>
    <row r="754" spans="1:41" x14ac:dyDescent="0.3">
      <c r="A754" t="s">
        <v>822</v>
      </c>
      <c r="B754">
        <v>36</v>
      </c>
      <c r="C754" t="s">
        <v>802</v>
      </c>
      <c r="D754" t="s">
        <v>55</v>
      </c>
      <c r="E754" t="s">
        <v>48</v>
      </c>
      <c r="F754">
        <v>164</v>
      </c>
      <c r="G754" t="s">
        <v>63</v>
      </c>
      <c r="H754">
        <v>2</v>
      </c>
      <c r="I754">
        <v>2</v>
      </c>
      <c r="J754" t="s">
        <v>58</v>
      </c>
      <c r="K754">
        <v>513</v>
      </c>
      <c r="L754">
        <v>2</v>
      </c>
      <c r="M754" t="s">
        <v>51</v>
      </c>
      <c r="N754">
        <v>2</v>
      </c>
      <c r="O754">
        <v>3</v>
      </c>
      <c r="P754" t="s">
        <v>145</v>
      </c>
      <c r="Q754">
        <v>3</v>
      </c>
      <c r="R754" t="s">
        <v>113</v>
      </c>
      <c r="S754">
        <v>48605</v>
      </c>
      <c r="T754" t="s">
        <v>72</v>
      </c>
      <c r="U754">
        <v>303.77999999999997</v>
      </c>
      <c r="V754">
        <v>1</v>
      </c>
      <c r="W754" t="s">
        <v>55</v>
      </c>
      <c r="X754">
        <v>13</v>
      </c>
      <c r="Y754">
        <v>3</v>
      </c>
      <c r="Z754">
        <v>2</v>
      </c>
      <c r="AA754">
        <v>2</v>
      </c>
      <c r="AB754">
        <v>10</v>
      </c>
      <c r="AC754">
        <v>2</v>
      </c>
      <c r="AD754">
        <v>3</v>
      </c>
      <c r="AE754">
        <v>10</v>
      </c>
      <c r="AF754">
        <v>9</v>
      </c>
      <c r="AG754">
        <v>9</v>
      </c>
      <c r="AH754">
        <v>0</v>
      </c>
      <c r="AI754">
        <f t="shared" si="77"/>
        <v>0</v>
      </c>
      <c r="AJ754" t="str">
        <f t="shared" si="78"/>
        <v>6-10 yrs</v>
      </c>
      <c r="AK754" t="str">
        <f t="shared" si="79"/>
        <v>Overdue</v>
      </c>
      <c r="AL754">
        <f t="shared" si="80"/>
        <v>1</v>
      </c>
      <c r="AM754" t="str">
        <f t="shared" si="81"/>
        <v>Low Risk</v>
      </c>
      <c r="AN754" s="6">
        <f t="shared" si="82"/>
        <v>-9.2333541015183207E-3</v>
      </c>
      <c r="AO754" s="7">
        <f t="shared" si="83"/>
        <v>583260</v>
      </c>
    </row>
    <row r="755" spans="1:41" x14ac:dyDescent="0.3">
      <c r="A755" t="s">
        <v>823</v>
      </c>
      <c r="B755">
        <v>36</v>
      </c>
      <c r="C755" t="s">
        <v>802</v>
      </c>
      <c r="D755" t="s">
        <v>55</v>
      </c>
      <c r="E755" t="s">
        <v>66</v>
      </c>
      <c r="F755">
        <v>635</v>
      </c>
      <c r="G755" t="s">
        <v>63</v>
      </c>
      <c r="H755">
        <v>10</v>
      </c>
      <c r="I755">
        <v>4</v>
      </c>
      <c r="J755" t="s">
        <v>58</v>
      </c>
      <c r="K755">
        <v>592</v>
      </c>
      <c r="L755">
        <v>2</v>
      </c>
      <c r="M755" t="s">
        <v>51</v>
      </c>
      <c r="N755">
        <v>3</v>
      </c>
      <c r="O755">
        <v>3</v>
      </c>
      <c r="P755" t="s">
        <v>145</v>
      </c>
      <c r="Q755">
        <v>4</v>
      </c>
      <c r="R755" t="s">
        <v>53</v>
      </c>
      <c r="S755">
        <v>39088</v>
      </c>
      <c r="T755" t="s">
        <v>72</v>
      </c>
      <c r="U755">
        <v>244.3</v>
      </c>
      <c r="V755">
        <v>1</v>
      </c>
      <c r="W755" t="s">
        <v>55</v>
      </c>
      <c r="X755">
        <v>14</v>
      </c>
      <c r="Y755">
        <v>3</v>
      </c>
      <c r="Z755">
        <v>4</v>
      </c>
      <c r="AA755">
        <v>0</v>
      </c>
      <c r="AB755">
        <v>10</v>
      </c>
      <c r="AC755">
        <v>3</v>
      </c>
      <c r="AD755">
        <v>2</v>
      </c>
      <c r="AE755">
        <v>10</v>
      </c>
      <c r="AF755">
        <v>3</v>
      </c>
      <c r="AG755">
        <v>9</v>
      </c>
      <c r="AH755">
        <v>7</v>
      </c>
      <c r="AI755">
        <f t="shared" si="77"/>
        <v>0</v>
      </c>
      <c r="AJ755" t="str">
        <f t="shared" si="78"/>
        <v>6-10 yrs</v>
      </c>
      <c r="AK755" t="str">
        <f t="shared" si="79"/>
        <v>Overdue</v>
      </c>
      <c r="AL755">
        <f t="shared" si="80"/>
        <v>2</v>
      </c>
      <c r="AM755" t="str">
        <f t="shared" si="81"/>
        <v>Medium Risk</v>
      </c>
      <c r="AN755" s="6">
        <f t="shared" si="82"/>
        <v>-0.20322833751918831</v>
      </c>
      <c r="AO755" s="7">
        <f t="shared" si="83"/>
        <v>469056</v>
      </c>
    </row>
    <row r="756" spans="1:41" x14ac:dyDescent="0.3">
      <c r="A756" t="s">
        <v>824</v>
      </c>
      <c r="B756">
        <v>36</v>
      </c>
      <c r="C756" t="s">
        <v>802</v>
      </c>
      <c r="D756" t="s">
        <v>55</v>
      </c>
      <c r="E756" t="s">
        <v>48</v>
      </c>
      <c r="F756">
        <v>913</v>
      </c>
      <c r="G756" t="s">
        <v>735</v>
      </c>
      <c r="H756">
        <v>9</v>
      </c>
      <c r="I756">
        <v>2</v>
      </c>
      <c r="J756" t="s">
        <v>58</v>
      </c>
      <c r="K756">
        <v>699</v>
      </c>
      <c r="L756">
        <v>2</v>
      </c>
      <c r="M756" t="s">
        <v>51</v>
      </c>
      <c r="N756">
        <v>2</v>
      </c>
      <c r="O756">
        <v>2</v>
      </c>
      <c r="P756" t="s">
        <v>120</v>
      </c>
      <c r="Q756">
        <v>2</v>
      </c>
      <c r="R756" t="s">
        <v>53</v>
      </c>
      <c r="S756">
        <v>79752</v>
      </c>
      <c r="T756" t="s">
        <v>64</v>
      </c>
      <c r="U756">
        <v>498.45</v>
      </c>
      <c r="V756">
        <v>2</v>
      </c>
      <c r="W756" t="s">
        <v>47</v>
      </c>
      <c r="X756">
        <v>11</v>
      </c>
      <c r="Y756">
        <v>3</v>
      </c>
      <c r="Z756">
        <v>3</v>
      </c>
      <c r="AA756">
        <v>1</v>
      </c>
      <c r="AB756">
        <v>13</v>
      </c>
      <c r="AC756">
        <v>2</v>
      </c>
      <c r="AD756">
        <v>3</v>
      </c>
      <c r="AE756">
        <v>3</v>
      </c>
      <c r="AF756">
        <v>2</v>
      </c>
      <c r="AG756">
        <v>0</v>
      </c>
      <c r="AH756">
        <v>2</v>
      </c>
      <c r="AI756">
        <f t="shared" si="77"/>
        <v>0</v>
      </c>
      <c r="AJ756" t="str">
        <f t="shared" si="78"/>
        <v>2-3 yrs</v>
      </c>
      <c r="AK756" t="str">
        <f t="shared" si="79"/>
        <v>Recent</v>
      </c>
      <c r="AL756">
        <f t="shared" si="80"/>
        <v>2</v>
      </c>
      <c r="AM756" t="str">
        <f t="shared" si="81"/>
        <v>Medium Risk</v>
      </c>
      <c r="AN756" s="6">
        <f t="shared" si="82"/>
        <v>0.8004604523281541</v>
      </c>
      <c r="AO756" s="7">
        <f t="shared" si="83"/>
        <v>957024</v>
      </c>
    </row>
    <row r="757" spans="1:41" x14ac:dyDescent="0.3">
      <c r="A757" t="s">
        <v>825</v>
      </c>
      <c r="B757">
        <v>36</v>
      </c>
      <c r="C757" t="s">
        <v>802</v>
      </c>
      <c r="D757" t="s">
        <v>55</v>
      </c>
      <c r="E757" t="s">
        <v>66</v>
      </c>
      <c r="F757">
        <v>427</v>
      </c>
      <c r="G757" t="s">
        <v>735</v>
      </c>
      <c r="H757">
        <v>8</v>
      </c>
      <c r="I757">
        <v>3</v>
      </c>
      <c r="J757" t="s">
        <v>50</v>
      </c>
      <c r="K757">
        <v>742</v>
      </c>
      <c r="L757">
        <v>1</v>
      </c>
      <c r="M757" t="s">
        <v>59</v>
      </c>
      <c r="N757">
        <v>4</v>
      </c>
      <c r="O757">
        <v>3</v>
      </c>
      <c r="P757" t="s">
        <v>257</v>
      </c>
      <c r="Q757">
        <v>1</v>
      </c>
      <c r="R757" t="s">
        <v>113</v>
      </c>
      <c r="S757">
        <v>56284</v>
      </c>
      <c r="T757" t="s">
        <v>64</v>
      </c>
      <c r="U757">
        <v>351.78</v>
      </c>
      <c r="V757">
        <v>9</v>
      </c>
      <c r="W757" t="s">
        <v>55</v>
      </c>
      <c r="X757">
        <v>14</v>
      </c>
      <c r="Y757">
        <v>3</v>
      </c>
      <c r="Z757">
        <v>1</v>
      </c>
      <c r="AA757">
        <v>1</v>
      </c>
      <c r="AB757">
        <v>10</v>
      </c>
      <c r="AC757">
        <v>2</v>
      </c>
      <c r="AD757">
        <v>3</v>
      </c>
      <c r="AE757">
        <v>8</v>
      </c>
      <c r="AF757">
        <v>7</v>
      </c>
      <c r="AG757">
        <v>0</v>
      </c>
      <c r="AH757">
        <v>5</v>
      </c>
      <c r="AI757">
        <f t="shared" si="77"/>
        <v>0</v>
      </c>
      <c r="AJ757" t="str">
        <f t="shared" si="78"/>
        <v>6-10 yrs</v>
      </c>
      <c r="AK757" t="str">
        <f t="shared" si="79"/>
        <v>Recent</v>
      </c>
      <c r="AL757">
        <f t="shared" si="80"/>
        <v>1</v>
      </c>
      <c r="AM757" t="str">
        <f t="shared" si="81"/>
        <v>Low Risk</v>
      </c>
      <c r="AN757" s="6">
        <f t="shared" si="82"/>
        <v>0.1109471740513185</v>
      </c>
      <c r="AO757" s="7">
        <f t="shared" si="83"/>
        <v>675408</v>
      </c>
    </row>
    <row r="758" spans="1:41" x14ac:dyDescent="0.3">
      <c r="A758" t="s">
        <v>826</v>
      </c>
      <c r="B758">
        <v>36</v>
      </c>
      <c r="C758" t="s">
        <v>802</v>
      </c>
      <c r="D758" t="s">
        <v>55</v>
      </c>
      <c r="E758" t="s">
        <v>66</v>
      </c>
      <c r="F758">
        <v>1434</v>
      </c>
      <c r="G758" t="s">
        <v>63</v>
      </c>
      <c r="H758">
        <v>8</v>
      </c>
      <c r="I758">
        <v>4</v>
      </c>
      <c r="J758" t="s">
        <v>50</v>
      </c>
      <c r="K758">
        <v>789</v>
      </c>
      <c r="L758">
        <v>1</v>
      </c>
      <c r="M758" t="s">
        <v>51</v>
      </c>
      <c r="N758">
        <v>2</v>
      </c>
      <c r="O758">
        <v>3</v>
      </c>
      <c r="P758" t="s">
        <v>145</v>
      </c>
      <c r="Q758">
        <v>1</v>
      </c>
      <c r="R758" t="s">
        <v>53</v>
      </c>
      <c r="S758">
        <v>58043</v>
      </c>
      <c r="T758" t="s">
        <v>64</v>
      </c>
      <c r="U758">
        <v>362.77</v>
      </c>
      <c r="V758">
        <v>1</v>
      </c>
      <c r="W758" t="s">
        <v>55</v>
      </c>
      <c r="X758">
        <v>15</v>
      </c>
      <c r="Y758">
        <v>3</v>
      </c>
      <c r="Z758">
        <v>2</v>
      </c>
      <c r="AA758">
        <v>0</v>
      </c>
      <c r="AB758">
        <v>10</v>
      </c>
      <c r="AC758">
        <v>1</v>
      </c>
      <c r="AD758">
        <v>3</v>
      </c>
      <c r="AE758">
        <v>10</v>
      </c>
      <c r="AF758">
        <v>7</v>
      </c>
      <c r="AG758">
        <v>0</v>
      </c>
      <c r="AH758">
        <v>9</v>
      </c>
      <c r="AI758">
        <f t="shared" si="77"/>
        <v>0</v>
      </c>
      <c r="AJ758" t="str">
        <f t="shared" si="78"/>
        <v>6-10 yrs</v>
      </c>
      <c r="AK758" t="str">
        <f t="shared" si="79"/>
        <v>Recent</v>
      </c>
      <c r="AL758">
        <f t="shared" si="80"/>
        <v>1</v>
      </c>
      <c r="AM758" t="str">
        <f t="shared" si="81"/>
        <v>Low Risk</v>
      </c>
      <c r="AN758" s="6">
        <f t="shared" si="82"/>
        <v>0.18315128953575913</v>
      </c>
      <c r="AO758" s="7">
        <f t="shared" si="83"/>
        <v>696516</v>
      </c>
    </row>
    <row r="759" spans="1:41" x14ac:dyDescent="0.3">
      <c r="A759" t="s">
        <v>827</v>
      </c>
      <c r="B759">
        <v>36</v>
      </c>
      <c r="C759" t="s">
        <v>802</v>
      </c>
      <c r="D759" t="s">
        <v>55</v>
      </c>
      <c r="E759" t="s">
        <v>48</v>
      </c>
      <c r="F759">
        <v>676</v>
      </c>
      <c r="G759" t="s">
        <v>735</v>
      </c>
      <c r="H759">
        <v>1</v>
      </c>
      <c r="I759">
        <v>3</v>
      </c>
      <c r="J759" t="s">
        <v>82</v>
      </c>
      <c r="K759">
        <v>823</v>
      </c>
      <c r="L759">
        <v>3</v>
      </c>
      <c r="M759" t="s">
        <v>59</v>
      </c>
      <c r="N759">
        <v>3</v>
      </c>
      <c r="O759">
        <v>2</v>
      </c>
      <c r="P759" t="s">
        <v>120</v>
      </c>
      <c r="Q759">
        <v>2</v>
      </c>
      <c r="R759" t="s">
        <v>113</v>
      </c>
      <c r="S759">
        <v>36547</v>
      </c>
      <c r="T759" t="s">
        <v>72</v>
      </c>
      <c r="U759">
        <v>228.42</v>
      </c>
      <c r="V759">
        <v>0</v>
      </c>
      <c r="W759" t="s">
        <v>55</v>
      </c>
      <c r="X759">
        <v>15</v>
      </c>
      <c r="Y759">
        <v>3</v>
      </c>
      <c r="Z759">
        <v>1</v>
      </c>
      <c r="AA759">
        <v>1</v>
      </c>
      <c r="AB759">
        <v>10</v>
      </c>
      <c r="AC759">
        <v>2</v>
      </c>
      <c r="AD759">
        <v>3</v>
      </c>
      <c r="AE759">
        <v>9</v>
      </c>
      <c r="AF759">
        <v>7</v>
      </c>
      <c r="AG759">
        <v>0</v>
      </c>
      <c r="AH759">
        <v>5</v>
      </c>
      <c r="AI759">
        <f t="shared" si="77"/>
        <v>0</v>
      </c>
      <c r="AJ759" t="str">
        <f t="shared" si="78"/>
        <v>6-10 yrs</v>
      </c>
      <c r="AK759" t="str">
        <f t="shared" si="79"/>
        <v>Recent</v>
      </c>
      <c r="AL759">
        <f t="shared" si="80"/>
        <v>1</v>
      </c>
      <c r="AM759" t="str">
        <f t="shared" si="81"/>
        <v>Low Risk</v>
      </c>
      <c r="AN759" s="6">
        <f t="shared" si="82"/>
        <v>-0.17492441379229304</v>
      </c>
      <c r="AO759" s="7">
        <f t="shared" si="83"/>
        <v>438564</v>
      </c>
    </row>
    <row r="760" spans="1:41" x14ac:dyDescent="0.3">
      <c r="A760" t="s">
        <v>828</v>
      </c>
      <c r="B760">
        <v>36</v>
      </c>
      <c r="C760" t="s">
        <v>802</v>
      </c>
      <c r="D760" t="s">
        <v>55</v>
      </c>
      <c r="E760" t="s">
        <v>48</v>
      </c>
      <c r="F760">
        <v>1041</v>
      </c>
      <c r="G760" t="s">
        <v>406</v>
      </c>
      <c r="H760">
        <v>13</v>
      </c>
      <c r="I760">
        <v>3</v>
      </c>
      <c r="J760" t="s">
        <v>80</v>
      </c>
      <c r="K760">
        <v>829</v>
      </c>
      <c r="L760">
        <v>3</v>
      </c>
      <c r="M760" t="s">
        <v>51</v>
      </c>
      <c r="N760">
        <v>3</v>
      </c>
      <c r="O760">
        <v>1</v>
      </c>
      <c r="P760" t="s">
        <v>80</v>
      </c>
      <c r="Q760">
        <v>2</v>
      </c>
      <c r="R760" t="s">
        <v>113</v>
      </c>
      <c r="S760">
        <v>98007</v>
      </c>
      <c r="T760" t="s">
        <v>70</v>
      </c>
      <c r="U760">
        <v>612.54</v>
      </c>
      <c r="V760">
        <v>4</v>
      </c>
      <c r="W760" t="s">
        <v>55</v>
      </c>
      <c r="X760">
        <v>13</v>
      </c>
      <c r="Y760">
        <v>3</v>
      </c>
      <c r="Z760">
        <v>2</v>
      </c>
      <c r="AA760">
        <v>1</v>
      </c>
      <c r="AB760">
        <v>8</v>
      </c>
      <c r="AC760">
        <v>2</v>
      </c>
      <c r="AD760">
        <v>3</v>
      </c>
      <c r="AE760">
        <v>5</v>
      </c>
      <c r="AF760">
        <v>2</v>
      </c>
      <c r="AG760">
        <v>0</v>
      </c>
      <c r="AH760">
        <v>4</v>
      </c>
      <c r="AI760">
        <f t="shared" si="77"/>
        <v>0</v>
      </c>
      <c r="AJ760" t="str">
        <f t="shared" si="78"/>
        <v>4-5 yrs</v>
      </c>
      <c r="AK760" t="str">
        <f t="shared" si="79"/>
        <v>Recent</v>
      </c>
      <c r="AL760">
        <f t="shared" si="80"/>
        <v>1</v>
      </c>
      <c r="AM760" t="str">
        <f t="shared" si="81"/>
        <v>Low Risk</v>
      </c>
      <c r="AN760" s="6">
        <f t="shared" si="82"/>
        <v>0.93139929283091238</v>
      </c>
      <c r="AO760" s="7">
        <f t="shared" si="83"/>
        <v>1176084</v>
      </c>
    </row>
    <row r="761" spans="1:41" x14ac:dyDescent="0.3">
      <c r="A761" t="s">
        <v>829</v>
      </c>
      <c r="B761">
        <v>36</v>
      </c>
      <c r="C761" t="s">
        <v>802</v>
      </c>
      <c r="D761" t="s">
        <v>55</v>
      </c>
      <c r="E761" t="s">
        <v>48</v>
      </c>
      <c r="F761">
        <v>928</v>
      </c>
      <c r="G761" t="s">
        <v>63</v>
      </c>
      <c r="H761">
        <v>1</v>
      </c>
      <c r="I761">
        <v>2</v>
      </c>
      <c r="J761" t="s">
        <v>50</v>
      </c>
      <c r="K761">
        <v>857</v>
      </c>
      <c r="L761">
        <v>2</v>
      </c>
      <c r="M761" t="s">
        <v>51</v>
      </c>
      <c r="N761">
        <v>3</v>
      </c>
      <c r="O761">
        <v>2</v>
      </c>
      <c r="P761" t="s">
        <v>145</v>
      </c>
      <c r="Q761">
        <v>4</v>
      </c>
      <c r="R761" t="s">
        <v>113</v>
      </c>
      <c r="S761">
        <v>83844</v>
      </c>
      <c r="T761" t="s">
        <v>70</v>
      </c>
      <c r="U761">
        <v>524.02</v>
      </c>
      <c r="V761">
        <v>1</v>
      </c>
      <c r="W761" t="s">
        <v>47</v>
      </c>
      <c r="X761">
        <v>14</v>
      </c>
      <c r="Y761">
        <v>3</v>
      </c>
      <c r="Z761">
        <v>4</v>
      </c>
      <c r="AA761">
        <v>1</v>
      </c>
      <c r="AB761">
        <v>18</v>
      </c>
      <c r="AC761">
        <v>1</v>
      </c>
      <c r="AD761">
        <v>2</v>
      </c>
      <c r="AE761">
        <v>18</v>
      </c>
      <c r="AF761">
        <v>14</v>
      </c>
      <c r="AG761">
        <v>4</v>
      </c>
      <c r="AH761">
        <v>11</v>
      </c>
      <c r="AI761">
        <f t="shared" si="77"/>
        <v>0</v>
      </c>
      <c r="AJ761" t="str">
        <f t="shared" si="78"/>
        <v>10+ yrs</v>
      </c>
      <c r="AK761" t="str">
        <f t="shared" si="79"/>
        <v>Overdue</v>
      </c>
      <c r="AL761">
        <f t="shared" si="80"/>
        <v>3</v>
      </c>
      <c r="AM761" t="str">
        <f t="shared" si="81"/>
        <v>High Risk</v>
      </c>
      <c r="AN761" s="6">
        <f t="shared" si="82"/>
        <v>0.70908010819282585</v>
      </c>
      <c r="AO761" s="7">
        <f t="shared" si="83"/>
        <v>1006128</v>
      </c>
    </row>
    <row r="762" spans="1:41" x14ac:dyDescent="0.3">
      <c r="A762" t="s">
        <v>830</v>
      </c>
      <c r="B762">
        <v>36</v>
      </c>
      <c r="C762" t="s">
        <v>802</v>
      </c>
      <c r="D762" t="s">
        <v>55</v>
      </c>
      <c r="E762" t="s">
        <v>48</v>
      </c>
      <c r="F762">
        <v>1278</v>
      </c>
      <c r="G762" t="s">
        <v>406</v>
      </c>
      <c r="H762">
        <v>8</v>
      </c>
      <c r="I762">
        <v>3</v>
      </c>
      <c r="J762" t="s">
        <v>50</v>
      </c>
      <c r="K762">
        <v>878</v>
      </c>
      <c r="L762">
        <v>1</v>
      </c>
      <c r="M762" t="s">
        <v>51</v>
      </c>
      <c r="N762">
        <v>2</v>
      </c>
      <c r="O762">
        <v>1</v>
      </c>
      <c r="P762" t="s">
        <v>80</v>
      </c>
      <c r="Q762">
        <v>1</v>
      </c>
      <c r="R762" t="s">
        <v>113</v>
      </c>
      <c r="S762">
        <v>28532</v>
      </c>
      <c r="T762" t="s">
        <v>72</v>
      </c>
      <c r="U762">
        <v>178.32</v>
      </c>
      <c r="V762">
        <v>0</v>
      </c>
      <c r="W762" t="s">
        <v>55</v>
      </c>
      <c r="X762">
        <v>21</v>
      </c>
      <c r="Y762">
        <v>4</v>
      </c>
      <c r="Z762">
        <v>3</v>
      </c>
      <c r="AA762">
        <v>0</v>
      </c>
      <c r="AB762">
        <v>6</v>
      </c>
      <c r="AC762">
        <v>3</v>
      </c>
      <c r="AD762">
        <v>3</v>
      </c>
      <c r="AE762">
        <v>5</v>
      </c>
      <c r="AF762">
        <v>4</v>
      </c>
      <c r="AG762">
        <v>0</v>
      </c>
      <c r="AH762">
        <v>3</v>
      </c>
      <c r="AI762">
        <f t="shared" si="77"/>
        <v>0</v>
      </c>
      <c r="AJ762" t="str">
        <f t="shared" si="78"/>
        <v>4-5 yrs</v>
      </c>
      <c r="AK762" t="str">
        <f t="shared" si="79"/>
        <v>Recent</v>
      </c>
      <c r="AL762">
        <f t="shared" si="80"/>
        <v>1</v>
      </c>
      <c r="AM762" t="str">
        <f t="shared" si="81"/>
        <v>Low Risk</v>
      </c>
      <c r="AN762" s="6">
        <f t="shared" si="82"/>
        <v>-0.43772705395480332</v>
      </c>
      <c r="AO762" s="7">
        <f t="shared" si="83"/>
        <v>342384</v>
      </c>
    </row>
    <row r="763" spans="1:41" x14ac:dyDescent="0.3">
      <c r="A763" t="s">
        <v>831</v>
      </c>
      <c r="B763">
        <v>36</v>
      </c>
      <c r="C763" t="s">
        <v>802</v>
      </c>
      <c r="D763" t="s">
        <v>55</v>
      </c>
      <c r="E763" t="s">
        <v>48</v>
      </c>
      <c r="F763">
        <v>1425</v>
      </c>
      <c r="G763" t="s">
        <v>735</v>
      </c>
      <c r="H763">
        <v>14</v>
      </c>
      <c r="I763">
        <v>1</v>
      </c>
      <c r="J763" t="s">
        <v>50</v>
      </c>
      <c r="K763">
        <v>924</v>
      </c>
      <c r="L763">
        <v>3</v>
      </c>
      <c r="M763" t="s">
        <v>51</v>
      </c>
      <c r="N763">
        <v>3</v>
      </c>
      <c r="O763">
        <v>2</v>
      </c>
      <c r="P763" t="s">
        <v>168</v>
      </c>
      <c r="Q763">
        <v>4</v>
      </c>
      <c r="R763" t="s">
        <v>113</v>
      </c>
      <c r="S763">
        <v>35349</v>
      </c>
      <c r="T763" t="s">
        <v>72</v>
      </c>
      <c r="U763">
        <v>220.93</v>
      </c>
      <c r="V763">
        <v>0</v>
      </c>
      <c r="W763" t="s">
        <v>47</v>
      </c>
      <c r="X763">
        <v>17</v>
      </c>
      <c r="Y763">
        <v>3</v>
      </c>
      <c r="Z763">
        <v>1</v>
      </c>
      <c r="AA763">
        <v>1</v>
      </c>
      <c r="AB763">
        <v>17</v>
      </c>
      <c r="AC763">
        <v>2</v>
      </c>
      <c r="AD763">
        <v>2</v>
      </c>
      <c r="AE763">
        <v>16</v>
      </c>
      <c r="AF763">
        <v>8</v>
      </c>
      <c r="AG763">
        <v>4</v>
      </c>
      <c r="AH763">
        <v>11</v>
      </c>
      <c r="AI763">
        <f t="shared" si="77"/>
        <v>0</v>
      </c>
      <c r="AJ763" t="str">
        <f t="shared" si="78"/>
        <v>10+ yrs</v>
      </c>
      <c r="AK763" t="str">
        <f t="shared" si="79"/>
        <v>Overdue</v>
      </c>
      <c r="AL763">
        <f t="shared" si="80"/>
        <v>3</v>
      </c>
      <c r="AM763" t="str">
        <f t="shared" si="81"/>
        <v>High Risk</v>
      </c>
      <c r="AN763" s="6">
        <f t="shared" si="82"/>
        <v>-0.26645302439197921</v>
      </c>
      <c r="AO763" s="7">
        <f t="shared" si="83"/>
        <v>424188</v>
      </c>
    </row>
    <row r="764" spans="1:41" x14ac:dyDescent="0.3">
      <c r="A764" t="s">
        <v>832</v>
      </c>
      <c r="B764">
        <v>36</v>
      </c>
      <c r="C764" t="s">
        <v>802</v>
      </c>
      <c r="D764" t="s">
        <v>55</v>
      </c>
      <c r="E764" t="s">
        <v>48</v>
      </c>
      <c r="F764">
        <v>188</v>
      </c>
      <c r="G764" t="s">
        <v>735</v>
      </c>
      <c r="H764">
        <v>7</v>
      </c>
      <c r="I764">
        <v>4</v>
      </c>
      <c r="J764" t="s">
        <v>82</v>
      </c>
      <c r="K764">
        <v>949</v>
      </c>
      <c r="L764">
        <v>2</v>
      </c>
      <c r="M764" t="s">
        <v>51</v>
      </c>
      <c r="N764">
        <v>3</v>
      </c>
      <c r="O764">
        <v>1</v>
      </c>
      <c r="P764" t="s">
        <v>67</v>
      </c>
      <c r="Q764">
        <v>4</v>
      </c>
      <c r="R764" t="s">
        <v>53</v>
      </c>
      <c r="S764">
        <v>46445</v>
      </c>
      <c r="T764" t="s">
        <v>72</v>
      </c>
      <c r="U764">
        <v>290.27999999999997</v>
      </c>
      <c r="V764">
        <v>2</v>
      </c>
      <c r="W764" t="s">
        <v>55</v>
      </c>
      <c r="X764">
        <v>18</v>
      </c>
      <c r="Y764">
        <v>3</v>
      </c>
      <c r="Z764">
        <v>3</v>
      </c>
      <c r="AA764">
        <v>0</v>
      </c>
      <c r="AB764">
        <v>8</v>
      </c>
      <c r="AC764">
        <v>6</v>
      </c>
      <c r="AD764">
        <v>3</v>
      </c>
      <c r="AE764">
        <v>6</v>
      </c>
      <c r="AF764">
        <v>2</v>
      </c>
      <c r="AG764">
        <v>0</v>
      </c>
      <c r="AH764">
        <v>1</v>
      </c>
      <c r="AI764">
        <f t="shared" si="77"/>
        <v>0</v>
      </c>
      <c r="AJ764" t="str">
        <f t="shared" si="78"/>
        <v>6-10 yrs</v>
      </c>
      <c r="AK764" t="str">
        <f t="shared" si="79"/>
        <v>Recent</v>
      </c>
      <c r="AL764">
        <f t="shared" si="80"/>
        <v>0</v>
      </c>
      <c r="AM764" t="str">
        <f t="shared" si="81"/>
        <v>Minimal Risk</v>
      </c>
      <c r="AN764" s="6">
        <f t="shared" si="82"/>
        <v>-6.8605770757567325E-2</v>
      </c>
      <c r="AO764" s="7">
        <f t="shared" si="83"/>
        <v>557340</v>
      </c>
    </row>
    <row r="765" spans="1:41" x14ac:dyDescent="0.3">
      <c r="A765" t="s">
        <v>833</v>
      </c>
      <c r="B765">
        <v>36</v>
      </c>
      <c r="C765" t="s">
        <v>802</v>
      </c>
      <c r="D765" t="s">
        <v>55</v>
      </c>
      <c r="E765" t="s">
        <v>48</v>
      </c>
      <c r="F765">
        <v>938</v>
      </c>
      <c r="G765" t="s">
        <v>735</v>
      </c>
      <c r="H765">
        <v>2</v>
      </c>
      <c r="I765">
        <v>4</v>
      </c>
      <c r="J765" t="s">
        <v>58</v>
      </c>
      <c r="K765">
        <v>958</v>
      </c>
      <c r="L765">
        <v>3</v>
      </c>
      <c r="M765" t="s">
        <v>51</v>
      </c>
      <c r="N765">
        <v>3</v>
      </c>
      <c r="O765">
        <v>1</v>
      </c>
      <c r="P765" t="s">
        <v>52</v>
      </c>
      <c r="Q765">
        <v>3</v>
      </c>
      <c r="R765" t="s">
        <v>53</v>
      </c>
      <c r="S765">
        <v>6713</v>
      </c>
      <c r="T765" t="s">
        <v>54</v>
      </c>
      <c r="U765">
        <v>41.96</v>
      </c>
      <c r="V765">
        <v>4</v>
      </c>
      <c r="W765" t="s">
        <v>55</v>
      </c>
      <c r="X765">
        <v>21</v>
      </c>
      <c r="Y765">
        <v>4</v>
      </c>
      <c r="Z765">
        <v>3</v>
      </c>
      <c r="AA765">
        <v>0</v>
      </c>
      <c r="AB765">
        <v>16</v>
      </c>
      <c r="AC765">
        <v>6</v>
      </c>
      <c r="AD765">
        <v>3</v>
      </c>
      <c r="AE765">
        <v>11</v>
      </c>
      <c r="AF765">
        <v>8</v>
      </c>
      <c r="AG765">
        <v>3</v>
      </c>
      <c r="AH765">
        <v>9</v>
      </c>
      <c r="AI765">
        <f t="shared" si="77"/>
        <v>0</v>
      </c>
      <c r="AJ765" t="str">
        <f t="shared" si="78"/>
        <v>10+ yrs</v>
      </c>
      <c r="AK765" t="str">
        <f t="shared" si="79"/>
        <v>Overdue</v>
      </c>
      <c r="AL765">
        <f t="shared" si="80"/>
        <v>1</v>
      </c>
      <c r="AM765" t="str">
        <f t="shared" si="81"/>
        <v>Low Risk</v>
      </c>
      <c r="AN765" s="6">
        <f t="shared" si="82"/>
        <v>-0.87020645157918974</v>
      </c>
      <c r="AO765" s="7">
        <f t="shared" si="83"/>
        <v>80556</v>
      </c>
    </row>
    <row r="766" spans="1:41" x14ac:dyDescent="0.3">
      <c r="A766" t="s">
        <v>834</v>
      </c>
      <c r="B766">
        <v>36</v>
      </c>
      <c r="C766" t="s">
        <v>802</v>
      </c>
      <c r="D766" t="s">
        <v>47</v>
      </c>
      <c r="E766" t="s">
        <v>48</v>
      </c>
      <c r="F766">
        <v>530</v>
      </c>
      <c r="G766" t="s">
        <v>63</v>
      </c>
      <c r="H766">
        <v>3</v>
      </c>
      <c r="I766">
        <v>1</v>
      </c>
      <c r="J766" t="s">
        <v>50</v>
      </c>
      <c r="K766">
        <v>967</v>
      </c>
      <c r="L766">
        <v>3</v>
      </c>
      <c r="M766" t="s">
        <v>51</v>
      </c>
      <c r="N766">
        <v>2</v>
      </c>
      <c r="O766">
        <v>3</v>
      </c>
      <c r="P766" t="s">
        <v>145</v>
      </c>
      <c r="Q766">
        <v>4</v>
      </c>
      <c r="R766" t="s">
        <v>113</v>
      </c>
      <c r="S766">
        <v>57178</v>
      </c>
      <c r="T766" t="s">
        <v>64</v>
      </c>
      <c r="U766">
        <v>357.36</v>
      </c>
      <c r="V766">
        <v>1</v>
      </c>
      <c r="W766" t="s">
        <v>47</v>
      </c>
      <c r="X766">
        <v>11</v>
      </c>
      <c r="Y766">
        <v>3</v>
      </c>
      <c r="Z766">
        <v>1</v>
      </c>
      <c r="AA766">
        <v>1</v>
      </c>
      <c r="AB766">
        <v>16</v>
      </c>
      <c r="AC766">
        <v>6</v>
      </c>
      <c r="AD766">
        <v>3</v>
      </c>
      <c r="AE766">
        <v>16</v>
      </c>
      <c r="AF766">
        <v>7</v>
      </c>
      <c r="AG766">
        <v>3</v>
      </c>
      <c r="AH766">
        <v>7</v>
      </c>
      <c r="AI766">
        <f t="shared" si="77"/>
        <v>1</v>
      </c>
      <c r="AJ766" t="str">
        <f t="shared" si="78"/>
        <v>10+ yrs</v>
      </c>
      <c r="AK766" t="str">
        <f t="shared" si="79"/>
        <v>Overdue</v>
      </c>
      <c r="AL766">
        <f t="shared" si="80"/>
        <v>2</v>
      </c>
      <c r="AM766" t="str">
        <f t="shared" si="81"/>
        <v>Medium Risk</v>
      </c>
      <c r="AN766" s="6">
        <f t="shared" si="82"/>
        <v>0.16551908814285332</v>
      </c>
      <c r="AO766" s="7">
        <f t="shared" si="83"/>
        <v>686136</v>
      </c>
    </row>
    <row r="767" spans="1:41" x14ac:dyDescent="0.3">
      <c r="A767" t="s">
        <v>835</v>
      </c>
      <c r="B767">
        <v>36</v>
      </c>
      <c r="C767" t="s">
        <v>802</v>
      </c>
      <c r="D767" t="s">
        <v>55</v>
      </c>
      <c r="E767" t="s">
        <v>66</v>
      </c>
      <c r="F767">
        <v>1229</v>
      </c>
      <c r="G767" t="s">
        <v>63</v>
      </c>
      <c r="H767">
        <v>8</v>
      </c>
      <c r="I767">
        <v>4</v>
      </c>
      <c r="J767" t="s">
        <v>77</v>
      </c>
      <c r="K767">
        <v>990</v>
      </c>
      <c r="L767">
        <v>1</v>
      </c>
      <c r="M767" t="s">
        <v>51</v>
      </c>
      <c r="N767">
        <v>3</v>
      </c>
      <c r="O767">
        <v>2</v>
      </c>
      <c r="P767" t="s">
        <v>145</v>
      </c>
      <c r="Q767">
        <v>4</v>
      </c>
      <c r="R767" t="s">
        <v>53</v>
      </c>
      <c r="S767">
        <v>50407</v>
      </c>
      <c r="T767" t="s">
        <v>64</v>
      </c>
      <c r="U767">
        <v>315.04000000000002</v>
      </c>
      <c r="V767">
        <v>4</v>
      </c>
      <c r="W767" t="s">
        <v>55</v>
      </c>
      <c r="X767">
        <v>13</v>
      </c>
      <c r="Y767">
        <v>3</v>
      </c>
      <c r="Z767">
        <v>4</v>
      </c>
      <c r="AA767">
        <v>2</v>
      </c>
      <c r="AB767">
        <v>12</v>
      </c>
      <c r="AC767">
        <v>3</v>
      </c>
      <c r="AD767">
        <v>3</v>
      </c>
      <c r="AE767">
        <v>7</v>
      </c>
      <c r="AF767">
        <v>7</v>
      </c>
      <c r="AG767">
        <v>0</v>
      </c>
      <c r="AH767">
        <v>7</v>
      </c>
      <c r="AI767">
        <f t="shared" si="77"/>
        <v>0</v>
      </c>
      <c r="AJ767" t="str">
        <f t="shared" si="78"/>
        <v>6-10 yrs</v>
      </c>
      <c r="AK767" t="str">
        <f t="shared" si="79"/>
        <v>Recent</v>
      </c>
      <c r="AL767">
        <f t="shared" si="80"/>
        <v>0</v>
      </c>
      <c r="AM767" t="str">
        <f t="shared" si="81"/>
        <v>Minimal Risk</v>
      </c>
      <c r="AN767" s="6">
        <f t="shared" si="82"/>
        <v>2.7498700129714351E-2</v>
      </c>
      <c r="AO767" s="7">
        <f t="shared" si="83"/>
        <v>604884</v>
      </c>
    </row>
    <row r="768" spans="1:41" x14ac:dyDescent="0.3">
      <c r="A768" t="s">
        <v>836</v>
      </c>
      <c r="B768">
        <v>36</v>
      </c>
      <c r="C768" t="s">
        <v>802</v>
      </c>
      <c r="D768" t="s">
        <v>47</v>
      </c>
      <c r="E768" t="s">
        <v>48</v>
      </c>
      <c r="F768">
        <v>885</v>
      </c>
      <c r="G768" t="s">
        <v>735</v>
      </c>
      <c r="H768">
        <v>16</v>
      </c>
      <c r="I768">
        <v>4</v>
      </c>
      <c r="J768" t="s">
        <v>50</v>
      </c>
      <c r="K768">
        <v>1042</v>
      </c>
      <c r="L768">
        <v>3</v>
      </c>
      <c r="M768" t="s">
        <v>59</v>
      </c>
      <c r="N768">
        <v>4</v>
      </c>
      <c r="O768">
        <v>1</v>
      </c>
      <c r="P768" t="s">
        <v>52</v>
      </c>
      <c r="Q768">
        <v>1</v>
      </c>
      <c r="R768" t="s">
        <v>53</v>
      </c>
      <c r="S768">
        <v>71340</v>
      </c>
      <c r="T768" t="s">
        <v>64</v>
      </c>
      <c r="U768">
        <v>445.88</v>
      </c>
      <c r="V768">
        <v>1</v>
      </c>
      <c r="W768" t="s">
        <v>55</v>
      </c>
      <c r="X768">
        <v>16</v>
      </c>
      <c r="Y768">
        <v>3</v>
      </c>
      <c r="Z768">
        <v>3</v>
      </c>
      <c r="AA768">
        <v>0</v>
      </c>
      <c r="AB768">
        <v>18</v>
      </c>
      <c r="AC768">
        <v>1</v>
      </c>
      <c r="AD768">
        <v>3</v>
      </c>
      <c r="AE768">
        <v>17</v>
      </c>
      <c r="AF768">
        <v>13</v>
      </c>
      <c r="AG768">
        <v>15</v>
      </c>
      <c r="AH768">
        <v>14</v>
      </c>
      <c r="AI768">
        <f t="shared" si="77"/>
        <v>1</v>
      </c>
      <c r="AJ768" t="str">
        <f t="shared" si="78"/>
        <v>10+ yrs</v>
      </c>
      <c r="AK768" t="str">
        <f t="shared" si="79"/>
        <v>Overdue</v>
      </c>
      <c r="AL768">
        <f t="shared" si="80"/>
        <v>2</v>
      </c>
      <c r="AM768" t="str">
        <f t="shared" si="81"/>
        <v>Medium Risk</v>
      </c>
      <c r="AN768" s="6">
        <f t="shared" si="82"/>
        <v>0.37933438765687483</v>
      </c>
      <c r="AO768" s="7">
        <f t="shared" si="83"/>
        <v>856080</v>
      </c>
    </row>
    <row r="769" spans="1:41" x14ac:dyDescent="0.3">
      <c r="A769" t="s">
        <v>837</v>
      </c>
      <c r="B769">
        <v>36</v>
      </c>
      <c r="C769" t="s">
        <v>802</v>
      </c>
      <c r="D769" t="s">
        <v>47</v>
      </c>
      <c r="E769" t="s">
        <v>48</v>
      </c>
      <c r="F769">
        <v>660</v>
      </c>
      <c r="G769" t="s">
        <v>735</v>
      </c>
      <c r="H769">
        <v>15</v>
      </c>
      <c r="I769">
        <v>3</v>
      </c>
      <c r="J769" t="s">
        <v>82</v>
      </c>
      <c r="K769">
        <v>1052</v>
      </c>
      <c r="L769">
        <v>1</v>
      </c>
      <c r="M769" t="s">
        <v>51</v>
      </c>
      <c r="N769">
        <v>3</v>
      </c>
      <c r="O769">
        <v>2</v>
      </c>
      <c r="P769" t="s">
        <v>52</v>
      </c>
      <c r="Q769">
        <v>3</v>
      </c>
      <c r="R769" t="s">
        <v>53</v>
      </c>
      <c r="S769">
        <v>51990</v>
      </c>
      <c r="T769" t="s">
        <v>64</v>
      </c>
      <c r="U769">
        <v>324.94</v>
      </c>
      <c r="V769">
        <v>7</v>
      </c>
      <c r="W769" t="s">
        <v>55</v>
      </c>
      <c r="X769">
        <v>14</v>
      </c>
      <c r="Y769">
        <v>3</v>
      </c>
      <c r="Z769">
        <v>2</v>
      </c>
      <c r="AA769">
        <v>1</v>
      </c>
      <c r="AB769">
        <v>9</v>
      </c>
      <c r="AC769">
        <v>3</v>
      </c>
      <c r="AD769">
        <v>2</v>
      </c>
      <c r="AE769">
        <v>1</v>
      </c>
      <c r="AF769">
        <v>0</v>
      </c>
      <c r="AG769">
        <v>0</v>
      </c>
      <c r="AH769">
        <v>0</v>
      </c>
      <c r="AI769">
        <f t="shared" si="77"/>
        <v>1</v>
      </c>
      <c r="AJ769" t="str">
        <f t="shared" si="78"/>
        <v>0-1 yr</v>
      </c>
      <c r="AK769" t="str">
        <f t="shared" si="79"/>
        <v>Recent</v>
      </c>
      <c r="AL769">
        <f t="shared" si="80"/>
        <v>1</v>
      </c>
      <c r="AM769" t="str">
        <f t="shared" si="81"/>
        <v>Low Risk</v>
      </c>
      <c r="AN769" s="6">
        <f t="shared" si="82"/>
        <v>5.2087862949386403E-3</v>
      </c>
      <c r="AO769" s="7">
        <f t="shared" si="83"/>
        <v>623880</v>
      </c>
    </row>
    <row r="770" spans="1:41" x14ac:dyDescent="0.3">
      <c r="A770" t="s">
        <v>838</v>
      </c>
      <c r="B770">
        <v>36</v>
      </c>
      <c r="C770" t="s">
        <v>802</v>
      </c>
      <c r="D770" t="s">
        <v>55</v>
      </c>
      <c r="E770" t="s">
        <v>48</v>
      </c>
      <c r="F770">
        <v>796</v>
      </c>
      <c r="G770" t="s">
        <v>735</v>
      </c>
      <c r="H770">
        <v>12</v>
      </c>
      <c r="I770">
        <v>5</v>
      </c>
      <c r="J770" t="s">
        <v>58</v>
      </c>
      <c r="K770">
        <v>1073</v>
      </c>
      <c r="L770">
        <v>4</v>
      </c>
      <c r="M770" t="s">
        <v>59</v>
      </c>
      <c r="N770">
        <v>2</v>
      </c>
      <c r="O770">
        <v>3</v>
      </c>
      <c r="P770" t="s">
        <v>120</v>
      </c>
      <c r="Q770">
        <v>4</v>
      </c>
      <c r="R770" t="s">
        <v>53</v>
      </c>
      <c r="S770">
        <v>76672</v>
      </c>
      <c r="T770" t="s">
        <v>64</v>
      </c>
      <c r="U770">
        <v>479.2</v>
      </c>
      <c r="V770">
        <v>0</v>
      </c>
      <c r="W770" t="s">
        <v>55</v>
      </c>
      <c r="X770">
        <v>11</v>
      </c>
      <c r="Y770">
        <v>3</v>
      </c>
      <c r="Z770">
        <v>2</v>
      </c>
      <c r="AA770">
        <v>0</v>
      </c>
      <c r="AB770">
        <v>15</v>
      </c>
      <c r="AC770">
        <v>2</v>
      </c>
      <c r="AD770">
        <v>2</v>
      </c>
      <c r="AE770">
        <v>14</v>
      </c>
      <c r="AF770">
        <v>8</v>
      </c>
      <c r="AG770">
        <v>7</v>
      </c>
      <c r="AH770">
        <v>8</v>
      </c>
      <c r="AI770">
        <f t="shared" ref="AI770:AI833" si="84">IF(D770="Yes",1,0)</f>
        <v>0</v>
      </c>
      <c r="AJ770" t="str">
        <f t="shared" ref="AJ770:AJ833" si="85">IF(AE770&lt;=1,"0-1 yr",IF(AE770&lt;=3,"2-3 yrs",IF(AE770&lt;=5,"4-5 yrs",IF(AE770&lt;=10,"6-10 yrs","10+ yrs"))))</f>
        <v>10+ yrs</v>
      </c>
      <c r="AK770" t="str">
        <f t="shared" ref="AK770:AK833" si="86">IF(AG770&gt;=3,"Overdue","Recent")</f>
        <v>Overdue</v>
      </c>
      <c r="AL770">
        <f t="shared" ref="AL770:AL833" si="87">IF(W770="Yes",1,0)+IF(AD770&lt;=2,1,0)+IF(Q770&lt;=2,1,0)+IF(AG770&gt;=3,1,0)</f>
        <v>2</v>
      </c>
      <c r="AM770" t="str">
        <f t="shared" ref="AM770:AM833" si="88">IF(AL770&gt;=3,"High Risk",IF(AL770=2,"Medium Risk",IF(AL770=1,"Low Risk","Minimal Risk")))</f>
        <v>Medium Risk</v>
      </c>
      <c r="AN770" s="6">
        <f t="shared" ref="AN770:AN833" si="89">IFERROR((S770-AVERAGEIF(P$2:P$1479,P770,S$2:S$1479))/AVERAGEIF(P$2:P$1479,P770,S$2:S$1479),0)</f>
        <v>0.73092717174370836</v>
      </c>
      <c r="AO770" s="7">
        <f t="shared" ref="AO770:AO833" si="90">S770*12</f>
        <v>920064</v>
      </c>
    </row>
    <row r="771" spans="1:41" x14ac:dyDescent="0.3">
      <c r="A771" t="s">
        <v>839</v>
      </c>
      <c r="B771">
        <v>36</v>
      </c>
      <c r="C771" t="s">
        <v>802</v>
      </c>
      <c r="D771" t="s">
        <v>55</v>
      </c>
      <c r="E771" t="s">
        <v>66</v>
      </c>
      <c r="F771">
        <v>217</v>
      </c>
      <c r="G771" t="s">
        <v>735</v>
      </c>
      <c r="H771">
        <v>18</v>
      </c>
      <c r="I771">
        <v>4</v>
      </c>
      <c r="J771" t="s">
        <v>50</v>
      </c>
      <c r="K771">
        <v>1133</v>
      </c>
      <c r="L771">
        <v>1</v>
      </c>
      <c r="M771" t="s">
        <v>51</v>
      </c>
      <c r="N771">
        <v>3</v>
      </c>
      <c r="O771">
        <v>2</v>
      </c>
      <c r="P771" t="s">
        <v>120</v>
      </c>
      <c r="Q771">
        <v>4</v>
      </c>
      <c r="R771" t="s">
        <v>53</v>
      </c>
      <c r="S771">
        <v>66545</v>
      </c>
      <c r="T771" t="s">
        <v>64</v>
      </c>
      <c r="U771">
        <v>415.91</v>
      </c>
      <c r="V771">
        <v>2</v>
      </c>
      <c r="W771" t="s">
        <v>55</v>
      </c>
      <c r="X771">
        <v>20</v>
      </c>
      <c r="Y771">
        <v>4</v>
      </c>
      <c r="Z771">
        <v>1</v>
      </c>
      <c r="AA771">
        <v>0</v>
      </c>
      <c r="AB771">
        <v>18</v>
      </c>
      <c r="AC771">
        <v>0</v>
      </c>
      <c r="AD771">
        <v>3</v>
      </c>
      <c r="AE771">
        <v>11</v>
      </c>
      <c r="AF771">
        <v>9</v>
      </c>
      <c r="AG771">
        <v>0</v>
      </c>
      <c r="AH771">
        <v>9</v>
      </c>
      <c r="AI771">
        <f t="shared" si="84"/>
        <v>0</v>
      </c>
      <c r="AJ771" t="str">
        <f t="shared" si="85"/>
        <v>10+ yrs</v>
      </c>
      <c r="AK771" t="str">
        <f t="shared" si="86"/>
        <v>Recent</v>
      </c>
      <c r="AL771">
        <f t="shared" si="87"/>
        <v>0</v>
      </c>
      <c r="AM771" t="str">
        <f t="shared" si="88"/>
        <v>Minimal Risk</v>
      </c>
      <c r="AN771" s="6">
        <f t="shared" si="89"/>
        <v>0.50230264821166881</v>
      </c>
      <c r="AO771" s="7">
        <f t="shared" si="90"/>
        <v>798540</v>
      </c>
    </row>
    <row r="772" spans="1:41" x14ac:dyDescent="0.3">
      <c r="A772" t="s">
        <v>840</v>
      </c>
      <c r="B772">
        <v>36</v>
      </c>
      <c r="C772" t="s">
        <v>802</v>
      </c>
      <c r="D772" t="s">
        <v>55</v>
      </c>
      <c r="E772" t="s">
        <v>48</v>
      </c>
      <c r="F772">
        <v>917</v>
      </c>
      <c r="G772" t="s">
        <v>735</v>
      </c>
      <c r="H772">
        <v>6</v>
      </c>
      <c r="I772">
        <v>4</v>
      </c>
      <c r="J772" t="s">
        <v>50</v>
      </c>
      <c r="K772">
        <v>1221</v>
      </c>
      <c r="L772">
        <v>3</v>
      </c>
      <c r="M772" t="s">
        <v>51</v>
      </c>
      <c r="N772">
        <v>1</v>
      </c>
      <c r="O772">
        <v>1</v>
      </c>
      <c r="P772" t="s">
        <v>52</v>
      </c>
      <c r="Q772">
        <v>3</v>
      </c>
      <c r="R772" t="s">
        <v>53</v>
      </c>
      <c r="S772">
        <v>85791</v>
      </c>
      <c r="T772" t="s">
        <v>70</v>
      </c>
      <c r="U772">
        <v>536.19000000000005</v>
      </c>
      <c r="V772">
        <v>1</v>
      </c>
      <c r="W772" t="s">
        <v>55</v>
      </c>
      <c r="X772">
        <v>14</v>
      </c>
      <c r="Y772">
        <v>3</v>
      </c>
      <c r="Z772">
        <v>3</v>
      </c>
      <c r="AA772">
        <v>1</v>
      </c>
      <c r="AB772">
        <v>7</v>
      </c>
      <c r="AC772">
        <v>4</v>
      </c>
      <c r="AD772">
        <v>3</v>
      </c>
      <c r="AE772">
        <v>7</v>
      </c>
      <c r="AF772">
        <v>7</v>
      </c>
      <c r="AG772">
        <v>1</v>
      </c>
      <c r="AH772">
        <v>7</v>
      </c>
      <c r="AI772">
        <f t="shared" si="84"/>
        <v>0</v>
      </c>
      <c r="AJ772" t="str">
        <f t="shared" si="85"/>
        <v>6-10 yrs</v>
      </c>
      <c r="AK772" t="str">
        <f t="shared" si="86"/>
        <v>Recent</v>
      </c>
      <c r="AL772">
        <f t="shared" si="87"/>
        <v>0</v>
      </c>
      <c r="AM772" t="str">
        <f t="shared" si="88"/>
        <v>Minimal Risk</v>
      </c>
      <c r="AN772" s="6">
        <f t="shared" si="89"/>
        <v>0.65873950730965725</v>
      </c>
      <c r="AO772" s="7">
        <f t="shared" si="90"/>
        <v>1029492</v>
      </c>
    </row>
    <row r="773" spans="1:41" x14ac:dyDescent="0.3">
      <c r="A773" t="s">
        <v>841</v>
      </c>
      <c r="B773">
        <v>36</v>
      </c>
      <c r="C773" t="s">
        <v>802</v>
      </c>
      <c r="D773" t="s">
        <v>55</v>
      </c>
      <c r="E773" t="s">
        <v>48</v>
      </c>
      <c r="F773">
        <v>363</v>
      </c>
      <c r="G773" t="s">
        <v>735</v>
      </c>
      <c r="H773">
        <v>1</v>
      </c>
      <c r="I773">
        <v>3</v>
      </c>
      <c r="J773" t="s">
        <v>77</v>
      </c>
      <c r="K773">
        <v>1237</v>
      </c>
      <c r="L773">
        <v>3</v>
      </c>
      <c r="M773" t="s">
        <v>59</v>
      </c>
      <c r="N773">
        <v>1</v>
      </c>
      <c r="O773">
        <v>3</v>
      </c>
      <c r="P773" t="s">
        <v>120</v>
      </c>
      <c r="Q773">
        <v>1</v>
      </c>
      <c r="R773" t="s">
        <v>53</v>
      </c>
      <c r="S773">
        <v>59141</v>
      </c>
      <c r="T773" t="s">
        <v>64</v>
      </c>
      <c r="U773">
        <v>369.63</v>
      </c>
      <c r="V773">
        <v>2</v>
      </c>
      <c r="W773" t="s">
        <v>47</v>
      </c>
      <c r="X773">
        <v>21</v>
      </c>
      <c r="Y773">
        <v>4</v>
      </c>
      <c r="Z773">
        <v>3</v>
      </c>
      <c r="AA773">
        <v>1</v>
      </c>
      <c r="AB773">
        <v>17</v>
      </c>
      <c r="AC773">
        <v>2</v>
      </c>
      <c r="AD773">
        <v>3</v>
      </c>
      <c r="AE773">
        <v>7</v>
      </c>
      <c r="AF773">
        <v>7</v>
      </c>
      <c r="AG773">
        <v>7</v>
      </c>
      <c r="AH773">
        <v>7</v>
      </c>
      <c r="AI773">
        <f t="shared" si="84"/>
        <v>0</v>
      </c>
      <c r="AJ773" t="str">
        <f t="shared" si="85"/>
        <v>6-10 yrs</v>
      </c>
      <c r="AK773" t="str">
        <f t="shared" si="86"/>
        <v>Overdue</v>
      </c>
      <c r="AL773">
        <f t="shared" si="87"/>
        <v>3</v>
      </c>
      <c r="AM773" t="str">
        <f t="shared" si="88"/>
        <v>High Risk</v>
      </c>
      <c r="AN773" s="6">
        <f t="shared" si="89"/>
        <v>0.33515186592360519</v>
      </c>
      <c r="AO773" s="7">
        <f t="shared" si="90"/>
        <v>709692</v>
      </c>
    </row>
    <row r="774" spans="1:41" x14ac:dyDescent="0.3">
      <c r="A774" t="s">
        <v>842</v>
      </c>
      <c r="B774">
        <v>36</v>
      </c>
      <c r="C774" t="s">
        <v>802</v>
      </c>
      <c r="D774" t="s">
        <v>55</v>
      </c>
      <c r="E774" t="s">
        <v>62</v>
      </c>
      <c r="F774">
        <v>469</v>
      </c>
      <c r="G774" t="s">
        <v>735</v>
      </c>
      <c r="H774">
        <v>3</v>
      </c>
      <c r="I774">
        <v>3</v>
      </c>
      <c r="J774" t="s">
        <v>77</v>
      </c>
      <c r="K774">
        <v>1257</v>
      </c>
      <c r="L774">
        <v>3</v>
      </c>
      <c r="M774" t="s">
        <v>51</v>
      </c>
      <c r="N774">
        <v>3</v>
      </c>
      <c r="O774">
        <v>1</v>
      </c>
      <c r="P774" t="s">
        <v>67</v>
      </c>
      <c r="Q774">
        <v>2</v>
      </c>
      <c r="R774" t="s">
        <v>113</v>
      </c>
      <c r="S774">
        <v>24793</v>
      </c>
      <c r="T774" t="s">
        <v>54</v>
      </c>
      <c r="U774">
        <v>154.96</v>
      </c>
      <c r="V774">
        <v>1</v>
      </c>
      <c r="W774" t="s">
        <v>55</v>
      </c>
      <c r="X774">
        <v>12</v>
      </c>
      <c r="Y774">
        <v>3</v>
      </c>
      <c r="Z774">
        <v>3</v>
      </c>
      <c r="AA774">
        <v>0</v>
      </c>
      <c r="AB774">
        <v>12</v>
      </c>
      <c r="AC774">
        <v>2</v>
      </c>
      <c r="AD774">
        <v>2</v>
      </c>
      <c r="AE774">
        <v>11</v>
      </c>
      <c r="AF774">
        <v>10</v>
      </c>
      <c r="AG774">
        <v>0</v>
      </c>
      <c r="AH774">
        <v>7</v>
      </c>
      <c r="AI774">
        <f t="shared" si="84"/>
        <v>0</v>
      </c>
      <c r="AJ774" t="str">
        <f t="shared" si="85"/>
        <v>10+ yrs</v>
      </c>
      <c r="AK774" t="str">
        <f t="shared" si="86"/>
        <v>Recent</v>
      </c>
      <c r="AL774">
        <f t="shared" si="87"/>
        <v>2</v>
      </c>
      <c r="AM774" t="str">
        <f t="shared" si="88"/>
        <v>Medium Risk</v>
      </c>
      <c r="AN774" s="6">
        <f t="shared" si="89"/>
        <v>-0.502808545040206</v>
      </c>
      <c r="AO774" s="7">
        <f t="shared" si="90"/>
        <v>297516</v>
      </c>
    </row>
    <row r="775" spans="1:41" x14ac:dyDescent="0.3">
      <c r="A775" t="s">
        <v>843</v>
      </c>
      <c r="B775">
        <v>36</v>
      </c>
      <c r="C775" t="s">
        <v>802</v>
      </c>
      <c r="D775" t="s">
        <v>55</v>
      </c>
      <c r="E775" t="s">
        <v>48</v>
      </c>
      <c r="F775">
        <v>429</v>
      </c>
      <c r="G775" t="s">
        <v>735</v>
      </c>
      <c r="H775">
        <v>2</v>
      </c>
      <c r="I775">
        <v>4</v>
      </c>
      <c r="J775" t="s">
        <v>50</v>
      </c>
      <c r="K775">
        <v>1294</v>
      </c>
      <c r="L775">
        <v>3</v>
      </c>
      <c r="M775" t="s">
        <v>59</v>
      </c>
      <c r="N775">
        <v>3</v>
      </c>
      <c r="O775">
        <v>2</v>
      </c>
      <c r="P775" t="s">
        <v>120</v>
      </c>
      <c r="Q775">
        <v>2</v>
      </c>
      <c r="R775" t="s">
        <v>53</v>
      </c>
      <c r="S775">
        <v>57570</v>
      </c>
      <c r="T775" t="s">
        <v>64</v>
      </c>
      <c r="U775">
        <v>359.81</v>
      </c>
      <c r="V775">
        <v>9</v>
      </c>
      <c r="W775" t="s">
        <v>47</v>
      </c>
      <c r="X775">
        <v>11</v>
      </c>
      <c r="Y775">
        <v>3</v>
      </c>
      <c r="Z775">
        <v>4</v>
      </c>
      <c r="AA775">
        <v>0</v>
      </c>
      <c r="AB775">
        <v>18</v>
      </c>
      <c r="AC775">
        <v>2</v>
      </c>
      <c r="AD775">
        <v>3</v>
      </c>
      <c r="AE775">
        <v>16</v>
      </c>
      <c r="AF775">
        <v>14</v>
      </c>
      <c r="AG775">
        <v>5</v>
      </c>
      <c r="AH775">
        <v>12</v>
      </c>
      <c r="AI775">
        <f t="shared" si="84"/>
        <v>0</v>
      </c>
      <c r="AJ775" t="str">
        <f t="shared" si="85"/>
        <v>10+ yrs</v>
      </c>
      <c r="AK775" t="str">
        <f t="shared" si="86"/>
        <v>Overdue</v>
      </c>
      <c r="AL775">
        <f t="shared" si="87"/>
        <v>3</v>
      </c>
      <c r="AM775" t="str">
        <f t="shared" si="88"/>
        <v>High Risk</v>
      </c>
      <c r="AN775" s="6">
        <f t="shared" si="89"/>
        <v>0.29968537767744796</v>
      </c>
      <c r="AO775" s="7">
        <f t="shared" si="90"/>
        <v>690840</v>
      </c>
    </row>
    <row r="776" spans="1:41" x14ac:dyDescent="0.3">
      <c r="A776" t="s">
        <v>844</v>
      </c>
      <c r="B776">
        <v>36</v>
      </c>
      <c r="C776" t="s">
        <v>802</v>
      </c>
      <c r="D776" t="s">
        <v>55</v>
      </c>
      <c r="E776" t="s">
        <v>48</v>
      </c>
      <c r="F776">
        <v>325</v>
      </c>
      <c r="G776" t="s">
        <v>735</v>
      </c>
      <c r="H776">
        <v>10</v>
      </c>
      <c r="I776">
        <v>4</v>
      </c>
      <c r="J776" t="s">
        <v>77</v>
      </c>
      <c r="K776">
        <v>1312</v>
      </c>
      <c r="L776">
        <v>4</v>
      </c>
      <c r="M776" t="s">
        <v>59</v>
      </c>
      <c r="N776">
        <v>3</v>
      </c>
      <c r="O776">
        <v>3</v>
      </c>
      <c r="P776" t="s">
        <v>168</v>
      </c>
      <c r="Q776">
        <v>3</v>
      </c>
      <c r="R776" t="s">
        <v>113</v>
      </c>
      <c r="S776">
        <v>96084</v>
      </c>
      <c r="T776" t="s">
        <v>70</v>
      </c>
      <c r="U776">
        <v>600.52</v>
      </c>
      <c r="V776">
        <v>3</v>
      </c>
      <c r="W776" t="s">
        <v>55</v>
      </c>
      <c r="X776">
        <v>12</v>
      </c>
      <c r="Y776">
        <v>3</v>
      </c>
      <c r="Z776">
        <v>1</v>
      </c>
      <c r="AA776">
        <v>0</v>
      </c>
      <c r="AB776">
        <v>10</v>
      </c>
      <c r="AC776">
        <v>0</v>
      </c>
      <c r="AD776">
        <v>3</v>
      </c>
      <c r="AE776">
        <v>7</v>
      </c>
      <c r="AF776">
        <v>7</v>
      </c>
      <c r="AG776">
        <v>1</v>
      </c>
      <c r="AH776">
        <v>7</v>
      </c>
      <c r="AI776">
        <f t="shared" si="84"/>
        <v>0</v>
      </c>
      <c r="AJ776" t="str">
        <f t="shared" si="85"/>
        <v>6-10 yrs</v>
      </c>
      <c r="AK776" t="str">
        <f t="shared" si="86"/>
        <v>Recent</v>
      </c>
      <c r="AL776">
        <f t="shared" si="87"/>
        <v>0</v>
      </c>
      <c r="AM776" t="str">
        <f t="shared" si="88"/>
        <v>Minimal Risk</v>
      </c>
      <c r="AN776" s="6">
        <f t="shared" si="89"/>
        <v>0.99389311166712135</v>
      </c>
      <c r="AO776" s="7">
        <f t="shared" si="90"/>
        <v>1153008</v>
      </c>
    </row>
    <row r="777" spans="1:41" x14ac:dyDescent="0.3">
      <c r="A777" t="s">
        <v>845</v>
      </c>
      <c r="B777">
        <v>36</v>
      </c>
      <c r="C777" t="s">
        <v>802</v>
      </c>
      <c r="D777" t="s">
        <v>55</v>
      </c>
      <c r="E777" t="s">
        <v>62</v>
      </c>
      <c r="F777">
        <v>607</v>
      </c>
      <c r="G777" t="s">
        <v>63</v>
      </c>
      <c r="H777">
        <v>7</v>
      </c>
      <c r="I777">
        <v>3</v>
      </c>
      <c r="J777" t="s">
        <v>63</v>
      </c>
      <c r="K777">
        <v>1362</v>
      </c>
      <c r="L777">
        <v>1</v>
      </c>
      <c r="M777" t="s">
        <v>59</v>
      </c>
      <c r="N777">
        <v>4</v>
      </c>
      <c r="O777">
        <v>2</v>
      </c>
      <c r="P777" t="s">
        <v>145</v>
      </c>
      <c r="Q777">
        <v>1</v>
      </c>
      <c r="R777" t="s">
        <v>113</v>
      </c>
      <c r="S777">
        <v>38892</v>
      </c>
      <c r="T777" t="s">
        <v>72</v>
      </c>
      <c r="U777">
        <v>243.08</v>
      </c>
      <c r="V777">
        <v>2</v>
      </c>
      <c r="W777" t="s">
        <v>55</v>
      </c>
      <c r="X777">
        <v>16</v>
      </c>
      <c r="Y777">
        <v>3</v>
      </c>
      <c r="Z777">
        <v>4</v>
      </c>
      <c r="AA777">
        <v>1</v>
      </c>
      <c r="AB777">
        <v>17</v>
      </c>
      <c r="AC777">
        <v>2</v>
      </c>
      <c r="AD777">
        <v>2</v>
      </c>
      <c r="AE777">
        <v>15</v>
      </c>
      <c r="AF777">
        <v>7</v>
      </c>
      <c r="AG777">
        <v>6</v>
      </c>
      <c r="AH777">
        <v>13</v>
      </c>
      <c r="AI777">
        <f t="shared" si="84"/>
        <v>0</v>
      </c>
      <c r="AJ777" t="str">
        <f t="shared" si="85"/>
        <v>10+ yrs</v>
      </c>
      <c r="AK777" t="str">
        <f t="shared" si="86"/>
        <v>Overdue</v>
      </c>
      <c r="AL777">
        <f t="shared" si="87"/>
        <v>3</v>
      </c>
      <c r="AM777" t="str">
        <f t="shared" si="88"/>
        <v>High Risk</v>
      </c>
      <c r="AN777" s="6">
        <f t="shared" si="89"/>
        <v>-0.20722361089839009</v>
      </c>
      <c r="AO777" s="7">
        <f t="shared" si="90"/>
        <v>466704</v>
      </c>
    </row>
    <row r="778" spans="1:41" x14ac:dyDescent="0.3">
      <c r="A778" t="s">
        <v>846</v>
      </c>
      <c r="B778">
        <v>36</v>
      </c>
      <c r="C778" t="s">
        <v>802</v>
      </c>
      <c r="D778" t="s">
        <v>55</v>
      </c>
      <c r="E778" t="s">
        <v>48</v>
      </c>
      <c r="F778">
        <v>1174</v>
      </c>
      <c r="G778" t="s">
        <v>63</v>
      </c>
      <c r="H778">
        <v>3</v>
      </c>
      <c r="I778">
        <v>4</v>
      </c>
      <c r="J778" t="s">
        <v>63</v>
      </c>
      <c r="K778">
        <v>1425</v>
      </c>
      <c r="L778">
        <v>1</v>
      </c>
      <c r="M778" t="s">
        <v>59</v>
      </c>
      <c r="N778">
        <v>3</v>
      </c>
      <c r="O778">
        <v>2</v>
      </c>
      <c r="P778" t="s">
        <v>145</v>
      </c>
      <c r="Q778">
        <v>2</v>
      </c>
      <c r="R778" t="s">
        <v>53</v>
      </c>
      <c r="S778">
        <v>2015</v>
      </c>
      <c r="T778" t="s">
        <v>54</v>
      </c>
      <c r="U778">
        <v>12.59</v>
      </c>
      <c r="V778">
        <v>3</v>
      </c>
      <c r="W778" t="s">
        <v>47</v>
      </c>
      <c r="X778">
        <v>16</v>
      </c>
      <c r="Y778">
        <v>3</v>
      </c>
      <c r="Z778">
        <v>4</v>
      </c>
      <c r="AA778">
        <v>0</v>
      </c>
      <c r="AB778">
        <v>15</v>
      </c>
      <c r="AC778">
        <v>3</v>
      </c>
      <c r="AD778">
        <v>3</v>
      </c>
      <c r="AE778">
        <v>5</v>
      </c>
      <c r="AF778">
        <v>4</v>
      </c>
      <c r="AG778">
        <v>0</v>
      </c>
      <c r="AH778">
        <v>1</v>
      </c>
      <c r="AI778">
        <f t="shared" si="84"/>
        <v>0</v>
      </c>
      <c r="AJ778" t="str">
        <f t="shared" si="85"/>
        <v>4-5 yrs</v>
      </c>
      <c r="AK778" t="str">
        <f t="shared" si="86"/>
        <v>Recent</v>
      </c>
      <c r="AL778">
        <f t="shared" si="87"/>
        <v>2</v>
      </c>
      <c r="AM778" t="str">
        <f t="shared" si="88"/>
        <v>Medium Risk</v>
      </c>
      <c r="AN778" s="6">
        <f t="shared" si="89"/>
        <v>-0.95892614357606332</v>
      </c>
      <c r="AO778" s="7">
        <f t="shared" si="90"/>
        <v>24180</v>
      </c>
    </row>
    <row r="779" spans="1:41" x14ac:dyDescent="0.3">
      <c r="A779" t="s">
        <v>847</v>
      </c>
      <c r="B779">
        <v>36</v>
      </c>
      <c r="C779" t="s">
        <v>802</v>
      </c>
      <c r="D779" t="s">
        <v>55</v>
      </c>
      <c r="E779" t="s">
        <v>48</v>
      </c>
      <c r="F779">
        <v>172</v>
      </c>
      <c r="G779" t="s">
        <v>735</v>
      </c>
      <c r="H779">
        <v>4</v>
      </c>
      <c r="I779">
        <v>4</v>
      </c>
      <c r="J779" t="s">
        <v>50</v>
      </c>
      <c r="K779">
        <v>1435</v>
      </c>
      <c r="L779">
        <v>1</v>
      </c>
      <c r="M779" t="s">
        <v>51</v>
      </c>
      <c r="N779">
        <v>2</v>
      </c>
      <c r="O779">
        <v>2</v>
      </c>
      <c r="P779" t="s">
        <v>52</v>
      </c>
      <c r="Q779">
        <v>4</v>
      </c>
      <c r="R779" t="s">
        <v>53</v>
      </c>
      <c r="S779">
        <v>62813</v>
      </c>
      <c r="T779" t="s">
        <v>64</v>
      </c>
      <c r="U779">
        <v>392.58</v>
      </c>
      <c r="V779">
        <v>1</v>
      </c>
      <c r="W779" t="s">
        <v>55</v>
      </c>
      <c r="X779">
        <v>16</v>
      </c>
      <c r="Y779">
        <v>3</v>
      </c>
      <c r="Z779">
        <v>3</v>
      </c>
      <c r="AA779">
        <v>0</v>
      </c>
      <c r="AB779">
        <v>10</v>
      </c>
      <c r="AC779">
        <v>2</v>
      </c>
      <c r="AD779">
        <v>2</v>
      </c>
      <c r="AE779">
        <v>10</v>
      </c>
      <c r="AF779">
        <v>4</v>
      </c>
      <c r="AG779">
        <v>1</v>
      </c>
      <c r="AH779">
        <v>8</v>
      </c>
      <c r="AI779">
        <f t="shared" si="84"/>
        <v>0</v>
      </c>
      <c r="AJ779" t="str">
        <f t="shared" si="85"/>
        <v>6-10 yrs</v>
      </c>
      <c r="AK779" t="str">
        <f t="shared" si="86"/>
        <v>Recent</v>
      </c>
      <c r="AL779">
        <f t="shared" si="87"/>
        <v>1</v>
      </c>
      <c r="AM779" t="str">
        <f t="shared" si="88"/>
        <v>Low Risk</v>
      </c>
      <c r="AN779" s="6">
        <f t="shared" si="89"/>
        <v>0.21446777252440818</v>
      </c>
      <c r="AO779" s="7">
        <f t="shared" si="90"/>
        <v>753756</v>
      </c>
    </row>
    <row r="780" spans="1:41" x14ac:dyDescent="0.3">
      <c r="A780" t="s">
        <v>848</v>
      </c>
      <c r="B780">
        <v>36</v>
      </c>
      <c r="C780" t="s">
        <v>802</v>
      </c>
      <c r="D780" t="s">
        <v>55</v>
      </c>
      <c r="E780" t="s">
        <v>48</v>
      </c>
      <c r="F780">
        <v>329</v>
      </c>
      <c r="G780" t="s">
        <v>63</v>
      </c>
      <c r="H780">
        <v>16</v>
      </c>
      <c r="I780">
        <v>4</v>
      </c>
      <c r="J780" t="s">
        <v>63</v>
      </c>
      <c r="K780">
        <v>1436</v>
      </c>
      <c r="L780">
        <v>3</v>
      </c>
      <c r="M780" t="s">
        <v>59</v>
      </c>
      <c r="N780">
        <v>2</v>
      </c>
      <c r="O780">
        <v>2</v>
      </c>
      <c r="P780" t="s">
        <v>145</v>
      </c>
      <c r="Q780">
        <v>1</v>
      </c>
      <c r="R780" t="s">
        <v>113</v>
      </c>
      <c r="S780">
        <v>28712</v>
      </c>
      <c r="T780" t="s">
        <v>72</v>
      </c>
      <c r="U780">
        <v>179.45</v>
      </c>
      <c r="V780">
        <v>4</v>
      </c>
      <c r="W780" t="s">
        <v>55</v>
      </c>
      <c r="X780">
        <v>13</v>
      </c>
      <c r="Y780">
        <v>3</v>
      </c>
      <c r="Z780">
        <v>1</v>
      </c>
      <c r="AA780">
        <v>2</v>
      </c>
      <c r="AB780">
        <v>11</v>
      </c>
      <c r="AC780">
        <v>3</v>
      </c>
      <c r="AD780">
        <v>2</v>
      </c>
      <c r="AE780">
        <v>3</v>
      </c>
      <c r="AF780">
        <v>2</v>
      </c>
      <c r="AG780">
        <v>0</v>
      </c>
      <c r="AH780">
        <v>2</v>
      </c>
      <c r="AI780">
        <f t="shared" si="84"/>
        <v>0</v>
      </c>
      <c r="AJ780" t="str">
        <f t="shared" si="85"/>
        <v>2-3 yrs</v>
      </c>
      <c r="AK780" t="str">
        <f t="shared" si="86"/>
        <v>Recent</v>
      </c>
      <c r="AL780">
        <f t="shared" si="87"/>
        <v>2</v>
      </c>
      <c r="AM780" t="str">
        <f t="shared" si="88"/>
        <v>Medium Risk</v>
      </c>
      <c r="AN780" s="6">
        <f t="shared" si="89"/>
        <v>-0.41473321804264568</v>
      </c>
      <c r="AO780" s="7">
        <f t="shared" si="90"/>
        <v>344544</v>
      </c>
    </row>
    <row r="781" spans="1:41" x14ac:dyDescent="0.3">
      <c r="A781" t="s">
        <v>849</v>
      </c>
      <c r="B781">
        <v>36</v>
      </c>
      <c r="C781" t="s">
        <v>802</v>
      </c>
      <c r="D781" t="s">
        <v>55</v>
      </c>
      <c r="E781" t="s">
        <v>48</v>
      </c>
      <c r="F781">
        <v>1157</v>
      </c>
      <c r="G781" t="s">
        <v>63</v>
      </c>
      <c r="H781">
        <v>2</v>
      </c>
      <c r="I781">
        <v>4</v>
      </c>
      <c r="J781" t="s">
        <v>50</v>
      </c>
      <c r="K781">
        <v>1556</v>
      </c>
      <c r="L781">
        <v>3</v>
      </c>
      <c r="M781" t="s">
        <v>51</v>
      </c>
      <c r="N781">
        <v>3</v>
      </c>
      <c r="O781">
        <v>1</v>
      </c>
      <c r="P781" t="s">
        <v>60</v>
      </c>
      <c r="Q781">
        <v>4</v>
      </c>
      <c r="R781" t="s">
        <v>53</v>
      </c>
      <c r="S781">
        <v>9415</v>
      </c>
      <c r="T781" t="s">
        <v>54</v>
      </c>
      <c r="U781">
        <v>58.84</v>
      </c>
      <c r="V781">
        <v>3</v>
      </c>
      <c r="W781" t="s">
        <v>47</v>
      </c>
      <c r="X781">
        <v>21</v>
      </c>
      <c r="Y781">
        <v>4</v>
      </c>
      <c r="Z781">
        <v>4</v>
      </c>
      <c r="AA781">
        <v>0</v>
      </c>
      <c r="AB781">
        <v>7</v>
      </c>
      <c r="AC781">
        <v>3</v>
      </c>
      <c r="AD781">
        <v>2</v>
      </c>
      <c r="AE781">
        <v>3</v>
      </c>
      <c r="AF781">
        <v>2</v>
      </c>
      <c r="AG781">
        <v>1</v>
      </c>
      <c r="AH781">
        <v>2</v>
      </c>
      <c r="AI781">
        <f t="shared" si="84"/>
        <v>0</v>
      </c>
      <c r="AJ781" t="str">
        <f t="shared" si="85"/>
        <v>2-3 yrs</v>
      </c>
      <c r="AK781" t="str">
        <f t="shared" si="86"/>
        <v>Recent</v>
      </c>
      <c r="AL781">
        <f t="shared" si="87"/>
        <v>2</v>
      </c>
      <c r="AM781" t="str">
        <f t="shared" si="88"/>
        <v>Medium Risk</v>
      </c>
      <c r="AN781" s="6">
        <f t="shared" si="89"/>
        <v>-0.80913011883089725</v>
      </c>
      <c r="AO781" s="7">
        <f t="shared" si="90"/>
        <v>112980</v>
      </c>
    </row>
    <row r="782" spans="1:41" x14ac:dyDescent="0.3">
      <c r="A782" t="s">
        <v>850</v>
      </c>
      <c r="B782">
        <v>36</v>
      </c>
      <c r="C782" t="s">
        <v>802</v>
      </c>
      <c r="D782" t="s">
        <v>55</v>
      </c>
      <c r="E782" t="s">
        <v>48</v>
      </c>
      <c r="F782">
        <v>884</v>
      </c>
      <c r="G782" t="s">
        <v>63</v>
      </c>
      <c r="H782">
        <v>1</v>
      </c>
      <c r="I782">
        <v>4</v>
      </c>
      <c r="J782" t="s">
        <v>50</v>
      </c>
      <c r="K782">
        <v>1585</v>
      </c>
      <c r="L782">
        <v>2</v>
      </c>
      <c r="M782" t="s">
        <v>59</v>
      </c>
      <c r="N782">
        <v>3</v>
      </c>
      <c r="O782">
        <v>2</v>
      </c>
      <c r="P782" t="s">
        <v>145</v>
      </c>
      <c r="Q782">
        <v>3</v>
      </c>
      <c r="R782" t="s">
        <v>53</v>
      </c>
      <c r="S782">
        <v>63292</v>
      </c>
      <c r="T782" t="s">
        <v>64</v>
      </c>
      <c r="U782">
        <v>395.58</v>
      </c>
      <c r="V782">
        <v>6</v>
      </c>
      <c r="W782" t="s">
        <v>55</v>
      </c>
      <c r="X782">
        <v>13</v>
      </c>
      <c r="Y782">
        <v>3</v>
      </c>
      <c r="Z782">
        <v>1</v>
      </c>
      <c r="AA782">
        <v>0</v>
      </c>
      <c r="AB782">
        <v>15</v>
      </c>
      <c r="AC782">
        <v>5</v>
      </c>
      <c r="AD782">
        <v>3</v>
      </c>
      <c r="AE782">
        <v>1</v>
      </c>
      <c r="AF782">
        <v>0</v>
      </c>
      <c r="AG782">
        <v>0</v>
      </c>
      <c r="AH782">
        <v>0</v>
      </c>
      <c r="AI782">
        <f t="shared" si="84"/>
        <v>0</v>
      </c>
      <c r="AJ782" t="str">
        <f t="shared" si="85"/>
        <v>0-1 yr</v>
      </c>
      <c r="AK782" t="str">
        <f t="shared" si="86"/>
        <v>Recent</v>
      </c>
      <c r="AL782">
        <f t="shared" si="87"/>
        <v>0</v>
      </c>
      <c r="AM782" t="str">
        <f t="shared" si="88"/>
        <v>Minimal Risk</v>
      </c>
      <c r="AN782" s="6">
        <f t="shared" si="89"/>
        <v>0.29014715671652508</v>
      </c>
      <c r="AO782" s="7">
        <f t="shared" si="90"/>
        <v>759504</v>
      </c>
    </row>
    <row r="783" spans="1:41" x14ac:dyDescent="0.3">
      <c r="A783" t="s">
        <v>851</v>
      </c>
      <c r="B783">
        <v>36</v>
      </c>
      <c r="C783" t="s">
        <v>802</v>
      </c>
      <c r="D783" t="s">
        <v>55</v>
      </c>
      <c r="E783" t="s">
        <v>62</v>
      </c>
      <c r="F783">
        <v>1302</v>
      </c>
      <c r="G783" t="s">
        <v>735</v>
      </c>
      <c r="H783">
        <v>6</v>
      </c>
      <c r="I783">
        <v>4</v>
      </c>
      <c r="J783" t="s">
        <v>50</v>
      </c>
      <c r="K783">
        <v>1594</v>
      </c>
      <c r="L783">
        <v>1</v>
      </c>
      <c r="M783" t="s">
        <v>51</v>
      </c>
      <c r="N783">
        <v>4</v>
      </c>
      <c r="O783">
        <v>2</v>
      </c>
      <c r="P783" t="s">
        <v>52</v>
      </c>
      <c r="Q783">
        <v>1</v>
      </c>
      <c r="R783" t="s">
        <v>113</v>
      </c>
      <c r="S783">
        <v>24833</v>
      </c>
      <c r="T783" t="s">
        <v>54</v>
      </c>
      <c r="U783">
        <v>155.21</v>
      </c>
      <c r="V783">
        <v>3</v>
      </c>
      <c r="W783" t="s">
        <v>47</v>
      </c>
      <c r="X783">
        <v>13</v>
      </c>
      <c r="Y783">
        <v>3</v>
      </c>
      <c r="Z783">
        <v>4</v>
      </c>
      <c r="AA783">
        <v>1</v>
      </c>
      <c r="AB783">
        <v>9</v>
      </c>
      <c r="AC783">
        <v>3</v>
      </c>
      <c r="AD783">
        <v>3</v>
      </c>
      <c r="AE783">
        <v>3</v>
      </c>
      <c r="AF783">
        <v>2</v>
      </c>
      <c r="AG783">
        <v>0</v>
      </c>
      <c r="AH783">
        <v>2</v>
      </c>
      <c r="AI783">
        <f t="shared" si="84"/>
        <v>0</v>
      </c>
      <c r="AJ783" t="str">
        <f t="shared" si="85"/>
        <v>2-3 yrs</v>
      </c>
      <c r="AK783" t="str">
        <f t="shared" si="86"/>
        <v>Recent</v>
      </c>
      <c r="AL783">
        <f t="shared" si="87"/>
        <v>2</v>
      </c>
      <c r="AM783" t="str">
        <f t="shared" si="88"/>
        <v>Medium Risk</v>
      </c>
      <c r="AN783" s="6">
        <f t="shared" si="89"/>
        <v>-0.51986247759064796</v>
      </c>
      <c r="AO783" s="7">
        <f t="shared" si="90"/>
        <v>297996</v>
      </c>
    </row>
    <row r="784" spans="1:41" x14ac:dyDescent="0.3">
      <c r="A784" t="s">
        <v>852</v>
      </c>
      <c r="B784">
        <v>36</v>
      </c>
      <c r="C784" t="s">
        <v>802</v>
      </c>
      <c r="D784" t="s">
        <v>55</v>
      </c>
      <c r="E784" t="s">
        <v>48</v>
      </c>
      <c r="F784">
        <v>559</v>
      </c>
      <c r="G784" t="s">
        <v>735</v>
      </c>
      <c r="H784">
        <v>12</v>
      </c>
      <c r="I784">
        <v>4</v>
      </c>
      <c r="J784" t="s">
        <v>50</v>
      </c>
      <c r="K784">
        <v>1614</v>
      </c>
      <c r="L784">
        <v>3</v>
      </c>
      <c r="M784" t="s">
        <v>59</v>
      </c>
      <c r="N784">
        <v>3</v>
      </c>
      <c r="O784">
        <v>2</v>
      </c>
      <c r="P784" t="s">
        <v>120</v>
      </c>
      <c r="Q784">
        <v>3</v>
      </c>
      <c r="R784" t="s">
        <v>113</v>
      </c>
      <c r="S784">
        <v>5158</v>
      </c>
      <c r="T784" t="s">
        <v>54</v>
      </c>
      <c r="U784">
        <v>32.24</v>
      </c>
      <c r="V784">
        <v>9</v>
      </c>
      <c r="W784" t="s">
        <v>47</v>
      </c>
      <c r="X784">
        <v>12</v>
      </c>
      <c r="Y784">
        <v>3</v>
      </c>
      <c r="Z784">
        <v>2</v>
      </c>
      <c r="AA784">
        <v>2</v>
      </c>
      <c r="AB784">
        <v>7</v>
      </c>
      <c r="AC784">
        <v>2</v>
      </c>
      <c r="AD784">
        <v>3</v>
      </c>
      <c r="AE784">
        <v>3</v>
      </c>
      <c r="AF784">
        <v>2</v>
      </c>
      <c r="AG784">
        <v>1</v>
      </c>
      <c r="AH784">
        <v>1</v>
      </c>
      <c r="AI784">
        <f t="shared" si="84"/>
        <v>0</v>
      </c>
      <c r="AJ784" t="str">
        <f t="shared" si="85"/>
        <v>2-3 yrs</v>
      </c>
      <c r="AK784" t="str">
        <f t="shared" si="86"/>
        <v>Recent</v>
      </c>
      <c r="AL784">
        <f t="shared" si="87"/>
        <v>1</v>
      </c>
      <c r="AM784" t="str">
        <f t="shared" si="88"/>
        <v>Low Risk</v>
      </c>
      <c r="AN784" s="6">
        <f t="shared" si="89"/>
        <v>-0.88355433076150292</v>
      </c>
      <c r="AO784" s="7">
        <f t="shared" si="90"/>
        <v>61896</v>
      </c>
    </row>
    <row r="785" spans="1:41" x14ac:dyDescent="0.3">
      <c r="A785" t="s">
        <v>853</v>
      </c>
      <c r="B785">
        <v>36</v>
      </c>
      <c r="C785" t="s">
        <v>802</v>
      </c>
      <c r="D785" t="s">
        <v>55</v>
      </c>
      <c r="E785" t="s">
        <v>48</v>
      </c>
      <c r="F785">
        <v>711</v>
      </c>
      <c r="G785" t="s">
        <v>735</v>
      </c>
      <c r="H785">
        <v>5</v>
      </c>
      <c r="I785">
        <v>4</v>
      </c>
      <c r="J785" t="s">
        <v>50</v>
      </c>
      <c r="K785">
        <v>1651</v>
      </c>
      <c r="L785">
        <v>2</v>
      </c>
      <c r="M785" t="s">
        <v>59</v>
      </c>
      <c r="N785">
        <v>3</v>
      </c>
      <c r="O785">
        <v>3</v>
      </c>
      <c r="P785" t="s">
        <v>168</v>
      </c>
      <c r="Q785">
        <v>1</v>
      </c>
      <c r="R785" t="s">
        <v>113</v>
      </c>
      <c r="S785">
        <v>63680</v>
      </c>
      <c r="T785" t="s">
        <v>64</v>
      </c>
      <c r="U785">
        <v>398</v>
      </c>
      <c r="V785">
        <v>4</v>
      </c>
      <c r="W785" t="s">
        <v>55</v>
      </c>
      <c r="X785">
        <v>12</v>
      </c>
      <c r="Y785">
        <v>3</v>
      </c>
      <c r="Z785">
        <v>3</v>
      </c>
      <c r="AA785">
        <v>2</v>
      </c>
      <c r="AB785">
        <v>9</v>
      </c>
      <c r="AC785">
        <v>6</v>
      </c>
      <c r="AD785">
        <v>3</v>
      </c>
      <c r="AE785">
        <v>3</v>
      </c>
      <c r="AF785">
        <v>2</v>
      </c>
      <c r="AG785">
        <v>0</v>
      </c>
      <c r="AH785">
        <v>2</v>
      </c>
      <c r="AI785">
        <f t="shared" si="84"/>
        <v>0</v>
      </c>
      <c r="AJ785" t="str">
        <f t="shared" si="85"/>
        <v>2-3 yrs</v>
      </c>
      <c r="AK785" t="str">
        <f t="shared" si="86"/>
        <v>Recent</v>
      </c>
      <c r="AL785">
        <f t="shared" si="87"/>
        <v>1</v>
      </c>
      <c r="AM785" t="str">
        <f t="shared" si="88"/>
        <v>Low Risk</v>
      </c>
      <c r="AN785" s="6">
        <f t="shared" si="89"/>
        <v>0.32145948702138011</v>
      </c>
      <c r="AO785" s="7">
        <f t="shared" si="90"/>
        <v>764160</v>
      </c>
    </row>
    <row r="786" spans="1:41" x14ac:dyDescent="0.3">
      <c r="A786" t="s">
        <v>854</v>
      </c>
      <c r="B786">
        <v>36</v>
      </c>
      <c r="C786" t="s">
        <v>802</v>
      </c>
      <c r="D786" t="s">
        <v>55</v>
      </c>
      <c r="E786" t="s">
        <v>48</v>
      </c>
      <c r="F786">
        <v>311</v>
      </c>
      <c r="G786" t="s">
        <v>735</v>
      </c>
      <c r="H786">
        <v>7</v>
      </c>
      <c r="I786">
        <v>3</v>
      </c>
      <c r="J786" t="s">
        <v>50</v>
      </c>
      <c r="K786">
        <v>1659</v>
      </c>
      <c r="L786">
        <v>1</v>
      </c>
      <c r="M786" t="s">
        <v>51</v>
      </c>
      <c r="N786">
        <v>3</v>
      </c>
      <c r="O786">
        <v>1</v>
      </c>
      <c r="P786" t="s">
        <v>52</v>
      </c>
      <c r="Q786">
        <v>2</v>
      </c>
      <c r="R786" t="s">
        <v>53</v>
      </c>
      <c r="S786">
        <v>21309</v>
      </c>
      <c r="T786" t="s">
        <v>54</v>
      </c>
      <c r="U786">
        <v>133.18</v>
      </c>
      <c r="V786">
        <v>2</v>
      </c>
      <c r="W786" t="s">
        <v>55</v>
      </c>
      <c r="X786">
        <v>11</v>
      </c>
      <c r="Y786">
        <v>3</v>
      </c>
      <c r="Z786">
        <v>3</v>
      </c>
      <c r="AA786">
        <v>0</v>
      </c>
      <c r="AB786">
        <v>15</v>
      </c>
      <c r="AC786">
        <v>4</v>
      </c>
      <c r="AD786">
        <v>3</v>
      </c>
      <c r="AE786">
        <v>4</v>
      </c>
      <c r="AF786">
        <v>3</v>
      </c>
      <c r="AG786">
        <v>1</v>
      </c>
      <c r="AH786">
        <v>3</v>
      </c>
      <c r="AI786">
        <f t="shared" si="84"/>
        <v>0</v>
      </c>
      <c r="AJ786" t="str">
        <f t="shared" si="85"/>
        <v>4-5 yrs</v>
      </c>
      <c r="AK786" t="str">
        <f t="shared" si="86"/>
        <v>Recent</v>
      </c>
      <c r="AL786">
        <f t="shared" si="87"/>
        <v>1</v>
      </c>
      <c r="AM786" t="str">
        <f t="shared" si="88"/>
        <v>Low Risk</v>
      </c>
      <c r="AN786" s="6">
        <f t="shared" si="89"/>
        <v>-0.58799780674824298</v>
      </c>
      <c r="AO786" s="7">
        <f t="shared" si="90"/>
        <v>255708</v>
      </c>
    </row>
    <row r="787" spans="1:41" x14ac:dyDescent="0.3">
      <c r="A787" t="s">
        <v>855</v>
      </c>
      <c r="B787">
        <v>36</v>
      </c>
      <c r="C787" t="s">
        <v>802</v>
      </c>
      <c r="D787" t="s">
        <v>55</v>
      </c>
      <c r="E787" t="s">
        <v>66</v>
      </c>
      <c r="F787">
        <v>894</v>
      </c>
      <c r="G787" t="s">
        <v>735</v>
      </c>
      <c r="H787">
        <v>1</v>
      </c>
      <c r="I787">
        <v>4</v>
      </c>
      <c r="J787" t="s">
        <v>58</v>
      </c>
      <c r="K787">
        <v>1662</v>
      </c>
      <c r="L787">
        <v>4</v>
      </c>
      <c r="M787" t="s">
        <v>59</v>
      </c>
      <c r="N787">
        <v>2</v>
      </c>
      <c r="O787">
        <v>2</v>
      </c>
      <c r="P787" t="s">
        <v>120</v>
      </c>
      <c r="Q787">
        <v>3</v>
      </c>
      <c r="R787" t="s">
        <v>113</v>
      </c>
      <c r="S787">
        <v>7970</v>
      </c>
      <c r="T787" t="s">
        <v>54</v>
      </c>
      <c r="U787">
        <v>49.81</v>
      </c>
      <c r="V787">
        <v>0</v>
      </c>
      <c r="W787" t="s">
        <v>55</v>
      </c>
      <c r="X787">
        <v>15</v>
      </c>
      <c r="Y787">
        <v>3</v>
      </c>
      <c r="Z787">
        <v>3</v>
      </c>
      <c r="AA787">
        <v>0</v>
      </c>
      <c r="AB787">
        <v>4</v>
      </c>
      <c r="AC787">
        <v>6</v>
      </c>
      <c r="AD787">
        <v>3</v>
      </c>
      <c r="AE787">
        <v>3</v>
      </c>
      <c r="AF787">
        <v>2</v>
      </c>
      <c r="AG787">
        <v>1</v>
      </c>
      <c r="AH787">
        <v>2</v>
      </c>
      <c r="AI787">
        <f t="shared" si="84"/>
        <v>0</v>
      </c>
      <c r="AJ787" t="str">
        <f t="shared" si="85"/>
        <v>2-3 yrs</v>
      </c>
      <c r="AK787" t="str">
        <f t="shared" si="86"/>
        <v>Recent</v>
      </c>
      <c r="AL787">
        <f t="shared" si="87"/>
        <v>0</v>
      </c>
      <c r="AM787" t="str">
        <f t="shared" si="88"/>
        <v>Minimal Risk</v>
      </c>
      <c r="AN787" s="6">
        <f t="shared" si="89"/>
        <v>-0.82007134861752196</v>
      </c>
      <c r="AO787" s="7">
        <f t="shared" si="90"/>
        <v>95640</v>
      </c>
    </row>
    <row r="788" spans="1:41" x14ac:dyDescent="0.3">
      <c r="A788" t="s">
        <v>856</v>
      </c>
      <c r="B788">
        <v>36</v>
      </c>
      <c r="C788" t="s">
        <v>802</v>
      </c>
      <c r="D788" t="s">
        <v>55</v>
      </c>
      <c r="E788" t="s">
        <v>48</v>
      </c>
      <c r="F788">
        <v>1040</v>
      </c>
      <c r="G788" t="s">
        <v>735</v>
      </c>
      <c r="H788">
        <v>3</v>
      </c>
      <c r="I788">
        <v>2</v>
      </c>
      <c r="J788" t="s">
        <v>50</v>
      </c>
      <c r="K788">
        <v>1664</v>
      </c>
      <c r="L788">
        <v>4</v>
      </c>
      <c r="M788" t="s">
        <v>51</v>
      </c>
      <c r="N788">
        <v>4</v>
      </c>
      <c r="O788">
        <v>2</v>
      </c>
      <c r="P788" t="s">
        <v>168</v>
      </c>
      <c r="Q788">
        <v>1</v>
      </c>
      <c r="R788" t="s">
        <v>53</v>
      </c>
      <c r="S788">
        <v>73474</v>
      </c>
      <c r="T788" t="s">
        <v>64</v>
      </c>
      <c r="U788">
        <v>459.21</v>
      </c>
      <c r="V788">
        <v>6</v>
      </c>
      <c r="W788" t="s">
        <v>55</v>
      </c>
      <c r="X788">
        <v>20</v>
      </c>
      <c r="Y788">
        <v>4</v>
      </c>
      <c r="Z788">
        <v>1</v>
      </c>
      <c r="AA788">
        <v>1</v>
      </c>
      <c r="AB788">
        <v>13</v>
      </c>
      <c r="AC788">
        <v>3</v>
      </c>
      <c r="AD788">
        <v>3</v>
      </c>
      <c r="AE788">
        <v>5</v>
      </c>
      <c r="AF788">
        <v>4</v>
      </c>
      <c r="AG788">
        <v>0</v>
      </c>
      <c r="AH788">
        <v>4</v>
      </c>
      <c r="AI788">
        <f t="shared" si="84"/>
        <v>0</v>
      </c>
      <c r="AJ788" t="str">
        <f t="shared" si="85"/>
        <v>4-5 yrs</v>
      </c>
      <c r="AK788" t="str">
        <f t="shared" si="86"/>
        <v>Recent</v>
      </c>
      <c r="AL788">
        <f t="shared" si="87"/>
        <v>1</v>
      </c>
      <c r="AM788" t="str">
        <f t="shared" si="88"/>
        <v>Low Risk</v>
      </c>
      <c r="AN788" s="6">
        <f t="shared" si="89"/>
        <v>0.52470028815026515</v>
      </c>
      <c r="AO788" s="7">
        <f t="shared" si="90"/>
        <v>881688</v>
      </c>
    </row>
    <row r="789" spans="1:41" x14ac:dyDescent="0.3">
      <c r="A789" t="s">
        <v>857</v>
      </c>
      <c r="B789">
        <v>36</v>
      </c>
      <c r="C789" t="s">
        <v>802</v>
      </c>
      <c r="D789" t="s">
        <v>55</v>
      </c>
      <c r="E789" t="s">
        <v>48</v>
      </c>
      <c r="F789">
        <v>1351</v>
      </c>
      <c r="G789" t="s">
        <v>735</v>
      </c>
      <c r="H789">
        <v>26</v>
      </c>
      <c r="I789">
        <v>4</v>
      </c>
      <c r="J789" t="s">
        <v>50</v>
      </c>
      <c r="K789">
        <v>1682</v>
      </c>
      <c r="L789">
        <v>1</v>
      </c>
      <c r="M789" t="s">
        <v>51</v>
      </c>
      <c r="N789">
        <v>3</v>
      </c>
      <c r="O789">
        <v>2</v>
      </c>
      <c r="P789" t="s">
        <v>168</v>
      </c>
      <c r="Q789">
        <v>3</v>
      </c>
      <c r="R789" t="s">
        <v>113</v>
      </c>
      <c r="S789">
        <v>87704</v>
      </c>
      <c r="T789" t="s">
        <v>70</v>
      </c>
      <c r="U789">
        <v>548.15</v>
      </c>
      <c r="V789">
        <v>6</v>
      </c>
      <c r="W789" t="s">
        <v>55</v>
      </c>
      <c r="X789">
        <v>14</v>
      </c>
      <c r="Y789">
        <v>3</v>
      </c>
      <c r="Z789">
        <v>2</v>
      </c>
      <c r="AA789">
        <v>2</v>
      </c>
      <c r="AB789">
        <v>10</v>
      </c>
      <c r="AC789">
        <v>2</v>
      </c>
      <c r="AD789">
        <v>2</v>
      </c>
      <c r="AE789">
        <v>3</v>
      </c>
      <c r="AF789">
        <v>2</v>
      </c>
      <c r="AG789">
        <v>0</v>
      </c>
      <c r="AH789">
        <v>2</v>
      </c>
      <c r="AI789">
        <f t="shared" si="84"/>
        <v>0</v>
      </c>
      <c r="AJ789" t="str">
        <f t="shared" si="85"/>
        <v>2-3 yrs</v>
      </c>
      <c r="AK789" t="str">
        <f t="shared" si="86"/>
        <v>Recent</v>
      </c>
      <c r="AL789">
        <f t="shared" si="87"/>
        <v>1</v>
      </c>
      <c r="AM789" t="str">
        <f t="shared" si="88"/>
        <v>Low Risk</v>
      </c>
      <c r="AN789" s="6">
        <f t="shared" si="89"/>
        <v>0.81999501962504895</v>
      </c>
      <c r="AO789" s="7">
        <f t="shared" si="90"/>
        <v>1052448</v>
      </c>
    </row>
    <row r="790" spans="1:41" x14ac:dyDescent="0.3">
      <c r="A790" t="s">
        <v>858</v>
      </c>
      <c r="B790">
        <v>36</v>
      </c>
      <c r="C790" t="s">
        <v>802</v>
      </c>
      <c r="D790" t="s">
        <v>55</v>
      </c>
      <c r="E790" t="s">
        <v>48</v>
      </c>
      <c r="F790">
        <v>530</v>
      </c>
      <c r="G790" t="s">
        <v>63</v>
      </c>
      <c r="H790">
        <v>2</v>
      </c>
      <c r="I790">
        <v>4</v>
      </c>
      <c r="J790" t="s">
        <v>50</v>
      </c>
      <c r="K790">
        <v>1710</v>
      </c>
      <c r="L790">
        <v>3</v>
      </c>
      <c r="M790" t="s">
        <v>59</v>
      </c>
      <c r="N790">
        <v>3</v>
      </c>
      <c r="O790">
        <v>2</v>
      </c>
      <c r="P790" t="s">
        <v>60</v>
      </c>
      <c r="Q790">
        <v>4</v>
      </c>
      <c r="R790" t="s">
        <v>53</v>
      </c>
      <c r="S790">
        <v>47540</v>
      </c>
      <c r="T790" t="s">
        <v>72</v>
      </c>
      <c r="U790">
        <v>297.12</v>
      </c>
      <c r="V790">
        <v>3</v>
      </c>
      <c r="W790" t="s">
        <v>55</v>
      </c>
      <c r="X790">
        <v>15</v>
      </c>
      <c r="Y790">
        <v>3</v>
      </c>
      <c r="Z790">
        <v>3</v>
      </c>
      <c r="AA790">
        <v>0</v>
      </c>
      <c r="AB790">
        <v>17</v>
      </c>
      <c r="AC790">
        <v>2</v>
      </c>
      <c r="AD790">
        <v>2</v>
      </c>
      <c r="AE790">
        <v>13</v>
      </c>
      <c r="AF790">
        <v>7</v>
      </c>
      <c r="AG790">
        <v>6</v>
      </c>
      <c r="AH790">
        <v>7</v>
      </c>
      <c r="AI790">
        <f t="shared" si="84"/>
        <v>0</v>
      </c>
      <c r="AJ790" t="str">
        <f t="shared" si="85"/>
        <v>10+ yrs</v>
      </c>
      <c r="AK790" t="str">
        <f t="shared" si="86"/>
        <v>Overdue</v>
      </c>
      <c r="AL790">
        <f t="shared" si="87"/>
        <v>2</v>
      </c>
      <c r="AM790" t="str">
        <f t="shared" si="88"/>
        <v>Medium Risk</v>
      </c>
      <c r="AN790" s="6">
        <f t="shared" si="89"/>
        <v>-3.6223669593293116E-2</v>
      </c>
      <c r="AO790" s="7">
        <f t="shared" si="90"/>
        <v>570480</v>
      </c>
    </row>
    <row r="791" spans="1:41" x14ac:dyDescent="0.3">
      <c r="A791" t="s">
        <v>859</v>
      </c>
      <c r="B791">
        <v>36</v>
      </c>
      <c r="C791" t="s">
        <v>802</v>
      </c>
      <c r="D791" t="s">
        <v>47</v>
      </c>
      <c r="E791" t="s">
        <v>48</v>
      </c>
      <c r="F791">
        <v>1456</v>
      </c>
      <c r="G791" t="s">
        <v>63</v>
      </c>
      <c r="H791">
        <v>13</v>
      </c>
      <c r="I791">
        <v>5</v>
      </c>
      <c r="J791" t="s">
        <v>63</v>
      </c>
      <c r="K791">
        <v>1733</v>
      </c>
      <c r="L791">
        <v>2</v>
      </c>
      <c r="M791" t="s">
        <v>51</v>
      </c>
      <c r="N791">
        <v>2</v>
      </c>
      <c r="O791">
        <v>2</v>
      </c>
      <c r="P791" t="s">
        <v>145</v>
      </c>
      <c r="Q791">
        <v>1</v>
      </c>
      <c r="R791" t="s">
        <v>53</v>
      </c>
      <c r="S791">
        <v>21384</v>
      </c>
      <c r="T791" t="s">
        <v>54</v>
      </c>
      <c r="U791">
        <v>133.65</v>
      </c>
      <c r="V791">
        <v>5</v>
      </c>
      <c r="W791" t="s">
        <v>47</v>
      </c>
      <c r="X791">
        <v>13</v>
      </c>
      <c r="Y791">
        <v>3</v>
      </c>
      <c r="Z791">
        <v>2</v>
      </c>
      <c r="AA791">
        <v>3</v>
      </c>
      <c r="AB791">
        <v>16</v>
      </c>
      <c r="AC791">
        <v>3</v>
      </c>
      <c r="AD791">
        <v>3</v>
      </c>
      <c r="AE791">
        <v>2</v>
      </c>
      <c r="AF791">
        <v>2</v>
      </c>
      <c r="AG791">
        <v>2</v>
      </c>
      <c r="AH791">
        <v>2</v>
      </c>
      <c r="AI791">
        <f t="shared" si="84"/>
        <v>1</v>
      </c>
      <c r="AJ791" t="str">
        <f t="shared" si="85"/>
        <v>2-3 yrs</v>
      </c>
      <c r="AK791" t="str">
        <f t="shared" si="86"/>
        <v>Recent</v>
      </c>
      <c r="AL791">
        <f t="shared" si="87"/>
        <v>2</v>
      </c>
      <c r="AM791" t="str">
        <f t="shared" si="88"/>
        <v>Medium Risk</v>
      </c>
      <c r="AN791" s="6">
        <f t="shared" si="89"/>
        <v>-0.56410752070994485</v>
      </c>
      <c r="AO791" s="7">
        <f t="shared" si="90"/>
        <v>256608</v>
      </c>
    </row>
    <row r="792" spans="1:41" x14ac:dyDescent="0.3">
      <c r="A792" t="s">
        <v>860</v>
      </c>
      <c r="B792">
        <v>36</v>
      </c>
      <c r="C792" t="s">
        <v>802</v>
      </c>
      <c r="D792" t="s">
        <v>55</v>
      </c>
      <c r="E792" t="s">
        <v>48</v>
      </c>
      <c r="F792">
        <v>1383</v>
      </c>
      <c r="G792" t="s">
        <v>735</v>
      </c>
      <c r="H792">
        <v>10</v>
      </c>
      <c r="I792">
        <v>3</v>
      </c>
      <c r="J792" t="s">
        <v>50</v>
      </c>
      <c r="K792">
        <v>1790</v>
      </c>
      <c r="L792">
        <v>4</v>
      </c>
      <c r="M792" t="s">
        <v>51</v>
      </c>
      <c r="N792">
        <v>3</v>
      </c>
      <c r="O792">
        <v>3</v>
      </c>
      <c r="P792" t="s">
        <v>168</v>
      </c>
      <c r="Q792">
        <v>1</v>
      </c>
      <c r="R792" t="s">
        <v>113</v>
      </c>
      <c r="S792">
        <v>19017</v>
      </c>
      <c r="T792" t="s">
        <v>54</v>
      </c>
      <c r="U792">
        <v>118.86</v>
      </c>
      <c r="V792">
        <v>7</v>
      </c>
      <c r="W792" t="s">
        <v>47</v>
      </c>
      <c r="X792">
        <v>13</v>
      </c>
      <c r="Y792">
        <v>3</v>
      </c>
      <c r="Z792">
        <v>4</v>
      </c>
      <c r="AA792">
        <v>1</v>
      </c>
      <c r="AB792">
        <v>15</v>
      </c>
      <c r="AC792">
        <v>1</v>
      </c>
      <c r="AD792">
        <v>3</v>
      </c>
      <c r="AE792">
        <v>12</v>
      </c>
      <c r="AF792">
        <v>8</v>
      </c>
      <c r="AG792">
        <v>5</v>
      </c>
      <c r="AH792">
        <v>7</v>
      </c>
      <c r="AI792">
        <f t="shared" si="84"/>
        <v>0</v>
      </c>
      <c r="AJ792" t="str">
        <f t="shared" si="85"/>
        <v>10+ yrs</v>
      </c>
      <c r="AK792" t="str">
        <f t="shared" si="86"/>
        <v>Overdue</v>
      </c>
      <c r="AL792">
        <f t="shared" si="87"/>
        <v>3</v>
      </c>
      <c r="AM792" t="str">
        <f t="shared" si="88"/>
        <v>High Risk</v>
      </c>
      <c r="AN792" s="6">
        <f t="shared" si="89"/>
        <v>-0.60536753981335445</v>
      </c>
      <c r="AO792" s="7">
        <f t="shared" si="90"/>
        <v>228204</v>
      </c>
    </row>
    <row r="793" spans="1:41" x14ac:dyDescent="0.3">
      <c r="A793" t="s">
        <v>861</v>
      </c>
      <c r="B793">
        <v>36</v>
      </c>
      <c r="C793" t="s">
        <v>802</v>
      </c>
      <c r="D793" t="s">
        <v>55</v>
      </c>
      <c r="E793" t="s">
        <v>48</v>
      </c>
      <c r="F793">
        <v>430</v>
      </c>
      <c r="G793" t="s">
        <v>735</v>
      </c>
      <c r="H793">
        <v>2</v>
      </c>
      <c r="I793">
        <v>4</v>
      </c>
      <c r="J793" t="s">
        <v>82</v>
      </c>
      <c r="K793">
        <v>1847</v>
      </c>
      <c r="L793">
        <v>4</v>
      </c>
      <c r="M793" t="s">
        <v>59</v>
      </c>
      <c r="N793">
        <v>3</v>
      </c>
      <c r="O793">
        <v>2</v>
      </c>
      <c r="P793" t="s">
        <v>67</v>
      </c>
      <c r="Q793">
        <v>2</v>
      </c>
      <c r="R793" t="s">
        <v>113</v>
      </c>
      <c r="S793">
        <v>76880</v>
      </c>
      <c r="T793" t="s">
        <v>64</v>
      </c>
      <c r="U793">
        <v>480.5</v>
      </c>
      <c r="V793">
        <v>4</v>
      </c>
      <c r="W793" t="s">
        <v>47</v>
      </c>
      <c r="X793">
        <v>22</v>
      </c>
      <c r="Y793">
        <v>4</v>
      </c>
      <c r="Z793">
        <v>4</v>
      </c>
      <c r="AA793">
        <v>1</v>
      </c>
      <c r="AB793">
        <v>15</v>
      </c>
      <c r="AC793">
        <v>2</v>
      </c>
      <c r="AD793">
        <v>3</v>
      </c>
      <c r="AE793">
        <v>1</v>
      </c>
      <c r="AF793">
        <v>0</v>
      </c>
      <c r="AG793">
        <v>0</v>
      </c>
      <c r="AH793">
        <v>0</v>
      </c>
      <c r="AI793">
        <f t="shared" si="84"/>
        <v>0</v>
      </c>
      <c r="AJ793" t="str">
        <f t="shared" si="85"/>
        <v>0-1 yr</v>
      </c>
      <c r="AK793" t="str">
        <f t="shared" si="86"/>
        <v>Recent</v>
      </c>
      <c r="AL793">
        <f t="shared" si="87"/>
        <v>2</v>
      </c>
      <c r="AM793" t="str">
        <f t="shared" si="88"/>
        <v>Medium Risk</v>
      </c>
      <c r="AN793" s="6">
        <f t="shared" si="89"/>
        <v>0.54172867572738126</v>
      </c>
      <c r="AO793" s="7">
        <f t="shared" si="90"/>
        <v>922560</v>
      </c>
    </row>
    <row r="794" spans="1:41" x14ac:dyDescent="0.3">
      <c r="A794" t="s">
        <v>862</v>
      </c>
      <c r="B794">
        <v>36</v>
      </c>
      <c r="C794" t="s">
        <v>802</v>
      </c>
      <c r="D794" t="s">
        <v>55</v>
      </c>
      <c r="E794" t="s">
        <v>48</v>
      </c>
      <c r="F794">
        <v>1266</v>
      </c>
      <c r="G794" t="s">
        <v>63</v>
      </c>
      <c r="H794">
        <v>10</v>
      </c>
      <c r="I794">
        <v>4</v>
      </c>
      <c r="J794" t="s">
        <v>77</v>
      </c>
      <c r="K794">
        <v>1880</v>
      </c>
      <c r="L794">
        <v>2</v>
      </c>
      <c r="M794" t="s">
        <v>59</v>
      </c>
      <c r="N794">
        <v>2</v>
      </c>
      <c r="O794">
        <v>2</v>
      </c>
      <c r="P794" t="s">
        <v>145</v>
      </c>
      <c r="Q794">
        <v>3</v>
      </c>
      <c r="R794" t="s">
        <v>113</v>
      </c>
      <c r="S794">
        <v>9702</v>
      </c>
      <c r="T794" t="s">
        <v>54</v>
      </c>
      <c r="U794">
        <v>60.64</v>
      </c>
      <c r="V794">
        <v>1</v>
      </c>
      <c r="W794" t="s">
        <v>47</v>
      </c>
      <c r="X794">
        <v>13</v>
      </c>
      <c r="Y794">
        <v>3</v>
      </c>
      <c r="Z794">
        <v>1</v>
      </c>
      <c r="AA794">
        <v>1</v>
      </c>
      <c r="AB794">
        <v>10</v>
      </c>
      <c r="AC794">
        <v>4</v>
      </c>
      <c r="AD794">
        <v>3</v>
      </c>
      <c r="AE794">
        <v>10</v>
      </c>
      <c r="AF794">
        <v>9</v>
      </c>
      <c r="AG794">
        <v>1</v>
      </c>
      <c r="AH794">
        <v>7</v>
      </c>
      <c r="AI794">
        <f t="shared" si="84"/>
        <v>0</v>
      </c>
      <c r="AJ794" t="str">
        <f t="shared" si="85"/>
        <v>6-10 yrs</v>
      </c>
      <c r="AK794" t="str">
        <f t="shared" si="86"/>
        <v>Recent</v>
      </c>
      <c r="AL794">
        <f t="shared" si="87"/>
        <v>1</v>
      </c>
      <c r="AM794" t="str">
        <f t="shared" si="88"/>
        <v>Low Risk</v>
      </c>
      <c r="AN794" s="6">
        <f t="shared" si="89"/>
        <v>-0.80223396772951205</v>
      </c>
      <c r="AO794" s="7">
        <f t="shared" si="90"/>
        <v>116424</v>
      </c>
    </row>
    <row r="795" spans="1:41" x14ac:dyDescent="0.3">
      <c r="A795" t="s">
        <v>863</v>
      </c>
      <c r="B795">
        <v>36</v>
      </c>
      <c r="C795" t="s">
        <v>802</v>
      </c>
      <c r="D795" t="s">
        <v>55</v>
      </c>
      <c r="E795" t="s">
        <v>62</v>
      </c>
      <c r="F795">
        <v>1213</v>
      </c>
      <c r="G795" t="s">
        <v>80</v>
      </c>
      <c r="H795">
        <v>2</v>
      </c>
      <c r="I795">
        <v>1</v>
      </c>
      <c r="J795" t="s">
        <v>80</v>
      </c>
      <c r="K795">
        <v>1890</v>
      </c>
      <c r="L795">
        <v>2</v>
      </c>
      <c r="M795" t="s">
        <v>51</v>
      </c>
      <c r="N795">
        <v>2</v>
      </c>
      <c r="O795">
        <v>2</v>
      </c>
      <c r="P795" t="s">
        <v>80</v>
      </c>
      <c r="Q795">
        <v>4</v>
      </c>
      <c r="R795" t="s">
        <v>53</v>
      </c>
      <c r="S795">
        <v>1384</v>
      </c>
      <c r="T795" t="s">
        <v>54</v>
      </c>
      <c r="U795">
        <v>8.65</v>
      </c>
      <c r="V795">
        <v>1</v>
      </c>
      <c r="W795" t="s">
        <v>55</v>
      </c>
      <c r="X795">
        <v>21</v>
      </c>
      <c r="Y795">
        <v>4</v>
      </c>
      <c r="Z795">
        <v>4</v>
      </c>
      <c r="AA795">
        <v>0</v>
      </c>
      <c r="AB795">
        <v>10</v>
      </c>
      <c r="AC795">
        <v>2</v>
      </c>
      <c r="AD795">
        <v>2</v>
      </c>
      <c r="AE795">
        <v>10</v>
      </c>
      <c r="AF795">
        <v>1</v>
      </c>
      <c r="AG795">
        <v>0</v>
      </c>
      <c r="AH795">
        <v>8</v>
      </c>
      <c r="AI795">
        <f t="shared" si="84"/>
        <v>0</v>
      </c>
      <c r="AJ795" t="str">
        <f t="shared" si="85"/>
        <v>6-10 yrs</v>
      </c>
      <c r="AK795" t="str">
        <f t="shared" si="86"/>
        <v>Recent</v>
      </c>
      <c r="AL795">
        <f t="shared" si="87"/>
        <v>1</v>
      </c>
      <c r="AM795" t="str">
        <f t="shared" si="88"/>
        <v>Low Risk</v>
      </c>
      <c r="AN795" s="6">
        <f t="shared" si="89"/>
        <v>-0.97272586018061991</v>
      </c>
      <c r="AO795" s="7">
        <f t="shared" si="90"/>
        <v>16608</v>
      </c>
    </row>
    <row r="796" spans="1:41" x14ac:dyDescent="0.3">
      <c r="A796" t="s">
        <v>864</v>
      </c>
      <c r="B796">
        <v>36</v>
      </c>
      <c r="C796" t="s">
        <v>802</v>
      </c>
      <c r="D796" t="s">
        <v>55</v>
      </c>
      <c r="E796" t="s">
        <v>48</v>
      </c>
      <c r="F796">
        <v>335</v>
      </c>
      <c r="G796" t="s">
        <v>63</v>
      </c>
      <c r="H796">
        <v>17</v>
      </c>
      <c r="I796">
        <v>2</v>
      </c>
      <c r="J796" t="s">
        <v>63</v>
      </c>
      <c r="K796">
        <v>1908</v>
      </c>
      <c r="L796">
        <v>3</v>
      </c>
      <c r="M796" t="s">
        <v>51</v>
      </c>
      <c r="N796">
        <v>2</v>
      </c>
      <c r="O796">
        <v>2</v>
      </c>
      <c r="P796" t="s">
        <v>145</v>
      </c>
      <c r="Q796">
        <v>2</v>
      </c>
      <c r="R796" t="s">
        <v>113</v>
      </c>
      <c r="S796">
        <v>1404</v>
      </c>
      <c r="T796" t="s">
        <v>54</v>
      </c>
      <c r="U796">
        <v>8.7799999999999994</v>
      </c>
      <c r="V796">
        <v>2</v>
      </c>
      <c r="W796" t="s">
        <v>55</v>
      </c>
      <c r="X796">
        <v>16</v>
      </c>
      <c r="Y796">
        <v>3</v>
      </c>
      <c r="Z796">
        <v>3</v>
      </c>
      <c r="AA796">
        <v>2</v>
      </c>
      <c r="AB796">
        <v>12</v>
      </c>
      <c r="AC796">
        <v>1</v>
      </c>
      <c r="AD796">
        <v>1</v>
      </c>
      <c r="AE796">
        <v>4</v>
      </c>
      <c r="AF796">
        <v>2</v>
      </c>
      <c r="AG796">
        <v>1</v>
      </c>
      <c r="AH796">
        <v>3</v>
      </c>
      <c r="AI796">
        <f t="shared" si="84"/>
        <v>0</v>
      </c>
      <c r="AJ796" t="str">
        <f t="shared" si="85"/>
        <v>4-5 yrs</v>
      </c>
      <c r="AK796" t="str">
        <f t="shared" si="86"/>
        <v>Recent</v>
      </c>
      <c r="AL796">
        <f t="shared" si="87"/>
        <v>2</v>
      </c>
      <c r="AM796" t="str">
        <f t="shared" si="88"/>
        <v>Medium Risk</v>
      </c>
      <c r="AN796" s="6">
        <f t="shared" si="89"/>
        <v>-0.97138079681428935</v>
      </c>
      <c r="AO796" s="7">
        <f t="shared" si="90"/>
        <v>16848</v>
      </c>
    </row>
    <row r="797" spans="1:41" x14ac:dyDescent="0.3">
      <c r="A797" t="s">
        <v>865</v>
      </c>
      <c r="B797">
        <v>36</v>
      </c>
      <c r="C797" t="s">
        <v>802</v>
      </c>
      <c r="D797" t="s">
        <v>55</v>
      </c>
      <c r="E797" t="s">
        <v>66</v>
      </c>
      <c r="F797">
        <v>1351</v>
      </c>
      <c r="G797" t="s">
        <v>735</v>
      </c>
      <c r="H797">
        <v>9</v>
      </c>
      <c r="I797">
        <v>4</v>
      </c>
      <c r="J797" t="s">
        <v>50</v>
      </c>
      <c r="K797">
        <v>1949</v>
      </c>
      <c r="L797">
        <v>1</v>
      </c>
      <c r="M797" t="s">
        <v>51</v>
      </c>
      <c r="N797">
        <v>4</v>
      </c>
      <c r="O797">
        <v>1</v>
      </c>
      <c r="P797" t="s">
        <v>52</v>
      </c>
      <c r="Q797">
        <v>2</v>
      </c>
      <c r="R797" t="s">
        <v>113</v>
      </c>
      <c r="S797">
        <v>41943</v>
      </c>
      <c r="T797" t="s">
        <v>72</v>
      </c>
      <c r="U797">
        <v>262.14</v>
      </c>
      <c r="V797">
        <v>1</v>
      </c>
      <c r="W797" t="s">
        <v>55</v>
      </c>
      <c r="X797">
        <v>22</v>
      </c>
      <c r="Y797">
        <v>4</v>
      </c>
      <c r="Z797">
        <v>2</v>
      </c>
      <c r="AA797">
        <v>0</v>
      </c>
      <c r="AB797">
        <v>5</v>
      </c>
      <c r="AC797">
        <v>3</v>
      </c>
      <c r="AD797">
        <v>3</v>
      </c>
      <c r="AE797">
        <v>5</v>
      </c>
      <c r="AF797">
        <v>4</v>
      </c>
      <c r="AG797">
        <v>0</v>
      </c>
      <c r="AH797">
        <v>2</v>
      </c>
      <c r="AI797">
        <f t="shared" si="84"/>
        <v>0</v>
      </c>
      <c r="AJ797" t="str">
        <f t="shared" si="85"/>
        <v>4-5 yrs</v>
      </c>
      <c r="AK797" t="str">
        <f t="shared" si="86"/>
        <v>Recent</v>
      </c>
      <c r="AL797">
        <f t="shared" si="87"/>
        <v>1</v>
      </c>
      <c r="AM797" t="str">
        <f t="shared" si="88"/>
        <v>Low Risk</v>
      </c>
      <c r="AN797" s="6">
        <f t="shared" si="89"/>
        <v>-0.18904650656725117</v>
      </c>
      <c r="AO797" s="7">
        <f t="shared" si="90"/>
        <v>503316</v>
      </c>
    </row>
    <row r="798" spans="1:41" x14ac:dyDescent="0.3">
      <c r="A798" t="s">
        <v>866</v>
      </c>
      <c r="B798">
        <v>36</v>
      </c>
      <c r="C798" t="s">
        <v>802</v>
      </c>
      <c r="D798" t="s">
        <v>55</v>
      </c>
      <c r="E798" t="s">
        <v>48</v>
      </c>
      <c r="F798">
        <v>557</v>
      </c>
      <c r="G798" t="s">
        <v>63</v>
      </c>
      <c r="H798">
        <v>3</v>
      </c>
      <c r="I798">
        <v>3</v>
      </c>
      <c r="J798" t="s">
        <v>58</v>
      </c>
      <c r="K798">
        <v>2024</v>
      </c>
      <c r="L798">
        <v>1</v>
      </c>
      <c r="M798" t="s">
        <v>59</v>
      </c>
      <c r="N798">
        <v>2</v>
      </c>
      <c r="O798">
        <v>3</v>
      </c>
      <c r="P798" t="s">
        <v>145</v>
      </c>
      <c r="Q798">
        <v>4</v>
      </c>
      <c r="R798" t="s">
        <v>113</v>
      </c>
      <c r="S798">
        <v>48926</v>
      </c>
      <c r="T798" t="s">
        <v>72</v>
      </c>
      <c r="U798">
        <v>305.79000000000002</v>
      </c>
      <c r="V798">
        <v>0</v>
      </c>
      <c r="W798" t="s">
        <v>55</v>
      </c>
      <c r="X798">
        <v>19</v>
      </c>
      <c r="Y798">
        <v>3</v>
      </c>
      <c r="Z798">
        <v>3</v>
      </c>
      <c r="AA798">
        <v>2</v>
      </c>
      <c r="AB798">
        <v>10</v>
      </c>
      <c r="AC798">
        <v>2</v>
      </c>
      <c r="AD798">
        <v>3</v>
      </c>
      <c r="AE798">
        <v>9</v>
      </c>
      <c r="AF798">
        <v>7</v>
      </c>
      <c r="AG798">
        <v>3</v>
      </c>
      <c r="AH798">
        <v>4</v>
      </c>
      <c r="AI798">
        <f t="shared" si="84"/>
        <v>0</v>
      </c>
      <c r="AJ798" t="str">
        <f t="shared" si="85"/>
        <v>6-10 yrs</v>
      </c>
      <c r="AK798" t="str">
        <f t="shared" si="86"/>
        <v>Overdue</v>
      </c>
      <c r="AL798">
        <f t="shared" si="87"/>
        <v>1</v>
      </c>
      <c r="AM798" t="str">
        <f t="shared" si="88"/>
        <v>Low Risk</v>
      </c>
      <c r="AN798" s="6">
        <f t="shared" si="89"/>
        <v>-2.6900747406827558E-3</v>
      </c>
      <c r="AO798" s="7">
        <f t="shared" si="90"/>
        <v>587112</v>
      </c>
    </row>
    <row r="799" spans="1:41" x14ac:dyDescent="0.3">
      <c r="A799" t="s">
        <v>867</v>
      </c>
      <c r="B799">
        <v>36</v>
      </c>
      <c r="C799" t="s">
        <v>802</v>
      </c>
      <c r="D799" t="s">
        <v>55</v>
      </c>
      <c r="E799" t="s">
        <v>62</v>
      </c>
      <c r="F799">
        <v>688</v>
      </c>
      <c r="G799" t="s">
        <v>735</v>
      </c>
      <c r="H799">
        <v>4</v>
      </c>
      <c r="I799">
        <v>2</v>
      </c>
      <c r="J799" t="s">
        <v>50</v>
      </c>
      <c r="K799">
        <v>2025</v>
      </c>
      <c r="L799">
        <v>4</v>
      </c>
      <c r="M799" t="s">
        <v>59</v>
      </c>
      <c r="N799">
        <v>3</v>
      </c>
      <c r="O799">
        <v>2</v>
      </c>
      <c r="P799" t="s">
        <v>120</v>
      </c>
      <c r="Q799">
        <v>2</v>
      </c>
      <c r="R799" t="s">
        <v>53</v>
      </c>
      <c r="S799">
        <v>30189</v>
      </c>
      <c r="T799" t="s">
        <v>72</v>
      </c>
      <c r="U799">
        <v>188.68</v>
      </c>
      <c r="V799">
        <v>7</v>
      </c>
      <c r="W799" t="s">
        <v>55</v>
      </c>
      <c r="X799">
        <v>13</v>
      </c>
      <c r="Y799">
        <v>3</v>
      </c>
      <c r="Z799">
        <v>2</v>
      </c>
      <c r="AA799">
        <v>3</v>
      </c>
      <c r="AB799">
        <v>18</v>
      </c>
      <c r="AC799">
        <v>3</v>
      </c>
      <c r="AD799">
        <v>3</v>
      </c>
      <c r="AE799">
        <v>4</v>
      </c>
      <c r="AF799">
        <v>2</v>
      </c>
      <c r="AG799">
        <v>0</v>
      </c>
      <c r="AH799">
        <v>2</v>
      </c>
      <c r="AI799">
        <f t="shared" si="84"/>
        <v>0</v>
      </c>
      <c r="AJ799" t="str">
        <f t="shared" si="85"/>
        <v>4-5 yrs</v>
      </c>
      <c r="AK799" t="str">
        <f t="shared" si="86"/>
        <v>Recent</v>
      </c>
      <c r="AL799">
        <f t="shared" si="87"/>
        <v>1</v>
      </c>
      <c r="AM799" t="str">
        <f t="shared" si="88"/>
        <v>Low Risk</v>
      </c>
      <c r="AN799" s="6">
        <f t="shared" si="89"/>
        <v>-0.31846097157018455</v>
      </c>
      <c r="AO799" s="7">
        <f t="shared" si="90"/>
        <v>362268</v>
      </c>
    </row>
    <row r="800" spans="1:41" x14ac:dyDescent="0.3">
      <c r="A800" t="s">
        <v>868</v>
      </c>
      <c r="B800">
        <v>36</v>
      </c>
      <c r="C800" t="s">
        <v>802</v>
      </c>
      <c r="D800" t="s">
        <v>55</v>
      </c>
      <c r="E800" t="s">
        <v>66</v>
      </c>
      <c r="F800">
        <v>301</v>
      </c>
      <c r="G800" t="s">
        <v>63</v>
      </c>
      <c r="H800">
        <v>15</v>
      </c>
      <c r="I800">
        <v>4</v>
      </c>
      <c r="J800" t="s">
        <v>63</v>
      </c>
      <c r="K800">
        <v>2036</v>
      </c>
      <c r="L800">
        <v>4</v>
      </c>
      <c r="M800" t="s">
        <v>51</v>
      </c>
      <c r="N800">
        <v>1</v>
      </c>
      <c r="O800">
        <v>2</v>
      </c>
      <c r="P800" t="s">
        <v>145</v>
      </c>
      <c r="Q800">
        <v>4</v>
      </c>
      <c r="R800" t="s">
        <v>53</v>
      </c>
      <c r="S800">
        <v>13763</v>
      </c>
      <c r="T800" t="s">
        <v>54</v>
      </c>
      <c r="U800">
        <v>86.02</v>
      </c>
      <c r="V800">
        <v>1</v>
      </c>
      <c r="W800" t="s">
        <v>55</v>
      </c>
      <c r="X800">
        <v>24</v>
      </c>
      <c r="Y800">
        <v>4</v>
      </c>
      <c r="Z800">
        <v>1</v>
      </c>
      <c r="AA800">
        <v>1</v>
      </c>
      <c r="AB800">
        <v>15</v>
      </c>
      <c r="AC800">
        <v>4</v>
      </c>
      <c r="AD800">
        <v>2</v>
      </c>
      <c r="AE800">
        <v>15</v>
      </c>
      <c r="AF800">
        <v>12</v>
      </c>
      <c r="AG800">
        <v>11</v>
      </c>
      <c r="AH800">
        <v>11</v>
      </c>
      <c r="AI800">
        <f t="shared" si="84"/>
        <v>0</v>
      </c>
      <c r="AJ800" t="str">
        <f t="shared" si="85"/>
        <v>10+ yrs</v>
      </c>
      <c r="AK800" t="str">
        <f t="shared" si="86"/>
        <v>Overdue</v>
      </c>
      <c r="AL800">
        <f t="shared" si="87"/>
        <v>2</v>
      </c>
      <c r="AM800" t="str">
        <f t="shared" si="88"/>
        <v>Medium Risk</v>
      </c>
      <c r="AN800" s="6">
        <f t="shared" si="89"/>
        <v>-0.71945434939819353</v>
      </c>
      <c r="AO800" s="7">
        <f t="shared" si="90"/>
        <v>165156</v>
      </c>
    </row>
    <row r="801" spans="1:41" x14ac:dyDescent="0.3">
      <c r="A801" t="s">
        <v>869</v>
      </c>
      <c r="B801">
        <v>36</v>
      </c>
      <c r="C801" t="s">
        <v>802</v>
      </c>
      <c r="D801" t="s">
        <v>55</v>
      </c>
      <c r="E801" t="s">
        <v>48</v>
      </c>
      <c r="F801">
        <v>1120</v>
      </c>
      <c r="G801" t="s">
        <v>63</v>
      </c>
      <c r="H801">
        <v>11</v>
      </c>
      <c r="I801">
        <v>4</v>
      </c>
      <c r="J801" t="s">
        <v>63</v>
      </c>
      <c r="K801">
        <v>2045</v>
      </c>
      <c r="L801">
        <v>2</v>
      </c>
      <c r="M801" t="s">
        <v>59</v>
      </c>
      <c r="N801">
        <v>2</v>
      </c>
      <c r="O801">
        <v>2</v>
      </c>
      <c r="P801" t="s">
        <v>145</v>
      </c>
      <c r="Q801">
        <v>4</v>
      </c>
      <c r="R801" t="s">
        <v>113</v>
      </c>
      <c r="S801">
        <v>19384</v>
      </c>
      <c r="T801" t="s">
        <v>54</v>
      </c>
      <c r="U801">
        <v>121.15</v>
      </c>
      <c r="V801">
        <v>4</v>
      </c>
      <c r="W801" t="s">
        <v>55</v>
      </c>
      <c r="X801">
        <v>13</v>
      </c>
      <c r="Y801">
        <v>3</v>
      </c>
      <c r="Z801">
        <v>1</v>
      </c>
      <c r="AA801">
        <v>1</v>
      </c>
      <c r="AB801">
        <v>8</v>
      </c>
      <c r="AC801">
        <v>2</v>
      </c>
      <c r="AD801">
        <v>2</v>
      </c>
      <c r="AE801">
        <v>6</v>
      </c>
      <c r="AF801">
        <v>3</v>
      </c>
      <c r="AG801">
        <v>0</v>
      </c>
      <c r="AH801">
        <v>0</v>
      </c>
      <c r="AI801">
        <f t="shared" si="84"/>
        <v>0</v>
      </c>
      <c r="AJ801" t="str">
        <f t="shared" si="85"/>
        <v>6-10 yrs</v>
      </c>
      <c r="AK801" t="str">
        <f t="shared" si="86"/>
        <v>Recent</v>
      </c>
      <c r="AL801">
        <f t="shared" si="87"/>
        <v>1</v>
      </c>
      <c r="AM801" t="str">
        <f t="shared" si="88"/>
        <v>Low Risk</v>
      </c>
      <c r="AN801" s="6">
        <f t="shared" si="89"/>
        <v>-0.60487561641608545</v>
      </c>
      <c r="AO801" s="7">
        <f t="shared" si="90"/>
        <v>232608</v>
      </c>
    </row>
    <row r="802" spans="1:41" x14ac:dyDescent="0.3">
      <c r="A802" t="s">
        <v>870</v>
      </c>
      <c r="B802">
        <v>36</v>
      </c>
      <c r="C802" t="s">
        <v>802</v>
      </c>
      <c r="D802" t="s">
        <v>55</v>
      </c>
      <c r="E802" t="s">
        <v>62</v>
      </c>
      <c r="F802">
        <v>884</v>
      </c>
      <c r="G802" t="s">
        <v>735</v>
      </c>
      <c r="H802">
        <v>23</v>
      </c>
      <c r="I802">
        <v>2</v>
      </c>
      <c r="J802" t="s">
        <v>58</v>
      </c>
      <c r="K802">
        <v>2061</v>
      </c>
      <c r="L802">
        <v>3</v>
      </c>
      <c r="M802" t="s">
        <v>51</v>
      </c>
      <c r="N802">
        <v>4</v>
      </c>
      <c r="O802">
        <v>2</v>
      </c>
      <c r="P802" t="s">
        <v>52</v>
      </c>
      <c r="Q802">
        <v>4</v>
      </c>
      <c r="R802" t="s">
        <v>113</v>
      </c>
      <c r="S802">
        <v>61100</v>
      </c>
      <c r="T802" t="s">
        <v>64</v>
      </c>
      <c r="U802">
        <v>381.88</v>
      </c>
      <c r="V802">
        <v>4</v>
      </c>
      <c r="W802" t="s">
        <v>55</v>
      </c>
      <c r="X802">
        <v>17</v>
      </c>
      <c r="Y802">
        <v>3</v>
      </c>
      <c r="Z802">
        <v>3</v>
      </c>
      <c r="AA802">
        <v>1</v>
      </c>
      <c r="AB802">
        <v>17</v>
      </c>
      <c r="AC802">
        <v>3</v>
      </c>
      <c r="AD802">
        <v>3</v>
      </c>
      <c r="AE802">
        <v>5</v>
      </c>
      <c r="AF802">
        <v>2</v>
      </c>
      <c r="AG802">
        <v>0</v>
      </c>
      <c r="AH802">
        <v>3</v>
      </c>
      <c r="AI802">
        <f t="shared" si="84"/>
        <v>0</v>
      </c>
      <c r="AJ802" t="str">
        <f t="shared" si="85"/>
        <v>4-5 yrs</v>
      </c>
      <c r="AK802" t="str">
        <f t="shared" si="86"/>
        <v>Recent</v>
      </c>
      <c r="AL802">
        <f t="shared" si="87"/>
        <v>0</v>
      </c>
      <c r="AM802" t="str">
        <f t="shared" si="88"/>
        <v>Minimal Risk</v>
      </c>
      <c r="AN802" s="6">
        <f t="shared" si="89"/>
        <v>0.18134750610926623</v>
      </c>
      <c r="AO802" s="7">
        <f t="shared" si="90"/>
        <v>733200</v>
      </c>
    </row>
    <row r="803" spans="1:41" x14ac:dyDescent="0.3">
      <c r="A803" t="s">
        <v>870</v>
      </c>
      <c r="B803">
        <v>36</v>
      </c>
      <c r="C803" t="s">
        <v>802</v>
      </c>
      <c r="D803" t="s">
        <v>55</v>
      </c>
      <c r="E803" t="s">
        <v>62</v>
      </c>
      <c r="F803">
        <v>884</v>
      </c>
      <c r="G803" t="s">
        <v>735</v>
      </c>
      <c r="H803">
        <v>23</v>
      </c>
      <c r="I803">
        <v>2</v>
      </c>
      <c r="J803" t="s">
        <v>58</v>
      </c>
      <c r="K803">
        <v>2061</v>
      </c>
      <c r="L803">
        <v>3</v>
      </c>
      <c r="M803" t="s">
        <v>51</v>
      </c>
      <c r="N803">
        <v>4</v>
      </c>
      <c r="O803">
        <v>2</v>
      </c>
      <c r="P803" t="s">
        <v>52</v>
      </c>
      <c r="Q803">
        <v>4</v>
      </c>
      <c r="R803" t="s">
        <v>113</v>
      </c>
      <c r="S803">
        <v>99142</v>
      </c>
      <c r="T803" t="s">
        <v>70</v>
      </c>
      <c r="U803">
        <v>619.64</v>
      </c>
      <c r="V803">
        <v>4</v>
      </c>
      <c r="W803" t="s">
        <v>55</v>
      </c>
      <c r="X803">
        <v>17</v>
      </c>
      <c r="Y803">
        <v>3</v>
      </c>
      <c r="Z803">
        <v>3</v>
      </c>
      <c r="AA803">
        <v>1</v>
      </c>
      <c r="AB803">
        <v>17</v>
      </c>
      <c r="AC803">
        <v>3</v>
      </c>
      <c r="AD803">
        <v>3</v>
      </c>
      <c r="AE803">
        <v>5</v>
      </c>
      <c r="AF803">
        <v>2</v>
      </c>
      <c r="AG803">
        <v>0</v>
      </c>
      <c r="AH803">
        <v>2</v>
      </c>
      <c r="AI803">
        <f t="shared" si="84"/>
        <v>0</v>
      </c>
      <c r="AJ803" t="str">
        <f t="shared" si="85"/>
        <v>4-5 yrs</v>
      </c>
      <c r="AK803" t="str">
        <f t="shared" si="86"/>
        <v>Recent</v>
      </c>
      <c r="AL803">
        <f t="shared" si="87"/>
        <v>0</v>
      </c>
      <c r="AM803" t="str">
        <f t="shared" si="88"/>
        <v>Minimal Risk</v>
      </c>
      <c r="AN803" s="6">
        <f t="shared" si="89"/>
        <v>0.91687650492119266</v>
      </c>
      <c r="AO803" s="7">
        <f t="shared" si="90"/>
        <v>1189704</v>
      </c>
    </row>
    <row r="804" spans="1:41" x14ac:dyDescent="0.3">
      <c r="A804" t="s">
        <v>871</v>
      </c>
      <c r="B804">
        <v>37</v>
      </c>
      <c r="C804" t="s">
        <v>802</v>
      </c>
      <c r="D804" t="s">
        <v>47</v>
      </c>
      <c r="E804" t="s">
        <v>48</v>
      </c>
      <c r="F804">
        <v>1373</v>
      </c>
      <c r="G804" t="s">
        <v>735</v>
      </c>
      <c r="H804">
        <v>2</v>
      </c>
      <c r="I804">
        <v>2</v>
      </c>
      <c r="J804" t="s">
        <v>82</v>
      </c>
      <c r="K804">
        <v>4</v>
      </c>
      <c r="L804">
        <v>4</v>
      </c>
      <c r="M804" t="s">
        <v>51</v>
      </c>
      <c r="N804">
        <v>2</v>
      </c>
      <c r="O804">
        <v>1</v>
      </c>
      <c r="P804" t="s">
        <v>52</v>
      </c>
      <c r="Q804">
        <v>3</v>
      </c>
      <c r="R804" t="s">
        <v>53</v>
      </c>
      <c r="S804">
        <v>10860</v>
      </c>
      <c r="T804" t="s">
        <v>54</v>
      </c>
      <c r="U804">
        <v>67.88</v>
      </c>
      <c r="V804">
        <v>6</v>
      </c>
      <c r="W804" t="s">
        <v>47</v>
      </c>
      <c r="X804">
        <v>15</v>
      </c>
      <c r="Y804">
        <v>3</v>
      </c>
      <c r="Z804">
        <v>2</v>
      </c>
      <c r="AA804">
        <v>0</v>
      </c>
      <c r="AB804">
        <v>7</v>
      </c>
      <c r="AC804">
        <v>3</v>
      </c>
      <c r="AD804">
        <v>3</v>
      </c>
      <c r="AE804">
        <v>0</v>
      </c>
      <c r="AF804">
        <v>0</v>
      </c>
      <c r="AG804">
        <v>0</v>
      </c>
      <c r="AH804">
        <v>0</v>
      </c>
      <c r="AI804">
        <f t="shared" si="84"/>
        <v>1</v>
      </c>
      <c r="AJ804" t="str">
        <f t="shared" si="85"/>
        <v>0-1 yr</v>
      </c>
      <c r="AK804" t="str">
        <f t="shared" si="86"/>
        <v>Recent</v>
      </c>
      <c r="AL804">
        <f t="shared" si="87"/>
        <v>1</v>
      </c>
      <c r="AM804" t="str">
        <f t="shared" si="88"/>
        <v>Low Risk</v>
      </c>
      <c r="AN804" s="6">
        <f t="shared" si="89"/>
        <v>-0.79002563148368854</v>
      </c>
      <c r="AO804" s="7">
        <f t="shared" si="90"/>
        <v>130320</v>
      </c>
    </row>
    <row r="805" spans="1:41" x14ac:dyDescent="0.3">
      <c r="A805" t="s">
        <v>872</v>
      </c>
      <c r="B805">
        <v>37</v>
      </c>
      <c r="C805" t="s">
        <v>802</v>
      </c>
      <c r="D805" t="s">
        <v>55</v>
      </c>
      <c r="E805" t="s">
        <v>48</v>
      </c>
      <c r="F805">
        <v>408</v>
      </c>
      <c r="G805" t="s">
        <v>735</v>
      </c>
      <c r="H805">
        <v>19</v>
      </c>
      <c r="I805">
        <v>2</v>
      </c>
      <c r="J805" t="s">
        <v>50</v>
      </c>
      <c r="K805">
        <v>61</v>
      </c>
      <c r="L805">
        <v>2</v>
      </c>
      <c r="M805" t="s">
        <v>51</v>
      </c>
      <c r="N805">
        <v>3</v>
      </c>
      <c r="O805">
        <v>1</v>
      </c>
      <c r="P805" t="s">
        <v>67</v>
      </c>
      <c r="Q805">
        <v>2</v>
      </c>
      <c r="R805" t="s">
        <v>113</v>
      </c>
      <c r="S805">
        <v>81642</v>
      </c>
      <c r="T805" t="s">
        <v>64</v>
      </c>
      <c r="U805">
        <v>510.26</v>
      </c>
      <c r="V805">
        <v>4</v>
      </c>
      <c r="W805" t="s">
        <v>55</v>
      </c>
      <c r="X805">
        <v>21</v>
      </c>
      <c r="Y805">
        <v>4</v>
      </c>
      <c r="Z805">
        <v>1</v>
      </c>
      <c r="AA805">
        <v>0</v>
      </c>
      <c r="AB805">
        <v>8</v>
      </c>
      <c r="AC805">
        <v>1</v>
      </c>
      <c r="AD805">
        <v>3</v>
      </c>
      <c r="AE805">
        <v>1</v>
      </c>
      <c r="AF805">
        <v>0</v>
      </c>
      <c r="AG805">
        <v>0</v>
      </c>
      <c r="AH805">
        <v>0</v>
      </c>
      <c r="AI805">
        <f t="shared" si="84"/>
        <v>0</v>
      </c>
      <c r="AJ805" t="str">
        <f t="shared" si="85"/>
        <v>0-1 yr</v>
      </c>
      <c r="AK805" t="str">
        <f t="shared" si="86"/>
        <v>Recent</v>
      </c>
      <c r="AL805">
        <f t="shared" si="87"/>
        <v>1</v>
      </c>
      <c r="AM805" t="str">
        <f t="shared" si="88"/>
        <v>Low Risk</v>
      </c>
      <c r="AN805" s="6">
        <f t="shared" si="89"/>
        <v>0.63722440873744624</v>
      </c>
      <c r="AO805" s="7">
        <f t="shared" si="90"/>
        <v>979704</v>
      </c>
    </row>
    <row r="806" spans="1:41" x14ac:dyDescent="0.3">
      <c r="A806" t="s">
        <v>873</v>
      </c>
      <c r="B806">
        <v>37</v>
      </c>
      <c r="C806" t="s">
        <v>802</v>
      </c>
      <c r="D806" t="s">
        <v>55</v>
      </c>
      <c r="E806" t="s">
        <v>48</v>
      </c>
      <c r="F806">
        <v>1115</v>
      </c>
      <c r="G806" t="s">
        <v>735</v>
      </c>
      <c r="H806">
        <v>1</v>
      </c>
      <c r="I806">
        <v>4</v>
      </c>
      <c r="J806" t="s">
        <v>50</v>
      </c>
      <c r="K806">
        <v>77</v>
      </c>
      <c r="L806">
        <v>1</v>
      </c>
      <c r="M806" t="s">
        <v>51</v>
      </c>
      <c r="N806">
        <v>2</v>
      </c>
      <c r="O806">
        <v>2</v>
      </c>
      <c r="P806" t="s">
        <v>120</v>
      </c>
      <c r="Q806">
        <v>3</v>
      </c>
      <c r="R806" t="s">
        <v>113</v>
      </c>
      <c r="S806">
        <v>51612</v>
      </c>
      <c r="T806" t="s">
        <v>64</v>
      </c>
      <c r="U806">
        <v>322.58</v>
      </c>
      <c r="V806">
        <v>1</v>
      </c>
      <c r="W806" t="s">
        <v>55</v>
      </c>
      <c r="X806">
        <v>18</v>
      </c>
      <c r="Y806">
        <v>3</v>
      </c>
      <c r="Z806">
        <v>3</v>
      </c>
      <c r="AA806">
        <v>1</v>
      </c>
      <c r="AB806">
        <v>7</v>
      </c>
      <c r="AC806">
        <v>2</v>
      </c>
      <c r="AD806">
        <v>4</v>
      </c>
      <c r="AE806">
        <v>7</v>
      </c>
      <c r="AF806">
        <v>5</v>
      </c>
      <c r="AG806">
        <v>0</v>
      </c>
      <c r="AH806">
        <v>7</v>
      </c>
      <c r="AI806">
        <f t="shared" si="84"/>
        <v>0</v>
      </c>
      <c r="AJ806" t="str">
        <f t="shared" si="85"/>
        <v>6-10 yrs</v>
      </c>
      <c r="AK806" t="str">
        <f t="shared" si="86"/>
        <v>Recent</v>
      </c>
      <c r="AL806">
        <f t="shared" si="87"/>
        <v>0</v>
      </c>
      <c r="AM806" t="str">
        <f t="shared" si="88"/>
        <v>Minimal Risk</v>
      </c>
      <c r="AN806" s="6">
        <f t="shared" si="89"/>
        <v>0.16517911607935459</v>
      </c>
      <c r="AO806" s="7">
        <f t="shared" si="90"/>
        <v>619344</v>
      </c>
    </row>
    <row r="807" spans="1:41" x14ac:dyDescent="0.3">
      <c r="A807" t="s">
        <v>874</v>
      </c>
      <c r="B807">
        <v>37</v>
      </c>
      <c r="C807" t="s">
        <v>802</v>
      </c>
      <c r="D807" t="s">
        <v>55</v>
      </c>
      <c r="E807" t="s">
        <v>48</v>
      </c>
      <c r="F807">
        <v>397</v>
      </c>
      <c r="G807" t="s">
        <v>735</v>
      </c>
      <c r="H807">
        <v>7</v>
      </c>
      <c r="I807">
        <v>4</v>
      </c>
      <c r="J807" t="s">
        <v>58</v>
      </c>
      <c r="K807">
        <v>102</v>
      </c>
      <c r="L807">
        <v>1</v>
      </c>
      <c r="M807" t="s">
        <v>51</v>
      </c>
      <c r="N807">
        <v>3</v>
      </c>
      <c r="O807">
        <v>3</v>
      </c>
      <c r="P807" t="s">
        <v>257</v>
      </c>
      <c r="Q807">
        <v>3</v>
      </c>
      <c r="R807" t="s">
        <v>53</v>
      </c>
      <c r="S807">
        <v>24574</v>
      </c>
      <c r="T807" t="s">
        <v>54</v>
      </c>
      <c r="U807">
        <v>153.59</v>
      </c>
      <c r="V807">
        <v>4</v>
      </c>
      <c r="W807" t="s">
        <v>55</v>
      </c>
      <c r="X807">
        <v>13</v>
      </c>
      <c r="Y807">
        <v>3</v>
      </c>
      <c r="Z807">
        <v>1</v>
      </c>
      <c r="AA807">
        <v>0</v>
      </c>
      <c r="AB807">
        <v>16</v>
      </c>
      <c r="AC807">
        <v>3</v>
      </c>
      <c r="AD807">
        <v>4</v>
      </c>
      <c r="AE807">
        <v>5</v>
      </c>
      <c r="AF807">
        <v>2</v>
      </c>
      <c r="AG807">
        <v>0</v>
      </c>
      <c r="AH807">
        <v>2</v>
      </c>
      <c r="AI807">
        <f t="shared" si="84"/>
        <v>0</v>
      </c>
      <c r="AJ807" t="str">
        <f t="shared" si="85"/>
        <v>4-5 yrs</v>
      </c>
      <c r="AK807" t="str">
        <f t="shared" si="86"/>
        <v>Recent</v>
      </c>
      <c r="AL807">
        <f t="shared" si="87"/>
        <v>0</v>
      </c>
      <c r="AM807" t="str">
        <f t="shared" si="88"/>
        <v>Minimal Risk</v>
      </c>
      <c r="AN807" s="6">
        <f t="shared" si="89"/>
        <v>-0.51495245797851785</v>
      </c>
      <c r="AO807" s="7">
        <f t="shared" si="90"/>
        <v>294888</v>
      </c>
    </row>
    <row r="808" spans="1:41" x14ac:dyDescent="0.3">
      <c r="A808" t="s">
        <v>875</v>
      </c>
      <c r="B808">
        <v>37</v>
      </c>
      <c r="C808" t="s">
        <v>802</v>
      </c>
      <c r="D808" t="s">
        <v>47</v>
      </c>
      <c r="E808" t="s">
        <v>48</v>
      </c>
      <c r="F808">
        <v>807</v>
      </c>
      <c r="G808" t="s">
        <v>406</v>
      </c>
      <c r="H808">
        <v>6</v>
      </c>
      <c r="I808">
        <v>4</v>
      </c>
      <c r="J808" t="s">
        <v>80</v>
      </c>
      <c r="K808">
        <v>133</v>
      </c>
      <c r="L808">
        <v>3</v>
      </c>
      <c r="M808" t="s">
        <v>51</v>
      </c>
      <c r="N808">
        <v>3</v>
      </c>
      <c r="O808">
        <v>1</v>
      </c>
      <c r="P808" t="s">
        <v>80</v>
      </c>
      <c r="Q808">
        <v>1</v>
      </c>
      <c r="R808" t="s">
        <v>113</v>
      </c>
      <c r="S808">
        <v>24524</v>
      </c>
      <c r="T808" t="s">
        <v>54</v>
      </c>
      <c r="U808">
        <v>153.28</v>
      </c>
      <c r="V808">
        <v>4</v>
      </c>
      <c r="W808" t="s">
        <v>47</v>
      </c>
      <c r="X808">
        <v>22</v>
      </c>
      <c r="Y808">
        <v>4</v>
      </c>
      <c r="Z808">
        <v>4</v>
      </c>
      <c r="AA808">
        <v>0</v>
      </c>
      <c r="AB808">
        <v>7</v>
      </c>
      <c r="AC808">
        <v>3</v>
      </c>
      <c r="AD808">
        <v>3</v>
      </c>
      <c r="AE808">
        <v>3</v>
      </c>
      <c r="AF808">
        <v>2</v>
      </c>
      <c r="AG808">
        <v>0</v>
      </c>
      <c r="AH808">
        <v>2</v>
      </c>
      <c r="AI808">
        <f t="shared" si="84"/>
        <v>1</v>
      </c>
      <c r="AJ808" t="str">
        <f t="shared" si="85"/>
        <v>2-3 yrs</v>
      </c>
      <c r="AK808" t="str">
        <f t="shared" si="86"/>
        <v>Recent</v>
      </c>
      <c r="AL808">
        <f t="shared" si="87"/>
        <v>2</v>
      </c>
      <c r="AM808" t="str">
        <f t="shared" si="88"/>
        <v>Medium Risk</v>
      </c>
      <c r="AN808" s="6">
        <f t="shared" si="89"/>
        <v>-0.51671170163982882</v>
      </c>
      <c r="AO808" s="7">
        <f t="shared" si="90"/>
        <v>294288</v>
      </c>
    </row>
    <row r="809" spans="1:41" x14ac:dyDescent="0.3">
      <c r="A809" t="s">
        <v>876</v>
      </c>
      <c r="B809">
        <v>37</v>
      </c>
      <c r="C809" t="s">
        <v>802</v>
      </c>
      <c r="D809" t="s">
        <v>55</v>
      </c>
      <c r="E809" t="s">
        <v>66</v>
      </c>
      <c r="F809">
        <v>1040</v>
      </c>
      <c r="G809" t="s">
        <v>735</v>
      </c>
      <c r="H809">
        <v>2</v>
      </c>
      <c r="I809">
        <v>2</v>
      </c>
      <c r="J809" t="s">
        <v>50</v>
      </c>
      <c r="K809">
        <v>139</v>
      </c>
      <c r="L809">
        <v>3</v>
      </c>
      <c r="M809" t="s">
        <v>51</v>
      </c>
      <c r="N809">
        <v>2</v>
      </c>
      <c r="O809">
        <v>2</v>
      </c>
      <c r="P809" t="s">
        <v>168</v>
      </c>
      <c r="Q809">
        <v>4</v>
      </c>
      <c r="R809" t="s">
        <v>53</v>
      </c>
      <c r="S809">
        <v>70172</v>
      </c>
      <c r="T809" t="s">
        <v>64</v>
      </c>
      <c r="U809">
        <v>438.58</v>
      </c>
      <c r="V809">
        <v>5</v>
      </c>
      <c r="W809" t="s">
        <v>55</v>
      </c>
      <c r="X809">
        <v>14</v>
      </c>
      <c r="Y809">
        <v>3</v>
      </c>
      <c r="Z809">
        <v>4</v>
      </c>
      <c r="AA809">
        <v>1</v>
      </c>
      <c r="AB809">
        <v>17</v>
      </c>
      <c r="AC809">
        <v>2</v>
      </c>
      <c r="AD809">
        <v>4</v>
      </c>
      <c r="AE809">
        <v>1</v>
      </c>
      <c r="AF809">
        <v>0</v>
      </c>
      <c r="AG809">
        <v>0</v>
      </c>
      <c r="AH809">
        <v>0</v>
      </c>
      <c r="AI809">
        <f t="shared" si="84"/>
        <v>0</v>
      </c>
      <c r="AJ809" t="str">
        <f t="shared" si="85"/>
        <v>0-1 yr</v>
      </c>
      <c r="AK809" t="str">
        <f t="shared" si="86"/>
        <v>Recent</v>
      </c>
      <c r="AL809">
        <f t="shared" si="87"/>
        <v>0</v>
      </c>
      <c r="AM809" t="str">
        <f t="shared" si="88"/>
        <v>Minimal Risk</v>
      </c>
      <c r="AN809" s="6">
        <f t="shared" si="89"/>
        <v>0.45617862944824566</v>
      </c>
      <c r="AO809" s="7">
        <f t="shared" si="90"/>
        <v>842064</v>
      </c>
    </row>
    <row r="810" spans="1:41" x14ac:dyDescent="0.3">
      <c r="A810" t="s">
        <v>877</v>
      </c>
      <c r="B810">
        <v>37</v>
      </c>
      <c r="C810" t="s">
        <v>802</v>
      </c>
      <c r="D810" t="s">
        <v>55</v>
      </c>
      <c r="E810" t="s">
        <v>48</v>
      </c>
      <c r="F810">
        <v>1189</v>
      </c>
      <c r="G810" t="s">
        <v>63</v>
      </c>
      <c r="H810">
        <v>3</v>
      </c>
      <c r="I810">
        <v>3</v>
      </c>
      <c r="J810" t="s">
        <v>50</v>
      </c>
      <c r="K810">
        <v>152</v>
      </c>
      <c r="L810">
        <v>3</v>
      </c>
      <c r="M810" t="s">
        <v>51</v>
      </c>
      <c r="N810">
        <v>3</v>
      </c>
      <c r="O810">
        <v>3</v>
      </c>
      <c r="P810" t="s">
        <v>145</v>
      </c>
      <c r="Q810">
        <v>4</v>
      </c>
      <c r="R810" t="s">
        <v>53</v>
      </c>
      <c r="S810">
        <v>11916</v>
      </c>
      <c r="T810" t="s">
        <v>54</v>
      </c>
      <c r="U810">
        <v>74.47</v>
      </c>
      <c r="V810">
        <v>2</v>
      </c>
      <c r="W810" t="s">
        <v>55</v>
      </c>
      <c r="X810">
        <v>12</v>
      </c>
      <c r="Y810">
        <v>3</v>
      </c>
      <c r="Z810">
        <v>1</v>
      </c>
      <c r="AA810">
        <v>0</v>
      </c>
      <c r="AB810">
        <v>12</v>
      </c>
      <c r="AC810">
        <v>3</v>
      </c>
      <c r="AD810">
        <v>3</v>
      </c>
      <c r="AE810">
        <v>5</v>
      </c>
      <c r="AF810">
        <v>3</v>
      </c>
      <c r="AG810">
        <v>1</v>
      </c>
      <c r="AH810">
        <v>3</v>
      </c>
      <c r="AI810">
        <f t="shared" si="84"/>
        <v>0</v>
      </c>
      <c r="AJ810" t="str">
        <f t="shared" si="85"/>
        <v>4-5 yrs</v>
      </c>
      <c r="AK810" t="str">
        <f t="shared" si="86"/>
        <v>Recent</v>
      </c>
      <c r="AL810">
        <f t="shared" si="87"/>
        <v>0</v>
      </c>
      <c r="AM810" t="str">
        <f t="shared" si="88"/>
        <v>Minimal Risk</v>
      </c>
      <c r="AN810" s="6">
        <f t="shared" si="89"/>
        <v>-0.7571036857828144</v>
      </c>
      <c r="AO810" s="7">
        <f t="shared" si="90"/>
        <v>142992</v>
      </c>
    </row>
    <row r="811" spans="1:41" x14ac:dyDescent="0.3">
      <c r="A811" t="s">
        <v>878</v>
      </c>
      <c r="B811">
        <v>37</v>
      </c>
      <c r="C811" t="s">
        <v>802</v>
      </c>
      <c r="D811" t="s">
        <v>55</v>
      </c>
      <c r="E811" t="s">
        <v>48</v>
      </c>
      <c r="F811">
        <v>290</v>
      </c>
      <c r="G811" t="s">
        <v>735</v>
      </c>
      <c r="H811">
        <v>21</v>
      </c>
      <c r="I811">
        <v>3</v>
      </c>
      <c r="J811" t="s">
        <v>50</v>
      </c>
      <c r="K811">
        <v>267</v>
      </c>
      <c r="L811">
        <v>2</v>
      </c>
      <c r="M811" t="s">
        <v>51</v>
      </c>
      <c r="N811">
        <v>4</v>
      </c>
      <c r="O811">
        <v>1</v>
      </c>
      <c r="P811" t="s">
        <v>67</v>
      </c>
      <c r="Q811">
        <v>1</v>
      </c>
      <c r="R811" t="s">
        <v>113</v>
      </c>
      <c r="S811">
        <v>5809</v>
      </c>
      <c r="T811" t="s">
        <v>54</v>
      </c>
      <c r="U811">
        <v>36.31</v>
      </c>
      <c r="V811">
        <v>1</v>
      </c>
      <c r="W811" t="s">
        <v>47</v>
      </c>
      <c r="X811">
        <v>12</v>
      </c>
      <c r="Y811">
        <v>3</v>
      </c>
      <c r="Z811">
        <v>1</v>
      </c>
      <c r="AA811">
        <v>1</v>
      </c>
      <c r="AB811">
        <v>8</v>
      </c>
      <c r="AC811">
        <v>3</v>
      </c>
      <c r="AD811">
        <v>2</v>
      </c>
      <c r="AE811">
        <v>8</v>
      </c>
      <c r="AF811">
        <v>7</v>
      </c>
      <c r="AG811">
        <v>1</v>
      </c>
      <c r="AH811">
        <v>7</v>
      </c>
      <c r="AI811">
        <f t="shared" si="84"/>
        <v>0</v>
      </c>
      <c r="AJ811" t="str">
        <f t="shared" si="85"/>
        <v>6-10 yrs</v>
      </c>
      <c r="AK811" t="str">
        <f t="shared" si="86"/>
        <v>Recent</v>
      </c>
      <c r="AL811">
        <f t="shared" si="87"/>
        <v>3</v>
      </c>
      <c r="AM811" t="str">
        <f t="shared" si="88"/>
        <v>High Risk</v>
      </c>
      <c r="AN811" s="6">
        <f t="shared" si="89"/>
        <v>-0.88350804009755002</v>
      </c>
      <c r="AO811" s="7">
        <f t="shared" si="90"/>
        <v>69708</v>
      </c>
    </row>
    <row r="812" spans="1:41" x14ac:dyDescent="0.3">
      <c r="A812" t="s">
        <v>879</v>
      </c>
      <c r="B812">
        <v>37</v>
      </c>
      <c r="C812" t="s">
        <v>802</v>
      </c>
      <c r="D812" t="s">
        <v>55</v>
      </c>
      <c r="E812" t="s">
        <v>62</v>
      </c>
      <c r="F812">
        <v>663</v>
      </c>
      <c r="G812" t="s">
        <v>735</v>
      </c>
      <c r="H812">
        <v>11</v>
      </c>
      <c r="I812">
        <v>3</v>
      </c>
      <c r="J812" t="s">
        <v>82</v>
      </c>
      <c r="K812">
        <v>306</v>
      </c>
      <c r="L812">
        <v>2</v>
      </c>
      <c r="M812" t="s">
        <v>51</v>
      </c>
      <c r="N812">
        <v>3</v>
      </c>
      <c r="O812">
        <v>3</v>
      </c>
      <c r="P812" t="s">
        <v>257</v>
      </c>
      <c r="Q812">
        <v>4</v>
      </c>
      <c r="R812" t="s">
        <v>53</v>
      </c>
      <c r="S812">
        <v>33201</v>
      </c>
      <c r="T812" t="s">
        <v>72</v>
      </c>
      <c r="U812">
        <v>207.51</v>
      </c>
      <c r="V812">
        <v>1</v>
      </c>
      <c r="W812" t="s">
        <v>47</v>
      </c>
      <c r="X812">
        <v>14</v>
      </c>
      <c r="Y812">
        <v>3</v>
      </c>
      <c r="Z812">
        <v>3</v>
      </c>
      <c r="AA812">
        <v>3</v>
      </c>
      <c r="AB812">
        <v>10</v>
      </c>
      <c r="AC812">
        <v>1</v>
      </c>
      <c r="AD812">
        <v>3</v>
      </c>
      <c r="AE812">
        <v>10</v>
      </c>
      <c r="AF812">
        <v>8</v>
      </c>
      <c r="AG812">
        <v>0</v>
      </c>
      <c r="AH812">
        <v>7</v>
      </c>
      <c r="AI812">
        <f t="shared" si="84"/>
        <v>0</v>
      </c>
      <c r="AJ812" t="str">
        <f t="shared" si="85"/>
        <v>6-10 yrs</v>
      </c>
      <c r="AK812" t="str">
        <f t="shared" si="86"/>
        <v>Recent</v>
      </c>
      <c r="AL812">
        <f t="shared" si="87"/>
        <v>1</v>
      </c>
      <c r="AM812" t="str">
        <f t="shared" si="88"/>
        <v>Low Risk</v>
      </c>
      <c r="AN812" s="6">
        <f t="shared" si="89"/>
        <v>-0.34467065017273424</v>
      </c>
      <c r="AO812" s="7">
        <f t="shared" si="90"/>
        <v>398412</v>
      </c>
    </row>
    <row r="813" spans="1:41" x14ac:dyDescent="0.3">
      <c r="A813" t="s">
        <v>880</v>
      </c>
      <c r="B813">
        <v>37</v>
      </c>
      <c r="C813" t="s">
        <v>802</v>
      </c>
      <c r="D813" t="s">
        <v>55</v>
      </c>
      <c r="E813" t="s">
        <v>62</v>
      </c>
      <c r="F813">
        <v>319</v>
      </c>
      <c r="G813" t="s">
        <v>63</v>
      </c>
      <c r="H813">
        <v>4</v>
      </c>
      <c r="I813">
        <v>4</v>
      </c>
      <c r="J813" t="s">
        <v>63</v>
      </c>
      <c r="K813">
        <v>311</v>
      </c>
      <c r="L813">
        <v>1</v>
      </c>
      <c r="M813" t="s">
        <v>51</v>
      </c>
      <c r="N813">
        <v>3</v>
      </c>
      <c r="O813">
        <v>1</v>
      </c>
      <c r="P813" t="s">
        <v>60</v>
      </c>
      <c r="Q813">
        <v>4</v>
      </c>
      <c r="R813" t="s">
        <v>53</v>
      </c>
      <c r="S813">
        <v>54330</v>
      </c>
      <c r="T813" t="s">
        <v>64</v>
      </c>
      <c r="U813">
        <v>339.56</v>
      </c>
      <c r="V813">
        <v>4</v>
      </c>
      <c r="W813" t="s">
        <v>55</v>
      </c>
      <c r="X813">
        <v>17</v>
      </c>
      <c r="Y813">
        <v>3</v>
      </c>
      <c r="Z813">
        <v>3</v>
      </c>
      <c r="AA813">
        <v>1</v>
      </c>
      <c r="AB813">
        <v>13</v>
      </c>
      <c r="AC813">
        <v>2</v>
      </c>
      <c r="AD813">
        <v>3</v>
      </c>
      <c r="AE813">
        <v>9</v>
      </c>
      <c r="AF813">
        <v>8</v>
      </c>
      <c r="AG813">
        <v>5</v>
      </c>
      <c r="AH813">
        <v>8</v>
      </c>
      <c r="AI813">
        <f t="shared" si="84"/>
        <v>0</v>
      </c>
      <c r="AJ813" t="str">
        <f t="shared" si="85"/>
        <v>6-10 yrs</v>
      </c>
      <c r="AK813" t="str">
        <f t="shared" si="86"/>
        <v>Overdue</v>
      </c>
      <c r="AL813">
        <f t="shared" si="87"/>
        <v>1</v>
      </c>
      <c r="AM813" t="str">
        <f t="shared" si="88"/>
        <v>Low Risk</v>
      </c>
      <c r="AN813" s="6">
        <f t="shared" si="89"/>
        <v>0.10142970195617133</v>
      </c>
      <c r="AO813" s="7">
        <f t="shared" si="90"/>
        <v>651960</v>
      </c>
    </row>
    <row r="814" spans="1:41" x14ac:dyDescent="0.3">
      <c r="A814" t="s">
        <v>881</v>
      </c>
      <c r="B814">
        <v>37</v>
      </c>
      <c r="C814" t="s">
        <v>802</v>
      </c>
      <c r="D814" t="s">
        <v>55</v>
      </c>
      <c r="E814" t="s">
        <v>48</v>
      </c>
      <c r="F814">
        <v>1017</v>
      </c>
      <c r="G814" t="s">
        <v>735</v>
      </c>
      <c r="H814">
        <v>1</v>
      </c>
      <c r="I814">
        <v>2</v>
      </c>
      <c r="J814" t="s">
        <v>58</v>
      </c>
      <c r="K814">
        <v>340</v>
      </c>
      <c r="L814">
        <v>3</v>
      </c>
      <c r="M814" t="s">
        <v>59</v>
      </c>
      <c r="N814">
        <v>2</v>
      </c>
      <c r="O814">
        <v>1</v>
      </c>
      <c r="P814" t="s">
        <v>67</v>
      </c>
      <c r="Q814">
        <v>1</v>
      </c>
      <c r="R814" t="s">
        <v>113</v>
      </c>
      <c r="S814">
        <v>14456</v>
      </c>
      <c r="T814" t="s">
        <v>54</v>
      </c>
      <c r="U814">
        <v>90.35</v>
      </c>
      <c r="V814">
        <v>2</v>
      </c>
      <c r="W814" t="s">
        <v>55</v>
      </c>
      <c r="X814">
        <v>14</v>
      </c>
      <c r="Y814">
        <v>3</v>
      </c>
      <c r="Z814">
        <v>1</v>
      </c>
      <c r="AA814">
        <v>1</v>
      </c>
      <c r="AB814">
        <v>17</v>
      </c>
      <c r="AC814">
        <v>2</v>
      </c>
      <c r="AD814">
        <v>2</v>
      </c>
      <c r="AE814">
        <v>3</v>
      </c>
      <c r="AF814">
        <v>1</v>
      </c>
      <c r="AG814">
        <v>0</v>
      </c>
      <c r="AH814">
        <v>1</v>
      </c>
      <c r="AI814">
        <f t="shared" si="84"/>
        <v>0</v>
      </c>
      <c r="AJ814" t="str">
        <f t="shared" si="85"/>
        <v>2-3 yrs</v>
      </c>
      <c r="AK814" t="str">
        <f t="shared" si="86"/>
        <v>Recent</v>
      </c>
      <c r="AL814">
        <f t="shared" si="87"/>
        <v>2</v>
      </c>
      <c r="AM814" t="str">
        <f t="shared" si="88"/>
        <v>Medium Risk</v>
      </c>
      <c r="AN814" s="6">
        <f t="shared" si="89"/>
        <v>-0.71010367148393572</v>
      </c>
      <c r="AO814" s="7">
        <f t="shared" si="90"/>
        <v>173472</v>
      </c>
    </row>
    <row r="815" spans="1:41" x14ac:dyDescent="0.3">
      <c r="A815" t="s">
        <v>882</v>
      </c>
      <c r="B815">
        <v>37</v>
      </c>
      <c r="C815" t="s">
        <v>802</v>
      </c>
      <c r="D815" t="s">
        <v>47</v>
      </c>
      <c r="E815" t="s">
        <v>62</v>
      </c>
      <c r="F815">
        <v>504</v>
      </c>
      <c r="G815" t="s">
        <v>735</v>
      </c>
      <c r="H815">
        <v>10</v>
      </c>
      <c r="I815">
        <v>3</v>
      </c>
      <c r="J815" t="s">
        <v>58</v>
      </c>
      <c r="K815">
        <v>342</v>
      </c>
      <c r="L815">
        <v>1</v>
      </c>
      <c r="M815" t="s">
        <v>51</v>
      </c>
      <c r="N815">
        <v>3</v>
      </c>
      <c r="O815">
        <v>3</v>
      </c>
      <c r="P815" t="s">
        <v>120</v>
      </c>
      <c r="Q815">
        <v>3</v>
      </c>
      <c r="R815" t="s">
        <v>53</v>
      </c>
      <c r="S815">
        <v>57397</v>
      </c>
      <c r="T815" t="s">
        <v>64</v>
      </c>
      <c r="U815">
        <v>358.73</v>
      </c>
      <c r="V815">
        <v>6</v>
      </c>
      <c r="W815" t="s">
        <v>55</v>
      </c>
      <c r="X815">
        <v>11</v>
      </c>
      <c r="Y815">
        <v>3</v>
      </c>
      <c r="Z815">
        <v>2</v>
      </c>
      <c r="AA815">
        <v>2</v>
      </c>
      <c r="AB815">
        <v>17</v>
      </c>
      <c r="AC815">
        <v>5</v>
      </c>
      <c r="AD815">
        <v>3</v>
      </c>
      <c r="AE815">
        <v>1</v>
      </c>
      <c r="AF815">
        <v>0</v>
      </c>
      <c r="AG815">
        <v>0</v>
      </c>
      <c r="AH815">
        <v>0</v>
      </c>
      <c r="AI815">
        <f t="shared" si="84"/>
        <v>1</v>
      </c>
      <c r="AJ815" t="str">
        <f t="shared" si="85"/>
        <v>0-1 yr</v>
      </c>
      <c r="AK815" t="str">
        <f t="shared" si="86"/>
        <v>Recent</v>
      </c>
      <c r="AL815">
        <f t="shared" si="87"/>
        <v>0</v>
      </c>
      <c r="AM815" t="str">
        <f t="shared" si="88"/>
        <v>Minimal Risk</v>
      </c>
      <c r="AN815" s="6">
        <f t="shared" si="89"/>
        <v>0.29577977457968524</v>
      </c>
      <c r="AO815" s="7">
        <f t="shared" si="90"/>
        <v>688764</v>
      </c>
    </row>
    <row r="816" spans="1:41" x14ac:dyDescent="0.3">
      <c r="A816" t="s">
        <v>883</v>
      </c>
      <c r="B816">
        <v>37</v>
      </c>
      <c r="C816" t="s">
        <v>802</v>
      </c>
      <c r="D816" t="s">
        <v>55</v>
      </c>
      <c r="E816" t="s">
        <v>48</v>
      </c>
      <c r="F816">
        <v>228</v>
      </c>
      <c r="G816" t="s">
        <v>63</v>
      </c>
      <c r="H816">
        <v>6</v>
      </c>
      <c r="I816">
        <v>4</v>
      </c>
      <c r="J816" t="s">
        <v>58</v>
      </c>
      <c r="K816">
        <v>378</v>
      </c>
      <c r="L816">
        <v>3</v>
      </c>
      <c r="M816" t="s">
        <v>51</v>
      </c>
      <c r="N816">
        <v>3</v>
      </c>
      <c r="O816">
        <v>2</v>
      </c>
      <c r="P816" t="s">
        <v>145</v>
      </c>
      <c r="Q816">
        <v>4</v>
      </c>
      <c r="R816" t="s">
        <v>113</v>
      </c>
      <c r="S816">
        <v>39765</v>
      </c>
      <c r="T816" t="s">
        <v>72</v>
      </c>
      <c r="U816">
        <v>248.53</v>
      </c>
      <c r="V816">
        <v>4</v>
      </c>
      <c r="W816" t="s">
        <v>55</v>
      </c>
      <c r="X816">
        <v>14</v>
      </c>
      <c r="Y816">
        <v>3</v>
      </c>
      <c r="Z816">
        <v>2</v>
      </c>
      <c r="AA816">
        <v>1</v>
      </c>
      <c r="AB816">
        <v>7</v>
      </c>
      <c r="AC816">
        <v>5</v>
      </c>
      <c r="AD816">
        <v>4</v>
      </c>
      <c r="AE816">
        <v>5</v>
      </c>
      <c r="AF816">
        <v>4</v>
      </c>
      <c r="AG816">
        <v>0</v>
      </c>
      <c r="AH816">
        <v>1</v>
      </c>
      <c r="AI816">
        <f t="shared" si="84"/>
        <v>0</v>
      </c>
      <c r="AJ816" t="str">
        <f t="shared" si="85"/>
        <v>4-5 yrs</v>
      </c>
      <c r="AK816" t="str">
        <f t="shared" si="86"/>
        <v>Recent</v>
      </c>
      <c r="AL816">
        <f t="shared" si="87"/>
        <v>0</v>
      </c>
      <c r="AM816" t="str">
        <f t="shared" si="88"/>
        <v>Minimal Risk</v>
      </c>
      <c r="AN816" s="6">
        <f t="shared" si="89"/>
        <v>-0.18942833712265972</v>
      </c>
      <c r="AO816" s="7">
        <f t="shared" si="90"/>
        <v>477180</v>
      </c>
    </row>
    <row r="817" spans="1:41" x14ac:dyDescent="0.3">
      <c r="A817" t="s">
        <v>884</v>
      </c>
      <c r="B817">
        <v>37</v>
      </c>
      <c r="C817" t="s">
        <v>802</v>
      </c>
      <c r="D817" t="s">
        <v>55</v>
      </c>
      <c r="E817" t="s">
        <v>66</v>
      </c>
      <c r="F817">
        <v>728</v>
      </c>
      <c r="G817" t="s">
        <v>735</v>
      </c>
      <c r="H817">
        <v>1</v>
      </c>
      <c r="I817">
        <v>4</v>
      </c>
      <c r="J817" t="s">
        <v>58</v>
      </c>
      <c r="K817">
        <v>380</v>
      </c>
      <c r="L817">
        <v>1</v>
      </c>
      <c r="M817" t="s">
        <v>59</v>
      </c>
      <c r="N817">
        <v>3</v>
      </c>
      <c r="O817">
        <v>3</v>
      </c>
      <c r="P817" t="s">
        <v>257</v>
      </c>
      <c r="Q817">
        <v>4</v>
      </c>
      <c r="R817" t="s">
        <v>53</v>
      </c>
      <c r="S817">
        <v>35816</v>
      </c>
      <c r="T817" t="s">
        <v>72</v>
      </c>
      <c r="U817">
        <v>223.85</v>
      </c>
      <c r="V817">
        <v>2</v>
      </c>
      <c r="W817" t="s">
        <v>47</v>
      </c>
      <c r="X817">
        <v>18</v>
      </c>
      <c r="Y817">
        <v>3</v>
      </c>
      <c r="Z817">
        <v>1</v>
      </c>
      <c r="AA817">
        <v>2</v>
      </c>
      <c r="AB817">
        <v>15</v>
      </c>
      <c r="AC817">
        <v>2</v>
      </c>
      <c r="AD817">
        <v>3</v>
      </c>
      <c r="AE817">
        <v>5</v>
      </c>
      <c r="AF817">
        <v>2</v>
      </c>
      <c r="AG817">
        <v>0</v>
      </c>
      <c r="AH817">
        <v>2</v>
      </c>
      <c r="AI817">
        <f t="shared" si="84"/>
        <v>0</v>
      </c>
      <c r="AJ817" t="str">
        <f t="shared" si="85"/>
        <v>4-5 yrs</v>
      </c>
      <c r="AK817" t="str">
        <f t="shared" si="86"/>
        <v>Recent</v>
      </c>
      <c r="AL817">
        <f t="shared" si="87"/>
        <v>1</v>
      </c>
      <c r="AM817" t="str">
        <f t="shared" si="88"/>
        <v>Low Risk</v>
      </c>
      <c r="AN817" s="6">
        <f t="shared" si="89"/>
        <v>-0.29305514913968406</v>
      </c>
      <c r="AO817" s="7">
        <f t="shared" si="90"/>
        <v>429792</v>
      </c>
    </row>
    <row r="818" spans="1:41" x14ac:dyDescent="0.3">
      <c r="A818" t="s">
        <v>885</v>
      </c>
      <c r="B818">
        <v>37</v>
      </c>
      <c r="C818" t="s">
        <v>802</v>
      </c>
      <c r="D818" t="s">
        <v>55</v>
      </c>
      <c r="E818" t="s">
        <v>48</v>
      </c>
      <c r="F818">
        <v>1372</v>
      </c>
      <c r="G818" t="s">
        <v>735</v>
      </c>
      <c r="H818">
        <v>1</v>
      </c>
      <c r="I818">
        <v>3</v>
      </c>
      <c r="J818" t="s">
        <v>50</v>
      </c>
      <c r="K818">
        <v>391</v>
      </c>
      <c r="L818">
        <v>4</v>
      </c>
      <c r="M818" t="s">
        <v>59</v>
      </c>
      <c r="N818">
        <v>3</v>
      </c>
      <c r="O818">
        <v>1</v>
      </c>
      <c r="P818" t="s">
        <v>67</v>
      </c>
      <c r="Q818">
        <v>4</v>
      </c>
      <c r="R818" t="s">
        <v>53</v>
      </c>
      <c r="S818">
        <v>46106</v>
      </c>
      <c r="T818" t="s">
        <v>72</v>
      </c>
      <c r="U818">
        <v>288.16000000000003</v>
      </c>
      <c r="V818">
        <v>1</v>
      </c>
      <c r="W818" t="s">
        <v>55</v>
      </c>
      <c r="X818">
        <v>12</v>
      </c>
      <c r="Y818">
        <v>3</v>
      </c>
      <c r="Z818">
        <v>2</v>
      </c>
      <c r="AA818">
        <v>0</v>
      </c>
      <c r="AB818">
        <v>17</v>
      </c>
      <c r="AC818">
        <v>3</v>
      </c>
      <c r="AD818">
        <v>3</v>
      </c>
      <c r="AE818">
        <v>17</v>
      </c>
      <c r="AF818">
        <v>12</v>
      </c>
      <c r="AG818">
        <v>5</v>
      </c>
      <c r="AH818">
        <v>7</v>
      </c>
      <c r="AI818">
        <f t="shared" si="84"/>
        <v>0</v>
      </c>
      <c r="AJ818" t="str">
        <f t="shared" si="85"/>
        <v>10+ yrs</v>
      </c>
      <c r="AK818" t="str">
        <f t="shared" si="86"/>
        <v>Overdue</v>
      </c>
      <c r="AL818">
        <f t="shared" si="87"/>
        <v>1</v>
      </c>
      <c r="AM818" t="str">
        <f t="shared" si="88"/>
        <v>Low Risk</v>
      </c>
      <c r="AN818" s="6">
        <f t="shared" si="89"/>
        <v>-7.5403976026448466E-2</v>
      </c>
      <c r="AO818" s="7">
        <f t="shared" si="90"/>
        <v>553272</v>
      </c>
    </row>
    <row r="819" spans="1:41" x14ac:dyDescent="0.3">
      <c r="A819" t="s">
        <v>886</v>
      </c>
      <c r="B819">
        <v>37</v>
      </c>
      <c r="C819" t="s">
        <v>802</v>
      </c>
      <c r="D819" t="s">
        <v>55</v>
      </c>
      <c r="E819" t="s">
        <v>62</v>
      </c>
      <c r="F819">
        <v>889</v>
      </c>
      <c r="G819" t="s">
        <v>735</v>
      </c>
      <c r="H819">
        <v>9</v>
      </c>
      <c r="I819">
        <v>3</v>
      </c>
      <c r="J819" t="s">
        <v>58</v>
      </c>
      <c r="K819">
        <v>403</v>
      </c>
      <c r="L819">
        <v>2</v>
      </c>
      <c r="M819" t="s">
        <v>51</v>
      </c>
      <c r="N819">
        <v>3</v>
      </c>
      <c r="O819">
        <v>1</v>
      </c>
      <c r="P819" t="s">
        <v>67</v>
      </c>
      <c r="Q819">
        <v>4</v>
      </c>
      <c r="R819" t="s">
        <v>113</v>
      </c>
      <c r="S819">
        <v>54932</v>
      </c>
      <c r="T819" t="s">
        <v>64</v>
      </c>
      <c r="U819">
        <v>343.32</v>
      </c>
      <c r="V819">
        <v>1</v>
      </c>
      <c r="W819" t="s">
        <v>47</v>
      </c>
      <c r="X819">
        <v>12</v>
      </c>
      <c r="Y819">
        <v>3</v>
      </c>
      <c r="Z819">
        <v>3</v>
      </c>
      <c r="AA819">
        <v>3</v>
      </c>
      <c r="AB819">
        <v>4</v>
      </c>
      <c r="AC819">
        <v>3</v>
      </c>
      <c r="AD819">
        <v>2</v>
      </c>
      <c r="AE819">
        <v>4</v>
      </c>
      <c r="AF819">
        <v>2</v>
      </c>
      <c r="AG819">
        <v>1</v>
      </c>
      <c r="AH819">
        <v>2</v>
      </c>
      <c r="AI819">
        <f t="shared" si="84"/>
        <v>0</v>
      </c>
      <c r="AJ819" t="str">
        <f t="shared" si="85"/>
        <v>4-5 yrs</v>
      </c>
      <c r="AK819" t="str">
        <f t="shared" si="86"/>
        <v>Recent</v>
      </c>
      <c r="AL819">
        <f t="shared" si="87"/>
        <v>2</v>
      </c>
      <c r="AM819" t="str">
        <f t="shared" si="88"/>
        <v>Medium Risk</v>
      </c>
      <c r="AN819" s="6">
        <f t="shared" si="89"/>
        <v>0.10159000539875793</v>
      </c>
      <c r="AO819" s="7">
        <f t="shared" si="90"/>
        <v>659184</v>
      </c>
    </row>
    <row r="820" spans="1:41" x14ac:dyDescent="0.3">
      <c r="A820" t="s">
        <v>887</v>
      </c>
      <c r="B820">
        <v>37</v>
      </c>
      <c r="C820" t="s">
        <v>802</v>
      </c>
      <c r="D820" t="s">
        <v>55</v>
      </c>
      <c r="E820" t="s">
        <v>48</v>
      </c>
      <c r="F820">
        <v>1192</v>
      </c>
      <c r="G820" t="s">
        <v>735</v>
      </c>
      <c r="H820">
        <v>5</v>
      </c>
      <c r="I820">
        <v>2</v>
      </c>
      <c r="J820" t="s">
        <v>58</v>
      </c>
      <c r="K820">
        <v>460</v>
      </c>
      <c r="L820">
        <v>4</v>
      </c>
      <c r="M820" t="s">
        <v>51</v>
      </c>
      <c r="N820">
        <v>3</v>
      </c>
      <c r="O820">
        <v>2</v>
      </c>
      <c r="P820" t="s">
        <v>120</v>
      </c>
      <c r="Q820">
        <v>4</v>
      </c>
      <c r="R820" t="s">
        <v>113</v>
      </c>
      <c r="S820">
        <v>18100</v>
      </c>
      <c r="T820" t="s">
        <v>54</v>
      </c>
      <c r="U820">
        <v>113.12</v>
      </c>
      <c r="V820">
        <v>7</v>
      </c>
      <c r="W820" t="s">
        <v>55</v>
      </c>
      <c r="X820">
        <v>16</v>
      </c>
      <c r="Y820">
        <v>3</v>
      </c>
      <c r="Z820">
        <v>3</v>
      </c>
      <c r="AA820">
        <v>2</v>
      </c>
      <c r="AB820">
        <v>8</v>
      </c>
      <c r="AC820">
        <v>2</v>
      </c>
      <c r="AD820">
        <v>2</v>
      </c>
      <c r="AE820">
        <v>6</v>
      </c>
      <c r="AF820">
        <v>2</v>
      </c>
      <c r="AG820">
        <v>0</v>
      </c>
      <c r="AH820">
        <v>4</v>
      </c>
      <c r="AI820">
        <f t="shared" si="84"/>
        <v>0</v>
      </c>
      <c r="AJ820" t="str">
        <f t="shared" si="85"/>
        <v>6-10 yrs</v>
      </c>
      <c r="AK820" t="str">
        <f t="shared" si="86"/>
        <v>Recent</v>
      </c>
      <c r="AL820">
        <f t="shared" si="87"/>
        <v>1</v>
      </c>
      <c r="AM820" t="str">
        <f t="shared" si="88"/>
        <v>Low Risk</v>
      </c>
      <c r="AN820" s="6">
        <f t="shared" si="89"/>
        <v>-0.59137909786413401</v>
      </c>
      <c r="AO820" s="7">
        <f t="shared" si="90"/>
        <v>217200</v>
      </c>
    </row>
    <row r="821" spans="1:41" x14ac:dyDescent="0.3">
      <c r="A821" t="s">
        <v>888</v>
      </c>
      <c r="B821">
        <v>37</v>
      </c>
      <c r="C821" t="s">
        <v>802</v>
      </c>
      <c r="D821" t="s">
        <v>55</v>
      </c>
      <c r="E821" t="s">
        <v>48</v>
      </c>
      <c r="F821">
        <v>1319</v>
      </c>
      <c r="G821" t="s">
        <v>735</v>
      </c>
      <c r="H821">
        <v>6</v>
      </c>
      <c r="I821">
        <v>3</v>
      </c>
      <c r="J821" t="s">
        <v>58</v>
      </c>
      <c r="K821">
        <v>474</v>
      </c>
      <c r="L821">
        <v>3</v>
      </c>
      <c r="M821" t="s">
        <v>51</v>
      </c>
      <c r="N821">
        <v>4</v>
      </c>
      <c r="O821">
        <v>2</v>
      </c>
      <c r="P821" t="s">
        <v>67</v>
      </c>
      <c r="Q821">
        <v>1</v>
      </c>
      <c r="R821" t="s">
        <v>113</v>
      </c>
      <c r="S821">
        <v>58091</v>
      </c>
      <c r="T821" t="s">
        <v>64</v>
      </c>
      <c r="U821">
        <v>363.07</v>
      </c>
      <c r="V821">
        <v>4</v>
      </c>
      <c r="W821" t="s">
        <v>47</v>
      </c>
      <c r="X821">
        <v>13</v>
      </c>
      <c r="Y821">
        <v>3</v>
      </c>
      <c r="Z821">
        <v>1</v>
      </c>
      <c r="AA821">
        <v>2</v>
      </c>
      <c r="AB821">
        <v>13</v>
      </c>
      <c r="AC821">
        <v>2</v>
      </c>
      <c r="AD821">
        <v>3</v>
      </c>
      <c r="AE821">
        <v>7</v>
      </c>
      <c r="AF821">
        <v>7</v>
      </c>
      <c r="AG821">
        <v>6</v>
      </c>
      <c r="AH821">
        <v>7</v>
      </c>
      <c r="AI821">
        <f t="shared" si="84"/>
        <v>0</v>
      </c>
      <c r="AJ821" t="str">
        <f t="shared" si="85"/>
        <v>6-10 yrs</v>
      </c>
      <c r="AK821" t="str">
        <f t="shared" si="86"/>
        <v>Overdue</v>
      </c>
      <c r="AL821">
        <f t="shared" si="87"/>
        <v>3</v>
      </c>
      <c r="AM821" t="str">
        <f t="shared" si="88"/>
        <v>High Risk</v>
      </c>
      <c r="AN821" s="6">
        <f t="shared" si="89"/>
        <v>0.1649396527273583</v>
      </c>
      <c r="AO821" s="7">
        <f t="shared" si="90"/>
        <v>697092</v>
      </c>
    </row>
    <row r="822" spans="1:41" x14ac:dyDescent="0.3">
      <c r="A822" t="s">
        <v>889</v>
      </c>
      <c r="B822">
        <v>37</v>
      </c>
      <c r="C822" t="s">
        <v>802</v>
      </c>
      <c r="D822" t="s">
        <v>55</v>
      </c>
      <c r="E822" t="s">
        <v>48</v>
      </c>
      <c r="F822">
        <v>921</v>
      </c>
      <c r="G822" t="s">
        <v>735</v>
      </c>
      <c r="H822">
        <v>10</v>
      </c>
      <c r="I822">
        <v>3</v>
      </c>
      <c r="J822" t="s">
        <v>58</v>
      </c>
      <c r="K822">
        <v>486</v>
      </c>
      <c r="L822">
        <v>3</v>
      </c>
      <c r="M822" t="s">
        <v>59</v>
      </c>
      <c r="N822">
        <v>3</v>
      </c>
      <c r="O822">
        <v>1</v>
      </c>
      <c r="P822" t="s">
        <v>52</v>
      </c>
      <c r="Q822">
        <v>1</v>
      </c>
      <c r="R822" t="s">
        <v>113</v>
      </c>
      <c r="S822">
        <v>22949</v>
      </c>
      <c r="T822" t="s">
        <v>54</v>
      </c>
      <c r="U822">
        <v>143.43</v>
      </c>
      <c r="V822">
        <v>6</v>
      </c>
      <c r="W822" t="s">
        <v>55</v>
      </c>
      <c r="X822">
        <v>20</v>
      </c>
      <c r="Y822">
        <v>4</v>
      </c>
      <c r="Z822">
        <v>2</v>
      </c>
      <c r="AA822">
        <v>1</v>
      </c>
      <c r="AB822">
        <v>17</v>
      </c>
      <c r="AC822">
        <v>3</v>
      </c>
      <c r="AD822">
        <v>3</v>
      </c>
      <c r="AE822">
        <v>5</v>
      </c>
      <c r="AF822">
        <v>4</v>
      </c>
      <c r="AG822">
        <v>0</v>
      </c>
      <c r="AH822">
        <v>3</v>
      </c>
      <c r="AI822">
        <f t="shared" si="84"/>
        <v>0</v>
      </c>
      <c r="AJ822" t="str">
        <f t="shared" si="85"/>
        <v>4-5 yrs</v>
      </c>
      <c r="AK822" t="str">
        <f t="shared" si="86"/>
        <v>Recent</v>
      </c>
      <c r="AL822">
        <f t="shared" si="87"/>
        <v>1</v>
      </c>
      <c r="AM822" t="str">
        <f t="shared" si="88"/>
        <v>Low Risk</v>
      </c>
      <c r="AN822" s="6">
        <f t="shared" si="89"/>
        <v>-0.55628897025038382</v>
      </c>
      <c r="AO822" s="7">
        <f t="shared" si="90"/>
        <v>275388</v>
      </c>
    </row>
    <row r="823" spans="1:41" x14ac:dyDescent="0.3">
      <c r="A823" t="s">
        <v>890</v>
      </c>
      <c r="B823">
        <v>37</v>
      </c>
      <c r="C823" t="s">
        <v>802</v>
      </c>
      <c r="D823" t="s">
        <v>55</v>
      </c>
      <c r="E823" t="s">
        <v>48</v>
      </c>
      <c r="F823">
        <v>1107</v>
      </c>
      <c r="G823" t="s">
        <v>735</v>
      </c>
      <c r="H823">
        <v>14</v>
      </c>
      <c r="I823">
        <v>3</v>
      </c>
      <c r="J823" t="s">
        <v>50</v>
      </c>
      <c r="K823">
        <v>515</v>
      </c>
      <c r="L823">
        <v>4</v>
      </c>
      <c r="M823" t="s">
        <v>59</v>
      </c>
      <c r="N823">
        <v>3</v>
      </c>
      <c r="O823">
        <v>1</v>
      </c>
      <c r="P823" t="s">
        <v>52</v>
      </c>
      <c r="Q823">
        <v>1</v>
      </c>
      <c r="R823" t="s">
        <v>113</v>
      </c>
      <c r="S823">
        <v>71080</v>
      </c>
      <c r="T823" t="s">
        <v>64</v>
      </c>
      <c r="U823">
        <v>444.25</v>
      </c>
      <c r="V823">
        <v>1</v>
      </c>
      <c r="W823" t="s">
        <v>55</v>
      </c>
      <c r="X823">
        <v>12</v>
      </c>
      <c r="Y823">
        <v>3</v>
      </c>
      <c r="Z823">
        <v>3</v>
      </c>
      <c r="AA823">
        <v>1</v>
      </c>
      <c r="AB823">
        <v>18</v>
      </c>
      <c r="AC823">
        <v>2</v>
      </c>
      <c r="AD823">
        <v>2</v>
      </c>
      <c r="AE823">
        <v>18</v>
      </c>
      <c r="AF823">
        <v>7</v>
      </c>
      <c r="AG823">
        <v>12</v>
      </c>
      <c r="AH823">
        <v>17</v>
      </c>
      <c r="AI823">
        <f t="shared" si="84"/>
        <v>0</v>
      </c>
      <c r="AJ823" t="str">
        <f t="shared" si="85"/>
        <v>10+ yrs</v>
      </c>
      <c r="AK823" t="str">
        <f t="shared" si="86"/>
        <v>Overdue</v>
      </c>
      <c r="AL823">
        <f t="shared" si="87"/>
        <v>3</v>
      </c>
      <c r="AM823" t="str">
        <f t="shared" si="88"/>
        <v>High Risk</v>
      </c>
      <c r="AN823" s="6">
        <f t="shared" si="89"/>
        <v>0.3743073769925801</v>
      </c>
      <c r="AO823" s="7">
        <f t="shared" si="90"/>
        <v>852960</v>
      </c>
    </row>
    <row r="824" spans="1:41" x14ac:dyDescent="0.3">
      <c r="A824" t="s">
        <v>891</v>
      </c>
      <c r="B824">
        <v>37</v>
      </c>
      <c r="C824" t="s">
        <v>802</v>
      </c>
      <c r="D824" t="s">
        <v>55</v>
      </c>
      <c r="E824" t="s">
        <v>48</v>
      </c>
      <c r="F824">
        <v>1305</v>
      </c>
      <c r="G824" t="s">
        <v>735</v>
      </c>
      <c r="H824">
        <v>10</v>
      </c>
      <c r="I824">
        <v>4</v>
      </c>
      <c r="J824" t="s">
        <v>50</v>
      </c>
      <c r="K824">
        <v>518</v>
      </c>
      <c r="L824">
        <v>3</v>
      </c>
      <c r="M824" t="s">
        <v>51</v>
      </c>
      <c r="N824">
        <v>3</v>
      </c>
      <c r="O824">
        <v>2</v>
      </c>
      <c r="P824" t="s">
        <v>120</v>
      </c>
      <c r="Q824">
        <v>2</v>
      </c>
      <c r="R824" t="s">
        <v>53</v>
      </c>
      <c r="S824">
        <v>38744</v>
      </c>
      <c r="T824" t="s">
        <v>72</v>
      </c>
      <c r="U824">
        <v>242.15</v>
      </c>
      <c r="V824">
        <v>2</v>
      </c>
      <c r="W824" t="s">
        <v>47</v>
      </c>
      <c r="X824">
        <v>12</v>
      </c>
      <c r="Y824">
        <v>3</v>
      </c>
      <c r="Z824">
        <v>4</v>
      </c>
      <c r="AA824">
        <v>0</v>
      </c>
      <c r="AB824">
        <v>18</v>
      </c>
      <c r="AC824">
        <v>2</v>
      </c>
      <c r="AD824">
        <v>2</v>
      </c>
      <c r="AE824">
        <v>1</v>
      </c>
      <c r="AF824">
        <v>0</v>
      </c>
      <c r="AG824">
        <v>0</v>
      </c>
      <c r="AH824">
        <v>1</v>
      </c>
      <c r="AI824">
        <f t="shared" si="84"/>
        <v>0</v>
      </c>
      <c r="AJ824" t="str">
        <f t="shared" si="85"/>
        <v>0-1 yr</v>
      </c>
      <c r="AK824" t="str">
        <f t="shared" si="86"/>
        <v>Recent</v>
      </c>
      <c r="AL824">
        <f t="shared" si="87"/>
        <v>3</v>
      </c>
      <c r="AM824" t="str">
        <f t="shared" si="88"/>
        <v>High Risk</v>
      </c>
      <c r="AN824" s="6">
        <f t="shared" si="89"/>
        <v>-0.12532551202475173</v>
      </c>
      <c r="AO824" s="7">
        <f t="shared" si="90"/>
        <v>464928</v>
      </c>
    </row>
    <row r="825" spans="1:41" x14ac:dyDescent="0.3">
      <c r="A825" t="s">
        <v>892</v>
      </c>
      <c r="B825">
        <v>37</v>
      </c>
      <c r="C825" t="s">
        <v>802</v>
      </c>
      <c r="D825" t="s">
        <v>55</v>
      </c>
      <c r="E825" t="s">
        <v>66</v>
      </c>
      <c r="F825">
        <v>1063</v>
      </c>
      <c r="G825" t="s">
        <v>735</v>
      </c>
      <c r="H825">
        <v>25</v>
      </c>
      <c r="I825">
        <v>5</v>
      </c>
      <c r="J825" t="s">
        <v>58</v>
      </c>
      <c r="K825">
        <v>529</v>
      </c>
      <c r="L825">
        <v>2</v>
      </c>
      <c r="M825" t="s">
        <v>59</v>
      </c>
      <c r="N825">
        <v>3</v>
      </c>
      <c r="O825">
        <v>2</v>
      </c>
      <c r="P825" t="s">
        <v>67</v>
      </c>
      <c r="Q825">
        <v>3</v>
      </c>
      <c r="R825" t="s">
        <v>113</v>
      </c>
      <c r="S825">
        <v>46543</v>
      </c>
      <c r="T825" t="s">
        <v>72</v>
      </c>
      <c r="U825">
        <v>290.89</v>
      </c>
      <c r="V825">
        <v>3</v>
      </c>
      <c r="W825" t="s">
        <v>47</v>
      </c>
      <c r="X825">
        <v>15</v>
      </c>
      <c r="Y825">
        <v>3</v>
      </c>
      <c r="Z825">
        <v>1</v>
      </c>
      <c r="AA825">
        <v>2</v>
      </c>
      <c r="AB825">
        <v>15</v>
      </c>
      <c r="AC825">
        <v>2</v>
      </c>
      <c r="AD825">
        <v>3</v>
      </c>
      <c r="AE825">
        <v>13</v>
      </c>
      <c r="AF825">
        <v>11</v>
      </c>
      <c r="AG825">
        <v>10</v>
      </c>
      <c r="AH825">
        <v>7</v>
      </c>
      <c r="AI825">
        <f t="shared" si="84"/>
        <v>0</v>
      </c>
      <c r="AJ825" t="str">
        <f t="shared" si="85"/>
        <v>10+ yrs</v>
      </c>
      <c r="AK825" t="str">
        <f t="shared" si="86"/>
        <v>Overdue</v>
      </c>
      <c r="AL825">
        <f t="shared" si="87"/>
        <v>2</v>
      </c>
      <c r="AM825" t="str">
        <f t="shared" si="88"/>
        <v>Medium Risk</v>
      </c>
      <c r="AN825" s="6">
        <f t="shared" si="89"/>
        <v>-6.6640507877477786E-2</v>
      </c>
      <c r="AO825" s="7">
        <f t="shared" si="90"/>
        <v>558516</v>
      </c>
    </row>
    <row r="826" spans="1:41" x14ac:dyDescent="0.3">
      <c r="A826" t="s">
        <v>893</v>
      </c>
      <c r="B826">
        <v>37</v>
      </c>
      <c r="C826" t="s">
        <v>802</v>
      </c>
      <c r="D826" t="s">
        <v>55</v>
      </c>
      <c r="E826" t="s">
        <v>48</v>
      </c>
      <c r="F826">
        <v>799</v>
      </c>
      <c r="G826" t="s">
        <v>735</v>
      </c>
      <c r="H826">
        <v>1</v>
      </c>
      <c r="I826">
        <v>3</v>
      </c>
      <c r="J826" t="s">
        <v>77</v>
      </c>
      <c r="K826">
        <v>623</v>
      </c>
      <c r="L826">
        <v>2</v>
      </c>
      <c r="M826" t="s">
        <v>59</v>
      </c>
      <c r="N826">
        <v>3</v>
      </c>
      <c r="O826">
        <v>3</v>
      </c>
      <c r="P826" t="s">
        <v>120</v>
      </c>
      <c r="Q826">
        <v>4</v>
      </c>
      <c r="R826" t="s">
        <v>53</v>
      </c>
      <c r="S826">
        <v>93193</v>
      </c>
      <c r="T826" t="s">
        <v>70</v>
      </c>
      <c r="U826">
        <v>582.46</v>
      </c>
      <c r="V826">
        <v>4</v>
      </c>
      <c r="W826" t="s">
        <v>55</v>
      </c>
      <c r="X826">
        <v>17</v>
      </c>
      <c r="Y826">
        <v>3</v>
      </c>
      <c r="Z826">
        <v>4</v>
      </c>
      <c r="AA826">
        <v>0</v>
      </c>
      <c r="AB826">
        <v>12</v>
      </c>
      <c r="AC826">
        <v>3</v>
      </c>
      <c r="AD826">
        <v>4</v>
      </c>
      <c r="AE826">
        <v>6</v>
      </c>
      <c r="AF826">
        <v>5</v>
      </c>
      <c r="AG826">
        <v>1</v>
      </c>
      <c r="AH826">
        <v>2</v>
      </c>
      <c r="AI826">
        <f t="shared" si="84"/>
        <v>0</v>
      </c>
      <c r="AJ826" t="str">
        <f t="shared" si="85"/>
        <v>6-10 yrs</v>
      </c>
      <c r="AK826" t="str">
        <f t="shared" si="86"/>
        <v>Recent</v>
      </c>
      <c r="AL826">
        <f t="shared" si="87"/>
        <v>0</v>
      </c>
      <c r="AM826" t="str">
        <f t="shared" si="88"/>
        <v>Minimal Risk</v>
      </c>
      <c r="AN826" s="6">
        <f t="shared" si="89"/>
        <v>1.1039009797098212</v>
      </c>
      <c r="AO826" s="7">
        <f t="shared" si="90"/>
        <v>1118316</v>
      </c>
    </row>
    <row r="827" spans="1:41" x14ac:dyDescent="0.3">
      <c r="A827" t="s">
        <v>894</v>
      </c>
      <c r="B827">
        <v>37</v>
      </c>
      <c r="C827" t="s">
        <v>802</v>
      </c>
      <c r="D827" t="s">
        <v>55</v>
      </c>
      <c r="E827" t="s">
        <v>66</v>
      </c>
      <c r="F827">
        <v>142</v>
      </c>
      <c r="G827" t="s">
        <v>63</v>
      </c>
      <c r="H827">
        <v>9</v>
      </c>
      <c r="I827">
        <v>4</v>
      </c>
      <c r="J827" t="s">
        <v>58</v>
      </c>
      <c r="K827">
        <v>626</v>
      </c>
      <c r="L827">
        <v>1</v>
      </c>
      <c r="M827" t="s">
        <v>51</v>
      </c>
      <c r="N827">
        <v>3</v>
      </c>
      <c r="O827">
        <v>3</v>
      </c>
      <c r="P827" t="s">
        <v>145</v>
      </c>
      <c r="Q827">
        <v>2</v>
      </c>
      <c r="R827" t="s">
        <v>53</v>
      </c>
      <c r="S827">
        <v>37187</v>
      </c>
      <c r="T827" t="s">
        <v>72</v>
      </c>
      <c r="U827">
        <v>232.42</v>
      </c>
      <c r="V827">
        <v>1</v>
      </c>
      <c r="W827" t="s">
        <v>55</v>
      </c>
      <c r="X827">
        <v>13</v>
      </c>
      <c r="Y827">
        <v>3</v>
      </c>
      <c r="Z827">
        <v>4</v>
      </c>
      <c r="AA827">
        <v>1</v>
      </c>
      <c r="AB827">
        <v>9</v>
      </c>
      <c r="AC827">
        <v>6</v>
      </c>
      <c r="AD827">
        <v>3</v>
      </c>
      <c r="AE827">
        <v>9</v>
      </c>
      <c r="AF827">
        <v>5</v>
      </c>
      <c r="AG827">
        <v>7</v>
      </c>
      <c r="AH827">
        <v>7</v>
      </c>
      <c r="AI827">
        <f t="shared" si="84"/>
        <v>0</v>
      </c>
      <c r="AJ827" t="str">
        <f t="shared" si="85"/>
        <v>6-10 yrs</v>
      </c>
      <c r="AK827" t="str">
        <f t="shared" si="86"/>
        <v>Overdue</v>
      </c>
      <c r="AL827">
        <f t="shared" si="87"/>
        <v>2</v>
      </c>
      <c r="AM827" t="str">
        <f t="shared" si="88"/>
        <v>Medium Risk</v>
      </c>
      <c r="AN827" s="6">
        <f t="shared" si="89"/>
        <v>-0.24197841248787494</v>
      </c>
      <c r="AO827" s="7">
        <f t="shared" si="90"/>
        <v>446244</v>
      </c>
    </row>
    <row r="828" spans="1:41" x14ac:dyDescent="0.3">
      <c r="A828" t="s">
        <v>895</v>
      </c>
      <c r="B828">
        <v>37</v>
      </c>
      <c r="C828" t="s">
        <v>802</v>
      </c>
      <c r="D828" t="s">
        <v>55</v>
      </c>
      <c r="E828" t="s">
        <v>48</v>
      </c>
      <c r="F828">
        <v>446</v>
      </c>
      <c r="G828" t="s">
        <v>735</v>
      </c>
      <c r="H828">
        <v>1</v>
      </c>
      <c r="I828">
        <v>4</v>
      </c>
      <c r="J828" t="s">
        <v>50</v>
      </c>
      <c r="K828">
        <v>635</v>
      </c>
      <c r="L828">
        <v>2</v>
      </c>
      <c r="M828" t="s">
        <v>59</v>
      </c>
      <c r="N828">
        <v>3</v>
      </c>
      <c r="O828">
        <v>2</v>
      </c>
      <c r="P828" t="s">
        <v>120</v>
      </c>
      <c r="Q828">
        <v>2</v>
      </c>
      <c r="R828" t="s">
        <v>113</v>
      </c>
      <c r="S828">
        <v>8239</v>
      </c>
      <c r="T828" t="s">
        <v>54</v>
      </c>
      <c r="U828">
        <v>51.49</v>
      </c>
      <c r="V828">
        <v>6</v>
      </c>
      <c r="W828" t="s">
        <v>55</v>
      </c>
      <c r="X828">
        <v>12</v>
      </c>
      <c r="Y828">
        <v>3</v>
      </c>
      <c r="Z828">
        <v>2</v>
      </c>
      <c r="AA828">
        <v>1</v>
      </c>
      <c r="AB828">
        <v>8</v>
      </c>
      <c r="AC828">
        <v>2</v>
      </c>
      <c r="AD828">
        <v>2</v>
      </c>
      <c r="AE828">
        <v>6</v>
      </c>
      <c r="AF828">
        <v>5</v>
      </c>
      <c r="AG828">
        <v>4</v>
      </c>
      <c r="AH828">
        <v>3</v>
      </c>
      <c r="AI828">
        <f t="shared" si="84"/>
        <v>0</v>
      </c>
      <c r="AJ828" t="str">
        <f t="shared" si="85"/>
        <v>6-10 yrs</v>
      </c>
      <c r="AK828" t="str">
        <f t="shared" si="86"/>
        <v>Overdue</v>
      </c>
      <c r="AL828">
        <f t="shared" si="87"/>
        <v>3</v>
      </c>
      <c r="AM828" t="str">
        <f t="shared" si="88"/>
        <v>High Risk</v>
      </c>
      <c r="AN828" s="6">
        <f t="shared" si="89"/>
        <v>-0.81399847443660767</v>
      </c>
      <c r="AO828" s="7">
        <f t="shared" si="90"/>
        <v>98868</v>
      </c>
    </row>
    <row r="829" spans="1:41" x14ac:dyDescent="0.3">
      <c r="A829" t="s">
        <v>896</v>
      </c>
      <c r="B829">
        <v>37</v>
      </c>
      <c r="C829" t="s">
        <v>802</v>
      </c>
      <c r="D829" t="s">
        <v>55</v>
      </c>
      <c r="E829" t="s">
        <v>48</v>
      </c>
      <c r="F829">
        <v>558</v>
      </c>
      <c r="G829" t="s">
        <v>63</v>
      </c>
      <c r="H829">
        <v>2</v>
      </c>
      <c r="I829">
        <v>3</v>
      </c>
      <c r="J829" t="s">
        <v>63</v>
      </c>
      <c r="K829">
        <v>656</v>
      </c>
      <c r="L829">
        <v>4</v>
      </c>
      <c r="M829" t="s">
        <v>51</v>
      </c>
      <c r="N829">
        <v>3</v>
      </c>
      <c r="O829">
        <v>2</v>
      </c>
      <c r="P829" t="s">
        <v>145</v>
      </c>
      <c r="Q829">
        <v>3</v>
      </c>
      <c r="R829" t="s">
        <v>113</v>
      </c>
      <c r="S829">
        <v>15489</v>
      </c>
      <c r="T829" t="s">
        <v>54</v>
      </c>
      <c r="U829">
        <v>96.81</v>
      </c>
      <c r="V829">
        <v>4</v>
      </c>
      <c r="W829" t="s">
        <v>47</v>
      </c>
      <c r="X829">
        <v>11</v>
      </c>
      <c r="Y829">
        <v>3</v>
      </c>
      <c r="Z829">
        <v>3</v>
      </c>
      <c r="AA829">
        <v>1</v>
      </c>
      <c r="AB829">
        <v>17</v>
      </c>
      <c r="AC829">
        <v>3</v>
      </c>
      <c r="AD829">
        <v>2</v>
      </c>
      <c r="AE829">
        <v>3</v>
      </c>
      <c r="AF829">
        <v>0</v>
      </c>
      <c r="AG829">
        <v>1</v>
      </c>
      <c r="AH829">
        <v>0</v>
      </c>
      <c r="AI829">
        <f t="shared" si="84"/>
        <v>0</v>
      </c>
      <c r="AJ829" t="str">
        <f t="shared" si="85"/>
        <v>2-3 yrs</v>
      </c>
      <c r="AK829" t="str">
        <f t="shared" si="86"/>
        <v>Recent</v>
      </c>
      <c r="AL829">
        <f t="shared" si="87"/>
        <v>2</v>
      </c>
      <c r="AM829" t="str">
        <f t="shared" si="88"/>
        <v>Medium Risk</v>
      </c>
      <c r="AN829" s="6">
        <f t="shared" si="89"/>
        <v>-0.68427148280379424</v>
      </c>
      <c r="AO829" s="7">
        <f t="shared" si="90"/>
        <v>185868</v>
      </c>
    </row>
    <row r="830" spans="1:41" x14ac:dyDescent="0.3">
      <c r="A830" t="s">
        <v>897</v>
      </c>
      <c r="B830">
        <v>37</v>
      </c>
      <c r="C830" t="s">
        <v>802</v>
      </c>
      <c r="D830" t="s">
        <v>55</v>
      </c>
      <c r="E830" t="s">
        <v>48</v>
      </c>
      <c r="F830">
        <v>482</v>
      </c>
      <c r="G830" t="s">
        <v>735</v>
      </c>
      <c r="H830">
        <v>3</v>
      </c>
      <c r="I830">
        <v>3</v>
      </c>
      <c r="J830" t="s">
        <v>82</v>
      </c>
      <c r="K830">
        <v>689</v>
      </c>
      <c r="L830">
        <v>3</v>
      </c>
      <c r="M830" t="s">
        <v>51</v>
      </c>
      <c r="N830">
        <v>3</v>
      </c>
      <c r="O830">
        <v>3</v>
      </c>
      <c r="P830" t="s">
        <v>120</v>
      </c>
      <c r="Q830">
        <v>3</v>
      </c>
      <c r="R830" t="s">
        <v>113</v>
      </c>
      <c r="S830">
        <v>59017</v>
      </c>
      <c r="T830" t="s">
        <v>64</v>
      </c>
      <c r="U830">
        <v>368.86</v>
      </c>
      <c r="V830">
        <v>1</v>
      </c>
      <c r="W830" t="s">
        <v>55</v>
      </c>
      <c r="X830">
        <v>15</v>
      </c>
      <c r="Y830">
        <v>3</v>
      </c>
      <c r="Z830">
        <v>3</v>
      </c>
      <c r="AA830">
        <v>1</v>
      </c>
      <c r="AB830">
        <v>10</v>
      </c>
      <c r="AC830">
        <v>2</v>
      </c>
      <c r="AD830">
        <v>3</v>
      </c>
      <c r="AE830">
        <v>10</v>
      </c>
      <c r="AF830">
        <v>7</v>
      </c>
      <c r="AG830">
        <v>7</v>
      </c>
      <c r="AH830">
        <v>8</v>
      </c>
      <c r="AI830">
        <f t="shared" si="84"/>
        <v>0</v>
      </c>
      <c r="AJ830" t="str">
        <f t="shared" si="85"/>
        <v>6-10 yrs</v>
      </c>
      <c r="AK830" t="str">
        <f t="shared" si="86"/>
        <v>Overdue</v>
      </c>
      <c r="AL830">
        <f t="shared" si="87"/>
        <v>1</v>
      </c>
      <c r="AM830" t="str">
        <f t="shared" si="88"/>
        <v>Low Risk</v>
      </c>
      <c r="AN830" s="6">
        <f t="shared" si="89"/>
        <v>0.33235247410786772</v>
      </c>
      <c r="AO830" s="7">
        <f t="shared" si="90"/>
        <v>708204</v>
      </c>
    </row>
    <row r="831" spans="1:41" x14ac:dyDescent="0.3">
      <c r="A831" t="s">
        <v>898</v>
      </c>
      <c r="B831">
        <v>37</v>
      </c>
      <c r="C831" t="s">
        <v>802</v>
      </c>
      <c r="D831" t="s">
        <v>55</v>
      </c>
      <c r="E831" t="s">
        <v>48</v>
      </c>
      <c r="F831">
        <v>1225</v>
      </c>
      <c r="G831" t="s">
        <v>735</v>
      </c>
      <c r="H831">
        <v>10</v>
      </c>
      <c r="I831">
        <v>2</v>
      </c>
      <c r="J831" t="s">
        <v>50</v>
      </c>
      <c r="K831">
        <v>715</v>
      </c>
      <c r="L831">
        <v>4</v>
      </c>
      <c r="M831" t="s">
        <v>51</v>
      </c>
      <c r="N831">
        <v>4</v>
      </c>
      <c r="O831">
        <v>1</v>
      </c>
      <c r="P831" t="s">
        <v>67</v>
      </c>
      <c r="Q831">
        <v>4</v>
      </c>
      <c r="R831" t="s">
        <v>53</v>
      </c>
      <c r="S831">
        <v>62877</v>
      </c>
      <c r="T831" t="s">
        <v>64</v>
      </c>
      <c r="U831">
        <v>392.98</v>
      </c>
      <c r="V831">
        <v>3</v>
      </c>
      <c r="W831" t="s">
        <v>55</v>
      </c>
      <c r="X831">
        <v>17</v>
      </c>
      <c r="Y831">
        <v>3</v>
      </c>
      <c r="Z831">
        <v>1</v>
      </c>
      <c r="AA831">
        <v>0</v>
      </c>
      <c r="AB831">
        <v>4</v>
      </c>
      <c r="AC831">
        <v>2</v>
      </c>
      <c r="AD831">
        <v>3</v>
      </c>
      <c r="AE831">
        <v>1</v>
      </c>
      <c r="AF831">
        <v>0</v>
      </c>
      <c r="AG831">
        <v>0</v>
      </c>
      <c r="AH831">
        <v>0</v>
      </c>
      <c r="AI831">
        <f t="shared" si="84"/>
        <v>0</v>
      </c>
      <c r="AJ831" t="str">
        <f t="shared" si="85"/>
        <v>0-1 yr</v>
      </c>
      <c r="AK831" t="str">
        <f t="shared" si="86"/>
        <v>Recent</v>
      </c>
      <c r="AL831">
        <f t="shared" si="87"/>
        <v>0</v>
      </c>
      <c r="AM831" t="str">
        <f t="shared" si="88"/>
        <v>Minimal Risk</v>
      </c>
      <c r="AN831" s="6">
        <f t="shared" si="89"/>
        <v>0.26091667460601659</v>
      </c>
      <c r="AO831" s="7">
        <f t="shared" si="90"/>
        <v>754524</v>
      </c>
    </row>
    <row r="832" spans="1:41" x14ac:dyDescent="0.3">
      <c r="A832" t="s">
        <v>899</v>
      </c>
      <c r="B832">
        <v>37</v>
      </c>
      <c r="C832" t="s">
        <v>802</v>
      </c>
      <c r="D832" t="s">
        <v>55</v>
      </c>
      <c r="E832" t="s">
        <v>48</v>
      </c>
      <c r="F832">
        <v>571</v>
      </c>
      <c r="G832" t="s">
        <v>735</v>
      </c>
      <c r="H832">
        <v>10</v>
      </c>
      <c r="I832">
        <v>1</v>
      </c>
      <c r="J832" t="s">
        <v>50</v>
      </c>
      <c r="K832">
        <v>802</v>
      </c>
      <c r="L832">
        <v>4</v>
      </c>
      <c r="M832" t="s">
        <v>59</v>
      </c>
      <c r="N832">
        <v>3</v>
      </c>
      <c r="O832">
        <v>1</v>
      </c>
      <c r="P832" t="s">
        <v>67</v>
      </c>
      <c r="Q832">
        <v>1</v>
      </c>
      <c r="R832" t="s">
        <v>113</v>
      </c>
      <c r="S832">
        <v>44125</v>
      </c>
      <c r="T832" t="s">
        <v>72</v>
      </c>
      <c r="U832">
        <v>275.77999999999997</v>
      </c>
      <c r="V832">
        <v>0</v>
      </c>
      <c r="W832" t="s">
        <v>47</v>
      </c>
      <c r="X832">
        <v>13</v>
      </c>
      <c r="Y832">
        <v>3</v>
      </c>
      <c r="Z832">
        <v>2</v>
      </c>
      <c r="AA832">
        <v>2</v>
      </c>
      <c r="AB832">
        <v>6</v>
      </c>
      <c r="AC832">
        <v>3</v>
      </c>
      <c r="AD832">
        <v>2</v>
      </c>
      <c r="AE832">
        <v>5</v>
      </c>
      <c r="AF832">
        <v>3</v>
      </c>
      <c r="AG832">
        <v>4</v>
      </c>
      <c r="AH832">
        <v>3</v>
      </c>
      <c r="AI832">
        <f t="shared" si="84"/>
        <v>0</v>
      </c>
      <c r="AJ832" t="str">
        <f t="shared" si="85"/>
        <v>4-5 yrs</v>
      </c>
      <c r="AK832" t="str">
        <f t="shared" si="86"/>
        <v>Overdue</v>
      </c>
      <c r="AL832">
        <f t="shared" si="87"/>
        <v>4</v>
      </c>
      <c r="AM832" t="str">
        <f t="shared" si="88"/>
        <v>High Risk</v>
      </c>
      <c r="AN832" s="6">
        <f t="shared" si="89"/>
        <v>-0.11513036138825833</v>
      </c>
      <c r="AO832" s="7">
        <f t="shared" si="90"/>
        <v>529500</v>
      </c>
    </row>
    <row r="833" spans="1:41" x14ac:dyDescent="0.3">
      <c r="A833" t="s">
        <v>900</v>
      </c>
      <c r="B833">
        <v>37</v>
      </c>
      <c r="C833" t="s">
        <v>802</v>
      </c>
      <c r="D833" t="s">
        <v>55</v>
      </c>
      <c r="E833" t="s">
        <v>48</v>
      </c>
      <c r="F833">
        <v>342</v>
      </c>
      <c r="G833" t="s">
        <v>63</v>
      </c>
      <c r="H833">
        <v>16</v>
      </c>
      <c r="I833">
        <v>4</v>
      </c>
      <c r="J833" t="s">
        <v>63</v>
      </c>
      <c r="K833">
        <v>868</v>
      </c>
      <c r="L833">
        <v>4</v>
      </c>
      <c r="M833" t="s">
        <v>51</v>
      </c>
      <c r="N833">
        <v>2</v>
      </c>
      <c r="O833">
        <v>2</v>
      </c>
      <c r="P833" t="s">
        <v>145</v>
      </c>
      <c r="Q833">
        <v>3</v>
      </c>
      <c r="R833" t="s">
        <v>113</v>
      </c>
      <c r="S833">
        <v>50922</v>
      </c>
      <c r="T833" t="s">
        <v>64</v>
      </c>
      <c r="U833">
        <v>318.26</v>
      </c>
      <c r="V833">
        <v>4</v>
      </c>
      <c r="W833" t="s">
        <v>55</v>
      </c>
      <c r="X833">
        <v>19</v>
      </c>
      <c r="Y833">
        <v>3</v>
      </c>
      <c r="Z833">
        <v>4</v>
      </c>
      <c r="AA833">
        <v>2</v>
      </c>
      <c r="AB833">
        <v>9</v>
      </c>
      <c r="AC833">
        <v>2</v>
      </c>
      <c r="AD833">
        <v>3</v>
      </c>
      <c r="AE833">
        <v>1</v>
      </c>
      <c r="AF833">
        <v>0</v>
      </c>
      <c r="AG833">
        <v>0</v>
      </c>
      <c r="AH833">
        <v>0</v>
      </c>
      <c r="AI833">
        <f t="shared" si="84"/>
        <v>0</v>
      </c>
      <c r="AJ833" t="str">
        <f t="shared" si="85"/>
        <v>0-1 yr</v>
      </c>
      <c r="AK833" t="str">
        <f t="shared" si="86"/>
        <v>Recent</v>
      </c>
      <c r="AL833">
        <f t="shared" si="87"/>
        <v>0</v>
      </c>
      <c r="AM833" t="str">
        <f t="shared" si="88"/>
        <v>Minimal Risk</v>
      </c>
      <c r="AN833" s="6">
        <f t="shared" si="89"/>
        <v>3.7996484774045554E-2</v>
      </c>
      <c r="AO833" s="7">
        <f t="shared" si="90"/>
        <v>611064</v>
      </c>
    </row>
    <row r="834" spans="1:41" x14ac:dyDescent="0.3">
      <c r="A834" t="s">
        <v>901</v>
      </c>
      <c r="B834">
        <v>37</v>
      </c>
      <c r="C834" t="s">
        <v>802</v>
      </c>
      <c r="D834" t="s">
        <v>55</v>
      </c>
      <c r="E834" t="s">
        <v>62</v>
      </c>
      <c r="F834">
        <v>1231</v>
      </c>
      <c r="G834" t="s">
        <v>63</v>
      </c>
      <c r="H834">
        <v>21</v>
      </c>
      <c r="I834">
        <v>2</v>
      </c>
      <c r="J834" t="s">
        <v>58</v>
      </c>
      <c r="K834">
        <v>900</v>
      </c>
      <c r="L834">
        <v>3</v>
      </c>
      <c r="M834" t="s">
        <v>59</v>
      </c>
      <c r="N834">
        <v>3</v>
      </c>
      <c r="O834">
        <v>1</v>
      </c>
      <c r="P834" t="s">
        <v>60</v>
      </c>
      <c r="Q834">
        <v>4</v>
      </c>
      <c r="R834" t="s">
        <v>113</v>
      </c>
      <c r="S834">
        <v>95074</v>
      </c>
      <c r="T834" t="s">
        <v>70</v>
      </c>
      <c r="U834">
        <v>594.21</v>
      </c>
      <c r="V834">
        <v>5</v>
      </c>
      <c r="W834" t="s">
        <v>55</v>
      </c>
      <c r="X834">
        <v>15</v>
      </c>
      <c r="Y834">
        <v>3</v>
      </c>
      <c r="Z834">
        <v>2</v>
      </c>
      <c r="AA834">
        <v>1</v>
      </c>
      <c r="AB834">
        <v>10</v>
      </c>
      <c r="AC834">
        <v>3</v>
      </c>
      <c r="AD834">
        <v>3</v>
      </c>
      <c r="AE834">
        <v>5</v>
      </c>
      <c r="AF834">
        <v>4</v>
      </c>
      <c r="AG834">
        <v>0</v>
      </c>
      <c r="AH834">
        <v>0</v>
      </c>
      <c r="AI834">
        <f t="shared" ref="AI834:AI897" si="91">IF(D834="Yes",1,0)</f>
        <v>0</v>
      </c>
      <c r="AJ834" t="str">
        <f t="shared" ref="AJ834:AJ897" si="92">IF(AE834&lt;=1,"0-1 yr",IF(AE834&lt;=3,"2-3 yrs",IF(AE834&lt;=5,"4-5 yrs",IF(AE834&lt;=10,"6-10 yrs","10+ yrs"))))</f>
        <v>4-5 yrs</v>
      </c>
      <c r="AK834" t="str">
        <f t="shared" ref="AK834:AK897" si="93">IF(AG834&gt;=3,"Overdue","Recent")</f>
        <v>Recent</v>
      </c>
      <c r="AL834">
        <f t="shared" ref="AL834:AL897" si="94">IF(W834="Yes",1,0)+IF(AD834&lt;=2,1,0)+IF(Q834&lt;=2,1,0)+IF(AG834&gt;=3,1,0)</f>
        <v>0</v>
      </c>
      <c r="AM834" t="str">
        <f t="shared" ref="AM834:AM897" si="95">IF(AL834&gt;=3,"High Risk",IF(AL834=2,"Medium Risk",IF(AL834=1,"Low Risk","Minimal Risk")))</f>
        <v>Minimal Risk</v>
      </c>
      <c r="AN834" s="6">
        <f t="shared" ref="AN834:AN897" si="96">IFERROR((S834-AVERAGEIF(P$2:P$1479,P834,S$2:S$1479))/AVERAGEIF(P$2:P$1479,P834,S$2:S$1479),0)</f>
        <v>0.92743102307714032</v>
      </c>
      <c r="AO834" s="7">
        <f t="shared" ref="AO834:AO897" si="97">S834*12</f>
        <v>1140888</v>
      </c>
    </row>
    <row r="835" spans="1:41" x14ac:dyDescent="0.3">
      <c r="A835" t="s">
        <v>902</v>
      </c>
      <c r="B835">
        <v>37</v>
      </c>
      <c r="C835" t="s">
        <v>802</v>
      </c>
      <c r="D835" t="s">
        <v>55</v>
      </c>
      <c r="E835" t="s">
        <v>66</v>
      </c>
      <c r="F835">
        <v>1252</v>
      </c>
      <c r="G835" t="s">
        <v>63</v>
      </c>
      <c r="H835">
        <v>19</v>
      </c>
      <c r="I835">
        <v>2</v>
      </c>
      <c r="J835" t="s">
        <v>58</v>
      </c>
      <c r="K835">
        <v>904</v>
      </c>
      <c r="L835">
        <v>1</v>
      </c>
      <c r="M835" t="s">
        <v>51</v>
      </c>
      <c r="N835">
        <v>3</v>
      </c>
      <c r="O835">
        <v>3</v>
      </c>
      <c r="P835" t="s">
        <v>145</v>
      </c>
      <c r="Q835">
        <v>2</v>
      </c>
      <c r="R835" t="s">
        <v>53</v>
      </c>
      <c r="S835">
        <v>33049</v>
      </c>
      <c r="T835" t="s">
        <v>72</v>
      </c>
      <c r="U835">
        <v>206.56</v>
      </c>
      <c r="V835">
        <v>1</v>
      </c>
      <c r="W835" t="s">
        <v>47</v>
      </c>
      <c r="X835">
        <v>13</v>
      </c>
      <c r="Y835">
        <v>3</v>
      </c>
      <c r="Z835">
        <v>4</v>
      </c>
      <c r="AA835">
        <v>0</v>
      </c>
      <c r="AB835">
        <v>10</v>
      </c>
      <c r="AC835">
        <v>2</v>
      </c>
      <c r="AD835">
        <v>3</v>
      </c>
      <c r="AE835">
        <v>10</v>
      </c>
      <c r="AF835">
        <v>0</v>
      </c>
      <c r="AG835">
        <v>0</v>
      </c>
      <c r="AH835">
        <v>9</v>
      </c>
      <c r="AI835">
        <f t="shared" si="91"/>
        <v>0</v>
      </c>
      <c r="AJ835" t="str">
        <f t="shared" si="92"/>
        <v>6-10 yrs</v>
      </c>
      <c r="AK835" t="str">
        <f t="shared" si="93"/>
        <v>Recent</v>
      </c>
      <c r="AL835">
        <f t="shared" si="94"/>
        <v>2</v>
      </c>
      <c r="AM835" t="str">
        <f t="shared" si="95"/>
        <v>Medium Risk</v>
      </c>
      <c r="AN835" s="6">
        <f t="shared" si="96"/>
        <v>-0.32632760250387982</v>
      </c>
      <c r="AO835" s="7">
        <f t="shared" si="97"/>
        <v>396588</v>
      </c>
    </row>
    <row r="836" spans="1:41" x14ac:dyDescent="0.3">
      <c r="A836" t="s">
        <v>903</v>
      </c>
      <c r="B836">
        <v>37</v>
      </c>
      <c r="C836" t="s">
        <v>802</v>
      </c>
      <c r="D836" t="s">
        <v>47</v>
      </c>
      <c r="E836" t="s">
        <v>48</v>
      </c>
      <c r="F836">
        <v>625</v>
      </c>
      <c r="G836" t="s">
        <v>63</v>
      </c>
      <c r="H836">
        <v>1</v>
      </c>
      <c r="I836">
        <v>4</v>
      </c>
      <c r="J836" t="s">
        <v>50</v>
      </c>
      <c r="K836">
        <v>970</v>
      </c>
      <c r="L836">
        <v>1</v>
      </c>
      <c r="M836" t="s">
        <v>51</v>
      </c>
      <c r="N836">
        <v>2</v>
      </c>
      <c r="O836">
        <v>3</v>
      </c>
      <c r="P836" t="s">
        <v>145</v>
      </c>
      <c r="Q836">
        <v>3</v>
      </c>
      <c r="R836" t="s">
        <v>113</v>
      </c>
      <c r="S836">
        <v>38131</v>
      </c>
      <c r="T836" t="s">
        <v>72</v>
      </c>
      <c r="U836">
        <v>238.32</v>
      </c>
      <c r="V836">
        <v>5</v>
      </c>
      <c r="W836" t="s">
        <v>55</v>
      </c>
      <c r="X836">
        <v>11</v>
      </c>
      <c r="Y836">
        <v>3</v>
      </c>
      <c r="Z836">
        <v>3</v>
      </c>
      <c r="AA836">
        <v>0</v>
      </c>
      <c r="AB836">
        <v>17</v>
      </c>
      <c r="AC836">
        <v>2</v>
      </c>
      <c r="AD836">
        <v>1</v>
      </c>
      <c r="AE836">
        <v>14</v>
      </c>
      <c r="AF836">
        <v>1</v>
      </c>
      <c r="AG836">
        <v>11</v>
      </c>
      <c r="AH836">
        <v>7</v>
      </c>
      <c r="AI836">
        <f t="shared" si="91"/>
        <v>1</v>
      </c>
      <c r="AJ836" t="str">
        <f t="shared" si="92"/>
        <v>10+ yrs</v>
      </c>
      <c r="AK836" t="str">
        <f t="shared" si="93"/>
        <v>Overdue</v>
      </c>
      <c r="AL836">
        <f t="shared" si="94"/>
        <v>2</v>
      </c>
      <c r="AM836" t="str">
        <f t="shared" si="95"/>
        <v>Medium Risk</v>
      </c>
      <c r="AN836" s="6">
        <f t="shared" si="96"/>
        <v>-0.22273587131457659</v>
      </c>
      <c r="AO836" s="7">
        <f t="shared" si="97"/>
        <v>457572</v>
      </c>
    </row>
    <row r="837" spans="1:41" x14ac:dyDescent="0.3">
      <c r="A837" t="s">
        <v>904</v>
      </c>
      <c r="B837">
        <v>37</v>
      </c>
      <c r="C837" t="s">
        <v>802</v>
      </c>
      <c r="D837" t="s">
        <v>47</v>
      </c>
      <c r="E837" t="s">
        <v>48</v>
      </c>
      <c r="F837">
        <v>1141</v>
      </c>
      <c r="G837" t="s">
        <v>735</v>
      </c>
      <c r="H837">
        <v>11</v>
      </c>
      <c r="I837">
        <v>2</v>
      </c>
      <c r="J837" t="s">
        <v>58</v>
      </c>
      <c r="K837">
        <v>1033</v>
      </c>
      <c r="L837">
        <v>1</v>
      </c>
      <c r="M837" t="s">
        <v>59</v>
      </c>
      <c r="N837">
        <v>1</v>
      </c>
      <c r="O837">
        <v>2</v>
      </c>
      <c r="P837" t="s">
        <v>168</v>
      </c>
      <c r="Q837">
        <v>2</v>
      </c>
      <c r="R837" t="s">
        <v>113</v>
      </c>
      <c r="S837">
        <v>43944</v>
      </c>
      <c r="T837" t="s">
        <v>72</v>
      </c>
      <c r="U837">
        <v>274.64999999999998</v>
      </c>
      <c r="V837">
        <v>5</v>
      </c>
      <c r="W837" t="s">
        <v>55</v>
      </c>
      <c r="X837">
        <v>15</v>
      </c>
      <c r="Y837">
        <v>3</v>
      </c>
      <c r="Z837">
        <v>1</v>
      </c>
      <c r="AA837">
        <v>0</v>
      </c>
      <c r="AB837">
        <v>15</v>
      </c>
      <c r="AC837">
        <v>2</v>
      </c>
      <c r="AD837">
        <v>1</v>
      </c>
      <c r="AE837">
        <v>1</v>
      </c>
      <c r="AF837">
        <v>0</v>
      </c>
      <c r="AG837">
        <v>0</v>
      </c>
      <c r="AH837">
        <v>0</v>
      </c>
      <c r="AI837">
        <f t="shared" si="91"/>
        <v>1</v>
      </c>
      <c r="AJ837" t="str">
        <f t="shared" si="92"/>
        <v>0-1 yr</v>
      </c>
      <c r="AK837" t="str">
        <f t="shared" si="93"/>
        <v>Recent</v>
      </c>
      <c r="AL837">
        <f t="shared" si="94"/>
        <v>2</v>
      </c>
      <c r="AM837" t="str">
        <f t="shared" si="95"/>
        <v>Medium Risk</v>
      </c>
      <c r="AN837" s="6">
        <f t="shared" si="96"/>
        <v>-8.8093346456226018E-2</v>
      </c>
      <c r="AO837" s="7">
        <f t="shared" si="97"/>
        <v>527328</v>
      </c>
    </row>
    <row r="838" spans="1:41" x14ac:dyDescent="0.3">
      <c r="A838" t="s">
        <v>905</v>
      </c>
      <c r="B838">
        <v>37</v>
      </c>
      <c r="C838" t="s">
        <v>802</v>
      </c>
      <c r="D838" t="s">
        <v>55</v>
      </c>
      <c r="E838" t="s">
        <v>48</v>
      </c>
      <c r="F838">
        <v>124</v>
      </c>
      <c r="G838" t="s">
        <v>735</v>
      </c>
      <c r="H838">
        <v>3</v>
      </c>
      <c r="I838">
        <v>3</v>
      </c>
      <c r="J838" t="s">
        <v>82</v>
      </c>
      <c r="K838">
        <v>1062</v>
      </c>
      <c r="L838">
        <v>4</v>
      </c>
      <c r="M838" t="s">
        <v>59</v>
      </c>
      <c r="N838">
        <v>3</v>
      </c>
      <c r="O838">
        <v>2</v>
      </c>
      <c r="P838" t="s">
        <v>168</v>
      </c>
      <c r="Q838">
        <v>2</v>
      </c>
      <c r="R838" t="s">
        <v>53</v>
      </c>
      <c r="S838">
        <v>74963</v>
      </c>
      <c r="T838" t="s">
        <v>64</v>
      </c>
      <c r="U838">
        <v>468.52</v>
      </c>
      <c r="V838">
        <v>3</v>
      </c>
      <c r="W838" t="s">
        <v>55</v>
      </c>
      <c r="X838">
        <v>15</v>
      </c>
      <c r="Y838">
        <v>3</v>
      </c>
      <c r="Z838">
        <v>1</v>
      </c>
      <c r="AA838">
        <v>0</v>
      </c>
      <c r="AB838">
        <v>8</v>
      </c>
      <c r="AC838">
        <v>3</v>
      </c>
      <c r="AD838">
        <v>2</v>
      </c>
      <c r="AE838">
        <v>4</v>
      </c>
      <c r="AF838">
        <v>3</v>
      </c>
      <c r="AG838">
        <v>0</v>
      </c>
      <c r="AH838">
        <v>1</v>
      </c>
      <c r="AI838">
        <f t="shared" si="91"/>
        <v>0</v>
      </c>
      <c r="AJ838" t="str">
        <f t="shared" si="92"/>
        <v>4-5 yrs</v>
      </c>
      <c r="AK838" t="str">
        <f t="shared" si="93"/>
        <v>Recent</v>
      </c>
      <c r="AL838">
        <f t="shared" si="94"/>
        <v>2</v>
      </c>
      <c r="AM838" t="str">
        <f t="shared" si="95"/>
        <v>Medium Risk</v>
      </c>
      <c r="AN838" s="6">
        <f t="shared" si="96"/>
        <v>0.55559936440929203</v>
      </c>
      <c r="AO838" s="7">
        <f t="shared" si="97"/>
        <v>899556</v>
      </c>
    </row>
    <row r="839" spans="1:41" x14ac:dyDescent="0.3">
      <c r="A839" t="s">
        <v>906</v>
      </c>
      <c r="B839">
        <v>37</v>
      </c>
      <c r="C839" t="s">
        <v>802</v>
      </c>
      <c r="D839" t="s">
        <v>55</v>
      </c>
      <c r="E839" t="s">
        <v>48</v>
      </c>
      <c r="F839">
        <v>309</v>
      </c>
      <c r="G839" t="s">
        <v>63</v>
      </c>
      <c r="H839">
        <v>10</v>
      </c>
      <c r="I839">
        <v>4</v>
      </c>
      <c r="J839" t="s">
        <v>50</v>
      </c>
      <c r="K839">
        <v>1105</v>
      </c>
      <c r="L839">
        <v>4</v>
      </c>
      <c r="M839" t="s">
        <v>59</v>
      </c>
      <c r="N839">
        <v>2</v>
      </c>
      <c r="O839">
        <v>2</v>
      </c>
      <c r="P839" t="s">
        <v>145</v>
      </c>
      <c r="Q839">
        <v>4</v>
      </c>
      <c r="R839" t="s">
        <v>113</v>
      </c>
      <c r="S839">
        <v>25285</v>
      </c>
      <c r="T839" t="s">
        <v>72</v>
      </c>
      <c r="U839">
        <v>158.03</v>
      </c>
      <c r="V839">
        <v>2</v>
      </c>
      <c r="W839" t="s">
        <v>47</v>
      </c>
      <c r="X839">
        <v>14</v>
      </c>
      <c r="Y839">
        <v>3</v>
      </c>
      <c r="Z839">
        <v>3</v>
      </c>
      <c r="AA839">
        <v>3</v>
      </c>
      <c r="AB839">
        <v>8</v>
      </c>
      <c r="AC839">
        <v>5</v>
      </c>
      <c r="AD839">
        <v>3</v>
      </c>
      <c r="AE839">
        <v>1</v>
      </c>
      <c r="AF839">
        <v>0</v>
      </c>
      <c r="AG839">
        <v>0</v>
      </c>
      <c r="AH839">
        <v>0</v>
      </c>
      <c r="AI839">
        <f t="shared" si="91"/>
        <v>0</v>
      </c>
      <c r="AJ839" t="str">
        <f t="shared" si="92"/>
        <v>0-1 yr</v>
      </c>
      <c r="AK839" t="str">
        <f t="shared" si="93"/>
        <v>Recent</v>
      </c>
      <c r="AL839">
        <f t="shared" si="94"/>
        <v>1</v>
      </c>
      <c r="AM839" t="str">
        <f t="shared" si="95"/>
        <v>Low Risk</v>
      </c>
      <c r="AN839" s="6">
        <f t="shared" si="96"/>
        <v>-0.48458935003511761</v>
      </c>
      <c r="AO839" s="7">
        <f t="shared" si="97"/>
        <v>303420</v>
      </c>
    </row>
    <row r="840" spans="1:41" x14ac:dyDescent="0.3">
      <c r="A840" t="s">
        <v>907</v>
      </c>
      <c r="B840">
        <v>37</v>
      </c>
      <c r="C840" t="s">
        <v>802</v>
      </c>
      <c r="D840" t="s">
        <v>55</v>
      </c>
      <c r="E840" t="s">
        <v>48</v>
      </c>
      <c r="F840">
        <v>367</v>
      </c>
      <c r="G840" t="s">
        <v>735</v>
      </c>
      <c r="H840">
        <v>25</v>
      </c>
      <c r="I840">
        <v>2</v>
      </c>
      <c r="J840" t="s">
        <v>58</v>
      </c>
      <c r="K840">
        <v>1161</v>
      </c>
      <c r="L840">
        <v>3</v>
      </c>
      <c r="M840" t="s">
        <v>59</v>
      </c>
      <c r="N840">
        <v>2</v>
      </c>
      <c r="O840">
        <v>2</v>
      </c>
      <c r="P840" t="s">
        <v>168</v>
      </c>
      <c r="Q840">
        <v>4</v>
      </c>
      <c r="R840" t="s">
        <v>113</v>
      </c>
      <c r="S840">
        <v>38626</v>
      </c>
      <c r="T840" t="s">
        <v>72</v>
      </c>
      <c r="U840">
        <v>241.41</v>
      </c>
      <c r="V840">
        <v>7</v>
      </c>
      <c r="W840" t="s">
        <v>55</v>
      </c>
      <c r="X840">
        <v>13</v>
      </c>
      <c r="Y840">
        <v>3</v>
      </c>
      <c r="Z840">
        <v>3</v>
      </c>
      <c r="AA840">
        <v>2</v>
      </c>
      <c r="AB840">
        <v>9</v>
      </c>
      <c r="AC840">
        <v>2</v>
      </c>
      <c r="AD840">
        <v>3</v>
      </c>
      <c r="AE840">
        <v>6</v>
      </c>
      <c r="AF840">
        <v>2</v>
      </c>
      <c r="AG840">
        <v>1</v>
      </c>
      <c r="AH840">
        <v>3</v>
      </c>
      <c r="AI840">
        <f t="shared" si="91"/>
        <v>0</v>
      </c>
      <c r="AJ840" t="str">
        <f t="shared" si="92"/>
        <v>6-10 yrs</v>
      </c>
      <c r="AK840" t="str">
        <f t="shared" si="93"/>
        <v>Recent</v>
      </c>
      <c r="AL840">
        <f t="shared" si="94"/>
        <v>0</v>
      </c>
      <c r="AM840" t="str">
        <f t="shared" si="95"/>
        <v>Minimal Risk</v>
      </c>
      <c r="AN840" s="6">
        <f t="shared" si="96"/>
        <v>-0.19845015474736452</v>
      </c>
      <c r="AO840" s="7">
        <f t="shared" si="97"/>
        <v>463512</v>
      </c>
    </row>
    <row r="841" spans="1:41" x14ac:dyDescent="0.3">
      <c r="A841" t="s">
        <v>908</v>
      </c>
      <c r="B841">
        <v>37</v>
      </c>
      <c r="C841" t="s">
        <v>802</v>
      </c>
      <c r="D841" t="s">
        <v>55</v>
      </c>
      <c r="E841" t="s">
        <v>48</v>
      </c>
      <c r="F841">
        <v>977</v>
      </c>
      <c r="G841" t="s">
        <v>735</v>
      </c>
      <c r="H841">
        <v>1</v>
      </c>
      <c r="I841">
        <v>3</v>
      </c>
      <c r="J841" t="s">
        <v>50</v>
      </c>
      <c r="K841">
        <v>1196</v>
      </c>
      <c r="L841">
        <v>4</v>
      </c>
      <c r="M841" t="s">
        <v>59</v>
      </c>
      <c r="N841">
        <v>2</v>
      </c>
      <c r="O841">
        <v>2</v>
      </c>
      <c r="P841" t="s">
        <v>120</v>
      </c>
      <c r="Q841">
        <v>4</v>
      </c>
      <c r="R841" t="s">
        <v>113</v>
      </c>
      <c r="S841">
        <v>43808</v>
      </c>
      <c r="T841" t="s">
        <v>72</v>
      </c>
      <c r="U841">
        <v>273.8</v>
      </c>
      <c r="V841">
        <v>1</v>
      </c>
      <c r="W841" t="s">
        <v>55</v>
      </c>
      <c r="X841">
        <v>13</v>
      </c>
      <c r="Y841">
        <v>3</v>
      </c>
      <c r="Z841">
        <v>2</v>
      </c>
      <c r="AA841">
        <v>1</v>
      </c>
      <c r="AB841">
        <v>14</v>
      </c>
      <c r="AC841">
        <v>2</v>
      </c>
      <c r="AD841">
        <v>2</v>
      </c>
      <c r="AE841">
        <v>14</v>
      </c>
      <c r="AF841">
        <v>8</v>
      </c>
      <c r="AG841">
        <v>3</v>
      </c>
      <c r="AH841">
        <v>11</v>
      </c>
      <c r="AI841">
        <f t="shared" si="91"/>
        <v>0</v>
      </c>
      <c r="AJ841" t="str">
        <f t="shared" si="92"/>
        <v>10+ yrs</v>
      </c>
      <c r="AK841" t="str">
        <f t="shared" si="93"/>
        <v>Overdue</v>
      </c>
      <c r="AL841">
        <f t="shared" si="94"/>
        <v>2</v>
      </c>
      <c r="AM841" t="str">
        <f t="shared" si="95"/>
        <v>Medium Risk</v>
      </c>
      <c r="AN841" s="6">
        <f t="shared" si="96"/>
        <v>-1.1001962388507208E-2</v>
      </c>
      <c r="AO841" s="7">
        <f t="shared" si="97"/>
        <v>525696</v>
      </c>
    </row>
    <row r="842" spans="1:41" x14ac:dyDescent="0.3">
      <c r="A842" t="s">
        <v>909</v>
      </c>
      <c r="B842">
        <v>37</v>
      </c>
      <c r="C842" t="s">
        <v>802</v>
      </c>
      <c r="D842" t="s">
        <v>55</v>
      </c>
      <c r="E842" t="s">
        <v>48</v>
      </c>
      <c r="F842">
        <v>1439</v>
      </c>
      <c r="G842" t="s">
        <v>735</v>
      </c>
      <c r="H842">
        <v>4</v>
      </c>
      <c r="I842">
        <v>1</v>
      </c>
      <c r="J842" t="s">
        <v>50</v>
      </c>
      <c r="K842">
        <v>1394</v>
      </c>
      <c r="L842">
        <v>3</v>
      </c>
      <c r="M842" t="s">
        <v>51</v>
      </c>
      <c r="N842">
        <v>3</v>
      </c>
      <c r="O842">
        <v>1</v>
      </c>
      <c r="P842" t="s">
        <v>67</v>
      </c>
      <c r="Q842">
        <v>3</v>
      </c>
      <c r="R842" t="s">
        <v>113</v>
      </c>
      <c r="S842">
        <v>89464</v>
      </c>
      <c r="T842" t="s">
        <v>70</v>
      </c>
      <c r="U842">
        <v>559.15</v>
      </c>
      <c r="V842">
        <v>7</v>
      </c>
      <c r="W842" t="s">
        <v>47</v>
      </c>
      <c r="X842">
        <v>15</v>
      </c>
      <c r="Y842">
        <v>3</v>
      </c>
      <c r="Z842">
        <v>4</v>
      </c>
      <c r="AA842">
        <v>0</v>
      </c>
      <c r="AB842">
        <v>8</v>
      </c>
      <c r="AC842">
        <v>2</v>
      </c>
      <c r="AD842">
        <v>3</v>
      </c>
      <c r="AE842">
        <v>6</v>
      </c>
      <c r="AF842">
        <v>4</v>
      </c>
      <c r="AG842">
        <v>1</v>
      </c>
      <c r="AH842">
        <v>3</v>
      </c>
      <c r="AI842">
        <f t="shared" si="91"/>
        <v>0</v>
      </c>
      <c r="AJ842" t="str">
        <f t="shared" si="92"/>
        <v>6-10 yrs</v>
      </c>
      <c r="AK842" t="str">
        <f t="shared" si="93"/>
        <v>Recent</v>
      </c>
      <c r="AL842">
        <f t="shared" si="94"/>
        <v>1</v>
      </c>
      <c r="AM842" t="str">
        <f t="shared" si="95"/>
        <v>Low Risk</v>
      </c>
      <c r="AN842" s="6">
        <f t="shared" si="96"/>
        <v>0.79408447249316394</v>
      </c>
      <c r="AO842" s="7">
        <f t="shared" si="97"/>
        <v>1073568</v>
      </c>
    </row>
    <row r="843" spans="1:41" x14ac:dyDescent="0.3">
      <c r="A843" t="s">
        <v>910</v>
      </c>
      <c r="B843">
        <v>37</v>
      </c>
      <c r="C843" t="s">
        <v>802</v>
      </c>
      <c r="D843" t="s">
        <v>55</v>
      </c>
      <c r="E843" t="s">
        <v>48</v>
      </c>
      <c r="F843">
        <v>1462</v>
      </c>
      <c r="G843" t="s">
        <v>735</v>
      </c>
      <c r="H843">
        <v>11</v>
      </c>
      <c r="I843">
        <v>3</v>
      </c>
      <c r="J843" t="s">
        <v>58</v>
      </c>
      <c r="K843">
        <v>1411</v>
      </c>
      <c r="L843">
        <v>1</v>
      </c>
      <c r="M843" t="s">
        <v>59</v>
      </c>
      <c r="N843">
        <v>3</v>
      </c>
      <c r="O843">
        <v>1</v>
      </c>
      <c r="P843" t="s">
        <v>52</v>
      </c>
      <c r="Q843">
        <v>3</v>
      </c>
      <c r="R843" t="s">
        <v>53</v>
      </c>
      <c r="S843">
        <v>54871</v>
      </c>
      <c r="T843" t="s">
        <v>64</v>
      </c>
      <c r="U843">
        <v>342.94</v>
      </c>
      <c r="V843">
        <v>4</v>
      </c>
      <c r="W843" t="s">
        <v>55</v>
      </c>
      <c r="X843">
        <v>18</v>
      </c>
      <c r="Y843">
        <v>3</v>
      </c>
      <c r="Z843">
        <v>1</v>
      </c>
      <c r="AA843">
        <v>0</v>
      </c>
      <c r="AB843">
        <v>8</v>
      </c>
      <c r="AC843">
        <v>6</v>
      </c>
      <c r="AD843">
        <v>3</v>
      </c>
      <c r="AE843">
        <v>3</v>
      </c>
      <c r="AF843">
        <v>2</v>
      </c>
      <c r="AG843">
        <v>0</v>
      </c>
      <c r="AH843">
        <v>2</v>
      </c>
      <c r="AI843">
        <f t="shared" si="91"/>
        <v>0</v>
      </c>
      <c r="AJ843" t="str">
        <f t="shared" si="92"/>
        <v>2-3 yrs</v>
      </c>
      <c r="AK843" t="str">
        <f t="shared" si="93"/>
        <v>Recent</v>
      </c>
      <c r="AL843">
        <f t="shared" si="94"/>
        <v>0</v>
      </c>
      <c r="AM843" t="str">
        <f t="shared" si="95"/>
        <v>Minimal Risk</v>
      </c>
      <c r="AN843" s="6">
        <f t="shared" si="96"/>
        <v>6.0911931386604695E-2</v>
      </c>
      <c r="AO843" s="7">
        <f t="shared" si="97"/>
        <v>658452</v>
      </c>
    </row>
    <row r="844" spans="1:41" x14ac:dyDescent="0.3">
      <c r="A844" t="s">
        <v>911</v>
      </c>
      <c r="B844">
        <v>37</v>
      </c>
      <c r="C844" t="s">
        <v>802</v>
      </c>
      <c r="D844" t="s">
        <v>55</v>
      </c>
      <c r="E844" t="s">
        <v>66</v>
      </c>
      <c r="F844">
        <v>1413</v>
      </c>
      <c r="G844" t="s">
        <v>735</v>
      </c>
      <c r="H844">
        <v>5</v>
      </c>
      <c r="I844">
        <v>2</v>
      </c>
      <c r="J844" t="s">
        <v>77</v>
      </c>
      <c r="K844">
        <v>1440</v>
      </c>
      <c r="L844">
        <v>3</v>
      </c>
      <c r="M844" t="s">
        <v>51</v>
      </c>
      <c r="N844">
        <v>4</v>
      </c>
      <c r="O844">
        <v>1</v>
      </c>
      <c r="P844" t="s">
        <v>52</v>
      </c>
      <c r="Q844">
        <v>3</v>
      </c>
      <c r="R844" t="s">
        <v>53</v>
      </c>
      <c r="S844">
        <v>20198</v>
      </c>
      <c r="T844" t="s">
        <v>54</v>
      </c>
      <c r="U844">
        <v>126.24</v>
      </c>
      <c r="V844">
        <v>0</v>
      </c>
      <c r="W844" t="s">
        <v>55</v>
      </c>
      <c r="X844">
        <v>14</v>
      </c>
      <c r="Y844">
        <v>3</v>
      </c>
      <c r="Z844">
        <v>1</v>
      </c>
      <c r="AA844">
        <v>0</v>
      </c>
      <c r="AB844">
        <v>7</v>
      </c>
      <c r="AC844">
        <v>2</v>
      </c>
      <c r="AD844">
        <v>1</v>
      </c>
      <c r="AE844">
        <v>6</v>
      </c>
      <c r="AF844">
        <v>5</v>
      </c>
      <c r="AG844">
        <v>1</v>
      </c>
      <c r="AH844">
        <v>3</v>
      </c>
      <c r="AI844">
        <f t="shared" si="91"/>
        <v>0</v>
      </c>
      <c r="AJ844" t="str">
        <f t="shared" si="92"/>
        <v>6-10 yrs</v>
      </c>
      <c r="AK844" t="str">
        <f t="shared" si="93"/>
        <v>Recent</v>
      </c>
      <c r="AL844">
        <f t="shared" si="94"/>
        <v>1</v>
      </c>
      <c r="AM844" t="str">
        <f t="shared" si="95"/>
        <v>Low Risk</v>
      </c>
      <c r="AN844" s="6">
        <f t="shared" si="96"/>
        <v>-0.60947861000990244</v>
      </c>
      <c r="AO844" s="7">
        <f t="shared" si="97"/>
        <v>242376</v>
      </c>
    </row>
    <row r="845" spans="1:41" x14ac:dyDescent="0.3">
      <c r="A845" t="s">
        <v>912</v>
      </c>
      <c r="B845">
        <v>37</v>
      </c>
      <c r="C845" t="s">
        <v>802</v>
      </c>
      <c r="D845" t="s">
        <v>55</v>
      </c>
      <c r="E845" t="s">
        <v>48</v>
      </c>
      <c r="F845">
        <v>674</v>
      </c>
      <c r="G845" t="s">
        <v>735</v>
      </c>
      <c r="H845">
        <v>13</v>
      </c>
      <c r="I845">
        <v>3</v>
      </c>
      <c r="J845" t="s">
        <v>58</v>
      </c>
      <c r="K845">
        <v>1543</v>
      </c>
      <c r="L845">
        <v>1</v>
      </c>
      <c r="M845" t="s">
        <v>51</v>
      </c>
      <c r="N845">
        <v>3</v>
      </c>
      <c r="O845">
        <v>2</v>
      </c>
      <c r="P845" t="s">
        <v>67</v>
      </c>
      <c r="Q845">
        <v>4</v>
      </c>
      <c r="R845" t="s">
        <v>113</v>
      </c>
      <c r="S845">
        <v>20758</v>
      </c>
      <c r="T845" t="s">
        <v>54</v>
      </c>
      <c r="U845">
        <v>129.74</v>
      </c>
      <c r="V845">
        <v>1</v>
      </c>
      <c r="W845" t="s">
        <v>55</v>
      </c>
      <c r="X845">
        <v>17</v>
      </c>
      <c r="Y845">
        <v>3</v>
      </c>
      <c r="Z845">
        <v>1</v>
      </c>
      <c r="AA845">
        <v>0</v>
      </c>
      <c r="AB845">
        <v>10</v>
      </c>
      <c r="AC845">
        <v>2</v>
      </c>
      <c r="AD845">
        <v>3</v>
      </c>
      <c r="AE845">
        <v>10</v>
      </c>
      <c r="AF845">
        <v>8</v>
      </c>
      <c r="AG845">
        <v>3</v>
      </c>
      <c r="AH845">
        <v>7</v>
      </c>
      <c r="AI845">
        <f t="shared" si="91"/>
        <v>0</v>
      </c>
      <c r="AJ845" t="str">
        <f t="shared" si="92"/>
        <v>6-10 yrs</v>
      </c>
      <c r="AK845" t="str">
        <f t="shared" si="93"/>
        <v>Overdue</v>
      </c>
      <c r="AL845">
        <f t="shared" si="94"/>
        <v>1</v>
      </c>
      <c r="AM845" t="str">
        <f t="shared" si="95"/>
        <v>Low Risk</v>
      </c>
      <c r="AN845" s="6">
        <f t="shared" si="96"/>
        <v>-0.58372523607246385</v>
      </c>
      <c r="AO845" s="7">
        <f t="shared" si="97"/>
        <v>249096</v>
      </c>
    </row>
    <row r="846" spans="1:41" x14ac:dyDescent="0.3">
      <c r="A846" t="s">
        <v>913</v>
      </c>
      <c r="B846">
        <v>37</v>
      </c>
      <c r="C846" t="s">
        <v>802</v>
      </c>
      <c r="D846" t="s">
        <v>55</v>
      </c>
      <c r="E846" t="s">
        <v>48</v>
      </c>
      <c r="F846">
        <v>671</v>
      </c>
      <c r="G846" t="s">
        <v>735</v>
      </c>
      <c r="H846">
        <v>19</v>
      </c>
      <c r="I846">
        <v>3</v>
      </c>
      <c r="J846" t="s">
        <v>50</v>
      </c>
      <c r="K846">
        <v>1631</v>
      </c>
      <c r="L846">
        <v>3</v>
      </c>
      <c r="M846" t="s">
        <v>51</v>
      </c>
      <c r="N846">
        <v>3</v>
      </c>
      <c r="O846">
        <v>2</v>
      </c>
      <c r="P846" t="s">
        <v>120</v>
      </c>
      <c r="Q846">
        <v>3</v>
      </c>
      <c r="R846" t="s">
        <v>113</v>
      </c>
      <c r="S846">
        <v>16254</v>
      </c>
      <c r="T846" t="s">
        <v>54</v>
      </c>
      <c r="U846">
        <v>101.59</v>
      </c>
      <c r="V846">
        <v>3</v>
      </c>
      <c r="W846" t="s">
        <v>55</v>
      </c>
      <c r="X846">
        <v>17</v>
      </c>
      <c r="Y846">
        <v>3</v>
      </c>
      <c r="Z846">
        <v>1</v>
      </c>
      <c r="AA846">
        <v>3</v>
      </c>
      <c r="AB846">
        <v>9</v>
      </c>
      <c r="AC846">
        <v>2</v>
      </c>
      <c r="AD846">
        <v>2</v>
      </c>
      <c r="AE846">
        <v>4</v>
      </c>
      <c r="AF846">
        <v>3</v>
      </c>
      <c r="AG846">
        <v>0</v>
      </c>
      <c r="AH846">
        <v>2</v>
      </c>
      <c r="AI846">
        <f t="shared" si="91"/>
        <v>0</v>
      </c>
      <c r="AJ846" t="str">
        <f t="shared" si="92"/>
        <v>4-5 yrs</v>
      </c>
      <c r="AK846" t="str">
        <f t="shared" si="93"/>
        <v>Recent</v>
      </c>
      <c r="AL846">
        <f t="shared" si="94"/>
        <v>1</v>
      </c>
      <c r="AM846" t="str">
        <f t="shared" si="95"/>
        <v>Low Risk</v>
      </c>
      <c r="AN846" s="6">
        <f t="shared" si="96"/>
        <v>-0.63305391473390238</v>
      </c>
      <c r="AO846" s="7">
        <f t="shared" si="97"/>
        <v>195048</v>
      </c>
    </row>
    <row r="847" spans="1:41" x14ac:dyDescent="0.3">
      <c r="A847" t="s">
        <v>914</v>
      </c>
      <c r="B847">
        <v>37</v>
      </c>
      <c r="C847" t="s">
        <v>802</v>
      </c>
      <c r="D847" t="s">
        <v>55</v>
      </c>
      <c r="E847" t="s">
        <v>48</v>
      </c>
      <c r="F847">
        <v>1470</v>
      </c>
      <c r="G847" t="s">
        <v>735</v>
      </c>
      <c r="H847">
        <v>10</v>
      </c>
      <c r="I847">
        <v>3</v>
      </c>
      <c r="J847" t="s">
        <v>58</v>
      </c>
      <c r="K847">
        <v>1640</v>
      </c>
      <c r="L847">
        <v>2</v>
      </c>
      <c r="M847" t="s">
        <v>59</v>
      </c>
      <c r="N847">
        <v>3</v>
      </c>
      <c r="O847">
        <v>1</v>
      </c>
      <c r="P847" t="s">
        <v>67</v>
      </c>
      <c r="Q847">
        <v>2</v>
      </c>
      <c r="R847" t="s">
        <v>113</v>
      </c>
      <c r="S847">
        <v>45238</v>
      </c>
      <c r="T847" t="s">
        <v>72</v>
      </c>
      <c r="U847">
        <v>282.74</v>
      </c>
      <c r="V847">
        <v>1</v>
      </c>
      <c r="W847" t="s">
        <v>55</v>
      </c>
      <c r="X847">
        <v>11</v>
      </c>
      <c r="Y847">
        <v>3</v>
      </c>
      <c r="Z847">
        <v>1</v>
      </c>
      <c r="AA847">
        <v>1</v>
      </c>
      <c r="AB847">
        <v>8</v>
      </c>
      <c r="AC847">
        <v>2</v>
      </c>
      <c r="AD847">
        <v>1</v>
      </c>
      <c r="AE847">
        <v>8</v>
      </c>
      <c r="AF847">
        <v>4</v>
      </c>
      <c r="AG847">
        <v>7</v>
      </c>
      <c r="AH847">
        <v>7</v>
      </c>
      <c r="AI847">
        <f t="shared" si="91"/>
        <v>0</v>
      </c>
      <c r="AJ847" t="str">
        <f t="shared" si="92"/>
        <v>6-10 yrs</v>
      </c>
      <c r="AK847" t="str">
        <f t="shared" si="93"/>
        <v>Overdue</v>
      </c>
      <c r="AL847">
        <f t="shared" si="94"/>
        <v>3</v>
      </c>
      <c r="AM847" t="str">
        <f t="shared" si="95"/>
        <v>High Risk</v>
      </c>
      <c r="AN847" s="6">
        <f t="shared" si="96"/>
        <v>-9.2810590107241478E-2</v>
      </c>
      <c r="AO847" s="7">
        <f t="shared" si="97"/>
        <v>542856</v>
      </c>
    </row>
    <row r="848" spans="1:41" x14ac:dyDescent="0.3">
      <c r="A848" t="s">
        <v>915</v>
      </c>
      <c r="B848">
        <v>37</v>
      </c>
      <c r="C848" t="s">
        <v>802</v>
      </c>
      <c r="D848" t="s">
        <v>55</v>
      </c>
      <c r="E848" t="s">
        <v>62</v>
      </c>
      <c r="F848">
        <v>1278</v>
      </c>
      <c r="G848" t="s">
        <v>63</v>
      </c>
      <c r="H848">
        <v>1</v>
      </c>
      <c r="I848">
        <v>4</v>
      </c>
      <c r="J848" t="s">
        <v>58</v>
      </c>
      <c r="K848">
        <v>1700</v>
      </c>
      <c r="L848">
        <v>3</v>
      </c>
      <c r="M848" t="s">
        <v>51</v>
      </c>
      <c r="N848">
        <v>1</v>
      </c>
      <c r="O848">
        <v>2</v>
      </c>
      <c r="P848" t="s">
        <v>145</v>
      </c>
      <c r="Q848">
        <v>4</v>
      </c>
      <c r="R848" t="s">
        <v>53</v>
      </c>
      <c r="S848">
        <v>2252</v>
      </c>
      <c r="T848" t="s">
        <v>54</v>
      </c>
      <c r="U848">
        <v>14.08</v>
      </c>
      <c r="V848">
        <v>1</v>
      </c>
      <c r="W848" t="s">
        <v>55</v>
      </c>
      <c r="X848">
        <v>14</v>
      </c>
      <c r="Y848">
        <v>3</v>
      </c>
      <c r="Z848">
        <v>3</v>
      </c>
      <c r="AA848">
        <v>2</v>
      </c>
      <c r="AB848">
        <v>6</v>
      </c>
      <c r="AC848">
        <v>2</v>
      </c>
      <c r="AD848">
        <v>2</v>
      </c>
      <c r="AE848">
        <v>6</v>
      </c>
      <c r="AF848">
        <v>3</v>
      </c>
      <c r="AG848">
        <v>1</v>
      </c>
      <c r="AH848">
        <v>3</v>
      </c>
      <c r="AI848">
        <f t="shared" si="91"/>
        <v>0</v>
      </c>
      <c r="AJ848" t="str">
        <f t="shared" si="92"/>
        <v>6-10 yrs</v>
      </c>
      <c r="AK848" t="str">
        <f t="shared" si="93"/>
        <v>Recent</v>
      </c>
      <c r="AL848">
        <f t="shared" si="94"/>
        <v>1</v>
      </c>
      <c r="AM848" t="str">
        <f t="shared" si="95"/>
        <v>Low Risk</v>
      </c>
      <c r="AN848" s="6">
        <f t="shared" si="96"/>
        <v>-0.95409512423488574</v>
      </c>
      <c r="AO848" s="7">
        <f t="shared" si="97"/>
        <v>27024</v>
      </c>
    </row>
    <row r="849" spans="1:41" x14ac:dyDescent="0.3">
      <c r="A849" t="s">
        <v>916</v>
      </c>
      <c r="B849">
        <v>37</v>
      </c>
      <c r="C849" t="s">
        <v>802</v>
      </c>
      <c r="D849" t="s">
        <v>55</v>
      </c>
      <c r="E849" t="s">
        <v>48</v>
      </c>
      <c r="F849">
        <v>589</v>
      </c>
      <c r="G849" t="s">
        <v>63</v>
      </c>
      <c r="H849">
        <v>9</v>
      </c>
      <c r="I849">
        <v>2</v>
      </c>
      <c r="J849" t="s">
        <v>63</v>
      </c>
      <c r="K849">
        <v>1787</v>
      </c>
      <c r="L849">
        <v>2</v>
      </c>
      <c r="M849" t="s">
        <v>51</v>
      </c>
      <c r="N849">
        <v>2</v>
      </c>
      <c r="O849">
        <v>2</v>
      </c>
      <c r="P849" t="s">
        <v>145</v>
      </c>
      <c r="Q849">
        <v>2</v>
      </c>
      <c r="R849" t="s">
        <v>113</v>
      </c>
      <c r="S849">
        <v>40764</v>
      </c>
      <c r="T849" t="s">
        <v>72</v>
      </c>
      <c r="U849">
        <v>254.78</v>
      </c>
      <c r="V849">
        <v>1</v>
      </c>
      <c r="W849" t="s">
        <v>55</v>
      </c>
      <c r="X849">
        <v>14</v>
      </c>
      <c r="Y849">
        <v>3</v>
      </c>
      <c r="Z849">
        <v>1</v>
      </c>
      <c r="AA849">
        <v>2</v>
      </c>
      <c r="AB849">
        <v>5</v>
      </c>
      <c r="AC849">
        <v>2</v>
      </c>
      <c r="AD849">
        <v>3</v>
      </c>
      <c r="AE849">
        <v>5</v>
      </c>
      <c r="AF849">
        <v>2</v>
      </c>
      <c r="AG849">
        <v>0</v>
      </c>
      <c r="AH849">
        <v>3</v>
      </c>
      <c r="AI849">
        <f t="shared" si="91"/>
        <v>0</v>
      </c>
      <c r="AJ849" t="str">
        <f t="shared" si="92"/>
        <v>4-5 yrs</v>
      </c>
      <c r="AK849" t="str">
        <f t="shared" si="93"/>
        <v>Recent</v>
      </c>
      <c r="AL849">
        <f t="shared" si="94"/>
        <v>1</v>
      </c>
      <c r="AM849" t="str">
        <f t="shared" si="95"/>
        <v>Low Risk</v>
      </c>
      <c r="AN849" s="6">
        <f t="shared" si="96"/>
        <v>-0.16906467331744252</v>
      </c>
      <c r="AO849" s="7">
        <f t="shared" si="97"/>
        <v>489168</v>
      </c>
    </row>
    <row r="850" spans="1:41" x14ac:dyDescent="0.3">
      <c r="A850" t="s">
        <v>917</v>
      </c>
      <c r="B850">
        <v>37</v>
      </c>
      <c r="C850" t="s">
        <v>802</v>
      </c>
      <c r="D850" t="s">
        <v>55</v>
      </c>
      <c r="E850" t="s">
        <v>48</v>
      </c>
      <c r="F850">
        <v>1239</v>
      </c>
      <c r="G850" t="s">
        <v>406</v>
      </c>
      <c r="H850">
        <v>8</v>
      </c>
      <c r="I850">
        <v>2</v>
      </c>
      <c r="J850" t="s">
        <v>82</v>
      </c>
      <c r="K850">
        <v>1794</v>
      </c>
      <c r="L850">
        <v>3</v>
      </c>
      <c r="M850" t="s">
        <v>51</v>
      </c>
      <c r="N850">
        <v>3</v>
      </c>
      <c r="O850">
        <v>2</v>
      </c>
      <c r="P850" t="s">
        <v>80</v>
      </c>
      <c r="Q850">
        <v>2</v>
      </c>
      <c r="R850" t="s">
        <v>113</v>
      </c>
      <c r="S850">
        <v>78709</v>
      </c>
      <c r="T850" t="s">
        <v>64</v>
      </c>
      <c r="U850">
        <v>491.93</v>
      </c>
      <c r="V850">
        <v>2</v>
      </c>
      <c r="W850" t="s">
        <v>55</v>
      </c>
      <c r="X850">
        <v>13</v>
      </c>
      <c r="Y850">
        <v>3</v>
      </c>
      <c r="Z850">
        <v>3</v>
      </c>
      <c r="AA850">
        <v>0</v>
      </c>
      <c r="AB850">
        <v>19</v>
      </c>
      <c r="AC850">
        <v>4</v>
      </c>
      <c r="AD850">
        <v>2</v>
      </c>
      <c r="AE850">
        <v>10</v>
      </c>
      <c r="AF850">
        <v>0</v>
      </c>
      <c r="AG850">
        <v>4</v>
      </c>
      <c r="AH850">
        <v>7</v>
      </c>
      <c r="AI850">
        <f t="shared" si="91"/>
        <v>0</v>
      </c>
      <c r="AJ850" t="str">
        <f t="shared" si="92"/>
        <v>6-10 yrs</v>
      </c>
      <c r="AK850" t="str">
        <f t="shared" si="93"/>
        <v>Overdue</v>
      </c>
      <c r="AL850">
        <f t="shared" si="94"/>
        <v>3</v>
      </c>
      <c r="AM850" t="str">
        <f t="shared" si="95"/>
        <v>High Risk</v>
      </c>
      <c r="AN850" s="6">
        <f t="shared" si="96"/>
        <v>0.55109846173669508</v>
      </c>
      <c r="AO850" s="7">
        <f t="shared" si="97"/>
        <v>944508</v>
      </c>
    </row>
    <row r="851" spans="1:41" x14ac:dyDescent="0.3">
      <c r="A851" t="s">
        <v>918</v>
      </c>
      <c r="B851">
        <v>37</v>
      </c>
      <c r="C851" t="s">
        <v>802</v>
      </c>
      <c r="D851" t="s">
        <v>47</v>
      </c>
      <c r="E851" t="s">
        <v>48</v>
      </c>
      <c r="F851">
        <v>370</v>
      </c>
      <c r="G851" t="s">
        <v>735</v>
      </c>
      <c r="H851">
        <v>10</v>
      </c>
      <c r="I851">
        <v>4</v>
      </c>
      <c r="J851" t="s">
        <v>58</v>
      </c>
      <c r="K851">
        <v>1809</v>
      </c>
      <c r="L851">
        <v>4</v>
      </c>
      <c r="M851" t="s">
        <v>51</v>
      </c>
      <c r="N851">
        <v>3</v>
      </c>
      <c r="O851">
        <v>2</v>
      </c>
      <c r="P851" t="s">
        <v>120</v>
      </c>
      <c r="Q851">
        <v>1</v>
      </c>
      <c r="R851" t="s">
        <v>53</v>
      </c>
      <c r="S851">
        <v>38441</v>
      </c>
      <c r="T851" t="s">
        <v>72</v>
      </c>
      <c r="U851">
        <v>240.26</v>
      </c>
      <c r="V851">
        <v>1</v>
      </c>
      <c r="W851" t="s">
        <v>55</v>
      </c>
      <c r="X851">
        <v>15</v>
      </c>
      <c r="Y851">
        <v>3</v>
      </c>
      <c r="Z851">
        <v>2</v>
      </c>
      <c r="AA851">
        <v>0</v>
      </c>
      <c r="AB851">
        <v>10</v>
      </c>
      <c r="AC851">
        <v>4</v>
      </c>
      <c r="AD851">
        <v>1</v>
      </c>
      <c r="AE851">
        <v>10</v>
      </c>
      <c r="AF851">
        <v>3</v>
      </c>
      <c r="AG851">
        <v>0</v>
      </c>
      <c r="AH851">
        <v>8</v>
      </c>
      <c r="AI851">
        <f t="shared" si="91"/>
        <v>1</v>
      </c>
      <c r="AJ851" t="str">
        <f t="shared" si="92"/>
        <v>6-10 yrs</v>
      </c>
      <c r="AK851" t="str">
        <f t="shared" si="93"/>
        <v>Recent</v>
      </c>
      <c r="AL851">
        <f t="shared" si="94"/>
        <v>2</v>
      </c>
      <c r="AM851" t="str">
        <f t="shared" si="95"/>
        <v>Medium Risk</v>
      </c>
      <c r="AN851" s="6">
        <f t="shared" si="96"/>
        <v>-0.1321659613809488</v>
      </c>
      <c r="AO851" s="7">
        <f t="shared" si="97"/>
        <v>461292</v>
      </c>
    </row>
    <row r="852" spans="1:41" x14ac:dyDescent="0.3">
      <c r="A852" t="s">
        <v>919</v>
      </c>
      <c r="B852">
        <v>37</v>
      </c>
      <c r="C852" t="s">
        <v>802</v>
      </c>
      <c r="D852" t="s">
        <v>55</v>
      </c>
      <c r="E852" t="s">
        <v>48</v>
      </c>
      <c r="F852">
        <v>783</v>
      </c>
      <c r="G852" t="s">
        <v>735</v>
      </c>
      <c r="H852">
        <v>7</v>
      </c>
      <c r="I852">
        <v>4</v>
      </c>
      <c r="J852" t="s">
        <v>58</v>
      </c>
      <c r="K852">
        <v>1885</v>
      </c>
      <c r="L852">
        <v>4</v>
      </c>
      <c r="M852" t="s">
        <v>51</v>
      </c>
      <c r="N852">
        <v>3</v>
      </c>
      <c r="O852">
        <v>2</v>
      </c>
      <c r="P852" t="s">
        <v>67</v>
      </c>
      <c r="Q852">
        <v>1</v>
      </c>
      <c r="R852" t="s">
        <v>113</v>
      </c>
      <c r="S852">
        <v>93234</v>
      </c>
      <c r="T852" t="s">
        <v>70</v>
      </c>
      <c r="U852">
        <v>582.71</v>
      </c>
      <c r="V852">
        <v>5</v>
      </c>
      <c r="W852" t="s">
        <v>47</v>
      </c>
      <c r="X852">
        <v>22</v>
      </c>
      <c r="Y852">
        <v>4</v>
      </c>
      <c r="Z852">
        <v>3</v>
      </c>
      <c r="AA852">
        <v>1</v>
      </c>
      <c r="AB852">
        <v>16</v>
      </c>
      <c r="AC852">
        <v>2</v>
      </c>
      <c r="AD852">
        <v>3</v>
      </c>
      <c r="AE852">
        <v>5</v>
      </c>
      <c r="AF852">
        <v>3</v>
      </c>
      <c r="AG852">
        <v>0</v>
      </c>
      <c r="AH852">
        <v>4</v>
      </c>
      <c r="AI852">
        <f t="shared" si="91"/>
        <v>0</v>
      </c>
      <c r="AJ852" t="str">
        <f t="shared" si="92"/>
        <v>4-5 yrs</v>
      </c>
      <c r="AK852" t="str">
        <f t="shared" si="93"/>
        <v>Recent</v>
      </c>
      <c r="AL852">
        <f t="shared" si="94"/>
        <v>2</v>
      </c>
      <c r="AM852" t="str">
        <f t="shared" si="95"/>
        <v>Medium Risk</v>
      </c>
      <c r="AN852" s="6">
        <f t="shared" si="96"/>
        <v>0.86968693226803673</v>
      </c>
      <c r="AO852" s="7">
        <f t="shared" si="97"/>
        <v>1118808</v>
      </c>
    </row>
    <row r="853" spans="1:41" x14ac:dyDescent="0.3">
      <c r="A853" t="s">
        <v>920</v>
      </c>
      <c r="B853">
        <v>37</v>
      </c>
      <c r="C853" t="s">
        <v>802</v>
      </c>
      <c r="D853" t="s">
        <v>55</v>
      </c>
      <c r="E853" t="s">
        <v>48</v>
      </c>
      <c r="F853">
        <v>161</v>
      </c>
      <c r="G853" t="s">
        <v>735</v>
      </c>
      <c r="H853">
        <v>10</v>
      </c>
      <c r="I853">
        <v>3</v>
      </c>
      <c r="J853" t="s">
        <v>50</v>
      </c>
      <c r="K853">
        <v>2017</v>
      </c>
      <c r="L853">
        <v>3</v>
      </c>
      <c r="M853" t="s">
        <v>59</v>
      </c>
      <c r="N853">
        <v>4</v>
      </c>
      <c r="O853">
        <v>3</v>
      </c>
      <c r="P853" t="s">
        <v>257</v>
      </c>
      <c r="Q853">
        <v>4</v>
      </c>
      <c r="R853" t="s">
        <v>113</v>
      </c>
      <c r="S853">
        <v>54682</v>
      </c>
      <c r="T853" t="s">
        <v>64</v>
      </c>
      <c r="U853">
        <v>341.76</v>
      </c>
      <c r="V853">
        <v>1</v>
      </c>
      <c r="W853" t="s">
        <v>47</v>
      </c>
      <c r="X853">
        <v>25</v>
      </c>
      <c r="Y853">
        <v>4</v>
      </c>
      <c r="Z853">
        <v>1</v>
      </c>
      <c r="AA853">
        <v>1</v>
      </c>
      <c r="AB853">
        <v>16</v>
      </c>
      <c r="AC853">
        <v>2</v>
      </c>
      <c r="AD853">
        <v>3</v>
      </c>
      <c r="AE853">
        <v>16</v>
      </c>
      <c r="AF853">
        <v>11</v>
      </c>
      <c r="AG853">
        <v>6</v>
      </c>
      <c r="AH853">
        <v>8</v>
      </c>
      <c r="AI853">
        <f t="shared" si="91"/>
        <v>0</v>
      </c>
      <c r="AJ853" t="str">
        <f t="shared" si="92"/>
        <v>10+ yrs</v>
      </c>
      <c r="AK853" t="str">
        <f t="shared" si="93"/>
        <v>Overdue</v>
      </c>
      <c r="AL853">
        <f t="shared" si="94"/>
        <v>2</v>
      </c>
      <c r="AM853" t="str">
        <f t="shared" si="95"/>
        <v>Medium Risk</v>
      </c>
      <c r="AN853" s="6">
        <f t="shared" si="96"/>
        <v>7.9326511468164995E-2</v>
      </c>
      <c r="AO853" s="7">
        <f t="shared" si="97"/>
        <v>656184</v>
      </c>
    </row>
    <row r="854" spans="1:41" x14ac:dyDescent="0.3">
      <c r="A854" t="s">
        <v>921</v>
      </c>
      <c r="B854">
        <v>38</v>
      </c>
      <c r="C854" t="s">
        <v>802</v>
      </c>
      <c r="D854" t="s">
        <v>55</v>
      </c>
      <c r="E854" t="s">
        <v>62</v>
      </c>
      <c r="F854">
        <v>216</v>
      </c>
      <c r="G854" t="s">
        <v>735</v>
      </c>
      <c r="H854">
        <v>23</v>
      </c>
      <c r="I854">
        <v>3</v>
      </c>
      <c r="J854" t="s">
        <v>50</v>
      </c>
      <c r="K854">
        <v>12</v>
      </c>
      <c r="L854">
        <v>4</v>
      </c>
      <c r="M854" t="s">
        <v>51</v>
      </c>
      <c r="N854">
        <v>2</v>
      </c>
      <c r="O854">
        <v>3</v>
      </c>
      <c r="P854" t="s">
        <v>120</v>
      </c>
      <c r="Q854">
        <v>3</v>
      </c>
      <c r="R854" t="s">
        <v>53</v>
      </c>
      <c r="S854">
        <v>60494</v>
      </c>
      <c r="T854" t="s">
        <v>64</v>
      </c>
      <c r="U854">
        <v>378.09</v>
      </c>
      <c r="V854">
        <v>0</v>
      </c>
      <c r="W854" t="s">
        <v>55</v>
      </c>
      <c r="X854">
        <v>21</v>
      </c>
      <c r="Y854">
        <v>4</v>
      </c>
      <c r="Z854">
        <v>2</v>
      </c>
      <c r="AA854">
        <v>0</v>
      </c>
      <c r="AB854">
        <v>10</v>
      </c>
      <c r="AC854">
        <v>2</v>
      </c>
      <c r="AD854">
        <v>3</v>
      </c>
      <c r="AE854">
        <v>9</v>
      </c>
      <c r="AF854">
        <v>7</v>
      </c>
      <c r="AG854">
        <v>1</v>
      </c>
      <c r="AH854">
        <v>7</v>
      </c>
      <c r="AI854">
        <f t="shared" si="91"/>
        <v>0</v>
      </c>
      <c r="AJ854" t="str">
        <f t="shared" si="92"/>
        <v>6-10 yrs</v>
      </c>
      <c r="AK854" t="str">
        <f t="shared" si="93"/>
        <v>Recent</v>
      </c>
      <c r="AL854">
        <f t="shared" si="94"/>
        <v>0</v>
      </c>
      <c r="AM854" t="str">
        <f t="shared" si="95"/>
        <v>Minimal Risk</v>
      </c>
      <c r="AN854" s="6">
        <f t="shared" si="96"/>
        <v>0.36569684275177239</v>
      </c>
      <c r="AO854" s="7">
        <f t="shared" si="97"/>
        <v>725928</v>
      </c>
    </row>
    <row r="855" spans="1:41" x14ac:dyDescent="0.3">
      <c r="A855" t="s">
        <v>922</v>
      </c>
      <c r="B855">
        <v>38</v>
      </c>
      <c r="C855" t="s">
        <v>802</v>
      </c>
      <c r="D855" t="s">
        <v>55</v>
      </c>
      <c r="E855" t="s">
        <v>48</v>
      </c>
      <c r="F855">
        <v>371</v>
      </c>
      <c r="G855" t="s">
        <v>735</v>
      </c>
      <c r="H855">
        <v>2</v>
      </c>
      <c r="I855">
        <v>3</v>
      </c>
      <c r="J855" t="s">
        <v>50</v>
      </c>
      <c r="K855">
        <v>24</v>
      </c>
      <c r="L855">
        <v>4</v>
      </c>
      <c r="M855" t="s">
        <v>51</v>
      </c>
      <c r="N855">
        <v>3</v>
      </c>
      <c r="O855">
        <v>1</v>
      </c>
      <c r="P855" t="s">
        <v>67</v>
      </c>
      <c r="Q855">
        <v>4</v>
      </c>
      <c r="R855" t="s">
        <v>53</v>
      </c>
      <c r="S855">
        <v>82317</v>
      </c>
      <c r="T855" t="s">
        <v>64</v>
      </c>
      <c r="U855">
        <v>514.48</v>
      </c>
      <c r="V855">
        <v>5</v>
      </c>
      <c r="W855" t="s">
        <v>47</v>
      </c>
      <c r="X855">
        <v>11</v>
      </c>
      <c r="Y855">
        <v>3</v>
      </c>
      <c r="Z855">
        <v>3</v>
      </c>
      <c r="AA855">
        <v>0</v>
      </c>
      <c r="AB855">
        <v>6</v>
      </c>
      <c r="AC855">
        <v>3</v>
      </c>
      <c r="AD855">
        <v>3</v>
      </c>
      <c r="AE855">
        <v>3</v>
      </c>
      <c r="AF855">
        <v>2</v>
      </c>
      <c r="AG855">
        <v>1</v>
      </c>
      <c r="AH855">
        <v>2</v>
      </c>
      <c r="AI855">
        <f t="shared" si="91"/>
        <v>0</v>
      </c>
      <c r="AJ855" t="str">
        <f t="shared" si="92"/>
        <v>2-3 yrs</v>
      </c>
      <c r="AK855" t="str">
        <f t="shared" si="93"/>
        <v>Recent</v>
      </c>
      <c r="AL855">
        <f t="shared" si="94"/>
        <v>1</v>
      </c>
      <c r="AM855" t="str">
        <f t="shared" si="95"/>
        <v>Low Risk</v>
      </c>
      <c r="AN855" s="6">
        <f t="shared" si="96"/>
        <v>0.65076065816663431</v>
      </c>
      <c r="AO855" s="7">
        <f t="shared" si="97"/>
        <v>987804</v>
      </c>
    </row>
    <row r="856" spans="1:41" x14ac:dyDescent="0.3">
      <c r="A856" t="s">
        <v>923</v>
      </c>
      <c r="B856">
        <v>38</v>
      </c>
      <c r="C856" t="s">
        <v>802</v>
      </c>
      <c r="D856" t="s">
        <v>55</v>
      </c>
      <c r="E856" t="s">
        <v>62</v>
      </c>
      <c r="F856">
        <v>653</v>
      </c>
      <c r="G856" t="s">
        <v>735</v>
      </c>
      <c r="H856">
        <v>29</v>
      </c>
      <c r="I856">
        <v>5</v>
      </c>
      <c r="J856" t="s">
        <v>50</v>
      </c>
      <c r="K856">
        <v>79</v>
      </c>
      <c r="L856">
        <v>4</v>
      </c>
      <c r="M856" t="s">
        <v>59</v>
      </c>
      <c r="N856">
        <v>3</v>
      </c>
      <c r="O856">
        <v>2</v>
      </c>
      <c r="P856" t="s">
        <v>52</v>
      </c>
      <c r="Q856">
        <v>4</v>
      </c>
      <c r="R856" t="s">
        <v>53</v>
      </c>
      <c r="S856">
        <v>66215</v>
      </c>
      <c r="T856" t="s">
        <v>64</v>
      </c>
      <c r="U856">
        <v>413.84</v>
      </c>
      <c r="V856">
        <v>1</v>
      </c>
      <c r="W856" t="s">
        <v>55</v>
      </c>
      <c r="X856">
        <v>11</v>
      </c>
      <c r="Y856">
        <v>3</v>
      </c>
      <c r="Z856">
        <v>4</v>
      </c>
      <c r="AA856">
        <v>0</v>
      </c>
      <c r="AB856">
        <v>10</v>
      </c>
      <c r="AC856">
        <v>2</v>
      </c>
      <c r="AD856">
        <v>3</v>
      </c>
      <c r="AE856">
        <v>10</v>
      </c>
      <c r="AF856">
        <v>3</v>
      </c>
      <c r="AG856">
        <v>9</v>
      </c>
      <c r="AH856">
        <v>9</v>
      </c>
      <c r="AI856">
        <f t="shared" si="91"/>
        <v>0</v>
      </c>
      <c r="AJ856" t="str">
        <f t="shared" si="92"/>
        <v>6-10 yrs</v>
      </c>
      <c r="AK856" t="str">
        <f t="shared" si="93"/>
        <v>Overdue</v>
      </c>
      <c r="AL856">
        <f t="shared" si="94"/>
        <v>1</v>
      </c>
      <c r="AM856" t="str">
        <f t="shared" si="95"/>
        <v>Low Risk</v>
      </c>
      <c r="AN856" s="6">
        <f t="shared" si="96"/>
        <v>0.28024427360106485</v>
      </c>
      <c r="AO856" s="7">
        <f t="shared" si="97"/>
        <v>794580</v>
      </c>
    </row>
    <row r="857" spans="1:41" x14ac:dyDescent="0.3">
      <c r="A857" t="s">
        <v>924</v>
      </c>
      <c r="B857">
        <v>38</v>
      </c>
      <c r="C857" t="s">
        <v>802</v>
      </c>
      <c r="D857" t="s">
        <v>55</v>
      </c>
      <c r="E857" t="s">
        <v>66</v>
      </c>
      <c r="F857">
        <v>573</v>
      </c>
      <c r="G857" t="s">
        <v>735</v>
      </c>
      <c r="H857">
        <v>6</v>
      </c>
      <c r="I857">
        <v>3</v>
      </c>
      <c r="J857" t="s">
        <v>58</v>
      </c>
      <c r="K857">
        <v>107</v>
      </c>
      <c r="L857">
        <v>2</v>
      </c>
      <c r="M857" t="s">
        <v>59</v>
      </c>
      <c r="N857">
        <v>1</v>
      </c>
      <c r="O857">
        <v>2</v>
      </c>
      <c r="P857" t="s">
        <v>67</v>
      </c>
      <c r="Q857">
        <v>4</v>
      </c>
      <c r="R857" t="s">
        <v>53</v>
      </c>
      <c r="S857">
        <v>79587</v>
      </c>
      <c r="T857" t="s">
        <v>64</v>
      </c>
      <c r="U857">
        <v>497.42</v>
      </c>
      <c r="V857">
        <v>7</v>
      </c>
      <c r="W857" t="s">
        <v>47</v>
      </c>
      <c r="X857">
        <v>12</v>
      </c>
      <c r="Y857">
        <v>3</v>
      </c>
      <c r="Z857">
        <v>4</v>
      </c>
      <c r="AA857">
        <v>3</v>
      </c>
      <c r="AB857">
        <v>17</v>
      </c>
      <c r="AC857">
        <v>3</v>
      </c>
      <c r="AD857">
        <v>3</v>
      </c>
      <c r="AE857">
        <v>13</v>
      </c>
      <c r="AF857">
        <v>11</v>
      </c>
      <c r="AG857">
        <v>1</v>
      </c>
      <c r="AH857">
        <v>9</v>
      </c>
      <c r="AI857">
        <f t="shared" si="91"/>
        <v>0</v>
      </c>
      <c r="AJ857" t="str">
        <f t="shared" si="92"/>
        <v>10+ yrs</v>
      </c>
      <c r="AK857" t="str">
        <f t="shared" si="93"/>
        <v>Recent</v>
      </c>
      <c r="AL857">
        <f t="shared" si="94"/>
        <v>1</v>
      </c>
      <c r="AM857" t="str">
        <f t="shared" si="95"/>
        <v>Low Risk</v>
      </c>
      <c r="AN857" s="6">
        <f t="shared" si="96"/>
        <v>0.59601404936414015</v>
      </c>
      <c r="AO857" s="7">
        <f t="shared" si="97"/>
        <v>955044</v>
      </c>
    </row>
    <row r="858" spans="1:41" x14ac:dyDescent="0.3">
      <c r="A858" t="s">
        <v>925</v>
      </c>
      <c r="B858">
        <v>38</v>
      </c>
      <c r="C858" t="s">
        <v>802</v>
      </c>
      <c r="D858" t="s">
        <v>55</v>
      </c>
      <c r="E858" t="s">
        <v>48</v>
      </c>
      <c r="F858">
        <v>364</v>
      </c>
      <c r="G858" t="s">
        <v>735</v>
      </c>
      <c r="H858">
        <v>3</v>
      </c>
      <c r="I858">
        <v>5</v>
      </c>
      <c r="J858" t="s">
        <v>77</v>
      </c>
      <c r="K858">
        <v>193</v>
      </c>
      <c r="L858">
        <v>4</v>
      </c>
      <c r="M858" t="s">
        <v>59</v>
      </c>
      <c r="N858">
        <v>3</v>
      </c>
      <c r="O858">
        <v>2</v>
      </c>
      <c r="P858" t="s">
        <v>67</v>
      </c>
      <c r="Q858">
        <v>3</v>
      </c>
      <c r="R858" t="s">
        <v>53</v>
      </c>
      <c r="S858">
        <v>7949</v>
      </c>
      <c r="T858" t="s">
        <v>54</v>
      </c>
      <c r="U858">
        <v>49.68</v>
      </c>
      <c r="V858">
        <v>3</v>
      </c>
      <c r="W858" t="s">
        <v>47</v>
      </c>
      <c r="X858">
        <v>20</v>
      </c>
      <c r="Y858">
        <v>4</v>
      </c>
      <c r="Z858">
        <v>2</v>
      </c>
      <c r="AA858">
        <v>0</v>
      </c>
      <c r="AB858">
        <v>19</v>
      </c>
      <c r="AC858">
        <v>2</v>
      </c>
      <c r="AD858">
        <v>3</v>
      </c>
      <c r="AE858">
        <v>3</v>
      </c>
      <c r="AF858">
        <v>2</v>
      </c>
      <c r="AG858">
        <v>2</v>
      </c>
      <c r="AH858">
        <v>2</v>
      </c>
      <c r="AI858">
        <f t="shared" si="91"/>
        <v>0</v>
      </c>
      <c r="AJ858" t="str">
        <f t="shared" si="92"/>
        <v>2-3 yrs</v>
      </c>
      <c r="AK858" t="str">
        <f t="shared" si="93"/>
        <v>Recent</v>
      </c>
      <c r="AL858">
        <f t="shared" si="94"/>
        <v>1</v>
      </c>
      <c r="AM858" t="str">
        <f t="shared" si="95"/>
        <v>Low Risk</v>
      </c>
      <c r="AN858" s="6">
        <f t="shared" si="96"/>
        <v>-0.84059311598130915</v>
      </c>
      <c r="AO858" s="7">
        <f t="shared" si="97"/>
        <v>95388</v>
      </c>
    </row>
    <row r="859" spans="1:41" x14ac:dyDescent="0.3">
      <c r="A859" t="s">
        <v>926</v>
      </c>
      <c r="B859">
        <v>38</v>
      </c>
      <c r="C859" t="s">
        <v>802</v>
      </c>
      <c r="D859" t="s">
        <v>55</v>
      </c>
      <c r="E859" t="s">
        <v>48</v>
      </c>
      <c r="F859">
        <v>702</v>
      </c>
      <c r="G859" t="s">
        <v>63</v>
      </c>
      <c r="H859">
        <v>1</v>
      </c>
      <c r="I859">
        <v>4</v>
      </c>
      <c r="J859" t="s">
        <v>50</v>
      </c>
      <c r="K859">
        <v>230</v>
      </c>
      <c r="L859">
        <v>1</v>
      </c>
      <c r="M859" t="s">
        <v>59</v>
      </c>
      <c r="N859">
        <v>2</v>
      </c>
      <c r="O859">
        <v>2</v>
      </c>
      <c r="P859" t="s">
        <v>145</v>
      </c>
      <c r="Q859">
        <v>4</v>
      </c>
      <c r="R859" t="s">
        <v>53</v>
      </c>
      <c r="S859">
        <v>56393</v>
      </c>
      <c r="T859" t="s">
        <v>64</v>
      </c>
      <c r="U859">
        <v>352.46</v>
      </c>
      <c r="V859">
        <v>4</v>
      </c>
      <c r="W859" t="s">
        <v>55</v>
      </c>
      <c r="X859">
        <v>22</v>
      </c>
      <c r="Y859">
        <v>4</v>
      </c>
      <c r="Z859">
        <v>3</v>
      </c>
      <c r="AA859">
        <v>0</v>
      </c>
      <c r="AB859">
        <v>12</v>
      </c>
      <c r="AC859">
        <v>2</v>
      </c>
      <c r="AD859">
        <v>4</v>
      </c>
      <c r="AE859">
        <v>8</v>
      </c>
      <c r="AF859">
        <v>3</v>
      </c>
      <c r="AG859">
        <v>0</v>
      </c>
      <c r="AH859">
        <v>7</v>
      </c>
      <c r="AI859">
        <f t="shared" si="91"/>
        <v>0</v>
      </c>
      <c r="AJ859" t="str">
        <f t="shared" si="92"/>
        <v>6-10 yrs</v>
      </c>
      <c r="AK859" t="str">
        <f t="shared" si="93"/>
        <v>Recent</v>
      </c>
      <c r="AL859">
        <f t="shared" si="94"/>
        <v>0</v>
      </c>
      <c r="AM859" t="str">
        <f t="shared" si="95"/>
        <v>Minimal Risk</v>
      </c>
      <c r="AN859" s="6">
        <f t="shared" si="96"/>
        <v>0.14951761057819313</v>
      </c>
      <c r="AO859" s="7">
        <f t="shared" si="97"/>
        <v>676716</v>
      </c>
    </row>
    <row r="860" spans="1:41" x14ac:dyDescent="0.3">
      <c r="A860" t="s">
        <v>927</v>
      </c>
      <c r="B860">
        <v>38</v>
      </c>
      <c r="C860" t="s">
        <v>802</v>
      </c>
      <c r="D860" t="s">
        <v>55</v>
      </c>
      <c r="E860" t="s">
        <v>48</v>
      </c>
      <c r="F860">
        <v>1380</v>
      </c>
      <c r="G860" t="s">
        <v>735</v>
      </c>
      <c r="H860">
        <v>9</v>
      </c>
      <c r="I860">
        <v>2</v>
      </c>
      <c r="J860" t="s">
        <v>50</v>
      </c>
      <c r="K860">
        <v>245</v>
      </c>
      <c r="L860">
        <v>3</v>
      </c>
      <c r="M860" t="s">
        <v>59</v>
      </c>
      <c r="N860">
        <v>3</v>
      </c>
      <c r="O860">
        <v>1</v>
      </c>
      <c r="P860" t="s">
        <v>52</v>
      </c>
      <c r="Q860">
        <v>4</v>
      </c>
      <c r="R860" t="s">
        <v>53</v>
      </c>
      <c r="S860">
        <v>74553</v>
      </c>
      <c r="T860" t="s">
        <v>64</v>
      </c>
      <c r="U860">
        <v>465.96</v>
      </c>
      <c r="V860">
        <v>1</v>
      </c>
      <c r="W860" t="s">
        <v>55</v>
      </c>
      <c r="X860">
        <v>12</v>
      </c>
      <c r="Y860">
        <v>3</v>
      </c>
      <c r="Z860">
        <v>3</v>
      </c>
      <c r="AA860">
        <v>0</v>
      </c>
      <c r="AB860">
        <v>2</v>
      </c>
      <c r="AC860">
        <v>3</v>
      </c>
      <c r="AD860">
        <v>3</v>
      </c>
      <c r="AE860">
        <v>2</v>
      </c>
      <c r="AF860">
        <v>2</v>
      </c>
      <c r="AG860">
        <v>2</v>
      </c>
      <c r="AH860">
        <v>1</v>
      </c>
      <c r="AI860">
        <f t="shared" si="91"/>
        <v>0</v>
      </c>
      <c r="AJ860" t="str">
        <f t="shared" si="92"/>
        <v>2-3 yrs</v>
      </c>
      <c r="AK860" t="str">
        <f t="shared" si="93"/>
        <v>Recent</v>
      </c>
      <c r="AL860">
        <f t="shared" si="94"/>
        <v>0</v>
      </c>
      <c r="AM860" t="str">
        <f t="shared" si="95"/>
        <v>Minimal Risk</v>
      </c>
      <c r="AN860" s="6">
        <f t="shared" si="96"/>
        <v>0.44145663867371726</v>
      </c>
      <c r="AO860" s="7">
        <f t="shared" si="97"/>
        <v>894636</v>
      </c>
    </row>
    <row r="861" spans="1:41" x14ac:dyDescent="0.3">
      <c r="A861" t="s">
        <v>928</v>
      </c>
      <c r="B861">
        <v>38</v>
      </c>
      <c r="C861" t="s">
        <v>802</v>
      </c>
      <c r="D861" t="s">
        <v>55</v>
      </c>
      <c r="E861" t="s">
        <v>48</v>
      </c>
      <c r="F861">
        <v>1261</v>
      </c>
      <c r="G861" t="s">
        <v>735</v>
      </c>
      <c r="H861">
        <v>2</v>
      </c>
      <c r="I861">
        <v>4</v>
      </c>
      <c r="J861" t="s">
        <v>50</v>
      </c>
      <c r="K861">
        <v>271</v>
      </c>
      <c r="L861">
        <v>4</v>
      </c>
      <c r="M861" t="s">
        <v>51</v>
      </c>
      <c r="N861">
        <v>3</v>
      </c>
      <c r="O861">
        <v>2</v>
      </c>
      <c r="P861" t="s">
        <v>120</v>
      </c>
      <c r="Q861">
        <v>3</v>
      </c>
      <c r="R861" t="s">
        <v>113</v>
      </c>
      <c r="S861">
        <v>7941</v>
      </c>
      <c r="T861" t="s">
        <v>54</v>
      </c>
      <c r="U861">
        <v>49.63</v>
      </c>
      <c r="V861">
        <v>9</v>
      </c>
      <c r="W861" t="s">
        <v>55</v>
      </c>
      <c r="X861">
        <v>14</v>
      </c>
      <c r="Y861">
        <v>3</v>
      </c>
      <c r="Z861">
        <v>2</v>
      </c>
      <c r="AA861">
        <v>0</v>
      </c>
      <c r="AB861">
        <v>14</v>
      </c>
      <c r="AC861">
        <v>3</v>
      </c>
      <c r="AD861">
        <v>3</v>
      </c>
      <c r="AE861">
        <v>1</v>
      </c>
      <c r="AF861">
        <v>0</v>
      </c>
      <c r="AG861">
        <v>0</v>
      </c>
      <c r="AH861">
        <v>0</v>
      </c>
      <c r="AI861">
        <f t="shared" si="91"/>
        <v>0</v>
      </c>
      <c r="AJ861" t="str">
        <f t="shared" si="92"/>
        <v>0-1 yr</v>
      </c>
      <c r="AK861" t="str">
        <f t="shared" si="93"/>
        <v>Recent</v>
      </c>
      <c r="AL861">
        <f t="shared" si="94"/>
        <v>0</v>
      </c>
      <c r="AM861" t="str">
        <f t="shared" si="95"/>
        <v>Minimal Risk</v>
      </c>
      <c r="AN861" s="6">
        <f t="shared" si="96"/>
        <v>-0.82072604509055735</v>
      </c>
      <c r="AO861" s="7">
        <f t="shared" si="97"/>
        <v>95292</v>
      </c>
    </row>
    <row r="862" spans="1:41" x14ac:dyDescent="0.3">
      <c r="A862" t="s">
        <v>929</v>
      </c>
      <c r="B862">
        <v>38</v>
      </c>
      <c r="C862" t="s">
        <v>802</v>
      </c>
      <c r="D862" t="s">
        <v>55</v>
      </c>
      <c r="E862" t="s">
        <v>48</v>
      </c>
      <c r="F862">
        <v>1084</v>
      </c>
      <c r="G862" t="s">
        <v>735</v>
      </c>
      <c r="H862">
        <v>29</v>
      </c>
      <c r="I862">
        <v>3</v>
      </c>
      <c r="J862" t="s">
        <v>77</v>
      </c>
      <c r="K862">
        <v>273</v>
      </c>
      <c r="L862">
        <v>4</v>
      </c>
      <c r="M862" t="s">
        <v>51</v>
      </c>
      <c r="N862">
        <v>3</v>
      </c>
      <c r="O862">
        <v>2</v>
      </c>
      <c r="P862" t="s">
        <v>120</v>
      </c>
      <c r="Q862">
        <v>4</v>
      </c>
      <c r="R862" t="s">
        <v>113</v>
      </c>
      <c r="S862">
        <v>26934</v>
      </c>
      <c r="T862" t="s">
        <v>72</v>
      </c>
      <c r="U862">
        <v>168.34</v>
      </c>
      <c r="V862">
        <v>3</v>
      </c>
      <c r="W862" t="s">
        <v>55</v>
      </c>
      <c r="X862">
        <v>18</v>
      </c>
      <c r="Y862">
        <v>3</v>
      </c>
      <c r="Z862">
        <v>1</v>
      </c>
      <c r="AA862">
        <v>1</v>
      </c>
      <c r="AB862">
        <v>9</v>
      </c>
      <c r="AC862">
        <v>3</v>
      </c>
      <c r="AD862">
        <v>1</v>
      </c>
      <c r="AE862">
        <v>7</v>
      </c>
      <c r="AF862">
        <v>7</v>
      </c>
      <c r="AG862">
        <v>1</v>
      </c>
      <c r="AH862">
        <v>7</v>
      </c>
      <c r="AI862">
        <f t="shared" si="91"/>
        <v>0</v>
      </c>
      <c r="AJ862" t="str">
        <f t="shared" si="92"/>
        <v>6-10 yrs</v>
      </c>
      <c r="AK862" t="str">
        <f t="shared" si="93"/>
        <v>Recent</v>
      </c>
      <c r="AL862">
        <f t="shared" si="94"/>
        <v>1</v>
      </c>
      <c r="AM862" t="str">
        <f t="shared" si="95"/>
        <v>Low Risk</v>
      </c>
      <c r="AN862" s="6">
        <f t="shared" si="96"/>
        <v>-0.39194500673329191</v>
      </c>
      <c r="AO862" s="7">
        <f t="shared" si="97"/>
        <v>323208</v>
      </c>
    </row>
    <row r="863" spans="1:41" x14ac:dyDescent="0.3">
      <c r="A863" t="s">
        <v>930</v>
      </c>
      <c r="B863">
        <v>38</v>
      </c>
      <c r="C863" t="s">
        <v>802</v>
      </c>
      <c r="D863" t="s">
        <v>47</v>
      </c>
      <c r="E863" t="s">
        <v>48</v>
      </c>
      <c r="F863">
        <v>1180</v>
      </c>
      <c r="G863" t="s">
        <v>735</v>
      </c>
      <c r="H863">
        <v>29</v>
      </c>
      <c r="I863">
        <v>1</v>
      </c>
      <c r="J863" t="s">
        <v>58</v>
      </c>
      <c r="K863">
        <v>282</v>
      </c>
      <c r="L863">
        <v>2</v>
      </c>
      <c r="M863" t="s">
        <v>51</v>
      </c>
      <c r="N863">
        <v>3</v>
      </c>
      <c r="O863">
        <v>2</v>
      </c>
      <c r="P863" t="s">
        <v>168</v>
      </c>
      <c r="Q863">
        <v>1</v>
      </c>
      <c r="R863" t="s">
        <v>113</v>
      </c>
      <c r="S863">
        <v>24386</v>
      </c>
      <c r="T863" t="s">
        <v>54</v>
      </c>
      <c r="U863">
        <v>152.41</v>
      </c>
      <c r="V863">
        <v>7</v>
      </c>
      <c r="W863" t="s">
        <v>47</v>
      </c>
      <c r="X863">
        <v>19</v>
      </c>
      <c r="Y863">
        <v>3</v>
      </c>
      <c r="Z863">
        <v>2</v>
      </c>
      <c r="AA863">
        <v>0</v>
      </c>
      <c r="AB863">
        <v>17</v>
      </c>
      <c r="AC863">
        <v>2</v>
      </c>
      <c r="AD863">
        <v>3</v>
      </c>
      <c r="AE863">
        <v>1</v>
      </c>
      <c r="AF863">
        <v>0</v>
      </c>
      <c r="AG863">
        <v>0</v>
      </c>
      <c r="AH863">
        <v>0</v>
      </c>
      <c r="AI863">
        <f t="shared" si="91"/>
        <v>1</v>
      </c>
      <c r="AJ863" t="str">
        <f t="shared" si="92"/>
        <v>0-1 yr</v>
      </c>
      <c r="AK863" t="str">
        <f t="shared" si="93"/>
        <v>Recent</v>
      </c>
      <c r="AL863">
        <f t="shared" si="94"/>
        <v>2</v>
      </c>
      <c r="AM863" t="str">
        <f t="shared" si="95"/>
        <v>Medium Risk</v>
      </c>
      <c r="AN863" s="6">
        <f t="shared" si="96"/>
        <v>-0.4939524018451103</v>
      </c>
      <c r="AO863" s="7">
        <f t="shared" si="97"/>
        <v>292632</v>
      </c>
    </row>
    <row r="864" spans="1:41" x14ac:dyDescent="0.3">
      <c r="A864" t="s">
        <v>931</v>
      </c>
      <c r="B864">
        <v>38</v>
      </c>
      <c r="C864" t="s">
        <v>802</v>
      </c>
      <c r="D864" t="s">
        <v>55</v>
      </c>
      <c r="E864" t="s">
        <v>48</v>
      </c>
      <c r="F864">
        <v>119</v>
      </c>
      <c r="G864" t="s">
        <v>932</v>
      </c>
      <c r="H864">
        <v>3</v>
      </c>
      <c r="I864">
        <v>3</v>
      </c>
      <c r="J864" t="s">
        <v>50</v>
      </c>
      <c r="K864">
        <v>307</v>
      </c>
      <c r="L864">
        <v>1</v>
      </c>
      <c r="M864" t="s">
        <v>51</v>
      </c>
      <c r="N864">
        <v>3</v>
      </c>
      <c r="O864">
        <v>3</v>
      </c>
      <c r="P864" t="s">
        <v>145</v>
      </c>
      <c r="Q864">
        <v>3</v>
      </c>
      <c r="R864" t="s">
        <v>113</v>
      </c>
      <c r="S864">
        <v>62886</v>
      </c>
      <c r="T864" t="s">
        <v>64</v>
      </c>
      <c r="U864">
        <v>393.04</v>
      </c>
      <c r="V864">
        <v>0</v>
      </c>
      <c r="W864" t="s">
        <v>55</v>
      </c>
      <c r="X864">
        <v>12</v>
      </c>
      <c r="Y864">
        <v>3</v>
      </c>
      <c r="Z864">
        <v>3</v>
      </c>
      <c r="AA864">
        <v>2</v>
      </c>
      <c r="AB864">
        <v>17</v>
      </c>
      <c r="AC864">
        <v>6</v>
      </c>
      <c r="AD864">
        <v>2</v>
      </c>
      <c r="AE864">
        <v>16</v>
      </c>
      <c r="AF864">
        <v>10</v>
      </c>
      <c r="AG864">
        <v>5</v>
      </c>
      <c r="AH864">
        <v>13</v>
      </c>
      <c r="AI864">
        <f t="shared" si="91"/>
        <v>0</v>
      </c>
      <c r="AJ864" t="str">
        <f t="shared" si="92"/>
        <v>10+ yrs</v>
      </c>
      <c r="AK864" t="str">
        <f t="shared" si="93"/>
        <v>Overdue</v>
      </c>
      <c r="AL864">
        <f t="shared" si="94"/>
        <v>2</v>
      </c>
      <c r="AM864" t="str">
        <f t="shared" si="95"/>
        <v>Medium Risk</v>
      </c>
      <c r="AN864" s="6">
        <f t="shared" si="96"/>
        <v>0.28187123328817854</v>
      </c>
      <c r="AO864" s="7">
        <f t="shared" si="97"/>
        <v>754632</v>
      </c>
    </row>
    <row r="865" spans="1:41" x14ac:dyDescent="0.3">
      <c r="A865" t="s">
        <v>933</v>
      </c>
      <c r="B865">
        <v>38</v>
      </c>
      <c r="C865" t="s">
        <v>802</v>
      </c>
      <c r="D865" t="s">
        <v>55</v>
      </c>
      <c r="E865" t="s">
        <v>66</v>
      </c>
      <c r="F865">
        <v>1327</v>
      </c>
      <c r="G865" t="s">
        <v>932</v>
      </c>
      <c r="H865">
        <v>2</v>
      </c>
      <c r="I865">
        <v>2</v>
      </c>
      <c r="J865" t="s">
        <v>50</v>
      </c>
      <c r="K865">
        <v>361</v>
      </c>
      <c r="L865">
        <v>4</v>
      </c>
      <c r="M865" t="s">
        <v>51</v>
      </c>
      <c r="N865">
        <v>2</v>
      </c>
      <c r="O865">
        <v>2</v>
      </c>
      <c r="P865" t="s">
        <v>145</v>
      </c>
      <c r="Q865">
        <v>4</v>
      </c>
      <c r="R865" t="s">
        <v>113</v>
      </c>
      <c r="S865">
        <v>76745</v>
      </c>
      <c r="T865" t="s">
        <v>64</v>
      </c>
      <c r="U865">
        <v>479.66</v>
      </c>
      <c r="V865">
        <v>3</v>
      </c>
      <c r="W865" t="s">
        <v>55</v>
      </c>
      <c r="X865">
        <v>18</v>
      </c>
      <c r="Y865">
        <v>3</v>
      </c>
      <c r="Z865">
        <v>4</v>
      </c>
      <c r="AA865">
        <v>1</v>
      </c>
      <c r="AB865">
        <v>13</v>
      </c>
      <c r="AC865">
        <v>0</v>
      </c>
      <c r="AD865">
        <v>3</v>
      </c>
      <c r="AE865">
        <v>8</v>
      </c>
      <c r="AF865">
        <v>7</v>
      </c>
      <c r="AG865">
        <v>7</v>
      </c>
      <c r="AH865">
        <v>5</v>
      </c>
      <c r="AI865">
        <f t="shared" si="91"/>
        <v>0</v>
      </c>
      <c r="AJ865" t="str">
        <f t="shared" si="92"/>
        <v>6-10 yrs</v>
      </c>
      <c r="AK865" t="str">
        <f t="shared" si="93"/>
        <v>Overdue</v>
      </c>
      <c r="AL865">
        <f t="shared" si="94"/>
        <v>1</v>
      </c>
      <c r="AM865" t="str">
        <f t="shared" si="95"/>
        <v>Low Risk</v>
      </c>
      <c r="AN865" s="6">
        <f t="shared" si="96"/>
        <v>0.56437375248387978</v>
      </c>
      <c r="AO865" s="7">
        <f t="shared" si="97"/>
        <v>920940</v>
      </c>
    </row>
    <row r="866" spans="1:41" x14ac:dyDescent="0.3">
      <c r="A866" t="s">
        <v>934</v>
      </c>
      <c r="B866">
        <v>38</v>
      </c>
      <c r="C866" t="s">
        <v>802</v>
      </c>
      <c r="D866" t="s">
        <v>55</v>
      </c>
      <c r="E866" t="s">
        <v>48</v>
      </c>
      <c r="F866">
        <v>322</v>
      </c>
      <c r="G866" t="s">
        <v>932</v>
      </c>
      <c r="H866">
        <v>7</v>
      </c>
      <c r="I866">
        <v>2</v>
      </c>
      <c r="J866" t="s">
        <v>58</v>
      </c>
      <c r="K866">
        <v>382</v>
      </c>
      <c r="L866">
        <v>1</v>
      </c>
      <c r="M866" t="s">
        <v>59</v>
      </c>
      <c r="N866">
        <v>4</v>
      </c>
      <c r="O866">
        <v>2</v>
      </c>
      <c r="P866" t="s">
        <v>145</v>
      </c>
      <c r="Q866">
        <v>1</v>
      </c>
      <c r="R866" t="s">
        <v>113</v>
      </c>
      <c r="S866">
        <v>84251</v>
      </c>
      <c r="T866" t="s">
        <v>70</v>
      </c>
      <c r="U866">
        <v>526.57000000000005</v>
      </c>
      <c r="V866">
        <v>1</v>
      </c>
      <c r="W866" t="s">
        <v>47</v>
      </c>
      <c r="X866">
        <v>24</v>
      </c>
      <c r="Y866">
        <v>4</v>
      </c>
      <c r="Z866">
        <v>3</v>
      </c>
      <c r="AA866">
        <v>1</v>
      </c>
      <c r="AB866">
        <v>8</v>
      </c>
      <c r="AC866">
        <v>3</v>
      </c>
      <c r="AD866">
        <v>3</v>
      </c>
      <c r="AE866">
        <v>8</v>
      </c>
      <c r="AF866">
        <v>0</v>
      </c>
      <c r="AG866">
        <v>7</v>
      </c>
      <c r="AH866">
        <v>7</v>
      </c>
      <c r="AI866">
        <f t="shared" si="91"/>
        <v>0</v>
      </c>
      <c r="AJ866" t="str">
        <f t="shared" si="92"/>
        <v>6-10 yrs</v>
      </c>
      <c r="AK866" t="str">
        <f t="shared" si="93"/>
        <v>Overdue</v>
      </c>
      <c r="AL866">
        <f t="shared" si="94"/>
        <v>3</v>
      </c>
      <c r="AM866" t="str">
        <f t="shared" si="95"/>
        <v>High Risk</v>
      </c>
      <c r="AN866" s="6">
        <f t="shared" si="96"/>
        <v>0.71737641566902544</v>
      </c>
      <c r="AO866" s="7">
        <f t="shared" si="97"/>
        <v>1011012</v>
      </c>
    </row>
    <row r="867" spans="1:41" x14ac:dyDescent="0.3">
      <c r="A867" t="s">
        <v>935</v>
      </c>
      <c r="B867">
        <v>38</v>
      </c>
      <c r="C867" t="s">
        <v>802</v>
      </c>
      <c r="D867" t="s">
        <v>55</v>
      </c>
      <c r="E867" t="s">
        <v>48</v>
      </c>
      <c r="F867">
        <v>688</v>
      </c>
      <c r="G867" t="s">
        <v>735</v>
      </c>
      <c r="H867">
        <v>23</v>
      </c>
      <c r="I867">
        <v>4</v>
      </c>
      <c r="J867" t="s">
        <v>50</v>
      </c>
      <c r="K867">
        <v>393</v>
      </c>
      <c r="L867">
        <v>4</v>
      </c>
      <c r="M867" t="s">
        <v>51</v>
      </c>
      <c r="N867">
        <v>3</v>
      </c>
      <c r="O867">
        <v>2</v>
      </c>
      <c r="P867" t="s">
        <v>168</v>
      </c>
      <c r="Q867">
        <v>4</v>
      </c>
      <c r="R867" t="s">
        <v>113</v>
      </c>
      <c r="S867">
        <v>95456</v>
      </c>
      <c r="T867" t="s">
        <v>70</v>
      </c>
      <c r="U867">
        <v>596.6</v>
      </c>
      <c r="V867">
        <v>9</v>
      </c>
      <c r="W867" t="s">
        <v>55</v>
      </c>
      <c r="X867">
        <v>14</v>
      </c>
      <c r="Y867">
        <v>3</v>
      </c>
      <c r="Z867">
        <v>2</v>
      </c>
      <c r="AA867">
        <v>1</v>
      </c>
      <c r="AB867">
        <v>10</v>
      </c>
      <c r="AC867">
        <v>2</v>
      </c>
      <c r="AD867">
        <v>3</v>
      </c>
      <c r="AE867">
        <v>2</v>
      </c>
      <c r="AF867">
        <v>2</v>
      </c>
      <c r="AG867">
        <v>1</v>
      </c>
      <c r="AH867">
        <v>2</v>
      </c>
      <c r="AI867">
        <f t="shared" si="91"/>
        <v>0</v>
      </c>
      <c r="AJ867" t="str">
        <f t="shared" si="92"/>
        <v>2-3 yrs</v>
      </c>
      <c r="AK867" t="str">
        <f t="shared" si="93"/>
        <v>Recent</v>
      </c>
      <c r="AL867">
        <f t="shared" si="94"/>
        <v>0</v>
      </c>
      <c r="AM867" t="str">
        <f t="shared" si="95"/>
        <v>Minimal Risk</v>
      </c>
      <c r="AN867" s="6">
        <f t="shared" si="96"/>
        <v>0.98086113054511403</v>
      </c>
      <c r="AO867" s="7">
        <f t="shared" si="97"/>
        <v>1145472</v>
      </c>
    </row>
    <row r="868" spans="1:41" x14ac:dyDescent="0.3">
      <c r="A868" t="s">
        <v>936</v>
      </c>
      <c r="B868">
        <v>38</v>
      </c>
      <c r="C868" t="s">
        <v>802</v>
      </c>
      <c r="D868" t="s">
        <v>55</v>
      </c>
      <c r="E868" t="s">
        <v>48</v>
      </c>
      <c r="F868">
        <v>849</v>
      </c>
      <c r="G868" t="s">
        <v>735</v>
      </c>
      <c r="H868">
        <v>25</v>
      </c>
      <c r="I868">
        <v>2</v>
      </c>
      <c r="J868" t="s">
        <v>50</v>
      </c>
      <c r="K868">
        <v>421</v>
      </c>
      <c r="L868">
        <v>1</v>
      </c>
      <c r="M868" t="s">
        <v>59</v>
      </c>
      <c r="N868">
        <v>2</v>
      </c>
      <c r="O868">
        <v>3</v>
      </c>
      <c r="P868" t="s">
        <v>257</v>
      </c>
      <c r="Q868">
        <v>2</v>
      </c>
      <c r="R868" t="s">
        <v>113</v>
      </c>
      <c r="S868">
        <v>54413</v>
      </c>
      <c r="T868" t="s">
        <v>64</v>
      </c>
      <c r="U868">
        <v>340.08</v>
      </c>
      <c r="V868">
        <v>3</v>
      </c>
      <c r="W868" t="s">
        <v>55</v>
      </c>
      <c r="X868">
        <v>17</v>
      </c>
      <c r="Y868">
        <v>3</v>
      </c>
      <c r="Z868">
        <v>3</v>
      </c>
      <c r="AA868">
        <v>1</v>
      </c>
      <c r="AB868">
        <v>19</v>
      </c>
      <c r="AC868">
        <v>2</v>
      </c>
      <c r="AD868">
        <v>3</v>
      </c>
      <c r="AE868">
        <v>10</v>
      </c>
      <c r="AF868">
        <v>8</v>
      </c>
      <c r="AG868">
        <v>0</v>
      </c>
      <c r="AH868">
        <v>1</v>
      </c>
      <c r="AI868">
        <f t="shared" si="91"/>
        <v>0</v>
      </c>
      <c r="AJ868" t="str">
        <f t="shared" si="92"/>
        <v>6-10 yrs</v>
      </c>
      <c r="AK868" t="str">
        <f t="shared" si="93"/>
        <v>Recent</v>
      </c>
      <c r="AL868">
        <f t="shared" si="94"/>
        <v>1</v>
      </c>
      <c r="AM868" t="str">
        <f t="shared" si="95"/>
        <v>Low Risk</v>
      </c>
      <c r="AN868" s="6">
        <f t="shared" si="96"/>
        <v>7.4016924555013741E-2</v>
      </c>
      <c r="AO868" s="7">
        <f t="shared" si="97"/>
        <v>652956</v>
      </c>
    </row>
    <row r="869" spans="1:41" x14ac:dyDescent="0.3">
      <c r="A869" t="s">
        <v>937</v>
      </c>
      <c r="B869">
        <v>38</v>
      </c>
      <c r="C869" t="s">
        <v>802</v>
      </c>
      <c r="D869" t="s">
        <v>55</v>
      </c>
      <c r="E869" t="s">
        <v>48</v>
      </c>
      <c r="F869">
        <v>343</v>
      </c>
      <c r="G869" t="s">
        <v>735</v>
      </c>
      <c r="H869">
        <v>15</v>
      </c>
      <c r="I869">
        <v>2</v>
      </c>
      <c r="J869" t="s">
        <v>50</v>
      </c>
      <c r="K869">
        <v>461</v>
      </c>
      <c r="L869">
        <v>3</v>
      </c>
      <c r="M869" t="s">
        <v>51</v>
      </c>
      <c r="N869">
        <v>2</v>
      </c>
      <c r="O869">
        <v>3</v>
      </c>
      <c r="P869" t="s">
        <v>257</v>
      </c>
      <c r="Q869">
        <v>4</v>
      </c>
      <c r="R869" t="s">
        <v>113</v>
      </c>
      <c r="S869">
        <v>57800</v>
      </c>
      <c r="T869" t="s">
        <v>64</v>
      </c>
      <c r="U869">
        <v>361.25</v>
      </c>
      <c r="V869">
        <v>0</v>
      </c>
      <c r="W869" t="s">
        <v>47</v>
      </c>
      <c r="X869">
        <v>14</v>
      </c>
      <c r="Y869">
        <v>3</v>
      </c>
      <c r="Z869">
        <v>2</v>
      </c>
      <c r="AA869">
        <v>1</v>
      </c>
      <c r="AB869">
        <v>12</v>
      </c>
      <c r="AC869">
        <v>3</v>
      </c>
      <c r="AD869">
        <v>3</v>
      </c>
      <c r="AE869">
        <v>11</v>
      </c>
      <c r="AF869">
        <v>10</v>
      </c>
      <c r="AG869">
        <v>2</v>
      </c>
      <c r="AH869">
        <v>9</v>
      </c>
      <c r="AI869">
        <f t="shared" si="91"/>
        <v>0</v>
      </c>
      <c r="AJ869" t="str">
        <f t="shared" si="92"/>
        <v>10+ yrs</v>
      </c>
      <c r="AK869" t="str">
        <f t="shared" si="93"/>
        <v>Recent</v>
      </c>
      <c r="AL869">
        <f t="shared" si="94"/>
        <v>1</v>
      </c>
      <c r="AM869" t="str">
        <f t="shared" si="95"/>
        <v>Low Risk</v>
      </c>
      <c r="AN869" s="6">
        <f t="shared" si="96"/>
        <v>0.14087034788156863</v>
      </c>
      <c r="AO869" s="7">
        <f t="shared" si="97"/>
        <v>693600</v>
      </c>
    </row>
    <row r="870" spans="1:41" x14ac:dyDescent="0.3">
      <c r="A870" t="s">
        <v>938</v>
      </c>
      <c r="B870">
        <v>38</v>
      </c>
      <c r="C870" t="s">
        <v>802</v>
      </c>
      <c r="D870" t="s">
        <v>55</v>
      </c>
      <c r="E870" t="s">
        <v>62</v>
      </c>
      <c r="F870">
        <v>1490</v>
      </c>
      <c r="G870" t="s">
        <v>735</v>
      </c>
      <c r="H870">
        <v>2</v>
      </c>
      <c r="I870">
        <v>2</v>
      </c>
      <c r="J870" t="s">
        <v>50</v>
      </c>
      <c r="K870">
        <v>556</v>
      </c>
      <c r="L870">
        <v>4</v>
      </c>
      <c r="M870" t="s">
        <v>51</v>
      </c>
      <c r="N870">
        <v>3</v>
      </c>
      <c r="O870">
        <v>1</v>
      </c>
      <c r="P870" t="s">
        <v>52</v>
      </c>
      <c r="Q870">
        <v>4</v>
      </c>
      <c r="R870" t="s">
        <v>113</v>
      </c>
      <c r="S870">
        <v>98239</v>
      </c>
      <c r="T870" t="s">
        <v>70</v>
      </c>
      <c r="U870">
        <v>613.99</v>
      </c>
      <c r="V870">
        <v>1</v>
      </c>
      <c r="W870" t="s">
        <v>47</v>
      </c>
      <c r="X870">
        <v>23</v>
      </c>
      <c r="Y870">
        <v>4</v>
      </c>
      <c r="Z870">
        <v>3</v>
      </c>
      <c r="AA870">
        <v>1</v>
      </c>
      <c r="AB870">
        <v>1</v>
      </c>
      <c r="AC870">
        <v>3</v>
      </c>
      <c r="AD870">
        <v>3</v>
      </c>
      <c r="AE870">
        <v>1</v>
      </c>
      <c r="AF870">
        <v>0</v>
      </c>
      <c r="AG870">
        <v>0</v>
      </c>
      <c r="AH870">
        <v>0</v>
      </c>
      <c r="AI870">
        <f t="shared" si="91"/>
        <v>0</v>
      </c>
      <c r="AJ870" t="str">
        <f t="shared" si="92"/>
        <v>0-1 yr</v>
      </c>
      <c r="AK870" t="str">
        <f t="shared" si="93"/>
        <v>Recent</v>
      </c>
      <c r="AL870">
        <f t="shared" si="94"/>
        <v>1</v>
      </c>
      <c r="AM870" t="str">
        <f t="shared" si="95"/>
        <v>Low Risk</v>
      </c>
      <c r="AN870" s="6">
        <f t="shared" si="96"/>
        <v>0.89941731019096893</v>
      </c>
      <c r="AO870" s="7">
        <f t="shared" si="97"/>
        <v>1178868</v>
      </c>
    </row>
    <row r="871" spans="1:41" x14ac:dyDescent="0.3">
      <c r="A871" t="s">
        <v>939</v>
      </c>
      <c r="B871">
        <v>38</v>
      </c>
      <c r="C871" t="s">
        <v>802</v>
      </c>
      <c r="D871" t="s">
        <v>55</v>
      </c>
      <c r="E871" t="s">
        <v>48</v>
      </c>
      <c r="F871">
        <v>1495</v>
      </c>
      <c r="G871" t="s">
        <v>735</v>
      </c>
      <c r="H871">
        <v>10</v>
      </c>
      <c r="I871">
        <v>3</v>
      </c>
      <c r="J871" t="s">
        <v>58</v>
      </c>
      <c r="K871">
        <v>634</v>
      </c>
      <c r="L871">
        <v>3</v>
      </c>
      <c r="M871" t="s">
        <v>59</v>
      </c>
      <c r="N871">
        <v>3</v>
      </c>
      <c r="O871">
        <v>2</v>
      </c>
      <c r="P871" t="s">
        <v>168</v>
      </c>
      <c r="Q871">
        <v>3</v>
      </c>
      <c r="R871" t="s">
        <v>113</v>
      </c>
      <c r="S871">
        <v>43318</v>
      </c>
      <c r="T871" t="s">
        <v>72</v>
      </c>
      <c r="U871">
        <v>270.74</v>
      </c>
      <c r="V871">
        <v>3</v>
      </c>
      <c r="W871" t="s">
        <v>55</v>
      </c>
      <c r="X871">
        <v>19</v>
      </c>
      <c r="Y871">
        <v>3</v>
      </c>
      <c r="Z871">
        <v>3</v>
      </c>
      <c r="AA871">
        <v>1</v>
      </c>
      <c r="AB871">
        <v>18</v>
      </c>
      <c r="AC871">
        <v>4</v>
      </c>
      <c r="AD871">
        <v>3</v>
      </c>
      <c r="AE871">
        <v>1</v>
      </c>
      <c r="AF871">
        <v>0</v>
      </c>
      <c r="AG871">
        <v>0</v>
      </c>
      <c r="AH871">
        <v>0</v>
      </c>
      <c r="AI871">
        <f t="shared" si="91"/>
        <v>0</v>
      </c>
      <c r="AJ871" t="str">
        <f t="shared" si="92"/>
        <v>0-1 yr</v>
      </c>
      <c r="AK871" t="str">
        <f t="shared" si="93"/>
        <v>Recent</v>
      </c>
      <c r="AL871">
        <f t="shared" si="94"/>
        <v>0</v>
      </c>
      <c r="AM871" t="str">
        <f t="shared" si="95"/>
        <v>Minimal Risk</v>
      </c>
      <c r="AN871" s="6">
        <f t="shared" si="96"/>
        <v>-0.10108382445364097</v>
      </c>
      <c r="AO871" s="7">
        <f t="shared" si="97"/>
        <v>519816</v>
      </c>
    </row>
    <row r="872" spans="1:41" x14ac:dyDescent="0.3">
      <c r="A872" t="s">
        <v>940</v>
      </c>
      <c r="B872">
        <v>38</v>
      </c>
      <c r="C872" t="s">
        <v>802</v>
      </c>
      <c r="D872" t="s">
        <v>55</v>
      </c>
      <c r="E872" t="s">
        <v>48</v>
      </c>
      <c r="F872">
        <v>362</v>
      </c>
      <c r="G872" t="s">
        <v>735</v>
      </c>
      <c r="H872">
        <v>1</v>
      </c>
      <c r="I872">
        <v>1</v>
      </c>
      <c r="J872" t="s">
        <v>50</v>
      </c>
      <c r="K872">
        <v>662</v>
      </c>
      <c r="L872">
        <v>3</v>
      </c>
      <c r="M872" t="s">
        <v>59</v>
      </c>
      <c r="N872">
        <v>3</v>
      </c>
      <c r="O872">
        <v>1</v>
      </c>
      <c r="P872" t="s">
        <v>67</v>
      </c>
      <c r="Q872">
        <v>1</v>
      </c>
      <c r="R872" t="s">
        <v>53</v>
      </c>
      <c r="S872">
        <v>71173</v>
      </c>
      <c r="T872" t="s">
        <v>64</v>
      </c>
      <c r="U872">
        <v>444.83</v>
      </c>
      <c r="V872">
        <v>3</v>
      </c>
      <c r="W872" t="s">
        <v>55</v>
      </c>
      <c r="X872">
        <v>17</v>
      </c>
      <c r="Y872">
        <v>3</v>
      </c>
      <c r="Z872">
        <v>4</v>
      </c>
      <c r="AA872">
        <v>0</v>
      </c>
      <c r="AB872">
        <v>8</v>
      </c>
      <c r="AC872">
        <v>3</v>
      </c>
      <c r="AD872">
        <v>2</v>
      </c>
      <c r="AE872">
        <v>0</v>
      </c>
      <c r="AF872">
        <v>0</v>
      </c>
      <c r="AG872">
        <v>0</v>
      </c>
      <c r="AH872">
        <v>0</v>
      </c>
      <c r="AI872">
        <f t="shared" si="91"/>
        <v>0</v>
      </c>
      <c r="AJ872" t="str">
        <f t="shared" si="92"/>
        <v>0-1 yr</v>
      </c>
      <c r="AK872" t="str">
        <f t="shared" si="93"/>
        <v>Recent</v>
      </c>
      <c r="AL872">
        <f t="shared" si="94"/>
        <v>2</v>
      </c>
      <c r="AM872" t="str">
        <f t="shared" si="95"/>
        <v>Medium Risk</v>
      </c>
      <c r="AN872" s="6">
        <f t="shared" si="96"/>
        <v>0.42728219351645302</v>
      </c>
      <c r="AO872" s="7">
        <f t="shared" si="97"/>
        <v>854076</v>
      </c>
    </row>
    <row r="873" spans="1:41" x14ac:dyDescent="0.3">
      <c r="A873" t="s">
        <v>941</v>
      </c>
      <c r="B873">
        <v>38</v>
      </c>
      <c r="C873" t="s">
        <v>802</v>
      </c>
      <c r="D873" t="s">
        <v>55</v>
      </c>
      <c r="E873" t="s">
        <v>48</v>
      </c>
      <c r="F873">
        <v>243</v>
      </c>
      <c r="G873" t="s">
        <v>932</v>
      </c>
      <c r="H873">
        <v>7</v>
      </c>
      <c r="I873">
        <v>4</v>
      </c>
      <c r="J873" t="s">
        <v>63</v>
      </c>
      <c r="K873">
        <v>709</v>
      </c>
      <c r="L873">
        <v>4</v>
      </c>
      <c r="M873" t="s">
        <v>59</v>
      </c>
      <c r="N873">
        <v>2</v>
      </c>
      <c r="O873">
        <v>2</v>
      </c>
      <c r="P873" t="s">
        <v>145</v>
      </c>
      <c r="Q873">
        <v>4</v>
      </c>
      <c r="R873" t="s">
        <v>53</v>
      </c>
      <c r="S873">
        <v>71390</v>
      </c>
      <c r="T873" t="s">
        <v>64</v>
      </c>
      <c r="U873">
        <v>446.19</v>
      </c>
      <c r="V873">
        <v>0</v>
      </c>
      <c r="W873" t="s">
        <v>55</v>
      </c>
      <c r="X873">
        <v>20</v>
      </c>
      <c r="Y873">
        <v>4</v>
      </c>
      <c r="Z873">
        <v>1</v>
      </c>
      <c r="AA873">
        <v>0</v>
      </c>
      <c r="AB873">
        <v>8</v>
      </c>
      <c r="AC873">
        <v>2</v>
      </c>
      <c r="AD873">
        <v>3</v>
      </c>
      <c r="AE873">
        <v>7</v>
      </c>
      <c r="AF873">
        <v>7</v>
      </c>
      <c r="AG873">
        <v>0</v>
      </c>
      <c r="AH873">
        <v>5</v>
      </c>
      <c r="AI873">
        <f t="shared" si="91"/>
        <v>0</v>
      </c>
      <c r="AJ873" t="str">
        <f t="shared" si="92"/>
        <v>6-10 yrs</v>
      </c>
      <c r="AK873" t="str">
        <f t="shared" si="93"/>
        <v>Recent</v>
      </c>
      <c r="AL873">
        <f t="shared" si="94"/>
        <v>0</v>
      </c>
      <c r="AM873" t="str">
        <f t="shared" si="95"/>
        <v>Minimal Risk</v>
      </c>
      <c r="AN873" s="6">
        <f t="shared" si="96"/>
        <v>0.45521717623068836</v>
      </c>
      <c r="AO873" s="7">
        <f t="shared" si="97"/>
        <v>856680</v>
      </c>
    </row>
    <row r="874" spans="1:41" x14ac:dyDescent="0.3">
      <c r="A874" t="s">
        <v>942</v>
      </c>
      <c r="B874">
        <v>38</v>
      </c>
      <c r="C874" t="s">
        <v>802</v>
      </c>
      <c r="D874" t="s">
        <v>55</v>
      </c>
      <c r="E874" t="s">
        <v>48</v>
      </c>
      <c r="F874">
        <v>827</v>
      </c>
      <c r="G874" t="s">
        <v>735</v>
      </c>
      <c r="H874">
        <v>1</v>
      </c>
      <c r="I874">
        <v>4</v>
      </c>
      <c r="J874" t="s">
        <v>50</v>
      </c>
      <c r="K874">
        <v>724</v>
      </c>
      <c r="L874">
        <v>2</v>
      </c>
      <c r="M874" t="s">
        <v>59</v>
      </c>
      <c r="N874">
        <v>4</v>
      </c>
      <c r="O874">
        <v>2</v>
      </c>
      <c r="P874" t="s">
        <v>168</v>
      </c>
      <c r="Q874">
        <v>4</v>
      </c>
      <c r="R874" t="s">
        <v>53</v>
      </c>
      <c r="S874">
        <v>53329</v>
      </c>
      <c r="T874" t="s">
        <v>64</v>
      </c>
      <c r="U874">
        <v>333.31</v>
      </c>
      <c r="V874">
        <v>0</v>
      </c>
      <c r="W874" t="s">
        <v>55</v>
      </c>
      <c r="X874">
        <v>13</v>
      </c>
      <c r="Y874">
        <v>3</v>
      </c>
      <c r="Z874">
        <v>3</v>
      </c>
      <c r="AA874">
        <v>0</v>
      </c>
      <c r="AB874">
        <v>10</v>
      </c>
      <c r="AC874">
        <v>4</v>
      </c>
      <c r="AD874">
        <v>2</v>
      </c>
      <c r="AE874">
        <v>9</v>
      </c>
      <c r="AF874">
        <v>7</v>
      </c>
      <c r="AG874">
        <v>1</v>
      </c>
      <c r="AH874">
        <v>8</v>
      </c>
      <c r="AI874">
        <f t="shared" si="91"/>
        <v>0</v>
      </c>
      <c r="AJ874" t="str">
        <f t="shared" si="92"/>
        <v>6-10 yrs</v>
      </c>
      <c r="AK874" t="str">
        <f t="shared" si="93"/>
        <v>Recent</v>
      </c>
      <c r="AL874">
        <f t="shared" si="94"/>
        <v>1</v>
      </c>
      <c r="AM874" t="str">
        <f t="shared" si="95"/>
        <v>Low Risk</v>
      </c>
      <c r="AN874" s="6">
        <f t="shared" si="96"/>
        <v>0.10666006569351726</v>
      </c>
      <c r="AO874" s="7">
        <f t="shared" si="97"/>
        <v>639948</v>
      </c>
    </row>
    <row r="875" spans="1:41" x14ac:dyDescent="0.3">
      <c r="A875" t="s">
        <v>943</v>
      </c>
      <c r="B875">
        <v>38</v>
      </c>
      <c r="C875" t="s">
        <v>802</v>
      </c>
      <c r="D875" t="s">
        <v>55</v>
      </c>
      <c r="E875" t="s">
        <v>48</v>
      </c>
      <c r="F875">
        <v>168</v>
      </c>
      <c r="G875" t="s">
        <v>735</v>
      </c>
      <c r="H875">
        <v>1</v>
      </c>
      <c r="I875">
        <v>3</v>
      </c>
      <c r="J875" t="s">
        <v>50</v>
      </c>
      <c r="K875">
        <v>743</v>
      </c>
      <c r="L875">
        <v>3</v>
      </c>
      <c r="M875" t="s">
        <v>59</v>
      </c>
      <c r="N875">
        <v>3</v>
      </c>
      <c r="O875">
        <v>3</v>
      </c>
      <c r="P875" t="s">
        <v>120</v>
      </c>
      <c r="Q875">
        <v>3</v>
      </c>
      <c r="R875" t="s">
        <v>53</v>
      </c>
      <c r="S875">
        <v>44088</v>
      </c>
      <c r="T875" t="s">
        <v>72</v>
      </c>
      <c r="U875">
        <v>275.55</v>
      </c>
      <c r="V875">
        <v>4</v>
      </c>
      <c r="W875" t="s">
        <v>47</v>
      </c>
      <c r="X875">
        <v>14</v>
      </c>
      <c r="Y875">
        <v>3</v>
      </c>
      <c r="Z875">
        <v>4</v>
      </c>
      <c r="AA875">
        <v>0</v>
      </c>
      <c r="AB875">
        <v>10</v>
      </c>
      <c r="AC875">
        <v>4</v>
      </c>
      <c r="AD875">
        <v>4</v>
      </c>
      <c r="AE875">
        <v>1</v>
      </c>
      <c r="AF875">
        <v>0</v>
      </c>
      <c r="AG875">
        <v>0</v>
      </c>
      <c r="AH875">
        <v>0</v>
      </c>
      <c r="AI875">
        <f t="shared" si="91"/>
        <v>0</v>
      </c>
      <c r="AJ875" t="str">
        <f t="shared" si="92"/>
        <v>0-1 yr</v>
      </c>
      <c r="AK875" t="str">
        <f t="shared" si="93"/>
        <v>Recent</v>
      </c>
      <c r="AL875">
        <f t="shared" si="94"/>
        <v>1</v>
      </c>
      <c r="AM875" t="str">
        <f t="shared" si="95"/>
        <v>Low Risk</v>
      </c>
      <c r="AN875" s="6">
        <f t="shared" si="96"/>
        <v>-4.680755062648507E-3</v>
      </c>
      <c r="AO875" s="7">
        <f t="shared" si="97"/>
        <v>529056</v>
      </c>
    </row>
    <row r="876" spans="1:41" x14ac:dyDescent="0.3">
      <c r="A876" t="s">
        <v>944</v>
      </c>
      <c r="B876">
        <v>38</v>
      </c>
      <c r="C876" t="s">
        <v>802</v>
      </c>
      <c r="D876" t="s">
        <v>55</v>
      </c>
      <c r="E876" t="s">
        <v>48</v>
      </c>
      <c r="F876">
        <v>268</v>
      </c>
      <c r="G876" t="s">
        <v>735</v>
      </c>
      <c r="H876">
        <v>2</v>
      </c>
      <c r="I876">
        <v>5</v>
      </c>
      <c r="J876" t="s">
        <v>58</v>
      </c>
      <c r="K876">
        <v>773</v>
      </c>
      <c r="L876">
        <v>4</v>
      </c>
      <c r="M876" t="s">
        <v>51</v>
      </c>
      <c r="N876">
        <v>3</v>
      </c>
      <c r="O876">
        <v>1</v>
      </c>
      <c r="P876" t="s">
        <v>67</v>
      </c>
      <c r="Q876">
        <v>3</v>
      </c>
      <c r="R876" t="s">
        <v>113</v>
      </c>
      <c r="S876">
        <v>40811</v>
      </c>
      <c r="T876" t="s">
        <v>72</v>
      </c>
      <c r="U876">
        <v>255.07</v>
      </c>
      <c r="V876">
        <v>6</v>
      </c>
      <c r="W876" t="s">
        <v>47</v>
      </c>
      <c r="X876">
        <v>13</v>
      </c>
      <c r="Y876">
        <v>3</v>
      </c>
      <c r="Z876">
        <v>2</v>
      </c>
      <c r="AA876">
        <v>1</v>
      </c>
      <c r="AB876">
        <v>6</v>
      </c>
      <c r="AC876">
        <v>0</v>
      </c>
      <c r="AD876">
        <v>1</v>
      </c>
      <c r="AE876">
        <v>1</v>
      </c>
      <c r="AF876">
        <v>0</v>
      </c>
      <c r="AG876">
        <v>0</v>
      </c>
      <c r="AH876">
        <v>1</v>
      </c>
      <c r="AI876">
        <f t="shared" si="91"/>
        <v>0</v>
      </c>
      <c r="AJ876" t="str">
        <f t="shared" si="92"/>
        <v>0-1 yr</v>
      </c>
      <c r="AK876" t="str">
        <f t="shared" si="93"/>
        <v>Recent</v>
      </c>
      <c r="AL876">
        <f t="shared" si="94"/>
        <v>2</v>
      </c>
      <c r="AM876" t="str">
        <f t="shared" si="95"/>
        <v>Medium Risk</v>
      </c>
      <c r="AN876" s="6">
        <f t="shared" si="96"/>
        <v>-0.18158833265985747</v>
      </c>
      <c r="AO876" s="7">
        <f t="shared" si="97"/>
        <v>489732</v>
      </c>
    </row>
    <row r="877" spans="1:41" x14ac:dyDescent="0.3">
      <c r="A877" t="s">
        <v>945</v>
      </c>
      <c r="B877">
        <v>38</v>
      </c>
      <c r="C877" t="s">
        <v>802</v>
      </c>
      <c r="D877" t="s">
        <v>55</v>
      </c>
      <c r="E877" t="s">
        <v>62</v>
      </c>
      <c r="F877">
        <v>240</v>
      </c>
      <c r="G877" t="s">
        <v>735</v>
      </c>
      <c r="H877">
        <v>2</v>
      </c>
      <c r="I877">
        <v>4</v>
      </c>
      <c r="J877" t="s">
        <v>50</v>
      </c>
      <c r="K877">
        <v>803</v>
      </c>
      <c r="L877">
        <v>1</v>
      </c>
      <c r="M877" t="s">
        <v>59</v>
      </c>
      <c r="N877">
        <v>4</v>
      </c>
      <c r="O877">
        <v>2</v>
      </c>
      <c r="P877" t="s">
        <v>120</v>
      </c>
      <c r="Q877">
        <v>1</v>
      </c>
      <c r="R877" t="s">
        <v>53</v>
      </c>
      <c r="S877">
        <v>56479</v>
      </c>
      <c r="T877" t="s">
        <v>64</v>
      </c>
      <c r="U877">
        <v>352.99</v>
      </c>
      <c r="V877">
        <v>6</v>
      </c>
      <c r="W877" t="s">
        <v>47</v>
      </c>
      <c r="X877">
        <v>12</v>
      </c>
      <c r="Y877">
        <v>3</v>
      </c>
      <c r="Z877">
        <v>4</v>
      </c>
      <c r="AA877">
        <v>0</v>
      </c>
      <c r="AB877">
        <v>17</v>
      </c>
      <c r="AC877">
        <v>2</v>
      </c>
      <c r="AD877">
        <v>3</v>
      </c>
      <c r="AE877">
        <v>15</v>
      </c>
      <c r="AF877">
        <v>7</v>
      </c>
      <c r="AG877">
        <v>4</v>
      </c>
      <c r="AH877">
        <v>12</v>
      </c>
      <c r="AI877">
        <f t="shared" si="91"/>
        <v>0</v>
      </c>
      <c r="AJ877" t="str">
        <f t="shared" si="92"/>
        <v>10+ yrs</v>
      </c>
      <c r="AK877" t="str">
        <f t="shared" si="93"/>
        <v>Overdue</v>
      </c>
      <c r="AL877">
        <f t="shared" si="94"/>
        <v>3</v>
      </c>
      <c r="AM877" t="str">
        <f t="shared" si="95"/>
        <v>High Risk</v>
      </c>
      <c r="AN877" s="6">
        <f t="shared" si="96"/>
        <v>0.27505524484704852</v>
      </c>
      <c r="AO877" s="7">
        <f t="shared" si="97"/>
        <v>677748</v>
      </c>
    </row>
    <row r="878" spans="1:41" x14ac:dyDescent="0.3">
      <c r="A878" t="s">
        <v>946</v>
      </c>
      <c r="B878">
        <v>38</v>
      </c>
      <c r="C878" t="s">
        <v>802</v>
      </c>
      <c r="D878" t="s">
        <v>55</v>
      </c>
      <c r="E878" t="s">
        <v>62</v>
      </c>
      <c r="F878">
        <v>471</v>
      </c>
      <c r="G878" t="s">
        <v>735</v>
      </c>
      <c r="H878">
        <v>12</v>
      </c>
      <c r="I878">
        <v>3</v>
      </c>
      <c r="J878" t="s">
        <v>50</v>
      </c>
      <c r="K878">
        <v>837</v>
      </c>
      <c r="L878">
        <v>1</v>
      </c>
      <c r="M878" t="s">
        <v>51</v>
      </c>
      <c r="N878">
        <v>2</v>
      </c>
      <c r="O878">
        <v>2</v>
      </c>
      <c r="P878" t="s">
        <v>168</v>
      </c>
      <c r="Q878">
        <v>1</v>
      </c>
      <c r="R878" t="s">
        <v>53</v>
      </c>
      <c r="S878">
        <v>86392</v>
      </c>
      <c r="T878" t="s">
        <v>70</v>
      </c>
      <c r="U878">
        <v>539.95000000000005</v>
      </c>
      <c r="V878">
        <v>2</v>
      </c>
      <c r="W878" t="s">
        <v>55</v>
      </c>
      <c r="X878">
        <v>15</v>
      </c>
      <c r="Y878">
        <v>3</v>
      </c>
      <c r="Z878">
        <v>3</v>
      </c>
      <c r="AA878">
        <v>1</v>
      </c>
      <c r="AB878">
        <v>13</v>
      </c>
      <c r="AC878">
        <v>3</v>
      </c>
      <c r="AD878">
        <v>2</v>
      </c>
      <c r="AE878">
        <v>4</v>
      </c>
      <c r="AF878">
        <v>3</v>
      </c>
      <c r="AG878">
        <v>1</v>
      </c>
      <c r="AH878">
        <v>2</v>
      </c>
      <c r="AI878">
        <f t="shared" si="91"/>
        <v>0</v>
      </c>
      <c r="AJ878" t="str">
        <f t="shared" si="92"/>
        <v>4-5 yrs</v>
      </c>
      <c r="AK878" t="str">
        <f t="shared" si="93"/>
        <v>Recent</v>
      </c>
      <c r="AL878">
        <f t="shared" si="94"/>
        <v>2</v>
      </c>
      <c r="AM878" t="str">
        <f t="shared" si="95"/>
        <v>Medium Risk</v>
      </c>
      <c r="AN878" s="6">
        <f t="shared" si="96"/>
        <v>0.79276896989244772</v>
      </c>
      <c r="AO878" s="7">
        <f t="shared" si="97"/>
        <v>1036704</v>
      </c>
    </row>
    <row r="879" spans="1:41" x14ac:dyDescent="0.3">
      <c r="A879" t="s">
        <v>947</v>
      </c>
      <c r="B879">
        <v>38</v>
      </c>
      <c r="C879" t="s">
        <v>802</v>
      </c>
      <c r="D879" t="s">
        <v>55</v>
      </c>
      <c r="E879" t="s">
        <v>48</v>
      </c>
      <c r="F879">
        <v>395</v>
      </c>
      <c r="G879" t="s">
        <v>932</v>
      </c>
      <c r="H879">
        <v>9</v>
      </c>
      <c r="I879">
        <v>3</v>
      </c>
      <c r="J879" t="s">
        <v>63</v>
      </c>
      <c r="K879">
        <v>893</v>
      </c>
      <c r="L879">
        <v>2</v>
      </c>
      <c r="M879" t="s">
        <v>51</v>
      </c>
      <c r="N879">
        <v>2</v>
      </c>
      <c r="O879">
        <v>1</v>
      </c>
      <c r="P879" t="s">
        <v>60</v>
      </c>
      <c r="Q879">
        <v>2</v>
      </c>
      <c r="R879" t="s">
        <v>113</v>
      </c>
      <c r="S879">
        <v>88369</v>
      </c>
      <c r="T879" t="s">
        <v>70</v>
      </c>
      <c r="U879">
        <v>552.30999999999995</v>
      </c>
      <c r="V879">
        <v>0</v>
      </c>
      <c r="W879" t="s">
        <v>55</v>
      </c>
      <c r="X879">
        <v>19</v>
      </c>
      <c r="Y879">
        <v>3</v>
      </c>
      <c r="Z879">
        <v>4</v>
      </c>
      <c r="AA879">
        <v>1</v>
      </c>
      <c r="AB879">
        <v>3</v>
      </c>
      <c r="AC879">
        <v>3</v>
      </c>
      <c r="AD879">
        <v>3</v>
      </c>
      <c r="AE879">
        <v>2</v>
      </c>
      <c r="AF879">
        <v>2</v>
      </c>
      <c r="AG879">
        <v>1</v>
      </c>
      <c r="AH879">
        <v>2</v>
      </c>
      <c r="AI879">
        <f t="shared" si="91"/>
        <v>0</v>
      </c>
      <c r="AJ879" t="str">
        <f t="shared" si="92"/>
        <v>2-3 yrs</v>
      </c>
      <c r="AK879" t="str">
        <f t="shared" si="93"/>
        <v>Recent</v>
      </c>
      <c r="AL879">
        <f t="shared" si="94"/>
        <v>1</v>
      </c>
      <c r="AM879" t="str">
        <f t="shared" si="95"/>
        <v>Low Risk</v>
      </c>
      <c r="AN879" s="6">
        <f t="shared" si="96"/>
        <v>0.79150085279154991</v>
      </c>
      <c r="AO879" s="7">
        <f t="shared" si="97"/>
        <v>1060428</v>
      </c>
    </row>
    <row r="880" spans="1:41" x14ac:dyDescent="0.3">
      <c r="A880" t="s">
        <v>948</v>
      </c>
      <c r="B880">
        <v>38</v>
      </c>
      <c r="C880" t="s">
        <v>802</v>
      </c>
      <c r="D880" t="s">
        <v>55</v>
      </c>
      <c r="E880" t="s">
        <v>48</v>
      </c>
      <c r="F880">
        <v>1333</v>
      </c>
      <c r="G880" t="s">
        <v>735</v>
      </c>
      <c r="H880">
        <v>1</v>
      </c>
      <c r="I880">
        <v>3</v>
      </c>
      <c r="J880" t="s">
        <v>77</v>
      </c>
      <c r="K880">
        <v>950</v>
      </c>
      <c r="L880">
        <v>4</v>
      </c>
      <c r="M880" t="s">
        <v>59</v>
      </c>
      <c r="N880">
        <v>3</v>
      </c>
      <c r="O880">
        <v>3</v>
      </c>
      <c r="P880" t="s">
        <v>257</v>
      </c>
      <c r="Q880">
        <v>1</v>
      </c>
      <c r="R880" t="s">
        <v>113</v>
      </c>
      <c r="S880">
        <v>20963</v>
      </c>
      <c r="T880" t="s">
        <v>54</v>
      </c>
      <c r="U880">
        <v>131.02000000000001</v>
      </c>
      <c r="V880">
        <v>1</v>
      </c>
      <c r="W880" t="s">
        <v>55</v>
      </c>
      <c r="X880">
        <v>13</v>
      </c>
      <c r="Y880">
        <v>3</v>
      </c>
      <c r="Z880">
        <v>2</v>
      </c>
      <c r="AA880">
        <v>1</v>
      </c>
      <c r="AB880">
        <v>15</v>
      </c>
      <c r="AC880">
        <v>3</v>
      </c>
      <c r="AD880">
        <v>3</v>
      </c>
      <c r="AE880">
        <v>15</v>
      </c>
      <c r="AF880">
        <v>12</v>
      </c>
      <c r="AG880">
        <v>5</v>
      </c>
      <c r="AH880">
        <v>11</v>
      </c>
      <c r="AI880">
        <f t="shared" si="91"/>
        <v>0</v>
      </c>
      <c r="AJ880" t="str">
        <f t="shared" si="92"/>
        <v>10+ yrs</v>
      </c>
      <c r="AK880" t="str">
        <f t="shared" si="93"/>
        <v>Overdue</v>
      </c>
      <c r="AL880">
        <f t="shared" si="94"/>
        <v>2</v>
      </c>
      <c r="AM880" t="str">
        <f t="shared" si="95"/>
        <v>Medium Risk</v>
      </c>
      <c r="AN880" s="6">
        <f t="shared" si="96"/>
        <v>-0.58622724735914666</v>
      </c>
      <c r="AO880" s="7">
        <f t="shared" si="97"/>
        <v>251556</v>
      </c>
    </row>
    <row r="881" spans="1:41" x14ac:dyDescent="0.3">
      <c r="A881" t="s">
        <v>949</v>
      </c>
      <c r="B881">
        <v>38</v>
      </c>
      <c r="C881" t="s">
        <v>802</v>
      </c>
      <c r="D881" t="s">
        <v>55</v>
      </c>
      <c r="E881" t="s">
        <v>66</v>
      </c>
      <c r="F881">
        <v>152</v>
      </c>
      <c r="G881" t="s">
        <v>932</v>
      </c>
      <c r="H881">
        <v>10</v>
      </c>
      <c r="I881">
        <v>3</v>
      </c>
      <c r="J881" t="s">
        <v>77</v>
      </c>
      <c r="K881">
        <v>983</v>
      </c>
      <c r="L881">
        <v>3</v>
      </c>
      <c r="M881" t="s">
        <v>59</v>
      </c>
      <c r="N881">
        <v>3</v>
      </c>
      <c r="O881">
        <v>2</v>
      </c>
      <c r="P881" t="s">
        <v>145</v>
      </c>
      <c r="Q881">
        <v>4</v>
      </c>
      <c r="R881" t="s">
        <v>53</v>
      </c>
      <c r="S881">
        <v>56123</v>
      </c>
      <c r="T881" t="s">
        <v>64</v>
      </c>
      <c r="U881">
        <v>350.77</v>
      </c>
      <c r="V881">
        <v>1</v>
      </c>
      <c r="W881" t="s">
        <v>47</v>
      </c>
      <c r="X881">
        <v>13</v>
      </c>
      <c r="Y881">
        <v>3</v>
      </c>
      <c r="Z881">
        <v>2</v>
      </c>
      <c r="AA881">
        <v>0</v>
      </c>
      <c r="AB881">
        <v>6</v>
      </c>
      <c r="AC881">
        <v>1</v>
      </c>
      <c r="AD881">
        <v>3</v>
      </c>
      <c r="AE881">
        <v>5</v>
      </c>
      <c r="AF881">
        <v>3</v>
      </c>
      <c r="AG881">
        <v>1</v>
      </c>
      <c r="AH881">
        <v>3</v>
      </c>
      <c r="AI881">
        <f t="shared" si="91"/>
        <v>0</v>
      </c>
      <c r="AJ881" t="str">
        <f t="shared" si="92"/>
        <v>4-5 yrs</v>
      </c>
      <c r="AK881" t="str">
        <f t="shared" si="93"/>
        <v>Recent</v>
      </c>
      <c r="AL881">
        <f t="shared" si="94"/>
        <v>1</v>
      </c>
      <c r="AM881" t="str">
        <f t="shared" si="95"/>
        <v>Low Risk</v>
      </c>
      <c r="AN881" s="6">
        <f t="shared" si="96"/>
        <v>0.14401391765786414</v>
      </c>
      <c r="AO881" s="7">
        <f t="shared" si="97"/>
        <v>673476</v>
      </c>
    </row>
    <row r="882" spans="1:41" x14ac:dyDescent="0.3">
      <c r="A882" t="s">
        <v>950</v>
      </c>
      <c r="B882">
        <v>38</v>
      </c>
      <c r="C882" t="s">
        <v>802</v>
      </c>
      <c r="D882" t="s">
        <v>55</v>
      </c>
      <c r="E882" t="s">
        <v>62</v>
      </c>
      <c r="F882">
        <v>1391</v>
      </c>
      <c r="G882" t="s">
        <v>735</v>
      </c>
      <c r="H882">
        <v>10</v>
      </c>
      <c r="I882">
        <v>1</v>
      </c>
      <c r="J882" t="s">
        <v>58</v>
      </c>
      <c r="K882">
        <v>1006</v>
      </c>
      <c r="L882">
        <v>3</v>
      </c>
      <c r="M882" t="s">
        <v>51</v>
      </c>
      <c r="N882">
        <v>3</v>
      </c>
      <c r="O882">
        <v>1</v>
      </c>
      <c r="P882" t="s">
        <v>67</v>
      </c>
      <c r="Q882">
        <v>3</v>
      </c>
      <c r="R882" t="s">
        <v>113</v>
      </c>
      <c r="S882">
        <v>93705</v>
      </c>
      <c r="T882" t="s">
        <v>70</v>
      </c>
      <c r="U882">
        <v>585.66</v>
      </c>
      <c r="V882">
        <v>0</v>
      </c>
      <c r="W882" t="s">
        <v>55</v>
      </c>
      <c r="X882">
        <v>17</v>
      </c>
      <c r="Y882">
        <v>3</v>
      </c>
      <c r="Z882">
        <v>2</v>
      </c>
      <c r="AA882">
        <v>1</v>
      </c>
      <c r="AB882">
        <v>3</v>
      </c>
      <c r="AC882">
        <v>0</v>
      </c>
      <c r="AD882">
        <v>2</v>
      </c>
      <c r="AE882">
        <v>2</v>
      </c>
      <c r="AF882">
        <v>1</v>
      </c>
      <c r="AG882">
        <v>0</v>
      </c>
      <c r="AH882">
        <v>2</v>
      </c>
      <c r="AI882">
        <f t="shared" si="91"/>
        <v>0</v>
      </c>
      <c r="AJ882" t="str">
        <f t="shared" si="92"/>
        <v>2-3 yrs</v>
      </c>
      <c r="AK882" t="str">
        <f t="shared" si="93"/>
        <v>Recent</v>
      </c>
      <c r="AL882">
        <f t="shared" si="94"/>
        <v>1</v>
      </c>
      <c r="AM882" t="str">
        <f t="shared" si="95"/>
        <v>Low Risk</v>
      </c>
      <c r="AN882" s="6">
        <f t="shared" si="96"/>
        <v>0.87913222631418142</v>
      </c>
      <c r="AO882" s="7">
        <f t="shared" si="97"/>
        <v>1124460</v>
      </c>
    </row>
    <row r="883" spans="1:41" x14ac:dyDescent="0.3">
      <c r="A883" t="s">
        <v>951</v>
      </c>
      <c r="B883">
        <v>38</v>
      </c>
      <c r="C883" t="s">
        <v>802</v>
      </c>
      <c r="D883" t="s">
        <v>55</v>
      </c>
      <c r="E883" t="s">
        <v>48</v>
      </c>
      <c r="F883">
        <v>1035</v>
      </c>
      <c r="G883" t="s">
        <v>932</v>
      </c>
      <c r="H883">
        <v>3</v>
      </c>
      <c r="I883">
        <v>4</v>
      </c>
      <c r="J883" t="s">
        <v>50</v>
      </c>
      <c r="K883">
        <v>1036</v>
      </c>
      <c r="L883">
        <v>2</v>
      </c>
      <c r="M883" t="s">
        <v>51</v>
      </c>
      <c r="N883">
        <v>3</v>
      </c>
      <c r="O883">
        <v>2</v>
      </c>
      <c r="P883" t="s">
        <v>145</v>
      </c>
      <c r="Q883">
        <v>4</v>
      </c>
      <c r="R883" t="s">
        <v>53</v>
      </c>
      <c r="S883">
        <v>74477</v>
      </c>
      <c r="T883" t="s">
        <v>64</v>
      </c>
      <c r="U883">
        <v>465.48</v>
      </c>
      <c r="V883">
        <v>8</v>
      </c>
      <c r="W883" t="s">
        <v>47</v>
      </c>
      <c r="X883">
        <v>12</v>
      </c>
      <c r="Y883">
        <v>3</v>
      </c>
      <c r="Z883">
        <v>3</v>
      </c>
      <c r="AA883">
        <v>0</v>
      </c>
      <c r="AB883">
        <v>19</v>
      </c>
      <c r="AC883">
        <v>1</v>
      </c>
      <c r="AD883">
        <v>3</v>
      </c>
      <c r="AE883">
        <v>1</v>
      </c>
      <c r="AF883">
        <v>0</v>
      </c>
      <c r="AG883">
        <v>0</v>
      </c>
      <c r="AH883">
        <v>0</v>
      </c>
      <c r="AI883">
        <f t="shared" si="91"/>
        <v>0</v>
      </c>
      <c r="AJ883" t="str">
        <f t="shared" si="92"/>
        <v>0-1 yr</v>
      </c>
      <c r="AK883" t="str">
        <f t="shared" si="93"/>
        <v>Recent</v>
      </c>
      <c r="AL883">
        <f t="shared" si="94"/>
        <v>1</v>
      </c>
      <c r="AM883" t="str">
        <f t="shared" si="95"/>
        <v>Low Risk</v>
      </c>
      <c r="AN883" s="6">
        <f t="shared" si="96"/>
        <v>0.51814273195311633</v>
      </c>
      <c r="AO883" s="7">
        <f t="shared" si="97"/>
        <v>893724</v>
      </c>
    </row>
    <row r="884" spans="1:41" x14ac:dyDescent="0.3">
      <c r="A884" t="s">
        <v>952</v>
      </c>
      <c r="B884">
        <v>38</v>
      </c>
      <c r="C884" t="s">
        <v>802</v>
      </c>
      <c r="D884" t="s">
        <v>55</v>
      </c>
      <c r="E884" t="s">
        <v>62</v>
      </c>
      <c r="F884">
        <v>1186</v>
      </c>
      <c r="G884" t="s">
        <v>735</v>
      </c>
      <c r="H884">
        <v>3</v>
      </c>
      <c r="I884">
        <v>4</v>
      </c>
      <c r="J884" t="s">
        <v>82</v>
      </c>
      <c r="K884">
        <v>1060</v>
      </c>
      <c r="L884">
        <v>3</v>
      </c>
      <c r="M884" t="s">
        <v>51</v>
      </c>
      <c r="N884">
        <v>3</v>
      </c>
      <c r="O884">
        <v>1</v>
      </c>
      <c r="P884" t="s">
        <v>67</v>
      </c>
      <c r="Q884">
        <v>3</v>
      </c>
      <c r="R884" t="s">
        <v>113</v>
      </c>
      <c r="S884">
        <v>15388</v>
      </c>
      <c r="T884" t="s">
        <v>54</v>
      </c>
      <c r="U884">
        <v>96.18</v>
      </c>
      <c r="V884">
        <v>3</v>
      </c>
      <c r="W884" t="s">
        <v>55</v>
      </c>
      <c r="X884">
        <v>16</v>
      </c>
      <c r="Y884">
        <v>3</v>
      </c>
      <c r="Z884">
        <v>1</v>
      </c>
      <c r="AA884">
        <v>1</v>
      </c>
      <c r="AB884">
        <v>8</v>
      </c>
      <c r="AC884">
        <v>2</v>
      </c>
      <c r="AD884">
        <v>3</v>
      </c>
      <c r="AE884">
        <v>2</v>
      </c>
      <c r="AF884">
        <v>2</v>
      </c>
      <c r="AG884">
        <v>2</v>
      </c>
      <c r="AH884">
        <v>2</v>
      </c>
      <c r="AI884">
        <f t="shared" si="91"/>
        <v>0</v>
      </c>
      <c r="AJ884" t="str">
        <f t="shared" si="92"/>
        <v>2-3 yrs</v>
      </c>
      <c r="AK884" t="str">
        <f t="shared" si="93"/>
        <v>Recent</v>
      </c>
      <c r="AL884">
        <f t="shared" si="94"/>
        <v>0</v>
      </c>
      <c r="AM884" t="str">
        <f t="shared" si="95"/>
        <v>Minimal Risk</v>
      </c>
      <c r="AN884" s="6">
        <f t="shared" si="96"/>
        <v>-0.69141362042022703</v>
      </c>
      <c r="AO884" s="7">
        <f t="shared" si="97"/>
        <v>184656</v>
      </c>
    </row>
    <row r="885" spans="1:41" x14ac:dyDescent="0.3">
      <c r="A885" t="s">
        <v>953</v>
      </c>
      <c r="B885">
        <v>38</v>
      </c>
      <c r="C885" t="s">
        <v>802</v>
      </c>
      <c r="D885" t="s">
        <v>55</v>
      </c>
      <c r="E885" t="s">
        <v>48</v>
      </c>
      <c r="F885">
        <v>330</v>
      </c>
      <c r="G885" t="s">
        <v>735</v>
      </c>
      <c r="H885">
        <v>17</v>
      </c>
      <c r="I885">
        <v>1</v>
      </c>
      <c r="J885" t="s">
        <v>50</v>
      </c>
      <c r="K885">
        <v>1088</v>
      </c>
      <c r="L885">
        <v>3</v>
      </c>
      <c r="M885" t="s">
        <v>59</v>
      </c>
      <c r="N885">
        <v>2</v>
      </c>
      <c r="O885">
        <v>3</v>
      </c>
      <c r="P885" t="s">
        <v>168</v>
      </c>
      <c r="Q885">
        <v>3</v>
      </c>
      <c r="R885" t="s">
        <v>113</v>
      </c>
      <c r="S885">
        <v>6569</v>
      </c>
      <c r="T885" t="s">
        <v>54</v>
      </c>
      <c r="U885">
        <v>41.06</v>
      </c>
      <c r="V885">
        <v>0</v>
      </c>
      <c r="W885" t="s">
        <v>55</v>
      </c>
      <c r="X885">
        <v>18</v>
      </c>
      <c r="Y885">
        <v>3</v>
      </c>
      <c r="Z885">
        <v>1</v>
      </c>
      <c r="AA885">
        <v>1</v>
      </c>
      <c r="AB885">
        <v>20</v>
      </c>
      <c r="AC885">
        <v>4</v>
      </c>
      <c r="AD885">
        <v>2</v>
      </c>
      <c r="AE885">
        <v>19</v>
      </c>
      <c r="AF885">
        <v>9</v>
      </c>
      <c r="AG885">
        <v>1</v>
      </c>
      <c r="AH885">
        <v>9</v>
      </c>
      <c r="AI885">
        <f t="shared" si="91"/>
        <v>0</v>
      </c>
      <c r="AJ885" t="str">
        <f t="shared" si="92"/>
        <v>10+ yrs</v>
      </c>
      <c r="AK885" t="str">
        <f t="shared" si="93"/>
        <v>Recent</v>
      </c>
      <c r="AL885">
        <f t="shared" si="94"/>
        <v>1</v>
      </c>
      <c r="AM885" t="str">
        <f t="shared" si="95"/>
        <v>Low Risk</v>
      </c>
      <c r="AN885" s="6">
        <f t="shared" si="96"/>
        <v>-0.86368298727632775</v>
      </c>
      <c r="AO885" s="7">
        <f t="shared" si="97"/>
        <v>78828</v>
      </c>
    </row>
    <row r="886" spans="1:41" x14ac:dyDescent="0.3">
      <c r="A886" t="s">
        <v>954</v>
      </c>
      <c r="B886">
        <v>38</v>
      </c>
      <c r="C886" t="s">
        <v>802</v>
      </c>
      <c r="D886" t="s">
        <v>55</v>
      </c>
      <c r="E886" t="s">
        <v>48</v>
      </c>
      <c r="F886">
        <v>770</v>
      </c>
      <c r="G886" t="s">
        <v>932</v>
      </c>
      <c r="H886">
        <v>10</v>
      </c>
      <c r="I886">
        <v>4</v>
      </c>
      <c r="J886" t="s">
        <v>63</v>
      </c>
      <c r="K886">
        <v>1119</v>
      </c>
      <c r="L886">
        <v>3</v>
      </c>
      <c r="M886" t="s">
        <v>51</v>
      </c>
      <c r="N886">
        <v>2</v>
      </c>
      <c r="O886">
        <v>3</v>
      </c>
      <c r="P886" t="s">
        <v>145</v>
      </c>
      <c r="Q886">
        <v>3</v>
      </c>
      <c r="R886" t="s">
        <v>113</v>
      </c>
      <c r="S886">
        <v>70836</v>
      </c>
      <c r="T886" t="s">
        <v>64</v>
      </c>
      <c r="U886">
        <v>442.72</v>
      </c>
      <c r="V886">
        <v>0</v>
      </c>
      <c r="W886" t="s">
        <v>47</v>
      </c>
      <c r="X886">
        <v>14</v>
      </c>
      <c r="Y886">
        <v>3</v>
      </c>
      <c r="Z886">
        <v>2</v>
      </c>
      <c r="AA886">
        <v>2</v>
      </c>
      <c r="AB886">
        <v>9</v>
      </c>
      <c r="AC886">
        <v>2</v>
      </c>
      <c r="AD886">
        <v>3</v>
      </c>
      <c r="AE886">
        <v>8</v>
      </c>
      <c r="AF886">
        <v>7</v>
      </c>
      <c r="AG886">
        <v>2</v>
      </c>
      <c r="AH886">
        <v>7</v>
      </c>
      <c r="AI886">
        <f t="shared" si="91"/>
        <v>0</v>
      </c>
      <c r="AJ886" t="str">
        <f t="shared" si="92"/>
        <v>6-10 yrs</v>
      </c>
      <c r="AK886" t="str">
        <f t="shared" si="93"/>
        <v>Recent</v>
      </c>
      <c r="AL886">
        <f t="shared" si="94"/>
        <v>1</v>
      </c>
      <c r="AM886" t="str">
        <f t="shared" si="95"/>
        <v>Low Risk</v>
      </c>
      <c r="AN886" s="6">
        <f t="shared" si="96"/>
        <v>0.4439244137200874</v>
      </c>
      <c r="AO886" s="7">
        <f t="shared" si="97"/>
        <v>850032</v>
      </c>
    </row>
    <row r="887" spans="1:41" x14ac:dyDescent="0.3">
      <c r="A887" t="s">
        <v>955</v>
      </c>
      <c r="B887">
        <v>38</v>
      </c>
      <c r="C887" t="s">
        <v>802</v>
      </c>
      <c r="D887" t="s">
        <v>55</v>
      </c>
      <c r="E887" t="s">
        <v>48</v>
      </c>
      <c r="F887">
        <v>130</v>
      </c>
      <c r="G887" t="s">
        <v>932</v>
      </c>
      <c r="H887">
        <v>2</v>
      </c>
      <c r="I887">
        <v>2</v>
      </c>
      <c r="J887" t="s">
        <v>63</v>
      </c>
      <c r="K887">
        <v>1125</v>
      </c>
      <c r="L887">
        <v>4</v>
      </c>
      <c r="M887" t="s">
        <v>51</v>
      </c>
      <c r="N887">
        <v>3</v>
      </c>
      <c r="O887">
        <v>3</v>
      </c>
      <c r="P887" t="s">
        <v>145</v>
      </c>
      <c r="Q887">
        <v>2</v>
      </c>
      <c r="R887" t="s">
        <v>53</v>
      </c>
      <c r="S887">
        <v>37586</v>
      </c>
      <c r="T887" t="s">
        <v>72</v>
      </c>
      <c r="U887">
        <v>234.91</v>
      </c>
      <c r="V887">
        <v>7</v>
      </c>
      <c r="W887" t="s">
        <v>55</v>
      </c>
      <c r="X887">
        <v>16</v>
      </c>
      <c r="Y887">
        <v>3</v>
      </c>
      <c r="Z887">
        <v>3</v>
      </c>
      <c r="AA887">
        <v>0</v>
      </c>
      <c r="AB887">
        <v>10</v>
      </c>
      <c r="AC887">
        <v>2</v>
      </c>
      <c r="AD887">
        <v>3</v>
      </c>
      <c r="AE887">
        <v>1</v>
      </c>
      <c r="AF887">
        <v>0</v>
      </c>
      <c r="AG887">
        <v>0</v>
      </c>
      <c r="AH887">
        <v>0</v>
      </c>
      <c r="AI887">
        <f t="shared" si="91"/>
        <v>0</v>
      </c>
      <c r="AJ887" t="str">
        <f t="shared" si="92"/>
        <v>0-1 yr</v>
      </c>
      <c r="AK887" t="str">
        <f t="shared" si="93"/>
        <v>Recent</v>
      </c>
      <c r="AL887">
        <f t="shared" si="94"/>
        <v>1</v>
      </c>
      <c r="AM887" t="str">
        <f t="shared" si="95"/>
        <v>Low Risk</v>
      </c>
      <c r="AN887" s="6">
        <f t="shared" si="96"/>
        <v>-0.23384517739449989</v>
      </c>
      <c r="AO887" s="7">
        <f t="shared" si="97"/>
        <v>451032</v>
      </c>
    </row>
    <row r="888" spans="1:41" x14ac:dyDescent="0.3">
      <c r="A888" t="s">
        <v>956</v>
      </c>
      <c r="B888">
        <v>38</v>
      </c>
      <c r="C888" t="s">
        <v>802</v>
      </c>
      <c r="D888" t="s">
        <v>55</v>
      </c>
      <c r="E888" t="s">
        <v>48</v>
      </c>
      <c r="F888">
        <v>433</v>
      </c>
      <c r="G888" t="s">
        <v>406</v>
      </c>
      <c r="H888">
        <v>1</v>
      </c>
      <c r="I888">
        <v>3</v>
      </c>
      <c r="J888" t="s">
        <v>80</v>
      </c>
      <c r="K888">
        <v>1152</v>
      </c>
      <c r="L888">
        <v>3</v>
      </c>
      <c r="M888" t="s">
        <v>51</v>
      </c>
      <c r="N888">
        <v>4</v>
      </c>
      <c r="O888">
        <v>1</v>
      </c>
      <c r="P888" t="s">
        <v>80</v>
      </c>
      <c r="Q888">
        <v>3</v>
      </c>
      <c r="R888" t="s">
        <v>113</v>
      </c>
      <c r="S888">
        <v>13015</v>
      </c>
      <c r="T888" t="s">
        <v>54</v>
      </c>
      <c r="U888">
        <v>81.34</v>
      </c>
      <c r="V888">
        <v>1</v>
      </c>
      <c r="W888" t="s">
        <v>55</v>
      </c>
      <c r="X888">
        <v>13</v>
      </c>
      <c r="Y888">
        <v>3</v>
      </c>
      <c r="Z888">
        <v>4</v>
      </c>
      <c r="AA888">
        <v>1</v>
      </c>
      <c r="AB888">
        <v>7</v>
      </c>
      <c r="AC888">
        <v>2</v>
      </c>
      <c r="AD888">
        <v>4</v>
      </c>
      <c r="AE888">
        <v>7</v>
      </c>
      <c r="AF888">
        <v>6</v>
      </c>
      <c r="AG888">
        <v>5</v>
      </c>
      <c r="AH888">
        <v>0</v>
      </c>
      <c r="AI888">
        <f t="shared" si="91"/>
        <v>0</v>
      </c>
      <c r="AJ888" t="str">
        <f t="shared" si="92"/>
        <v>6-10 yrs</v>
      </c>
      <c r="AK888" t="str">
        <f t="shared" si="93"/>
        <v>Overdue</v>
      </c>
      <c r="AL888">
        <f t="shared" si="94"/>
        <v>1</v>
      </c>
      <c r="AM888" t="str">
        <f t="shared" si="95"/>
        <v>Low Risk</v>
      </c>
      <c r="AN888" s="6">
        <f t="shared" si="96"/>
        <v>-0.74351666925633553</v>
      </c>
      <c r="AO888" s="7">
        <f t="shared" si="97"/>
        <v>156180</v>
      </c>
    </row>
    <row r="889" spans="1:41" x14ac:dyDescent="0.3">
      <c r="A889" t="s">
        <v>957</v>
      </c>
      <c r="B889">
        <v>38</v>
      </c>
      <c r="C889" t="s">
        <v>802</v>
      </c>
      <c r="D889" t="s">
        <v>55</v>
      </c>
      <c r="E889" t="s">
        <v>48</v>
      </c>
      <c r="F889">
        <v>1009</v>
      </c>
      <c r="G889" t="s">
        <v>932</v>
      </c>
      <c r="H889">
        <v>2</v>
      </c>
      <c r="I889">
        <v>2</v>
      </c>
      <c r="J889" t="s">
        <v>50</v>
      </c>
      <c r="K889">
        <v>1355</v>
      </c>
      <c r="L889">
        <v>2</v>
      </c>
      <c r="M889" t="s">
        <v>59</v>
      </c>
      <c r="N889">
        <v>3</v>
      </c>
      <c r="O889">
        <v>2</v>
      </c>
      <c r="P889" t="s">
        <v>145</v>
      </c>
      <c r="Q889">
        <v>1</v>
      </c>
      <c r="R889" t="s">
        <v>113</v>
      </c>
      <c r="S889">
        <v>46002</v>
      </c>
      <c r="T889" t="s">
        <v>72</v>
      </c>
      <c r="U889">
        <v>287.51</v>
      </c>
      <c r="V889">
        <v>3</v>
      </c>
      <c r="W889" t="s">
        <v>55</v>
      </c>
      <c r="X889">
        <v>15</v>
      </c>
      <c r="Y889">
        <v>3</v>
      </c>
      <c r="Z889">
        <v>4</v>
      </c>
      <c r="AA889">
        <v>1</v>
      </c>
      <c r="AB889">
        <v>11</v>
      </c>
      <c r="AC889">
        <v>3</v>
      </c>
      <c r="AD889">
        <v>3</v>
      </c>
      <c r="AE889">
        <v>7</v>
      </c>
      <c r="AF889">
        <v>7</v>
      </c>
      <c r="AG889">
        <v>1</v>
      </c>
      <c r="AH889">
        <v>7</v>
      </c>
      <c r="AI889">
        <f t="shared" si="91"/>
        <v>0</v>
      </c>
      <c r="AJ889" t="str">
        <f t="shared" si="92"/>
        <v>6-10 yrs</v>
      </c>
      <c r="AK889" t="str">
        <f t="shared" si="93"/>
        <v>Recent</v>
      </c>
      <c r="AL889">
        <f t="shared" si="94"/>
        <v>1</v>
      </c>
      <c r="AM889" t="str">
        <f t="shared" si="95"/>
        <v>Low Risk</v>
      </c>
      <c r="AN889" s="6">
        <f t="shared" si="96"/>
        <v>-6.22930306630603E-2</v>
      </c>
      <c r="AO889" s="7">
        <f t="shared" si="97"/>
        <v>552024</v>
      </c>
    </row>
    <row r="890" spans="1:41" x14ac:dyDescent="0.3">
      <c r="A890" t="s">
        <v>958</v>
      </c>
      <c r="B890">
        <v>38</v>
      </c>
      <c r="C890" t="s">
        <v>802</v>
      </c>
      <c r="D890" t="s">
        <v>55</v>
      </c>
      <c r="E890" t="s">
        <v>62</v>
      </c>
      <c r="F890">
        <v>693</v>
      </c>
      <c r="G890" t="s">
        <v>735</v>
      </c>
      <c r="H890">
        <v>7</v>
      </c>
      <c r="I890">
        <v>3</v>
      </c>
      <c r="J890" t="s">
        <v>50</v>
      </c>
      <c r="K890">
        <v>1382</v>
      </c>
      <c r="L890">
        <v>4</v>
      </c>
      <c r="M890" t="s">
        <v>51</v>
      </c>
      <c r="N890">
        <v>4</v>
      </c>
      <c r="O890">
        <v>1</v>
      </c>
      <c r="P890" t="s">
        <v>67</v>
      </c>
      <c r="Q890">
        <v>3</v>
      </c>
      <c r="R890" t="s">
        <v>53</v>
      </c>
      <c r="S890">
        <v>7254</v>
      </c>
      <c r="T890" t="s">
        <v>54</v>
      </c>
      <c r="U890">
        <v>45.34</v>
      </c>
      <c r="V890">
        <v>1</v>
      </c>
      <c r="W890" t="s">
        <v>55</v>
      </c>
      <c r="X890">
        <v>11</v>
      </c>
      <c r="Y890">
        <v>3</v>
      </c>
      <c r="Z890">
        <v>4</v>
      </c>
      <c r="AA890">
        <v>3</v>
      </c>
      <c r="AB890">
        <v>4</v>
      </c>
      <c r="AC890">
        <v>2</v>
      </c>
      <c r="AD890">
        <v>3</v>
      </c>
      <c r="AE890">
        <v>4</v>
      </c>
      <c r="AF890">
        <v>2</v>
      </c>
      <c r="AG890">
        <v>0</v>
      </c>
      <c r="AH890">
        <v>3</v>
      </c>
      <c r="AI890">
        <f t="shared" si="91"/>
        <v>0</v>
      </c>
      <c r="AJ890" t="str">
        <f t="shared" si="92"/>
        <v>4-5 yrs</v>
      </c>
      <c r="AK890" t="str">
        <f t="shared" si="93"/>
        <v>Recent</v>
      </c>
      <c r="AL890">
        <f t="shared" si="94"/>
        <v>0</v>
      </c>
      <c r="AM890" t="str">
        <f t="shared" si="95"/>
        <v>Minimal Risk</v>
      </c>
      <c r="AN890" s="6">
        <f t="shared" si="96"/>
        <v>-0.85453043946765839</v>
      </c>
      <c r="AO890" s="7">
        <f t="shared" si="97"/>
        <v>87048</v>
      </c>
    </row>
    <row r="891" spans="1:41" x14ac:dyDescent="0.3">
      <c r="A891" t="s">
        <v>959</v>
      </c>
      <c r="B891">
        <v>38</v>
      </c>
      <c r="C891" t="s">
        <v>802</v>
      </c>
      <c r="D891" t="s">
        <v>55</v>
      </c>
      <c r="E891" t="s">
        <v>62</v>
      </c>
      <c r="F891">
        <v>888</v>
      </c>
      <c r="G891" t="s">
        <v>80</v>
      </c>
      <c r="H891">
        <v>10</v>
      </c>
      <c r="I891">
        <v>4</v>
      </c>
      <c r="J891" t="s">
        <v>80</v>
      </c>
      <c r="K891">
        <v>1563</v>
      </c>
      <c r="L891">
        <v>3</v>
      </c>
      <c r="M891" t="s">
        <v>51</v>
      </c>
      <c r="N891">
        <v>3</v>
      </c>
      <c r="O891">
        <v>2</v>
      </c>
      <c r="P891" t="s">
        <v>80</v>
      </c>
      <c r="Q891">
        <v>3</v>
      </c>
      <c r="R891" t="s">
        <v>113</v>
      </c>
      <c r="S891">
        <v>18144</v>
      </c>
      <c r="T891" t="s">
        <v>54</v>
      </c>
      <c r="U891">
        <v>113.4</v>
      </c>
      <c r="V891">
        <v>3</v>
      </c>
      <c r="W891" t="s">
        <v>55</v>
      </c>
      <c r="X891">
        <v>11</v>
      </c>
      <c r="Y891">
        <v>3</v>
      </c>
      <c r="Z891">
        <v>3</v>
      </c>
      <c r="AA891">
        <v>0</v>
      </c>
      <c r="AB891">
        <v>10</v>
      </c>
      <c r="AC891">
        <v>2</v>
      </c>
      <c r="AD891">
        <v>3</v>
      </c>
      <c r="AE891">
        <v>6</v>
      </c>
      <c r="AF891">
        <v>3</v>
      </c>
      <c r="AG891">
        <v>1</v>
      </c>
      <c r="AH891">
        <v>2</v>
      </c>
      <c r="AI891">
        <f t="shared" si="91"/>
        <v>0</v>
      </c>
      <c r="AJ891" t="str">
        <f t="shared" si="92"/>
        <v>6-10 yrs</v>
      </c>
      <c r="AK891" t="str">
        <f t="shared" si="93"/>
        <v>Recent</v>
      </c>
      <c r="AL891">
        <f t="shared" si="94"/>
        <v>0</v>
      </c>
      <c r="AM891" t="str">
        <f t="shared" si="95"/>
        <v>Minimal Risk</v>
      </c>
      <c r="AN891" s="6">
        <f t="shared" si="96"/>
        <v>-0.64244075658754907</v>
      </c>
      <c r="AO891" s="7">
        <f t="shared" si="97"/>
        <v>217728</v>
      </c>
    </row>
    <row r="892" spans="1:41" x14ac:dyDescent="0.3">
      <c r="A892" t="s">
        <v>960</v>
      </c>
      <c r="B892">
        <v>38</v>
      </c>
      <c r="C892" t="s">
        <v>802</v>
      </c>
      <c r="D892" t="s">
        <v>47</v>
      </c>
      <c r="E892" t="s">
        <v>48</v>
      </c>
      <c r="F892">
        <v>903</v>
      </c>
      <c r="G892" t="s">
        <v>735</v>
      </c>
      <c r="H892">
        <v>2</v>
      </c>
      <c r="I892">
        <v>3</v>
      </c>
      <c r="J892" t="s">
        <v>58</v>
      </c>
      <c r="K892">
        <v>1573</v>
      </c>
      <c r="L892">
        <v>3</v>
      </c>
      <c r="M892" t="s">
        <v>51</v>
      </c>
      <c r="N892">
        <v>3</v>
      </c>
      <c r="O892">
        <v>2</v>
      </c>
      <c r="P892" t="s">
        <v>120</v>
      </c>
      <c r="Q892">
        <v>2</v>
      </c>
      <c r="R892" t="s">
        <v>113</v>
      </c>
      <c r="S892">
        <v>25214</v>
      </c>
      <c r="T892" t="s">
        <v>72</v>
      </c>
      <c r="U892">
        <v>157.59</v>
      </c>
      <c r="V892">
        <v>4</v>
      </c>
      <c r="W892" t="s">
        <v>55</v>
      </c>
      <c r="X892">
        <v>11</v>
      </c>
      <c r="Y892">
        <v>3</v>
      </c>
      <c r="Z892">
        <v>1</v>
      </c>
      <c r="AA892">
        <v>2</v>
      </c>
      <c r="AB892">
        <v>7</v>
      </c>
      <c r="AC892">
        <v>2</v>
      </c>
      <c r="AD892">
        <v>3</v>
      </c>
      <c r="AE892">
        <v>5</v>
      </c>
      <c r="AF892">
        <v>2</v>
      </c>
      <c r="AG892">
        <v>1</v>
      </c>
      <c r="AH892">
        <v>4</v>
      </c>
      <c r="AI892">
        <f t="shared" si="91"/>
        <v>1</v>
      </c>
      <c r="AJ892" t="str">
        <f t="shared" si="92"/>
        <v>4-5 yrs</v>
      </c>
      <c r="AK892" t="str">
        <f t="shared" si="93"/>
        <v>Recent</v>
      </c>
      <c r="AL892">
        <f t="shared" si="94"/>
        <v>1</v>
      </c>
      <c r="AM892" t="str">
        <f t="shared" si="95"/>
        <v>Low Risk</v>
      </c>
      <c r="AN892" s="6">
        <f t="shared" si="96"/>
        <v>-0.43077528030642398</v>
      </c>
      <c r="AO892" s="7">
        <f t="shared" si="97"/>
        <v>302568</v>
      </c>
    </row>
    <row r="893" spans="1:41" x14ac:dyDescent="0.3">
      <c r="A893" t="s">
        <v>961</v>
      </c>
      <c r="B893">
        <v>38</v>
      </c>
      <c r="C893" t="s">
        <v>802</v>
      </c>
      <c r="D893" t="s">
        <v>55</v>
      </c>
      <c r="E893" t="s">
        <v>48</v>
      </c>
      <c r="F893">
        <v>1245</v>
      </c>
      <c r="G893" t="s">
        <v>932</v>
      </c>
      <c r="H893">
        <v>14</v>
      </c>
      <c r="I893">
        <v>3</v>
      </c>
      <c r="J893" t="s">
        <v>50</v>
      </c>
      <c r="K893">
        <v>1582</v>
      </c>
      <c r="L893">
        <v>3</v>
      </c>
      <c r="M893" t="s">
        <v>51</v>
      </c>
      <c r="N893">
        <v>3</v>
      </c>
      <c r="O893">
        <v>2</v>
      </c>
      <c r="P893" t="s">
        <v>145</v>
      </c>
      <c r="Q893">
        <v>2</v>
      </c>
      <c r="R893" t="s">
        <v>113</v>
      </c>
      <c r="S893">
        <v>81719</v>
      </c>
      <c r="T893" t="s">
        <v>64</v>
      </c>
      <c r="U893">
        <v>510.74</v>
      </c>
      <c r="V893">
        <v>0</v>
      </c>
      <c r="W893" t="s">
        <v>55</v>
      </c>
      <c r="X893">
        <v>11</v>
      </c>
      <c r="Y893">
        <v>3</v>
      </c>
      <c r="Z893">
        <v>4</v>
      </c>
      <c r="AA893">
        <v>1</v>
      </c>
      <c r="AB893">
        <v>10</v>
      </c>
      <c r="AC893">
        <v>3</v>
      </c>
      <c r="AD893">
        <v>3</v>
      </c>
      <c r="AE893">
        <v>9</v>
      </c>
      <c r="AF893">
        <v>8</v>
      </c>
      <c r="AG893">
        <v>7</v>
      </c>
      <c r="AH893">
        <v>7</v>
      </c>
      <c r="AI893">
        <f t="shared" si="91"/>
        <v>0</v>
      </c>
      <c r="AJ893" t="str">
        <f t="shared" si="92"/>
        <v>6-10 yrs</v>
      </c>
      <c r="AK893" t="str">
        <f t="shared" si="93"/>
        <v>Overdue</v>
      </c>
      <c r="AL893">
        <f t="shared" si="94"/>
        <v>2</v>
      </c>
      <c r="AM893" t="str">
        <f t="shared" si="95"/>
        <v>Medium Risk</v>
      </c>
      <c r="AN893" s="6">
        <f t="shared" si="96"/>
        <v>0.66576400650505141</v>
      </c>
      <c r="AO893" s="7">
        <f t="shared" si="97"/>
        <v>980628</v>
      </c>
    </row>
    <row r="894" spans="1:41" x14ac:dyDescent="0.3">
      <c r="A894" t="s">
        <v>962</v>
      </c>
      <c r="B894">
        <v>38</v>
      </c>
      <c r="C894" t="s">
        <v>802</v>
      </c>
      <c r="D894" t="s">
        <v>55</v>
      </c>
      <c r="E894" t="s">
        <v>48</v>
      </c>
      <c r="F894">
        <v>437</v>
      </c>
      <c r="G894" t="s">
        <v>932</v>
      </c>
      <c r="H894">
        <v>16</v>
      </c>
      <c r="I894">
        <v>3</v>
      </c>
      <c r="J894" t="s">
        <v>50</v>
      </c>
      <c r="K894">
        <v>1583</v>
      </c>
      <c r="L894">
        <v>2</v>
      </c>
      <c r="M894" t="s">
        <v>59</v>
      </c>
      <c r="N894">
        <v>3</v>
      </c>
      <c r="O894">
        <v>2</v>
      </c>
      <c r="P894" t="s">
        <v>145</v>
      </c>
      <c r="Q894">
        <v>2</v>
      </c>
      <c r="R894" t="s">
        <v>53</v>
      </c>
      <c r="S894">
        <v>72774</v>
      </c>
      <c r="T894" t="s">
        <v>64</v>
      </c>
      <c r="U894">
        <v>454.84</v>
      </c>
      <c r="V894">
        <v>2</v>
      </c>
      <c r="W894" t="s">
        <v>55</v>
      </c>
      <c r="X894">
        <v>12</v>
      </c>
      <c r="Y894">
        <v>3</v>
      </c>
      <c r="Z894">
        <v>2</v>
      </c>
      <c r="AA894">
        <v>0</v>
      </c>
      <c r="AB894">
        <v>8</v>
      </c>
      <c r="AC894">
        <v>5</v>
      </c>
      <c r="AD894">
        <v>4</v>
      </c>
      <c r="AE894">
        <v>3</v>
      </c>
      <c r="AF894">
        <v>2</v>
      </c>
      <c r="AG894">
        <v>1</v>
      </c>
      <c r="AH894">
        <v>2</v>
      </c>
      <c r="AI894">
        <f t="shared" si="91"/>
        <v>0</v>
      </c>
      <c r="AJ894" t="str">
        <f t="shared" si="92"/>
        <v>2-3 yrs</v>
      </c>
      <c r="AK894" t="str">
        <f t="shared" si="93"/>
        <v>Recent</v>
      </c>
      <c r="AL894">
        <f t="shared" si="94"/>
        <v>1</v>
      </c>
      <c r="AM894" t="str">
        <f t="shared" si="95"/>
        <v>Low Risk</v>
      </c>
      <c r="AN894" s="6">
        <f t="shared" si="96"/>
        <v>0.48342869845933761</v>
      </c>
      <c r="AO894" s="7">
        <f t="shared" si="97"/>
        <v>873288</v>
      </c>
    </row>
    <row r="895" spans="1:41" x14ac:dyDescent="0.3">
      <c r="A895" t="s">
        <v>963</v>
      </c>
      <c r="B895">
        <v>38</v>
      </c>
      <c r="C895" t="s">
        <v>802</v>
      </c>
      <c r="D895" t="s">
        <v>55</v>
      </c>
      <c r="E895" t="s">
        <v>48</v>
      </c>
      <c r="F895">
        <v>397</v>
      </c>
      <c r="G895" t="s">
        <v>735</v>
      </c>
      <c r="H895">
        <v>2</v>
      </c>
      <c r="I895">
        <v>2</v>
      </c>
      <c r="J895" t="s">
        <v>58</v>
      </c>
      <c r="K895">
        <v>1638</v>
      </c>
      <c r="L895">
        <v>4</v>
      </c>
      <c r="M895" t="s">
        <v>59</v>
      </c>
      <c r="N895">
        <v>2</v>
      </c>
      <c r="O895">
        <v>3</v>
      </c>
      <c r="P895" t="s">
        <v>120</v>
      </c>
      <c r="Q895">
        <v>3</v>
      </c>
      <c r="R895" t="s">
        <v>113</v>
      </c>
      <c r="S895">
        <v>7090</v>
      </c>
      <c r="T895" t="s">
        <v>54</v>
      </c>
      <c r="U895">
        <v>44.31</v>
      </c>
      <c r="V895">
        <v>3</v>
      </c>
      <c r="W895" t="s">
        <v>47</v>
      </c>
      <c r="X895">
        <v>19</v>
      </c>
      <c r="Y895">
        <v>3</v>
      </c>
      <c r="Z895">
        <v>4</v>
      </c>
      <c r="AA895">
        <v>1</v>
      </c>
      <c r="AB895">
        <v>10</v>
      </c>
      <c r="AC895">
        <v>6</v>
      </c>
      <c r="AD895">
        <v>4</v>
      </c>
      <c r="AE895">
        <v>5</v>
      </c>
      <c r="AF895">
        <v>4</v>
      </c>
      <c r="AG895">
        <v>0</v>
      </c>
      <c r="AH895">
        <v>2</v>
      </c>
      <c r="AI895">
        <f t="shared" si="91"/>
        <v>0</v>
      </c>
      <c r="AJ895" t="str">
        <f t="shared" si="92"/>
        <v>4-5 yrs</v>
      </c>
      <c r="AK895" t="str">
        <f t="shared" si="93"/>
        <v>Recent</v>
      </c>
      <c r="AL895">
        <f t="shared" si="94"/>
        <v>1</v>
      </c>
      <c r="AM895" t="str">
        <f t="shared" si="95"/>
        <v>Low Risk</v>
      </c>
      <c r="AN895" s="6">
        <f t="shared" si="96"/>
        <v>-0.83993800021307785</v>
      </c>
      <c r="AO895" s="7">
        <f t="shared" si="97"/>
        <v>85080</v>
      </c>
    </row>
    <row r="896" spans="1:41" x14ac:dyDescent="0.3">
      <c r="A896" t="s">
        <v>964</v>
      </c>
      <c r="B896">
        <v>38</v>
      </c>
      <c r="C896" t="s">
        <v>802</v>
      </c>
      <c r="D896" t="s">
        <v>55</v>
      </c>
      <c r="E896" t="s">
        <v>62</v>
      </c>
      <c r="F896">
        <v>1189</v>
      </c>
      <c r="G896" t="s">
        <v>735</v>
      </c>
      <c r="H896">
        <v>1</v>
      </c>
      <c r="I896">
        <v>3</v>
      </c>
      <c r="J896" t="s">
        <v>50</v>
      </c>
      <c r="K896">
        <v>1668</v>
      </c>
      <c r="L896">
        <v>4</v>
      </c>
      <c r="M896" t="s">
        <v>51</v>
      </c>
      <c r="N896">
        <v>3</v>
      </c>
      <c r="O896">
        <v>2</v>
      </c>
      <c r="P896" t="s">
        <v>67</v>
      </c>
      <c r="Q896">
        <v>4</v>
      </c>
      <c r="R896" t="s">
        <v>113</v>
      </c>
      <c r="S896">
        <v>12637</v>
      </c>
      <c r="T896" t="s">
        <v>54</v>
      </c>
      <c r="U896">
        <v>78.98</v>
      </c>
      <c r="V896">
        <v>7</v>
      </c>
      <c r="W896" t="s">
        <v>55</v>
      </c>
      <c r="X896">
        <v>15</v>
      </c>
      <c r="Y896">
        <v>3</v>
      </c>
      <c r="Z896">
        <v>4</v>
      </c>
      <c r="AA896">
        <v>2</v>
      </c>
      <c r="AB896">
        <v>19</v>
      </c>
      <c r="AC896">
        <v>4</v>
      </c>
      <c r="AD896">
        <v>4</v>
      </c>
      <c r="AE896">
        <v>13</v>
      </c>
      <c r="AF896">
        <v>11</v>
      </c>
      <c r="AG896">
        <v>2</v>
      </c>
      <c r="AH896">
        <v>11</v>
      </c>
      <c r="AI896">
        <f t="shared" si="91"/>
        <v>0</v>
      </c>
      <c r="AJ896" t="str">
        <f t="shared" si="92"/>
        <v>10+ yrs</v>
      </c>
      <c r="AK896" t="str">
        <f t="shared" si="93"/>
        <v>Recent</v>
      </c>
      <c r="AL896">
        <f t="shared" si="94"/>
        <v>0</v>
      </c>
      <c r="AM896" t="str">
        <f t="shared" si="95"/>
        <v>Minimal Risk</v>
      </c>
      <c r="AN896" s="6">
        <f t="shared" si="96"/>
        <v>-0.74658135698274042</v>
      </c>
      <c r="AO896" s="7">
        <f t="shared" si="97"/>
        <v>151644</v>
      </c>
    </row>
    <row r="897" spans="1:41" x14ac:dyDescent="0.3">
      <c r="A897" t="s">
        <v>965</v>
      </c>
      <c r="B897">
        <v>38</v>
      </c>
      <c r="C897" t="s">
        <v>802</v>
      </c>
      <c r="D897" t="s">
        <v>55</v>
      </c>
      <c r="E897" t="s">
        <v>62</v>
      </c>
      <c r="F897">
        <v>148</v>
      </c>
      <c r="G897" t="s">
        <v>735</v>
      </c>
      <c r="H897">
        <v>2</v>
      </c>
      <c r="I897">
        <v>3</v>
      </c>
      <c r="J897" t="s">
        <v>58</v>
      </c>
      <c r="K897">
        <v>1675</v>
      </c>
      <c r="L897">
        <v>4</v>
      </c>
      <c r="M897" t="s">
        <v>59</v>
      </c>
      <c r="N897">
        <v>2</v>
      </c>
      <c r="O897">
        <v>1</v>
      </c>
      <c r="P897" t="s">
        <v>52</v>
      </c>
      <c r="Q897">
        <v>2</v>
      </c>
      <c r="R897" t="s">
        <v>53</v>
      </c>
      <c r="S897">
        <v>23415</v>
      </c>
      <c r="T897" t="s">
        <v>54</v>
      </c>
      <c r="U897">
        <v>146.34</v>
      </c>
      <c r="V897">
        <v>1</v>
      </c>
      <c r="W897" t="s">
        <v>55</v>
      </c>
      <c r="X897">
        <v>22</v>
      </c>
      <c r="Y897">
        <v>4</v>
      </c>
      <c r="Z897">
        <v>2</v>
      </c>
      <c r="AA897">
        <v>0</v>
      </c>
      <c r="AB897">
        <v>4</v>
      </c>
      <c r="AC897">
        <v>3</v>
      </c>
      <c r="AD897">
        <v>3</v>
      </c>
      <c r="AE897">
        <v>4</v>
      </c>
      <c r="AF897">
        <v>3</v>
      </c>
      <c r="AG897">
        <v>3</v>
      </c>
      <c r="AH897">
        <v>3</v>
      </c>
      <c r="AI897">
        <f t="shared" si="91"/>
        <v>0</v>
      </c>
      <c r="AJ897" t="str">
        <f t="shared" si="92"/>
        <v>4-5 yrs</v>
      </c>
      <c r="AK897" t="str">
        <f t="shared" si="93"/>
        <v>Overdue</v>
      </c>
      <c r="AL897">
        <f t="shared" si="94"/>
        <v>2</v>
      </c>
      <c r="AM897" t="str">
        <f t="shared" si="95"/>
        <v>Medium Risk</v>
      </c>
      <c r="AN897" s="6">
        <f t="shared" si="96"/>
        <v>-0.54727902036745546</v>
      </c>
      <c r="AO897" s="7">
        <f t="shared" si="97"/>
        <v>280980</v>
      </c>
    </row>
    <row r="898" spans="1:41" x14ac:dyDescent="0.3">
      <c r="A898" t="s">
        <v>966</v>
      </c>
      <c r="B898">
        <v>38</v>
      </c>
      <c r="C898" t="s">
        <v>802</v>
      </c>
      <c r="D898" t="s">
        <v>55</v>
      </c>
      <c r="E898" t="s">
        <v>48</v>
      </c>
      <c r="F898">
        <v>1495</v>
      </c>
      <c r="G898" t="s">
        <v>735</v>
      </c>
      <c r="H898">
        <v>4</v>
      </c>
      <c r="I898">
        <v>2</v>
      </c>
      <c r="J898" t="s">
        <v>58</v>
      </c>
      <c r="K898">
        <v>1687</v>
      </c>
      <c r="L898">
        <v>4</v>
      </c>
      <c r="M898" t="s">
        <v>59</v>
      </c>
      <c r="N898">
        <v>3</v>
      </c>
      <c r="O898">
        <v>1</v>
      </c>
      <c r="P898" t="s">
        <v>52</v>
      </c>
      <c r="Q898">
        <v>3</v>
      </c>
      <c r="R898" t="s">
        <v>113</v>
      </c>
      <c r="S898">
        <v>25071</v>
      </c>
      <c r="T898" t="s">
        <v>72</v>
      </c>
      <c r="U898">
        <v>156.69</v>
      </c>
      <c r="V898">
        <v>7</v>
      </c>
      <c r="W898" t="s">
        <v>55</v>
      </c>
      <c r="X898">
        <v>19</v>
      </c>
      <c r="Y898">
        <v>3</v>
      </c>
      <c r="Z898">
        <v>4</v>
      </c>
      <c r="AA898">
        <v>1</v>
      </c>
      <c r="AB898">
        <v>7</v>
      </c>
      <c r="AC898">
        <v>5</v>
      </c>
      <c r="AD898">
        <v>2</v>
      </c>
      <c r="AE898">
        <v>0</v>
      </c>
      <c r="AF898">
        <v>0</v>
      </c>
      <c r="AG898">
        <v>0</v>
      </c>
      <c r="AH898">
        <v>0</v>
      </c>
      <c r="AI898">
        <f t="shared" ref="AI898:AI961" si="98">IF(D898="Yes",1,0)</f>
        <v>0</v>
      </c>
      <c r="AJ898" t="str">
        <f t="shared" ref="AJ898:AJ961" si="99">IF(AE898&lt;=1,"0-1 yr",IF(AE898&lt;=3,"2-3 yrs",IF(AE898&lt;=5,"4-5 yrs",IF(AE898&lt;=10,"6-10 yrs","10+ yrs"))))</f>
        <v>0-1 yr</v>
      </c>
      <c r="AK898" t="str">
        <f t="shared" ref="AK898:AK961" si="100">IF(AG898&gt;=3,"Overdue","Recent")</f>
        <v>Recent</v>
      </c>
      <c r="AL898">
        <f t="shared" ref="AL898:AL961" si="101">IF(W898="Yes",1,0)+IF(AD898&lt;=2,1,0)+IF(Q898&lt;=2,1,0)+IF(AG898&gt;=3,1,0)</f>
        <v>1</v>
      </c>
      <c r="AM898" t="str">
        <f t="shared" ref="AM898:AM961" si="102">IF(AL898&gt;=3,"High Risk",IF(AL898=2,"Medium Risk",IF(AL898=1,"Low Risk","Minimal Risk")))</f>
        <v>Low Risk</v>
      </c>
      <c r="AN898" s="6">
        <f t="shared" ref="AN898:AN961" si="103">IFERROR((S898-AVERAGEIF(P$2:P$1479,P898,S$2:S$1479))/AVERAGEIF(P$2:P$1479,P898,S$2:S$1479),0)</f>
        <v>-0.51526082936717821</v>
      </c>
      <c r="AO898" s="7">
        <f t="shared" ref="AO898:AO961" si="104">S898*12</f>
        <v>300852</v>
      </c>
    </row>
    <row r="899" spans="1:41" x14ac:dyDescent="0.3">
      <c r="A899" t="s">
        <v>967</v>
      </c>
      <c r="B899">
        <v>38</v>
      </c>
      <c r="C899" t="s">
        <v>802</v>
      </c>
      <c r="D899" t="s">
        <v>55</v>
      </c>
      <c r="E899" t="s">
        <v>62</v>
      </c>
      <c r="F899">
        <v>594</v>
      </c>
      <c r="G899" t="s">
        <v>735</v>
      </c>
      <c r="H899">
        <v>2</v>
      </c>
      <c r="I899">
        <v>2</v>
      </c>
      <c r="J899" t="s">
        <v>58</v>
      </c>
      <c r="K899">
        <v>1760</v>
      </c>
      <c r="L899">
        <v>3</v>
      </c>
      <c r="M899" t="s">
        <v>59</v>
      </c>
      <c r="N899">
        <v>2</v>
      </c>
      <c r="O899">
        <v>1</v>
      </c>
      <c r="P899" t="s">
        <v>52</v>
      </c>
      <c r="Q899">
        <v>2</v>
      </c>
      <c r="R899" t="s">
        <v>113</v>
      </c>
      <c r="S899">
        <v>59243</v>
      </c>
      <c r="T899" t="s">
        <v>64</v>
      </c>
      <c r="U899">
        <v>370.27</v>
      </c>
      <c r="V899">
        <v>4</v>
      </c>
      <c r="W899" t="s">
        <v>55</v>
      </c>
      <c r="X899">
        <v>14</v>
      </c>
      <c r="Y899">
        <v>3</v>
      </c>
      <c r="Z899">
        <v>2</v>
      </c>
      <c r="AA899">
        <v>1</v>
      </c>
      <c r="AB899">
        <v>9</v>
      </c>
      <c r="AC899">
        <v>4</v>
      </c>
      <c r="AD899">
        <v>2</v>
      </c>
      <c r="AE899">
        <v>6</v>
      </c>
      <c r="AF899">
        <v>1</v>
      </c>
      <c r="AG899">
        <v>0</v>
      </c>
      <c r="AH899">
        <v>5</v>
      </c>
      <c r="AI899">
        <f t="shared" si="98"/>
        <v>0</v>
      </c>
      <c r="AJ899" t="str">
        <f t="shared" si="99"/>
        <v>6-10 yrs</v>
      </c>
      <c r="AK899" t="str">
        <f t="shared" si="100"/>
        <v>Recent</v>
      </c>
      <c r="AL899">
        <f t="shared" si="101"/>
        <v>2</v>
      </c>
      <c r="AM899" t="str">
        <f t="shared" si="102"/>
        <v>Medium Risk</v>
      </c>
      <c r="AN899" s="6">
        <f t="shared" si="103"/>
        <v>0.14544304917236103</v>
      </c>
      <c r="AO899" s="7">
        <f t="shared" si="104"/>
        <v>710916</v>
      </c>
    </row>
    <row r="900" spans="1:41" x14ac:dyDescent="0.3">
      <c r="A900" t="s">
        <v>968</v>
      </c>
      <c r="B900">
        <v>38</v>
      </c>
      <c r="C900" t="s">
        <v>802</v>
      </c>
      <c r="D900" t="s">
        <v>55</v>
      </c>
      <c r="E900" t="s">
        <v>48</v>
      </c>
      <c r="F900">
        <v>833</v>
      </c>
      <c r="G900" t="s">
        <v>735</v>
      </c>
      <c r="H900">
        <v>18</v>
      </c>
      <c r="I900">
        <v>3</v>
      </c>
      <c r="J900" t="s">
        <v>58</v>
      </c>
      <c r="K900">
        <v>1766</v>
      </c>
      <c r="L900">
        <v>2</v>
      </c>
      <c r="M900" t="s">
        <v>51</v>
      </c>
      <c r="N900">
        <v>1</v>
      </c>
      <c r="O900">
        <v>2</v>
      </c>
      <c r="P900" t="s">
        <v>168</v>
      </c>
      <c r="Q900">
        <v>4</v>
      </c>
      <c r="R900" t="s">
        <v>113</v>
      </c>
      <c r="S900">
        <v>42240</v>
      </c>
      <c r="T900" t="s">
        <v>72</v>
      </c>
      <c r="U900">
        <v>264</v>
      </c>
      <c r="V900">
        <v>3</v>
      </c>
      <c r="W900" t="s">
        <v>47</v>
      </c>
      <c r="X900">
        <v>16</v>
      </c>
      <c r="Y900">
        <v>3</v>
      </c>
      <c r="Z900">
        <v>3</v>
      </c>
      <c r="AA900">
        <v>1</v>
      </c>
      <c r="AB900">
        <v>15</v>
      </c>
      <c r="AC900">
        <v>2</v>
      </c>
      <c r="AD900">
        <v>3</v>
      </c>
      <c r="AE900">
        <v>1</v>
      </c>
      <c r="AF900">
        <v>0</v>
      </c>
      <c r="AG900">
        <v>1</v>
      </c>
      <c r="AH900">
        <v>0</v>
      </c>
      <c r="AI900">
        <f t="shared" si="98"/>
        <v>0</v>
      </c>
      <c r="AJ900" t="str">
        <f t="shared" si="99"/>
        <v>0-1 yr</v>
      </c>
      <c r="AK900" t="str">
        <f t="shared" si="100"/>
        <v>Recent</v>
      </c>
      <c r="AL900">
        <f t="shared" si="101"/>
        <v>1</v>
      </c>
      <c r="AM900" t="str">
        <f t="shared" si="102"/>
        <v>Low Risk</v>
      </c>
      <c r="AN900" s="6">
        <f t="shared" si="103"/>
        <v>-0.12345400860893381</v>
      </c>
      <c r="AO900" s="7">
        <f t="shared" si="104"/>
        <v>506880</v>
      </c>
    </row>
    <row r="901" spans="1:41" x14ac:dyDescent="0.3">
      <c r="A901" t="s">
        <v>969</v>
      </c>
      <c r="B901">
        <v>38</v>
      </c>
      <c r="C901" t="s">
        <v>802</v>
      </c>
      <c r="D901" t="s">
        <v>55</v>
      </c>
      <c r="E901" t="s">
        <v>48</v>
      </c>
      <c r="F901">
        <v>1153</v>
      </c>
      <c r="G901" t="s">
        <v>735</v>
      </c>
      <c r="H901">
        <v>6</v>
      </c>
      <c r="I901">
        <v>2</v>
      </c>
      <c r="J901" t="s">
        <v>82</v>
      </c>
      <c r="K901">
        <v>1782</v>
      </c>
      <c r="L901">
        <v>4</v>
      </c>
      <c r="M901" t="s">
        <v>59</v>
      </c>
      <c r="N901">
        <v>2</v>
      </c>
      <c r="O901">
        <v>1</v>
      </c>
      <c r="P901" t="s">
        <v>52</v>
      </c>
      <c r="Q901">
        <v>3</v>
      </c>
      <c r="R901" t="s">
        <v>113</v>
      </c>
      <c r="S901">
        <v>84807</v>
      </c>
      <c r="T901" t="s">
        <v>70</v>
      </c>
      <c r="U901">
        <v>530.04</v>
      </c>
      <c r="V901">
        <v>1</v>
      </c>
      <c r="W901" t="s">
        <v>55</v>
      </c>
      <c r="X901">
        <v>11</v>
      </c>
      <c r="Y901">
        <v>3</v>
      </c>
      <c r="Z901">
        <v>2</v>
      </c>
      <c r="AA901">
        <v>1</v>
      </c>
      <c r="AB901">
        <v>5</v>
      </c>
      <c r="AC901">
        <v>3</v>
      </c>
      <c r="AD901">
        <v>3</v>
      </c>
      <c r="AE901">
        <v>5</v>
      </c>
      <c r="AF901">
        <v>4</v>
      </c>
      <c r="AG901">
        <v>0</v>
      </c>
      <c r="AH901">
        <v>4</v>
      </c>
      <c r="AI901">
        <f t="shared" si="98"/>
        <v>0</v>
      </c>
      <c r="AJ901" t="str">
        <f t="shared" si="99"/>
        <v>4-5 yrs</v>
      </c>
      <c r="AK901" t="str">
        <f t="shared" si="100"/>
        <v>Recent</v>
      </c>
      <c r="AL901">
        <f t="shared" si="101"/>
        <v>0</v>
      </c>
      <c r="AM901" t="str">
        <f t="shared" si="102"/>
        <v>Minimal Risk</v>
      </c>
      <c r="AN901" s="6">
        <f t="shared" si="103"/>
        <v>0.63971420541094171</v>
      </c>
      <c r="AO901" s="7">
        <f t="shared" si="104"/>
        <v>1017684</v>
      </c>
    </row>
    <row r="902" spans="1:41" x14ac:dyDescent="0.3">
      <c r="A902" t="s">
        <v>970</v>
      </c>
      <c r="B902">
        <v>38</v>
      </c>
      <c r="C902" t="s">
        <v>802</v>
      </c>
      <c r="D902" t="s">
        <v>55</v>
      </c>
      <c r="E902" t="s">
        <v>66</v>
      </c>
      <c r="F902">
        <v>1336</v>
      </c>
      <c r="G902" t="s">
        <v>80</v>
      </c>
      <c r="H902">
        <v>2</v>
      </c>
      <c r="I902">
        <v>3</v>
      </c>
      <c r="J902" t="s">
        <v>80</v>
      </c>
      <c r="K902">
        <v>1805</v>
      </c>
      <c r="L902">
        <v>1</v>
      </c>
      <c r="M902" t="s">
        <v>51</v>
      </c>
      <c r="N902">
        <v>3</v>
      </c>
      <c r="O902">
        <v>1</v>
      </c>
      <c r="P902" t="s">
        <v>80</v>
      </c>
      <c r="Q902">
        <v>2</v>
      </c>
      <c r="R902" t="s">
        <v>53</v>
      </c>
      <c r="S902">
        <v>34434</v>
      </c>
      <c r="T902" t="s">
        <v>72</v>
      </c>
      <c r="U902">
        <v>215.21</v>
      </c>
      <c r="V902">
        <v>5</v>
      </c>
      <c r="W902" t="s">
        <v>55</v>
      </c>
      <c r="X902">
        <v>13</v>
      </c>
      <c r="Y902">
        <v>3</v>
      </c>
      <c r="Z902">
        <v>4</v>
      </c>
      <c r="AA902">
        <v>3</v>
      </c>
      <c r="AB902">
        <v>13</v>
      </c>
      <c r="AC902">
        <v>3</v>
      </c>
      <c r="AD902">
        <v>3</v>
      </c>
      <c r="AE902">
        <v>11</v>
      </c>
      <c r="AF902">
        <v>10</v>
      </c>
      <c r="AG902">
        <v>3</v>
      </c>
      <c r="AH902">
        <v>8</v>
      </c>
      <c r="AI902">
        <f t="shared" si="98"/>
        <v>0</v>
      </c>
      <c r="AJ902" t="str">
        <f t="shared" si="99"/>
        <v>10+ yrs</v>
      </c>
      <c r="AK902" t="str">
        <f t="shared" si="100"/>
        <v>Overdue</v>
      </c>
      <c r="AL902">
        <f t="shared" si="101"/>
        <v>2</v>
      </c>
      <c r="AM902" t="str">
        <f t="shared" si="102"/>
        <v>Medium Risk</v>
      </c>
      <c r="AN902" s="6">
        <f t="shared" si="103"/>
        <v>-0.32141782475394987</v>
      </c>
      <c r="AO902" s="7">
        <f t="shared" si="104"/>
        <v>413208</v>
      </c>
    </row>
    <row r="903" spans="1:41" x14ac:dyDescent="0.3">
      <c r="A903" t="s">
        <v>971</v>
      </c>
      <c r="B903">
        <v>38</v>
      </c>
      <c r="C903" t="s">
        <v>802</v>
      </c>
      <c r="D903" t="s">
        <v>55</v>
      </c>
      <c r="E903" t="s">
        <v>48</v>
      </c>
      <c r="F903">
        <v>723</v>
      </c>
      <c r="G903" t="s">
        <v>932</v>
      </c>
      <c r="H903">
        <v>2</v>
      </c>
      <c r="I903">
        <v>4</v>
      </c>
      <c r="J903" t="s">
        <v>63</v>
      </c>
      <c r="K903">
        <v>1835</v>
      </c>
      <c r="L903">
        <v>2</v>
      </c>
      <c r="M903" t="s">
        <v>59</v>
      </c>
      <c r="N903">
        <v>1</v>
      </c>
      <c r="O903">
        <v>2</v>
      </c>
      <c r="P903" t="s">
        <v>60</v>
      </c>
      <c r="Q903">
        <v>4</v>
      </c>
      <c r="R903" t="s">
        <v>113</v>
      </c>
      <c r="S903">
        <v>70724</v>
      </c>
      <c r="T903" t="s">
        <v>64</v>
      </c>
      <c r="U903">
        <v>442.02</v>
      </c>
      <c r="V903">
        <v>2</v>
      </c>
      <c r="W903" t="s">
        <v>47</v>
      </c>
      <c r="X903">
        <v>20</v>
      </c>
      <c r="Y903">
        <v>4</v>
      </c>
      <c r="Z903">
        <v>1</v>
      </c>
      <c r="AA903">
        <v>2</v>
      </c>
      <c r="AB903">
        <v>20</v>
      </c>
      <c r="AC903">
        <v>4</v>
      </c>
      <c r="AD903">
        <v>2</v>
      </c>
      <c r="AE903">
        <v>4</v>
      </c>
      <c r="AF903">
        <v>2</v>
      </c>
      <c r="AG903">
        <v>0</v>
      </c>
      <c r="AH903">
        <v>3</v>
      </c>
      <c r="AI903">
        <f t="shared" si="98"/>
        <v>0</v>
      </c>
      <c r="AJ903" t="str">
        <f t="shared" si="99"/>
        <v>4-5 yrs</v>
      </c>
      <c r="AK903" t="str">
        <f t="shared" si="100"/>
        <v>Recent</v>
      </c>
      <c r="AL903">
        <f t="shared" si="101"/>
        <v>2</v>
      </c>
      <c r="AM903" t="str">
        <f t="shared" si="102"/>
        <v>Medium Risk</v>
      </c>
      <c r="AN903" s="6">
        <f t="shared" si="103"/>
        <v>0.4337845433673525</v>
      </c>
      <c r="AO903" s="7">
        <f t="shared" si="104"/>
        <v>848688</v>
      </c>
    </row>
    <row r="904" spans="1:41" x14ac:dyDescent="0.3">
      <c r="A904" t="s">
        <v>972</v>
      </c>
      <c r="B904">
        <v>38</v>
      </c>
      <c r="C904" t="s">
        <v>802</v>
      </c>
      <c r="D904" t="s">
        <v>55</v>
      </c>
      <c r="E904" t="s">
        <v>62</v>
      </c>
      <c r="F904">
        <v>1394</v>
      </c>
      <c r="G904" t="s">
        <v>735</v>
      </c>
      <c r="H904">
        <v>8</v>
      </c>
      <c r="I904">
        <v>3</v>
      </c>
      <c r="J904" t="s">
        <v>58</v>
      </c>
      <c r="K904">
        <v>1937</v>
      </c>
      <c r="L904">
        <v>4</v>
      </c>
      <c r="M904" t="s">
        <v>59</v>
      </c>
      <c r="N904">
        <v>2</v>
      </c>
      <c r="O904">
        <v>2</v>
      </c>
      <c r="P904" t="s">
        <v>67</v>
      </c>
      <c r="Q904">
        <v>2</v>
      </c>
      <c r="R904" t="s">
        <v>53</v>
      </c>
      <c r="S904">
        <v>76697</v>
      </c>
      <c r="T904" t="s">
        <v>64</v>
      </c>
      <c r="U904">
        <v>479.36</v>
      </c>
      <c r="V904">
        <v>1</v>
      </c>
      <c r="W904" t="s">
        <v>47</v>
      </c>
      <c r="X904">
        <v>16</v>
      </c>
      <c r="Y904">
        <v>3</v>
      </c>
      <c r="Z904">
        <v>3</v>
      </c>
      <c r="AA904">
        <v>1</v>
      </c>
      <c r="AB904">
        <v>20</v>
      </c>
      <c r="AC904">
        <v>3</v>
      </c>
      <c r="AD904">
        <v>3</v>
      </c>
      <c r="AE904">
        <v>20</v>
      </c>
      <c r="AF904">
        <v>11</v>
      </c>
      <c r="AG904">
        <v>0</v>
      </c>
      <c r="AH904">
        <v>7</v>
      </c>
      <c r="AI904">
        <f t="shared" si="98"/>
        <v>0</v>
      </c>
      <c r="AJ904" t="str">
        <f t="shared" si="99"/>
        <v>10+ yrs</v>
      </c>
      <c r="AK904" t="str">
        <f t="shared" si="100"/>
        <v>Recent</v>
      </c>
      <c r="AL904">
        <f t="shared" si="101"/>
        <v>2</v>
      </c>
      <c r="AM904" t="str">
        <f t="shared" si="102"/>
        <v>Medium Risk</v>
      </c>
      <c r="AN904" s="6">
        <f t="shared" si="103"/>
        <v>0.538058848104357</v>
      </c>
      <c r="AO904" s="7">
        <f t="shared" si="104"/>
        <v>920364</v>
      </c>
    </row>
    <row r="905" spans="1:41" x14ac:dyDescent="0.3">
      <c r="A905" t="s">
        <v>973</v>
      </c>
      <c r="B905">
        <v>38</v>
      </c>
      <c r="C905" t="s">
        <v>802</v>
      </c>
      <c r="D905" t="s">
        <v>55</v>
      </c>
      <c r="E905" t="s">
        <v>48</v>
      </c>
      <c r="F905">
        <v>1206</v>
      </c>
      <c r="G905" t="s">
        <v>735</v>
      </c>
      <c r="H905">
        <v>9</v>
      </c>
      <c r="I905">
        <v>2</v>
      </c>
      <c r="J905" t="s">
        <v>50</v>
      </c>
      <c r="K905">
        <v>1940</v>
      </c>
      <c r="L905">
        <v>2</v>
      </c>
      <c r="M905" t="s">
        <v>51</v>
      </c>
      <c r="N905">
        <v>3</v>
      </c>
      <c r="O905">
        <v>1</v>
      </c>
      <c r="P905" t="s">
        <v>67</v>
      </c>
      <c r="Q905">
        <v>4</v>
      </c>
      <c r="R905" t="s">
        <v>113</v>
      </c>
      <c r="S905">
        <v>29732</v>
      </c>
      <c r="T905" t="s">
        <v>72</v>
      </c>
      <c r="U905">
        <v>185.82</v>
      </c>
      <c r="V905">
        <v>2</v>
      </c>
      <c r="W905" t="s">
        <v>55</v>
      </c>
      <c r="X905">
        <v>19</v>
      </c>
      <c r="Y905">
        <v>3</v>
      </c>
      <c r="Z905">
        <v>4</v>
      </c>
      <c r="AA905">
        <v>2</v>
      </c>
      <c r="AB905">
        <v>10</v>
      </c>
      <c r="AC905">
        <v>0</v>
      </c>
      <c r="AD905">
        <v>4</v>
      </c>
      <c r="AE905">
        <v>5</v>
      </c>
      <c r="AF905">
        <v>2</v>
      </c>
      <c r="AG905">
        <v>0</v>
      </c>
      <c r="AH905">
        <v>3</v>
      </c>
      <c r="AI905">
        <f t="shared" si="98"/>
        <v>0</v>
      </c>
      <c r="AJ905" t="str">
        <f t="shared" si="99"/>
        <v>4-5 yrs</v>
      </c>
      <c r="AK905" t="str">
        <f t="shared" si="100"/>
        <v>Recent</v>
      </c>
      <c r="AL905">
        <f t="shared" si="101"/>
        <v>0</v>
      </c>
      <c r="AM905" t="str">
        <f t="shared" si="102"/>
        <v>Minimal Risk</v>
      </c>
      <c r="AN905" s="6">
        <f t="shared" si="103"/>
        <v>-0.40376330662426507</v>
      </c>
      <c r="AO905" s="7">
        <f t="shared" si="104"/>
        <v>356784</v>
      </c>
    </row>
    <row r="906" spans="1:41" x14ac:dyDescent="0.3">
      <c r="A906" t="s">
        <v>974</v>
      </c>
      <c r="B906">
        <v>38</v>
      </c>
      <c r="C906" t="s">
        <v>802</v>
      </c>
      <c r="D906" t="s">
        <v>55</v>
      </c>
      <c r="E906" t="s">
        <v>48</v>
      </c>
      <c r="F906">
        <v>1404</v>
      </c>
      <c r="G906" t="s">
        <v>932</v>
      </c>
      <c r="H906">
        <v>1</v>
      </c>
      <c r="I906">
        <v>3</v>
      </c>
      <c r="J906" t="s">
        <v>50</v>
      </c>
      <c r="K906">
        <v>1961</v>
      </c>
      <c r="L906">
        <v>1</v>
      </c>
      <c r="M906" t="s">
        <v>51</v>
      </c>
      <c r="N906">
        <v>2</v>
      </c>
      <c r="O906">
        <v>1</v>
      </c>
      <c r="P906" t="s">
        <v>60</v>
      </c>
      <c r="Q906">
        <v>1</v>
      </c>
      <c r="R906" t="s">
        <v>53</v>
      </c>
      <c r="S906">
        <v>12314</v>
      </c>
      <c r="T906" t="s">
        <v>54</v>
      </c>
      <c r="U906">
        <v>76.959999999999994</v>
      </c>
      <c r="V906">
        <v>4</v>
      </c>
      <c r="W906" t="s">
        <v>55</v>
      </c>
      <c r="X906">
        <v>14</v>
      </c>
      <c r="Y906">
        <v>3</v>
      </c>
      <c r="Z906">
        <v>1</v>
      </c>
      <c r="AA906">
        <v>0</v>
      </c>
      <c r="AB906">
        <v>20</v>
      </c>
      <c r="AC906">
        <v>3</v>
      </c>
      <c r="AD906">
        <v>2</v>
      </c>
      <c r="AE906">
        <v>1</v>
      </c>
      <c r="AF906">
        <v>0</v>
      </c>
      <c r="AG906">
        <v>0</v>
      </c>
      <c r="AH906">
        <v>0</v>
      </c>
      <c r="AI906">
        <f t="shared" si="98"/>
        <v>0</v>
      </c>
      <c r="AJ906" t="str">
        <f t="shared" si="99"/>
        <v>0-1 yr</v>
      </c>
      <c r="AK906" t="str">
        <f t="shared" si="100"/>
        <v>Recent</v>
      </c>
      <c r="AL906">
        <f t="shared" si="101"/>
        <v>2</v>
      </c>
      <c r="AM906" t="str">
        <f t="shared" si="102"/>
        <v>Medium Risk</v>
      </c>
      <c r="AN906" s="6">
        <f t="shared" si="103"/>
        <v>-0.75035881925477099</v>
      </c>
      <c r="AO906" s="7">
        <f t="shared" si="104"/>
        <v>147768</v>
      </c>
    </row>
    <row r="907" spans="1:41" x14ac:dyDescent="0.3">
      <c r="A907" t="s">
        <v>975</v>
      </c>
      <c r="B907">
        <v>38</v>
      </c>
      <c r="C907" t="s">
        <v>802</v>
      </c>
      <c r="D907" t="s">
        <v>55</v>
      </c>
      <c r="E907" t="s">
        <v>62</v>
      </c>
      <c r="F907">
        <v>1444</v>
      </c>
      <c r="G907" t="s">
        <v>80</v>
      </c>
      <c r="H907">
        <v>1</v>
      </c>
      <c r="I907">
        <v>4</v>
      </c>
      <c r="J907" t="s">
        <v>82</v>
      </c>
      <c r="K907">
        <v>1972</v>
      </c>
      <c r="L907">
        <v>4</v>
      </c>
      <c r="M907" t="s">
        <v>51</v>
      </c>
      <c r="N907">
        <v>3</v>
      </c>
      <c r="O907">
        <v>1</v>
      </c>
      <c r="P907" t="s">
        <v>80</v>
      </c>
      <c r="Q907">
        <v>2</v>
      </c>
      <c r="R907" t="s">
        <v>113</v>
      </c>
      <c r="S907">
        <v>24954</v>
      </c>
      <c r="T907" t="s">
        <v>54</v>
      </c>
      <c r="U907">
        <v>155.96</v>
      </c>
      <c r="V907">
        <v>0</v>
      </c>
      <c r="W907" t="s">
        <v>47</v>
      </c>
      <c r="X907">
        <v>11</v>
      </c>
      <c r="Y907">
        <v>3</v>
      </c>
      <c r="Z907">
        <v>2</v>
      </c>
      <c r="AA907">
        <v>1</v>
      </c>
      <c r="AB907">
        <v>7</v>
      </c>
      <c r="AC907">
        <v>2</v>
      </c>
      <c r="AD907">
        <v>3</v>
      </c>
      <c r="AE907">
        <v>6</v>
      </c>
      <c r="AF907">
        <v>2</v>
      </c>
      <c r="AG907">
        <v>1</v>
      </c>
      <c r="AH907">
        <v>2</v>
      </c>
      <c r="AI907">
        <f t="shared" si="98"/>
        <v>0</v>
      </c>
      <c r="AJ907" t="str">
        <f t="shared" si="99"/>
        <v>6-10 yrs</v>
      </c>
      <c r="AK907" t="str">
        <f t="shared" si="100"/>
        <v>Recent</v>
      </c>
      <c r="AL907">
        <f t="shared" si="101"/>
        <v>2</v>
      </c>
      <c r="AM907" t="str">
        <f t="shared" si="102"/>
        <v>Medium Risk</v>
      </c>
      <c r="AN907" s="6">
        <f t="shared" si="103"/>
        <v>-0.50823779981733364</v>
      </c>
      <c r="AO907" s="7">
        <f t="shared" si="104"/>
        <v>299448</v>
      </c>
    </row>
    <row r="908" spans="1:41" x14ac:dyDescent="0.3">
      <c r="A908" t="s">
        <v>976</v>
      </c>
      <c r="B908">
        <v>38</v>
      </c>
      <c r="C908" t="s">
        <v>802</v>
      </c>
      <c r="D908" t="s">
        <v>55</v>
      </c>
      <c r="E908" t="s">
        <v>48</v>
      </c>
      <c r="F908">
        <v>1321</v>
      </c>
      <c r="G908" t="s">
        <v>932</v>
      </c>
      <c r="H908">
        <v>1</v>
      </c>
      <c r="I908">
        <v>4</v>
      </c>
      <c r="J908" t="s">
        <v>50</v>
      </c>
      <c r="K908">
        <v>1995</v>
      </c>
      <c r="L908">
        <v>4</v>
      </c>
      <c r="M908" t="s">
        <v>51</v>
      </c>
      <c r="N908">
        <v>3</v>
      </c>
      <c r="O908">
        <v>2</v>
      </c>
      <c r="P908" t="s">
        <v>145</v>
      </c>
      <c r="Q908">
        <v>2</v>
      </c>
      <c r="R908" t="s">
        <v>113</v>
      </c>
      <c r="S908">
        <v>58108</v>
      </c>
      <c r="T908" t="s">
        <v>64</v>
      </c>
      <c r="U908">
        <v>363.18</v>
      </c>
      <c r="V908">
        <v>0</v>
      </c>
      <c r="W908" t="s">
        <v>55</v>
      </c>
      <c r="X908">
        <v>15</v>
      </c>
      <c r="Y908">
        <v>3</v>
      </c>
      <c r="Z908">
        <v>1</v>
      </c>
      <c r="AA908">
        <v>2</v>
      </c>
      <c r="AB908">
        <v>16</v>
      </c>
      <c r="AC908">
        <v>3</v>
      </c>
      <c r="AD908">
        <v>3</v>
      </c>
      <c r="AE908">
        <v>15</v>
      </c>
      <c r="AF908">
        <v>13</v>
      </c>
      <c r="AG908">
        <v>5</v>
      </c>
      <c r="AH908">
        <v>8</v>
      </c>
      <c r="AI908">
        <f t="shared" si="98"/>
        <v>0</v>
      </c>
      <c r="AJ908" t="str">
        <f t="shared" si="99"/>
        <v>10+ yrs</v>
      </c>
      <c r="AK908" t="str">
        <f t="shared" si="100"/>
        <v>Overdue</v>
      </c>
      <c r="AL908">
        <f t="shared" si="101"/>
        <v>2</v>
      </c>
      <c r="AM908" t="str">
        <f t="shared" si="102"/>
        <v>Medium Risk</v>
      </c>
      <c r="AN908" s="6">
        <f t="shared" si="103"/>
        <v>0.1844762526462087</v>
      </c>
      <c r="AO908" s="7">
        <f t="shared" si="104"/>
        <v>697296</v>
      </c>
    </row>
    <row r="909" spans="1:41" x14ac:dyDescent="0.3">
      <c r="A909" t="s">
        <v>977</v>
      </c>
      <c r="B909">
        <v>38</v>
      </c>
      <c r="C909" t="s">
        <v>802</v>
      </c>
      <c r="D909" t="s">
        <v>55</v>
      </c>
      <c r="E909" t="s">
        <v>62</v>
      </c>
      <c r="F909">
        <v>508</v>
      </c>
      <c r="G909" t="s">
        <v>735</v>
      </c>
      <c r="H909">
        <v>6</v>
      </c>
      <c r="I909">
        <v>4</v>
      </c>
      <c r="J909" t="s">
        <v>50</v>
      </c>
      <c r="K909">
        <v>1997</v>
      </c>
      <c r="L909">
        <v>1</v>
      </c>
      <c r="M909" t="s">
        <v>51</v>
      </c>
      <c r="N909">
        <v>2</v>
      </c>
      <c r="O909">
        <v>2</v>
      </c>
      <c r="P909" t="s">
        <v>120</v>
      </c>
      <c r="Q909">
        <v>3</v>
      </c>
      <c r="R909" t="s">
        <v>113</v>
      </c>
      <c r="S909">
        <v>88044</v>
      </c>
      <c r="T909" t="s">
        <v>70</v>
      </c>
      <c r="U909">
        <v>550.28</v>
      </c>
      <c r="V909">
        <v>2</v>
      </c>
      <c r="W909" t="s">
        <v>55</v>
      </c>
      <c r="X909">
        <v>11</v>
      </c>
      <c r="Y909">
        <v>3</v>
      </c>
      <c r="Z909">
        <v>4</v>
      </c>
      <c r="AA909">
        <v>1</v>
      </c>
      <c r="AB909">
        <v>10</v>
      </c>
      <c r="AC909">
        <v>1</v>
      </c>
      <c r="AD909">
        <v>3</v>
      </c>
      <c r="AE909">
        <v>8</v>
      </c>
      <c r="AF909">
        <v>3</v>
      </c>
      <c r="AG909">
        <v>7</v>
      </c>
      <c r="AH909">
        <v>7</v>
      </c>
      <c r="AI909">
        <f t="shared" si="98"/>
        <v>0</v>
      </c>
      <c r="AJ909" t="str">
        <f t="shared" si="99"/>
        <v>6-10 yrs</v>
      </c>
      <c r="AK909" t="str">
        <f t="shared" si="100"/>
        <v>Overdue</v>
      </c>
      <c r="AL909">
        <f t="shared" si="101"/>
        <v>1</v>
      </c>
      <c r="AM909" t="str">
        <f t="shared" si="102"/>
        <v>Low Risk</v>
      </c>
      <c r="AN909" s="6">
        <f t="shared" si="103"/>
        <v>0.9876584921353696</v>
      </c>
      <c r="AO909" s="7">
        <f t="shared" si="104"/>
        <v>1056528</v>
      </c>
    </row>
    <row r="910" spans="1:41" x14ac:dyDescent="0.3">
      <c r="A910" t="s">
        <v>978</v>
      </c>
      <c r="B910">
        <v>38</v>
      </c>
      <c r="C910" t="s">
        <v>802</v>
      </c>
      <c r="D910" t="s">
        <v>55</v>
      </c>
      <c r="E910" t="s">
        <v>48</v>
      </c>
      <c r="F910">
        <v>201</v>
      </c>
      <c r="G910" t="s">
        <v>735</v>
      </c>
      <c r="H910">
        <v>10</v>
      </c>
      <c r="I910">
        <v>3</v>
      </c>
      <c r="J910" t="s">
        <v>58</v>
      </c>
      <c r="K910">
        <v>2015</v>
      </c>
      <c r="L910">
        <v>2</v>
      </c>
      <c r="M910" t="s">
        <v>59</v>
      </c>
      <c r="N910">
        <v>1</v>
      </c>
      <c r="O910">
        <v>3</v>
      </c>
      <c r="P910" t="s">
        <v>257</v>
      </c>
      <c r="Q910">
        <v>3</v>
      </c>
      <c r="R910" t="s">
        <v>113</v>
      </c>
      <c r="S910">
        <v>88505</v>
      </c>
      <c r="T910" t="s">
        <v>70</v>
      </c>
      <c r="U910">
        <v>553.16</v>
      </c>
      <c r="V910">
        <v>3</v>
      </c>
      <c r="W910" t="s">
        <v>55</v>
      </c>
      <c r="X910">
        <v>12</v>
      </c>
      <c r="Y910">
        <v>3</v>
      </c>
      <c r="Z910">
        <v>1</v>
      </c>
      <c r="AA910">
        <v>1</v>
      </c>
      <c r="AB910">
        <v>20</v>
      </c>
      <c r="AC910">
        <v>3</v>
      </c>
      <c r="AD910">
        <v>3</v>
      </c>
      <c r="AE910">
        <v>18</v>
      </c>
      <c r="AF910">
        <v>16</v>
      </c>
      <c r="AG910">
        <v>1</v>
      </c>
      <c r="AH910">
        <v>11</v>
      </c>
      <c r="AI910">
        <f t="shared" si="98"/>
        <v>0</v>
      </c>
      <c r="AJ910" t="str">
        <f t="shared" si="99"/>
        <v>10+ yrs</v>
      </c>
      <c r="AK910" t="str">
        <f t="shared" si="100"/>
        <v>Recent</v>
      </c>
      <c r="AL910">
        <f t="shared" si="101"/>
        <v>0</v>
      </c>
      <c r="AM910" t="str">
        <f t="shared" si="102"/>
        <v>Minimal Risk</v>
      </c>
      <c r="AN910" s="6">
        <f t="shared" si="103"/>
        <v>0.74693304739201094</v>
      </c>
      <c r="AO910" s="7">
        <f t="shared" si="104"/>
        <v>1062060</v>
      </c>
    </row>
    <row r="911" spans="1:41" x14ac:dyDescent="0.3">
      <c r="A911" t="s">
        <v>979</v>
      </c>
      <c r="B911">
        <v>38</v>
      </c>
      <c r="C911" t="s">
        <v>802</v>
      </c>
      <c r="D911" t="s">
        <v>55</v>
      </c>
      <c r="E911" t="s">
        <v>48</v>
      </c>
      <c r="F911">
        <v>345</v>
      </c>
      <c r="G911" t="s">
        <v>932</v>
      </c>
      <c r="H911">
        <v>10</v>
      </c>
      <c r="I911">
        <v>2</v>
      </c>
      <c r="J911" t="s">
        <v>50</v>
      </c>
      <c r="K911">
        <v>2041</v>
      </c>
      <c r="L911">
        <v>1</v>
      </c>
      <c r="M911" t="s">
        <v>59</v>
      </c>
      <c r="N911">
        <v>3</v>
      </c>
      <c r="O911">
        <v>2</v>
      </c>
      <c r="P911" t="s">
        <v>145</v>
      </c>
      <c r="Q911">
        <v>4</v>
      </c>
      <c r="R911" t="s">
        <v>113</v>
      </c>
      <c r="S911">
        <v>37668</v>
      </c>
      <c r="T911" t="s">
        <v>72</v>
      </c>
      <c r="U911">
        <v>235.42</v>
      </c>
      <c r="V911">
        <v>1</v>
      </c>
      <c r="W911" t="s">
        <v>55</v>
      </c>
      <c r="X911">
        <v>11</v>
      </c>
      <c r="Y911">
        <v>3</v>
      </c>
      <c r="Z911">
        <v>3</v>
      </c>
      <c r="AA911">
        <v>1</v>
      </c>
      <c r="AB911">
        <v>10</v>
      </c>
      <c r="AC911">
        <v>1</v>
      </c>
      <c r="AD911">
        <v>3</v>
      </c>
      <c r="AE911">
        <v>10</v>
      </c>
      <c r="AF911">
        <v>7</v>
      </c>
      <c r="AG911">
        <v>1</v>
      </c>
      <c r="AH911">
        <v>9</v>
      </c>
      <c r="AI911">
        <f t="shared" si="98"/>
        <v>0</v>
      </c>
      <c r="AJ911" t="str">
        <f t="shared" si="99"/>
        <v>6-10 yrs</v>
      </c>
      <c r="AK911" t="str">
        <f t="shared" si="100"/>
        <v>Recent</v>
      </c>
      <c r="AL911">
        <f t="shared" si="101"/>
        <v>0</v>
      </c>
      <c r="AM911" t="str">
        <f t="shared" si="102"/>
        <v>Minimal Risk</v>
      </c>
      <c r="AN911" s="6">
        <f t="shared" si="103"/>
        <v>-0.23217368547054815</v>
      </c>
      <c r="AO911" s="7">
        <f t="shared" si="104"/>
        <v>452016</v>
      </c>
    </row>
    <row r="912" spans="1:41" x14ac:dyDescent="0.3">
      <c r="A912" t="s">
        <v>980</v>
      </c>
      <c r="B912">
        <v>39</v>
      </c>
      <c r="C912" t="s">
        <v>802</v>
      </c>
      <c r="D912" t="s">
        <v>47</v>
      </c>
      <c r="E912" t="s">
        <v>48</v>
      </c>
      <c r="F912">
        <v>895</v>
      </c>
      <c r="G912" t="s">
        <v>932</v>
      </c>
      <c r="H912">
        <v>5</v>
      </c>
      <c r="I912">
        <v>3</v>
      </c>
      <c r="J912" t="s">
        <v>77</v>
      </c>
      <c r="K912">
        <v>42</v>
      </c>
      <c r="L912">
        <v>4</v>
      </c>
      <c r="M912" t="s">
        <v>51</v>
      </c>
      <c r="N912">
        <v>3</v>
      </c>
      <c r="O912">
        <v>2</v>
      </c>
      <c r="P912" t="s">
        <v>60</v>
      </c>
      <c r="Q912">
        <v>4</v>
      </c>
      <c r="R912" t="s">
        <v>113</v>
      </c>
      <c r="S912">
        <v>24061</v>
      </c>
      <c r="T912" t="s">
        <v>54</v>
      </c>
      <c r="U912">
        <v>150.38</v>
      </c>
      <c r="V912">
        <v>3</v>
      </c>
      <c r="W912" t="s">
        <v>55</v>
      </c>
      <c r="X912">
        <v>14</v>
      </c>
      <c r="Y912">
        <v>3</v>
      </c>
      <c r="Z912">
        <v>3</v>
      </c>
      <c r="AA912">
        <v>1</v>
      </c>
      <c r="AB912">
        <v>19</v>
      </c>
      <c r="AC912">
        <v>6</v>
      </c>
      <c r="AD912">
        <v>4</v>
      </c>
      <c r="AE912">
        <v>1</v>
      </c>
      <c r="AF912">
        <v>0</v>
      </c>
      <c r="AG912">
        <v>0</v>
      </c>
      <c r="AH912">
        <v>0</v>
      </c>
      <c r="AI912">
        <f t="shared" si="98"/>
        <v>1</v>
      </c>
      <c r="AJ912" t="str">
        <f t="shared" si="99"/>
        <v>0-1 yr</v>
      </c>
      <c r="AK912" t="str">
        <f t="shared" si="100"/>
        <v>Recent</v>
      </c>
      <c r="AL912">
        <f t="shared" si="101"/>
        <v>0</v>
      </c>
      <c r="AM912" t="str">
        <f t="shared" si="102"/>
        <v>Minimal Risk</v>
      </c>
      <c r="AN912" s="6">
        <f t="shared" si="103"/>
        <v>-0.51221240458738382</v>
      </c>
      <c r="AO912" s="7">
        <f t="shared" si="104"/>
        <v>288732</v>
      </c>
    </row>
    <row r="913" spans="1:41" x14ac:dyDescent="0.3">
      <c r="A913" t="s">
        <v>981</v>
      </c>
      <c r="B913">
        <v>39</v>
      </c>
      <c r="C913" t="s">
        <v>802</v>
      </c>
      <c r="D913" t="s">
        <v>55</v>
      </c>
      <c r="E913" t="s">
        <v>48</v>
      </c>
      <c r="F913">
        <v>1329</v>
      </c>
      <c r="G913" t="s">
        <v>932</v>
      </c>
      <c r="H913">
        <v>4</v>
      </c>
      <c r="I913">
        <v>4</v>
      </c>
      <c r="J913" t="s">
        <v>50</v>
      </c>
      <c r="K913">
        <v>182</v>
      </c>
      <c r="L913">
        <v>4</v>
      </c>
      <c r="M913" t="s">
        <v>59</v>
      </c>
      <c r="N913">
        <v>2</v>
      </c>
      <c r="O913">
        <v>2</v>
      </c>
      <c r="P913" t="s">
        <v>145</v>
      </c>
      <c r="Q913">
        <v>3</v>
      </c>
      <c r="R913" t="s">
        <v>113</v>
      </c>
      <c r="S913">
        <v>80252</v>
      </c>
      <c r="T913" t="s">
        <v>64</v>
      </c>
      <c r="U913">
        <v>501.58</v>
      </c>
      <c r="V913">
        <v>4</v>
      </c>
      <c r="W913" t="s">
        <v>55</v>
      </c>
      <c r="X913">
        <v>14</v>
      </c>
      <c r="Y913">
        <v>3</v>
      </c>
      <c r="Z913">
        <v>3</v>
      </c>
      <c r="AA913">
        <v>1</v>
      </c>
      <c r="AB913">
        <v>17</v>
      </c>
      <c r="AC913">
        <v>1</v>
      </c>
      <c r="AD913">
        <v>4</v>
      </c>
      <c r="AE913">
        <v>15</v>
      </c>
      <c r="AF913">
        <v>11</v>
      </c>
      <c r="AG913">
        <v>5</v>
      </c>
      <c r="AH913">
        <v>9</v>
      </c>
      <c r="AI913">
        <f t="shared" si="98"/>
        <v>0</v>
      </c>
      <c r="AJ913" t="str">
        <f t="shared" si="99"/>
        <v>10+ yrs</v>
      </c>
      <c r="AK913" t="str">
        <f t="shared" si="100"/>
        <v>Overdue</v>
      </c>
      <c r="AL913">
        <f t="shared" si="101"/>
        <v>1</v>
      </c>
      <c r="AM913" t="str">
        <f t="shared" si="102"/>
        <v>Low Risk</v>
      </c>
      <c r="AN913" s="6">
        <f t="shared" si="103"/>
        <v>0.63586060830459734</v>
      </c>
      <c r="AO913" s="7">
        <f t="shared" si="104"/>
        <v>963024</v>
      </c>
    </row>
    <row r="914" spans="1:41" x14ac:dyDescent="0.3">
      <c r="A914" t="s">
        <v>982</v>
      </c>
      <c r="B914">
        <v>39</v>
      </c>
      <c r="C914" t="s">
        <v>802</v>
      </c>
      <c r="D914" t="s">
        <v>55</v>
      </c>
      <c r="E914" t="s">
        <v>48</v>
      </c>
      <c r="F914">
        <v>1431</v>
      </c>
      <c r="G914" t="s">
        <v>735</v>
      </c>
      <c r="H914">
        <v>1</v>
      </c>
      <c r="I914">
        <v>4</v>
      </c>
      <c r="J914" t="s">
        <v>58</v>
      </c>
      <c r="K914">
        <v>332</v>
      </c>
      <c r="L914">
        <v>3</v>
      </c>
      <c r="M914" t="s">
        <v>59</v>
      </c>
      <c r="N914">
        <v>3</v>
      </c>
      <c r="O914">
        <v>1</v>
      </c>
      <c r="P914" t="s">
        <v>52</v>
      </c>
      <c r="Q914">
        <v>3</v>
      </c>
      <c r="R914" t="s">
        <v>113</v>
      </c>
      <c r="S914">
        <v>40749</v>
      </c>
      <c r="T914" t="s">
        <v>72</v>
      </c>
      <c r="U914">
        <v>254.68</v>
      </c>
      <c r="V914">
        <v>7</v>
      </c>
      <c r="W914" t="s">
        <v>55</v>
      </c>
      <c r="X914">
        <v>14</v>
      </c>
      <c r="Y914">
        <v>3</v>
      </c>
      <c r="Z914">
        <v>3</v>
      </c>
      <c r="AA914">
        <v>3</v>
      </c>
      <c r="AB914">
        <v>7</v>
      </c>
      <c r="AC914">
        <v>1</v>
      </c>
      <c r="AD914">
        <v>3</v>
      </c>
      <c r="AE914">
        <v>3</v>
      </c>
      <c r="AF914">
        <v>2</v>
      </c>
      <c r="AG914">
        <v>1</v>
      </c>
      <c r="AH914">
        <v>2</v>
      </c>
      <c r="AI914">
        <f t="shared" si="98"/>
        <v>0</v>
      </c>
      <c r="AJ914" t="str">
        <f t="shared" si="99"/>
        <v>2-3 yrs</v>
      </c>
      <c r="AK914" t="str">
        <f t="shared" si="100"/>
        <v>Recent</v>
      </c>
      <c r="AL914">
        <f t="shared" si="101"/>
        <v>0</v>
      </c>
      <c r="AM914" t="str">
        <f t="shared" si="102"/>
        <v>Minimal Risk</v>
      </c>
      <c r="AN914" s="6">
        <f t="shared" si="103"/>
        <v>-0.21213208631020475</v>
      </c>
      <c r="AO914" s="7">
        <f t="shared" si="104"/>
        <v>488988</v>
      </c>
    </row>
    <row r="915" spans="1:41" x14ac:dyDescent="0.3">
      <c r="A915" t="s">
        <v>983</v>
      </c>
      <c r="B915">
        <v>39</v>
      </c>
      <c r="C915" t="s">
        <v>802</v>
      </c>
      <c r="D915" t="s">
        <v>55</v>
      </c>
      <c r="E915" t="s">
        <v>62</v>
      </c>
      <c r="F915">
        <v>505</v>
      </c>
      <c r="G915" t="s">
        <v>735</v>
      </c>
      <c r="H915">
        <v>2</v>
      </c>
      <c r="I915">
        <v>4</v>
      </c>
      <c r="J915" t="s">
        <v>77</v>
      </c>
      <c r="K915">
        <v>343</v>
      </c>
      <c r="L915">
        <v>3</v>
      </c>
      <c r="M915" t="s">
        <v>59</v>
      </c>
      <c r="N915">
        <v>3</v>
      </c>
      <c r="O915">
        <v>3</v>
      </c>
      <c r="P915" t="s">
        <v>168</v>
      </c>
      <c r="Q915">
        <v>3</v>
      </c>
      <c r="R915" t="s">
        <v>53</v>
      </c>
      <c r="S915">
        <v>17907</v>
      </c>
      <c r="T915" t="s">
        <v>54</v>
      </c>
      <c r="U915">
        <v>111.92</v>
      </c>
      <c r="V915">
        <v>0</v>
      </c>
      <c r="W915" t="s">
        <v>55</v>
      </c>
      <c r="X915">
        <v>25</v>
      </c>
      <c r="Y915">
        <v>4</v>
      </c>
      <c r="Z915">
        <v>4</v>
      </c>
      <c r="AA915">
        <v>0</v>
      </c>
      <c r="AB915">
        <v>20</v>
      </c>
      <c r="AC915">
        <v>1</v>
      </c>
      <c r="AD915">
        <v>3</v>
      </c>
      <c r="AE915">
        <v>19</v>
      </c>
      <c r="AF915">
        <v>6</v>
      </c>
      <c r="AG915">
        <v>11</v>
      </c>
      <c r="AH915">
        <v>6</v>
      </c>
      <c r="AI915">
        <f t="shared" si="98"/>
        <v>0</v>
      </c>
      <c r="AJ915" t="str">
        <f t="shared" si="99"/>
        <v>10+ yrs</v>
      </c>
      <c r="AK915" t="str">
        <f t="shared" si="100"/>
        <v>Overdue</v>
      </c>
      <c r="AL915">
        <f t="shared" si="101"/>
        <v>1</v>
      </c>
      <c r="AM915" t="str">
        <f t="shared" si="102"/>
        <v>Low Risk</v>
      </c>
      <c r="AN915" s="6">
        <f t="shared" si="103"/>
        <v>-0.62840177396212538</v>
      </c>
      <c r="AO915" s="7">
        <f t="shared" si="104"/>
        <v>214884</v>
      </c>
    </row>
    <row r="916" spans="1:41" x14ac:dyDescent="0.3">
      <c r="A916" t="s">
        <v>984</v>
      </c>
      <c r="B916">
        <v>39</v>
      </c>
      <c r="C916" t="s">
        <v>802</v>
      </c>
      <c r="D916" t="s">
        <v>55</v>
      </c>
      <c r="E916" t="s">
        <v>48</v>
      </c>
      <c r="F916">
        <v>1132</v>
      </c>
      <c r="G916" t="s">
        <v>735</v>
      </c>
      <c r="H916">
        <v>1</v>
      </c>
      <c r="I916">
        <v>3</v>
      </c>
      <c r="J916" t="s">
        <v>58</v>
      </c>
      <c r="K916">
        <v>417</v>
      </c>
      <c r="L916">
        <v>3</v>
      </c>
      <c r="M916" t="s">
        <v>51</v>
      </c>
      <c r="N916">
        <v>4</v>
      </c>
      <c r="O916">
        <v>3</v>
      </c>
      <c r="P916" t="s">
        <v>168</v>
      </c>
      <c r="Q916">
        <v>4</v>
      </c>
      <c r="R916" t="s">
        <v>113</v>
      </c>
      <c r="S916">
        <v>19777</v>
      </c>
      <c r="T916" t="s">
        <v>54</v>
      </c>
      <c r="U916">
        <v>123.61</v>
      </c>
      <c r="V916">
        <v>0</v>
      </c>
      <c r="W916" t="s">
        <v>55</v>
      </c>
      <c r="X916">
        <v>17</v>
      </c>
      <c r="Y916">
        <v>3</v>
      </c>
      <c r="Z916">
        <v>1</v>
      </c>
      <c r="AA916">
        <v>3</v>
      </c>
      <c r="AB916">
        <v>19</v>
      </c>
      <c r="AC916">
        <v>5</v>
      </c>
      <c r="AD916">
        <v>2</v>
      </c>
      <c r="AE916">
        <v>18</v>
      </c>
      <c r="AF916">
        <v>10</v>
      </c>
      <c r="AG916">
        <v>3</v>
      </c>
      <c r="AH916">
        <v>7</v>
      </c>
      <c r="AI916">
        <f t="shared" si="98"/>
        <v>0</v>
      </c>
      <c r="AJ916" t="str">
        <f t="shared" si="99"/>
        <v>10+ yrs</v>
      </c>
      <c r="AK916" t="str">
        <f t="shared" si="100"/>
        <v>Overdue</v>
      </c>
      <c r="AL916">
        <f t="shared" si="101"/>
        <v>2</v>
      </c>
      <c r="AM916" t="str">
        <f t="shared" si="102"/>
        <v>Medium Risk</v>
      </c>
      <c r="AN916" s="6">
        <f t="shared" si="103"/>
        <v>-0.58959635246825004</v>
      </c>
      <c r="AO916" s="7">
        <f t="shared" si="104"/>
        <v>237324</v>
      </c>
    </row>
    <row r="917" spans="1:41" x14ac:dyDescent="0.3">
      <c r="A917" t="s">
        <v>985</v>
      </c>
      <c r="B917">
        <v>39</v>
      </c>
      <c r="C917" t="s">
        <v>802</v>
      </c>
      <c r="D917" t="s">
        <v>55</v>
      </c>
      <c r="E917" t="s">
        <v>48</v>
      </c>
      <c r="F917">
        <v>117</v>
      </c>
      <c r="G917" t="s">
        <v>735</v>
      </c>
      <c r="H917">
        <v>10</v>
      </c>
      <c r="I917">
        <v>1</v>
      </c>
      <c r="J917" t="s">
        <v>58</v>
      </c>
      <c r="K917">
        <v>429</v>
      </c>
      <c r="L917">
        <v>3</v>
      </c>
      <c r="M917" t="s">
        <v>51</v>
      </c>
      <c r="N917">
        <v>3</v>
      </c>
      <c r="O917">
        <v>4</v>
      </c>
      <c r="P917" t="s">
        <v>444</v>
      </c>
      <c r="Q917">
        <v>1</v>
      </c>
      <c r="R917" t="s">
        <v>113</v>
      </c>
      <c r="S917">
        <v>94229</v>
      </c>
      <c r="T917" t="s">
        <v>70</v>
      </c>
      <c r="U917">
        <v>588.92999999999995</v>
      </c>
      <c r="V917">
        <v>1</v>
      </c>
      <c r="W917" t="s">
        <v>47</v>
      </c>
      <c r="X917">
        <v>14</v>
      </c>
      <c r="Y917">
        <v>3</v>
      </c>
      <c r="Z917">
        <v>4</v>
      </c>
      <c r="AA917">
        <v>0</v>
      </c>
      <c r="AB917">
        <v>21</v>
      </c>
      <c r="AC917">
        <v>3</v>
      </c>
      <c r="AD917">
        <v>3</v>
      </c>
      <c r="AE917">
        <v>21</v>
      </c>
      <c r="AF917">
        <v>9</v>
      </c>
      <c r="AG917">
        <v>11</v>
      </c>
      <c r="AH917">
        <v>10</v>
      </c>
      <c r="AI917">
        <f t="shared" si="98"/>
        <v>0</v>
      </c>
      <c r="AJ917" t="str">
        <f t="shared" si="99"/>
        <v>10+ yrs</v>
      </c>
      <c r="AK917" t="str">
        <f t="shared" si="100"/>
        <v>Overdue</v>
      </c>
      <c r="AL917">
        <f t="shared" si="101"/>
        <v>3</v>
      </c>
      <c r="AM917" t="str">
        <f t="shared" si="102"/>
        <v>High Risk</v>
      </c>
      <c r="AN917" s="6">
        <f t="shared" si="103"/>
        <v>0.80521157245707731</v>
      </c>
      <c r="AO917" s="7">
        <f t="shared" si="104"/>
        <v>1130748</v>
      </c>
    </row>
    <row r="918" spans="1:41" x14ac:dyDescent="0.3">
      <c r="A918" t="s">
        <v>986</v>
      </c>
      <c r="B918">
        <v>39</v>
      </c>
      <c r="C918" t="s">
        <v>802</v>
      </c>
      <c r="D918" t="s">
        <v>55</v>
      </c>
      <c r="E918" t="s">
        <v>62</v>
      </c>
      <c r="F918">
        <v>672</v>
      </c>
      <c r="G918" t="s">
        <v>735</v>
      </c>
      <c r="H918">
        <v>7</v>
      </c>
      <c r="I918">
        <v>2</v>
      </c>
      <c r="J918" t="s">
        <v>58</v>
      </c>
      <c r="K918">
        <v>444</v>
      </c>
      <c r="L918">
        <v>3</v>
      </c>
      <c r="M918" t="s">
        <v>51</v>
      </c>
      <c r="N918">
        <v>2</v>
      </c>
      <c r="O918">
        <v>5</v>
      </c>
      <c r="P918" t="s">
        <v>444</v>
      </c>
      <c r="Q918">
        <v>4</v>
      </c>
      <c r="R918" t="s">
        <v>113</v>
      </c>
      <c r="S918">
        <v>52745</v>
      </c>
      <c r="T918" t="s">
        <v>64</v>
      </c>
      <c r="U918">
        <v>329.66</v>
      </c>
      <c r="V918">
        <v>1</v>
      </c>
      <c r="W918" t="s">
        <v>55</v>
      </c>
      <c r="X918">
        <v>15</v>
      </c>
      <c r="Y918">
        <v>3</v>
      </c>
      <c r="Z918">
        <v>1</v>
      </c>
      <c r="AA918">
        <v>1</v>
      </c>
      <c r="AB918">
        <v>21</v>
      </c>
      <c r="AC918">
        <v>2</v>
      </c>
      <c r="AD918">
        <v>3</v>
      </c>
      <c r="AE918">
        <v>21</v>
      </c>
      <c r="AF918">
        <v>9</v>
      </c>
      <c r="AG918">
        <v>13</v>
      </c>
      <c r="AH918">
        <v>3</v>
      </c>
      <c r="AI918">
        <f t="shared" si="98"/>
        <v>0</v>
      </c>
      <c r="AJ918" t="str">
        <f t="shared" si="99"/>
        <v>10+ yrs</v>
      </c>
      <c r="AK918" t="str">
        <f t="shared" si="100"/>
        <v>Overdue</v>
      </c>
      <c r="AL918">
        <f t="shared" si="101"/>
        <v>1</v>
      </c>
      <c r="AM918" t="str">
        <f t="shared" si="102"/>
        <v>Low Risk</v>
      </c>
      <c r="AN918" s="6">
        <f t="shared" si="103"/>
        <v>1.0473255465393298E-2</v>
      </c>
      <c r="AO918" s="7">
        <f t="shared" si="104"/>
        <v>632940</v>
      </c>
    </row>
    <row r="919" spans="1:41" x14ac:dyDescent="0.3">
      <c r="A919" t="s">
        <v>987</v>
      </c>
      <c r="B919">
        <v>39</v>
      </c>
      <c r="C919" t="s">
        <v>802</v>
      </c>
      <c r="D919" t="s">
        <v>47</v>
      </c>
      <c r="E919" t="s">
        <v>48</v>
      </c>
      <c r="F919">
        <v>1162</v>
      </c>
      <c r="G919" t="s">
        <v>932</v>
      </c>
      <c r="H919">
        <v>3</v>
      </c>
      <c r="I919">
        <v>2</v>
      </c>
      <c r="J919" t="s">
        <v>58</v>
      </c>
      <c r="K919">
        <v>445</v>
      </c>
      <c r="L919">
        <v>4</v>
      </c>
      <c r="M919" t="s">
        <v>59</v>
      </c>
      <c r="N919">
        <v>3</v>
      </c>
      <c r="O919">
        <v>2</v>
      </c>
      <c r="P919" t="s">
        <v>145</v>
      </c>
      <c r="Q919">
        <v>3</v>
      </c>
      <c r="R919" t="s">
        <v>113</v>
      </c>
      <c r="S919">
        <v>92865</v>
      </c>
      <c r="T919" t="s">
        <v>70</v>
      </c>
      <c r="U919">
        <v>580.41</v>
      </c>
      <c r="V919">
        <v>4</v>
      </c>
      <c r="W919" t="s">
        <v>47</v>
      </c>
      <c r="X919">
        <v>18</v>
      </c>
      <c r="Y919">
        <v>3</v>
      </c>
      <c r="Z919">
        <v>1</v>
      </c>
      <c r="AA919">
        <v>0</v>
      </c>
      <c r="AB919">
        <v>12</v>
      </c>
      <c r="AC919">
        <v>3</v>
      </c>
      <c r="AD919">
        <v>2</v>
      </c>
      <c r="AE919">
        <v>1</v>
      </c>
      <c r="AF919">
        <v>0</v>
      </c>
      <c r="AG919">
        <v>0</v>
      </c>
      <c r="AH919">
        <v>0</v>
      </c>
      <c r="AI919">
        <f t="shared" si="98"/>
        <v>1</v>
      </c>
      <c r="AJ919" t="str">
        <f t="shared" si="99"/>
        <v>0-1 yr</v>
      </c>
      <c r="AK919" t="str">
        <f t="shared" si="100"/>
        <v>Recent</v>
      </c>
      <c r="AL919">
        <f t="shared" si="101"/>
        <v>2</v>
      </c>
      <c r="AM919" t="str">
        <f t="shared" si="102"/>
        <v>Medium Risk</v>
      </c>
      <c r="AN919" s="6">
        <f t="shared" si="103"/>
        <v>0.89296460387537291</v>
      </c>
      <c r="AO919" s="7">
        <f t="shared" si="104"/>
        <v>1114380</v>
      </c>
    </row>
    <row r="920" spans="1:41" x14ac:dyDescent="0.3">
      <c r="A920" t="s">
        <v>988</v>
      </c>
      <c r="B920">
        <v>39</v>
      </c>
      <c r="C920" t="s">
        <v>802</v>
      </c>
      <c r="D920" t="s">
        <v>55</v>
      </c>
      <c r="E920" t="s">
        <v>62</v>
      </c>
      <c r="F920">
        <v>1218</v>
      </c>
      <c r="G920" t="s">
        <v>735</v>
      </c>
      <c r="H920">
        <v>1</v>
      </c>
      <c r="I920">
        <v>1</v>
      </c>
      <c r="J920" t="s">
        <v>50</v>
      </c>
      <c r="K920">
        <v>531</v>
      </c>
      <c r="L920">
        <v>2</v>
      </c>
      <c r="M920" t="s">
        <v>51</v>
      </c>
      <c r="N920">
        <v>3</v>
      </c>
      <c r="O920">
        <v>5</v>
      </c>
      <c r="P920" t="s">
        <v>444</v>
      </c>
      <c r="Q920">
        <v>3</v>
      </c>
      <c r="R920" t="s">
        <v>53</v>
      </c>
      <c r="S920">
        <v>82818</v>
      </c>
      <c r="T920" t="s">
        <v>64</v>
      </c>
      <c r="U920">
        <v>517.61</v>
      </c>
      <c r="V920">
        <v>1</v>
      </c>
      <c r="W920" t="s">
        <v>47</v>
      </c>
      <c r="X920">
        <v>14</v>
      </c>
      <c r="Y920">
        <v>3</v>
      </c>
      <c r="Z920">
        <v>3</v>
      </c>
      <c r="AA920">
        <v>1</v>
      </c>
      <c r="AB920">
        <v>21</v>
      </c>
      <c r="AC920">
        <v>3</v>
      </c>
      <c r="AD920">
        <v>3</v>
      </c>
      <c r="AE920">
        <v>21</v>
      </c>
      <c r="AF920">
        <v>8</v>
      </c>
      <c r="AG920">
        <v>1</v>
      </c>
      <c r="AH920">
        <v>6</v>
      </c>
      <c r="AI920">
        <f t="shared" si="98"/>
        <v>0</v>
      </c>
      <c r="AJ920" t="str">
        <f t="shared" si="99"/>
        <v>10+ yrs</v>
      </c>
      <c r="AK920" t="str">
        <f t="shared" si="100"/>
        <v>Recent</v>
      </c>
      <c r="AL920">
        <f t="shared" si="101"/>
        <v>1</v>
      </c>
      <c r="AM920" t="str">
        <f t="shared" si="102"/>
        <v>Low Risk</v>
      </c>
      <c r="AN920" s="6">
        <f t="shared" si="103"/>
        <v>0.58660297793407801</v>
      </c>
      <c r="AO920" s="7">
        <f t="shared" si="104"/>
        <v>993816</v>
      </c>
    </row>
    <row r="921" spans="1:41" x14ac:dyDescent="0.3">
      <c r="A921" t="s">
        <v>989</v>
      </c>
      <c r="B921">
        <v>39</v>
      </c>
      <c r="C921" t="s">
        <v>802</v>
      </c>
      <c r="D921" t="s">
        <v>55</v>
      </c>
      <c r="E921" t="s">
        <v>62</v>
      </c>
      <c r="F921">
        <v>443</v>
      </c>
      <c r="G921" t="s">
        <v>735</v>
      </c>
      <c r="H921">
        <v>8</v>
      </c>
      <c r="I921">
        <v>1</v>
      </c>
      <c r="J921" t="s">
        <v>50</v>
      </c>
      <c r="K921">
        <v>602</v>
      </c>
      <c r="L921">
        <v>3</v>
      </c>
      <c r="M921" t="s">
        <v>59</v>
      </c>
      <c r="N921">
        <v>3</v>
      </c>
      <c r="O921">
        <v>1</v>
      </c>
      <c r="P921" t="s">
        <v>52</v>
      </c>
      <c r="Q921">
        <v>3</v>
      </c>
      <c r="R921" t="s">
        <v>113</v>
      </c>
      <c r="S921">
        <v>24624</v>
      </c>
      <c r="T921" t="s">
        <v>54</v>
      </c>
      <c r="U921">
        <v>153.9</v>
      </c>
      <c r="V921">
        <v>1</v>
      </c>
      <c r="W921" t="s">
        <v>55</v>
      </c>
      <c r="X921">
        <v>11</v>
      </c>
      <c r="Y921">
        <v>3</v>
      </c>
      <c r="Z921">
        <v>1</v>
      </c>
      <c r="AA921">
        <v>1</v>
      </c>
      <c r="AB921">
        <v>8</v>
      </c>
      <c r="AC921">
        <v>3</v>
      </c>
      <c r="AD921">
        <v>3</v>
      </c>
      <c r="AE921">
        <v>8</v>
      </c>
      <c r="AF921">
        <v>3</v>
      </c>
      <c r="AG921">
        <v>0</v>
      </c>
      <c r="AH921">
        <v>7</v>
      </c>
      <c r="AI921">
        <f t="shared" si="98"/>
        <v>0</v>
      </c>
      <c r="AJ921" t="str">
        <f t="shared" si="99"/>
        <v>6-10 yrs</v>
      </c>
      <c r="AK921" t="str">
        <f t="shared" si="100"/>
        <v>Recent</v>
      </c>
      <c r="AL921">
        <f t="shared" si="101"/>
        <v>0</v>
      </c>
      <c r="AM921" t="str">
        <f t="shared" si="102"/>
        <v>Minimal Risk</v>
      </c>
      <c r="AN921" s="6">
        <f t="shared" si="103"/>
        <v>-0.52390342077848495</v>
      </c>
      <c r="AO921" s="7">
        <f t="shared" si="104"/>
        <v>295488</v>
      </c>
    </row>
    <row r="922" spans="1:41" x14ac:dyDescent="0.3">
      <c r="A922" t="s">
        <v>990</v>
      </c>
      <c r="B922">
        <v>39</v>
      </c>
      <c r="C922" t="s">
        <v>802</v>
      </c>
      <c r="D922" t="s">
        <v>55</v>
      </c>
      <c r="E922" t="s">
        <v>48</v>
      </c>
      <c r="F922">
        <v>408</v>
      </c>
      <c r="G922" t="s">
        <v>735</v>
      </c>
      <c r="H922">
        <v>2</v>
      </c>
      <c r="I922">
        <v>4</v>
      </c>
      <c r="J922" t="s">
        <v>77</v>
      </c>
      <c r="K922">
        <v>721</v>
      </c>
      <c r="L922">
        <v>4</v>
      </c>
      <c r="M922" t="s">
        <v>59</v>
      </c>
      <c r="N922">
        <v>2</v>
      </c>
      <c r="O922">
        <v>2</v>
      </c>
      <c r="P922" t="s">
        <v>168</v>
      </c>
      <c r="Q922">
        <v>3</v>
      </c>
      <c r="R922" t="s">
        <v>53</v>
      </c>
      <c r="S922">
        <v>24321</v>
      </c>
      <c r="T922" t="s">
        <v>54</v>
      </c>
      <c r="U922">
        <v>152.01</v>
      </c>
      <c r="V922">
        <v>1</v>
      </c>
      <c r="W922" t="s">
        <v>55</v>
      </c>
      <c r="X922">
        <v>11</v>
      </c>
      <c r="Y922">
        <v>3</v>
      </c>
      <c r="Z922">
        <v>1</v>
      </c>
      <c r="AA922">
        <v>0</v>
      </c>
      <c r="AB922">
        <v>20</v>
      </c>
      <c r="AC922">
        <v>4</v>
      </c>
      <c r="AD922">
        <v>3</v>
      </c>
      <c r="AE922">
        <v>20</v>
      </c>
      <c r="AF922">
        <v>7</v>
      </c>
      <c r="AG922">
        <v>11</v>
      </c>
      <c r="AH922">
        <v>10</v>
      </c>
      <c r="AI922">
        <f t="shared" si="98"/>
        <v>0</v>
      </c>
      <c r="AJ922" t="str">
        <f t="shared" si="99"/>
        <v>10+ yrs</v>
      </c>
      <c r="AK922" t="str">
        <f t="shared" si="100"/>
        <v>Overdue</v>
      </c>
      <c r="AL922">
        <f t="shared" si="101"/>
        <v>1</v>
      </c>
      <c r="AM922" t="str">
        <f t="shared" si="102"/>
        <v>Low Risk</v>
      </c>
      <c r="AN922" s="6">
        <f t="shared" si="103"/>
        <v>-0.49530125339436265</v>
      </c>
      <c r="AO922" s="7">
        <f t="shared" si="104"/>
        <v>291852</v>
      </c>
    </row>
    <row r="923" spans="1:41" x14ac:dyDescent="0.3">
      <c r="A923" t="s">
        <v>991</v>
      </c>
      <c r="B923">
        <v>39</v>
      </c>
      <c r="C923" t="s">
        <v>802</v>
      </c>
      <c r="D923" t="s">
        <v>55</v>
      </c>
      <c r="E923" t="s">
        <v>48</v>
      </c>
      <c r="F923">
        <v>141</v>
      </c>
      <c r="G923" t="s">
        <v>406</v>
      </c>
      <c r="H923">
        <v>3</v>
      </c>
      <c r="I923">
        <v>3</v>
      </c>
      <c r="J923" t="s">
        <v>80</v>
      </c>
      <c r="K923">
        <v>760</v>
      </c>
      <c r="L923">
        <v>3</v>
      </c>
      <c r="M923" t="s">
        <v>59</v>
      </c>
      <c r="N923">
        <v>4</v>
      </c>
      <c r="O923">
        <v>2</v>
      </c>
      <c r="P923" t="s">
        <v>80</v>
      </c>
      <c r="Q923">
        <v>2</v>
      </c>
      <c r="R923" t="s">
        <v>113</v>
      </c>
      <c r="S923">
        <v>11488</v>
      </c>
      <c r="T923" t="s">
        <v>54</v>
      </c>
      <c r="U923">
        <v>71.8</v>
      </c>
      <c r="V923">
        <v>9</v>
      </c>
      <c r="W923" t="s">
        <v>55</v>
      </c>
      <c r="X923">
        <v>15</v>
      </c>
      <c r="Y923">
        <v>3</v>
      </c>
      <c r="Z923">
        <v>3</v>
      </c>
      <c r="AA923">
        <v>1</v>
      </c>
      <c r="AB923">
        <v>12</v>
      </c>
      <c r="AC923">
        <v>3</v>
      </c>
      <c r="AD923">
        <v>1</v>
      </c>
      <c r="AE923">
        <v>8</v>
      </c>
      <c r="AF923">
        <v>3</v>
      </c>
      <c r="AG923">
        <v>3</v>
      </c>
      <c r="AH923">
        <v>6</v>
      </c>
      <c r="AI923">
        <f t="shared" si="98"/>
        <v>0</v>
      </c>
      <c r="AJ923" t="str">
        <f t="shared" si="99"/>
        <v>6-10 yrs</v>
      </c>
      <c r="AK923" t="str">
        <f t="shared" si="100"/>
        <v>Overdue</v>
      </c>
      <c r="AL923">
        <f t="shared" si="101"/>
        <v>3</v>
      </c>
      <c r="AM923" t="str">
        <f t="shared" si="102"/>
        <v>High Risk</v>
      </c>
      <c r="AN923" s="6">
        <f t="shared" si="103"/>
        <v>-0.77360887410040591</v>
      </c>
      <c r="AO923" s="7">
        <f t="shared" si="104"/>
        <v>137856</v>
      </c>
    </row>
    <row r="924" spans="1:41" x14ac:dyDescent="0.3">
      <c r="A924" t="s">
        <v>992</v>
      </c>
      <c r="B924">
        <v>39</v>
      </c>
      <c r="C924" t="s">
        <v>802</v>
      </c>
      <c r="D924" t="s">
        <v>55</v>
      </c>
      <c r="E924" t="s">
        <v>48</v>
      </c>
      <c r="F924">
        <v>1383</v>
      </c>
      <c r="G924" t="s">
        <v>406</v>
      </c>
      <c r="H924">
        <v>2</v>
      </c>
      <c r="I924">
        <v>3</v>
      </c>
      <c r="J924" t="s">
        <v>50</v>
      </c>
      <c r="K924">
        <v>909</v>
      </c>
      <c r="L924">
        <v>4</v>
      </c>
      <c r="M924" t="s">
        <v>59</v>
      </c>
      <c r="N924">
        <v>2</v>
      </c>
      <c r="O924">
        <v>2</v>
      </c>
      <c r="P924" t="s">
        <v>80</v>
      </c>
      <c r="Q924">
        <v>4</v>
      </c>
      <c r="R924" t="s">
        <v>113</v>
      </c>
      <c r="S924">
        <v>23574</v>
      </c>
      <c r="T924" t="s">
        <v>54</v>
      </c>
      <c r="U924">
        <v>147.34</v>
      </c>
      <c r="V924">
        <v>8</v>
      </c>
      <c r="W924" t="s">
        <v>55</v>
      </c>
      <c r="X924">
        <v>11</v>
      </c>
      <c r="Y924">
        <v>3</v>
      </c>
      <c r="Z924">
        <v>3</v>
      </c>
      <c r="AA924">
        <v>2</v>
      </c>
      <c r="AB924">
        <v>13</v>
      </c>
      <c r="AC924">
        <v>2</v>
      </c>
      <c r="AD924">
        <v>3</v>
      </c>
      <c r="AE924">
        <v>5</v>
      </c>
      <c r="AF924">
        <v>4</v>
      </c>
      <c r="AG924">
        <v>0</v>
      </c>
      <c r="AH924">
        <v>4</v>
      </c>
      <c r="AI924">
        <f t="shared" si="98"/>
        <v>0</v>
      </c>
      <c r="AJ924" t="str">
        <f t="shared" si="99"/>
        <v>4-5 yrs</v>
      </c>
      <c r="AK924" t="str">
        <f t="shared" si="100"/>
        <v>Recent</v>
      </c>
      <c r="AL924">
        <f t="shared" si="101"/>
        <v>0</v>
      </c>
      <c r="AM924" t="str">
        <f t="shared" si="102"/>
        <v>Minimal Risk</v>
      </c>
      <c r="AN924" s="6">
        <f t="shared" si="103"/>
        <v>-0.53543311264301607</v>
      </c>
      <c r="AO924" s="7">
        <f t="shared" si="104"/>
        <v>282888</v>
      </c>
    </row>
    <row r="925" spans="1:41" x14ac:dyDescent="0.3">
      <c r="A925" t="s">
        <v>993</v>
      </c>
      <c r="B925">
        <v>39</v>
      </c>
      <c r="C925" t="s">
        <v>802</v>
      </c>
      <c r="D925" t="s">
        <v>47</v>
      </c>
      <c r="E925" t="s">
        <v>48</v>
      </c>
      <c r="F925">
        <v>1122</v>
      </c>
      <c r="G925" t="s">
        <v>735</v>
      </c>
      <c r="H925">
        <v>6</v>
      </c>
      <c r="I925">
        <v>3</v>
      </c>
      <c r="J925" t="s">
        <v>58</v>
      </c>
      <c r="K925">
        <v>932</v>
      </c>
      <c r="L925">
        <v>4</v>
      </c>
      <c r="M925" t="s">
        <v>51</v>
      </c>
      <c r="N925">
        <v>3</v>
      </c>
      <c r="O925">
        <v>1</v>
      </c>
      <c r="P925" t="s">
        <v>52</v>
      </c>
      <c r="Q925">
        <v>1</v>
      </c>
      <c r="R925" t="s">
        <v>113</v>
      </c>
      <c r="S925">
        <v>6240</v>
      </c>
      <c r="T925" t="s">
        <v>54</v>
      </c>
      <c r="U925">
        <v>39</v>
      </c>
      <c r="V925">
        <v>7</v>
      </c>
      <c r="W925" t="s">
        <v>47</v>
      </c>
      <c r="X925">
        <v>21</v>
      </c>
      <c r="Y925">
        <v>4</v>
      </c>
      <c r="Z925">
        <v>4</v>
      </c>
      <c r="AA925">
        <v>0</v>
      </c>
      <c r="AB925">
        <v>8</v>
      </c>
      <c r="AC925">
        <v>2</v>
      </c>
      <c r="AD925">
        <v>1</v>
      </c>
      <c r="AE925">
        <v>2</v>
      </c>
      <c r="AF925">
        <v>2</v>
      </c>
      <c r="AG925">
        <v>2</v>
      </c>
      <c r="AH925">
        <v>2</v>
      </c>
      <c r="AI925">
        <f t="shared" si="98"/>
        <v>1</v>
      </c>
      <c r="AJ925" t="str">
        <f t="shared" si="99"/>
        <v>2-3 yrs</v>
      </c>
      <c r="AK925" t="str">
        <f t="shared" si="100"/>
        <v>Recent</v>
      </c>
      <c r="AL925">
        <f t="shared" si="101"/>
        <v>3</v>
      </c>
      <c r="AM925" t="str">
        <f t="shared" si="102"/>
        <v>High Risk</v>
      </c>
      <c r="AN925" s="6">
        <f t="shared" si="103"/>
        <v>-0.87935174405692595</v>
      </c>
      <c r="AO925" s="7">
        <f t="shared" si="104"/>
        <v>74880</v>
      </c>
    </row>
    <row r="926" spans="1:41" x14ac:dyDescent="0.3">
      <c r="A926" t="s">
        <v>994</v>
      </c>
      <c r="B926">
        <v>39</v>
      </c>
      <c r="C926" t="s">
        <v>802</v>
      </c>
      <c r="D926" t="s">
        <v>55</v>
      </c>
      <c r="E926" t="s">
        <v>48</v>
      </c>
      <c r="F926">
        <v>903</v>
      </c>
      <c r="G926" t="s">
        <v>932</v>
      </c>
      <c r="H926">
        <v>2</v>
      </c>
      <c r="I926">
        <v>5</v>
      </c>
      <c r="J926" t="s">
        <v>50</v>
      </c>
      <c r="K926">
        <v>985</v>
      </c>
      <c r="L926">
        <v>1</v>
      </c>
      <c r="M926" t="s">
        <v>51</v>
      </c>
      <c r="N926">
        <v>4</v>
      </c>
      <c r="O926">
        <v>3</v>
      </c>
      <c r="P926" t="s">
        <v>145</v>
      </c>
      <c r="Q926">
        <v>3</v>
      </c>
      <c r="R926" t="s">
        <v>53</v>
      </c>
      <c r="S926">
        <v>44221</v>
      </c>
      <c r="T926" t="s">
        <v>72</v>
      </c>
      <c r="U926">
        <v>276.38</v>
      </c>
      <c r="V926">
        <v>0</v>
      </c>
      <c r="W926" t="s">
        <v>55</v>
      </c>
      <c r="X926">
        <v>18</v>
      </c>
      <c r="Y926">
        <v>3</v>
      </c>
      <c r="Z926">
        <v>4</v>
      </c>
      <c r="AA926">
        <v>0</v>
      </c>
      <c r="AB926">
        <v>9</v>
      </c>
      <c r="AC926">
        <v>3</v>
      </c>
      <c r="AD926">
        <v>3</v>
      </c>
      <c r="AE926">
        <v>8</v>
      </c>
      <c r="AF926">
        <v>7</v>
      </c>
      <c r="AG926">
        <v>0</v>
      </c>
      <c r="AH926">
        <v>7</v>
      </c>
      <c r="AI926">
        <f t="shared" si="98"/>
        <v>0</v>
      </c>
      <c r="AJ926" t="str">
        <f t="shared" si="99"/>
        <v>6-10 yrs</v>
      </c>
      <c r="AK926" t="str">
        <f t="shared" si="100"/>
        <v>Recent</v>
      </c>
      <c r="AL926">
        <f t="shared" si="101"/>
        <v>0</v>
      </c>
      <c r="AM926" t="str">
        <f t="shared" si="102"/>
        <v>Minimal Risk</v>
      </c>
      <c r="AN926" s="6">
        <f t="shared" si="103"/>
        <v>-9.8597019889378495E-2</v>
      </c>
      <c r="AO926" s="7">
        <f t="shared" si="104"/>
        <v>530652</v>
      </c>
    </row>
    <row r="927" spans="1:41" x14ac:dyDescent="0.3">
      <c r="A927" t="s">
        <v>995</v>
      </c>
      <c r="B927">
        <v>39</v>
      </c>
      <c r="C927" t="s">
        <v>802</v>
      </c>
      <c r="D927" t="s">
        <v>55</v>
      </c>
      <c r="E927" t="s">
        <v>48</v>
      </c>
      <c r="F927">
        <v>466</v>
      </c>
      <c r="G927" t="s">
        <v>735</v>
      </c>
      <c r="H927">
        <v>1</v>
      </c>
      <c r="I927">
        <v>1</v>
      </c>
      <c r="J927" t="s">
        <v>50</v>
      </c>
      <c r="K927">
        <v>1026</v>
      </c>
      <c r="L927">
        <v>4</v>
      </c>
      <c r="M927" t="s">
        <v>59</v>
      </c>
      <c r="N927">
        <v>2</v>
      </c>
      <c r="O927">
        <v>4</v>
      </c>
      <c r="P927" t="s">
        <v>120</v>
      </c>
      <c r="Q927">
        <v>4</v>
      </c>
      <c r="R927" t="s">
        <v>113</v>
      </c>
      <c r="S927">
        <v>11478</v>
      </c>
      <c r="T927" t="s">
        <v>54</v>
      </c>
      <c r="U927">
        <v>71.739999999999995</v>
      </c>
      <c r="V927">
        <v>1</v>
      </c>
      <c r="W927" t="s">
        <v>55</v>
      </c>
      <c r="X927">
        <v>16</v>
      </c>
      <c r="Y927">
        <v>3</v>
      </c>
      <c r="Z927">
        <v>3</v>
      </c>
      <c r="AA927">
        <v>1</v>
      </c>
      <c r="AB927">
        <v>21</v>
      </c>
      <c r="AC927">
        <v>3</v>
      </c>
      <c r="AD927">
        <v>3</v>
      </c>
      <c r="AE927">
        <v>21</v>
      </c>
      <c r="AF927">
        <v>6</v>
      </c>
      <c r="AG927">
        <v>11</v>
      </c>
      <c r="AH927">
        <v>8</v>
      </c>
      <c r="AI927">
        <f t="shared" si="98"/>
        <v>0</v>
      </c>
      <c r="AJ927" t="str">
        <f t="shared" si="99"/>
        <v>10+ yrs</v>
      </c>
      <c r="AK927" t="str">
        <f t="shared" si="100"/>
        <v>Overdue</v>
      </c>
      <c r="AL927">
        <f t="shared" si="101"/>
        <v>1</v>
      </c>
      <c r="AM927" t="str">
        <f t="shared" si="102"/>
        <v>Low Risk</v>
      </c>
      <c r="AN927" s="6">
        <f t="shared" si="103"/>
        <v>-0.7408756511206922</v>
      </c>
      <c r="AO927" s="7">
        <f t="shared" si="104"/>
        <v>137736</v>
      </c>
    </row>
    <row r="928" spans="1:41" x14ac:dyDescent="0.3">
      <c r="A928" t="s">
        <v>996</v>
      </c>
      <c r="B928">
        <v>39</v>
      </c>
      <c r="C928" t="s">
        <v>802</v>
      </c>
      <c r="D928" t="s">
        <v>55</v>
      </c>
      <c r="E928" t="s">
        <v>62</v>
      </c>
      <c r="F928">
        <v>945</v>
      </c>
      <c r="G928" t="s">
        <v>735</v>
      </c>
      <c r="H928">
        <v>22</v>
      </c>
      <c r="I928">
        <v>3</v>
      </c>
      <c r="J928" t="s">
        <v>58</v>
      </c>
      <c r="K928">
        <v>1043</v>
      </c>
      <c r="L928">
        <v>4</v>
      </c>
      <c r="M928" t="s">
        <v>59</v>
      </c>
      <c r="N928">
        <v>3</v>
      </c>
      <c r="O928">
        <v>3</v>
      </c>
      <c r="P928" t="s">
        <v>120</v>
      </c>
      <c r="Q928">
        <v>1</v>
      </c>
      <c r="R928" t="s">
        <v>53</v>
      </c>
      <c r="S928">
        <v>56645</v>
      </c>
      <c r="T928" t="s">
        <v>64</v>
      </c>
      <c r="U928">
        <v>354.03</v>
      </c>
      <c r="V928">
        <v>1</v>
      </c>
      <c r="W928" t="s">
        <v>47</v>
      </c>
      <c r="X928">
        <v>13</v>
      </c>
      <c r="Y928">
        <v>3</v>
      </c>
      <c r="Z928">
        <v>3</v>
      </c>
      <c r="AA928">
        <v>0</v>
      </c>
      <c r="AB928">
        <v>21</v>
      </c>
      <c r="AC928">
        <v>2</v>
      </c>
      <c r="AD928">
        <v>3</v>
      </c>
      <c r="AE928">
        <v>21</v>
      </c>
      <c r="AF928">
        <v>6</v>
      </c>
      <c r="AG928">
        <v>2</v>
      </c>
      <c r="AH928">
        <v>8</v>
      </c>
      <c r="AI928">
        <f t="shared" si="98"/>
        <v>0</v>
      </c>
      <c r="AJ928" t="str">
        <f t="shared" si="99"/>
        <v>10+ yrs</v>
      </c>
      <c r="AK928" t="str">
        <f t="shared" si="100"/>
        <v>Recent</v>
      </c>
      <c r="AL928">
        <f t="shared" si="101"/>
        <v>2</v>
      </c>
      <c r="AM928" t="str">
        <f t="shared" si="102"/>
        <v>Medium Risk</v>
      </c>
      <c r="AN928" s="6">
        <f t="shared" si="103"/>
        <v>0.27880281776166477</v>
      </c>
      <c r="AO928" s="7">
        <f t="shared" si="104"/>
        <v>679740</v>
      </c>
    </row>
    <row r="929" spans="1:41" x14ac:dyDescent="0.3">
      <c r="A929" t="s">
        <v>997</v>
      </c>
      <c r="B929">
        <v>39</v>
      </c>
      <c r="C929" t="s">
        <v>802</v>
      </c>
      <c r="D929" t="s">
        <v>47</v>
      </c>
      <c r="E929" t="s">
        <v>62</v>
      </c>
      <c r="F929">
        <v>203</v>
      </c>
      <c r="G929" t="s">
        <v>735</v>
      </c>
      <c r="H929">
        <v>2</v>
      </c>
      <c r="I929">
        <v>3</v>
      </c>
      <c r="J929" t="s">
        <v>50</v>
      </c>
      <c r="K929">
        <v>1127</v>
      </c>
      <c r="L929">
        <v>1</v>
      </c>
      <c r="M929" t="s">
        <v>51</v>
      </c>
      <c r="N929">
        <v>3</v>
      </c>
      <c r="O929">
        <v>4</v>
      </c>
      <c r="P929" t="s">
        <v>168</v>
      </c>
      <c r="Q929">
        <v>4</v>
      </c>
      <c r="R929" t="s">
        <v>53</v>
      </c>
      <c r="S929">
        <v>20262</v>
      </c>
      <c r="T929" t="s">
        <v>54</v>
      </c>
      <c r="U929">
        <v>126.64</v>
      </c>
      <c r="V929">
        <v>7</v>
      </c>
      <c r="W929" t="s">
        <v>55</v>
      </c>
      <c r="X929">
        <v>11</v>
      </c>
      <c r="Y929">
        <v>3</v>
      </c>
      <c r="Z929">
        <v>4</v>
      </c>
      <c r="AA929">
        <v>3</v>
      </c>
      <c r="AB929">
        <v>21</v>
      </c>
      <c r="AC929">
        <v>4</v>
      </c>
      <c r="AD929">
        <v>3</v>
      </c>
      <c r="AE929">
        <v>18</v>
      </c>
      <c r="AF929">
        <v>7</v>
      </c>
      <c r="AG929">
        <v>11</v>
      </c>
      <c r="AH929">
        <v>5</v>
      </c>
      <c r="AI929">
        <f t="shared" si="98"/>
        <v>1</v>
      </c>
      <c r="AJ929" t="str">
        <f t="shared" si="99"/>
        <v>10+ yrs</v>
      </c>
      <c r="AK929" t="str">
        <f t="shared" si="100"/>
        <v>Overdue</v>
      </c>
      <c r="AL929">
        <f t="shared" si="101"/>
        <v>1</v>
      </c>
      <c r="AM929" t="str">
        <f t="shared" si="102"/>
        <v>Low Risk</v>
      </c>
      <c r="AN929" s="6">
        <f t="shared" si="103"/>
        <v>-0.57953184475459796</v>
      </c>
      <c r="AO929" s="7">
        <f t="shared" si="104"/>
        <v>243144</v>
      </c>
    </row>
    <row r="930" spans="1:41" x14ac:dyDescent="0.3">
      <c r="A930" t="s">
        <v>998</v>
      </c>
      <c r="B930">
        <v>39</v>
      </c>
      <c r="C930" t="s">
        <v>802</v>
      </c>
      <c r="D930" t="s">
        <v>55</v>
      </c>
      <c r="E930" t="s">
        <v>66</v>
      </c>
      <c r="F930">
        <v>439</v>
      </c>
      <c r="G930" t="s">
        <v>735</v>
      </c>
      <c r="H930">
        <v>9</v>
      </c>
      <c r="I930">
        <v>3</v>
      </c>
      <c r="J930" t="s">
        <v>50</v>
      </c>
      <c r="K930">
        <v>1132</v>
      </c>
      <c r="L930">
        <v>3</v>
      </c>
      <c r="M930" t="s">
        <v>51</v>
      </c>
      <c r="N930">
        <v>3</v>
      </c>
      <c r="O930">
        <v>2</v>
      </c>
      <c r="P930" t="s">
        <v>52</v>
      </c>
      <c r="Q930">
        <v>2</v>
      </c>
      <c r="R930" t="s">
        <v>53</v>
      </c>
      <c r="S930">
        <v>53796</v>
      </c>
      <c r="T930" t="s">
        <v>64</v>
      </c>
      <c r="U930">
        <v>336.22</v>
      </c>
      <c r="V930">
        <v>9</v>
      </c>
      <c r="W930" t="s">
        <v>55</v>
      </c>
      <c r="X930">
        <v>15</v>
      </c>
      <c r="Y930">
        <v>3</v>
      </c>
      <c r="Z930">
        <v>3</v>
      </c>
      <c r="AA930">
        <v>0</v>
      </c>
      <c r="AB930">
        <v>9</v>
      </c>
      <c r="AC930">
        <v>2</v>
      </c>
      <c r="AD930">
        <v>2</v>
      </c>
      <c r="AE930">
        <v>5</v>
      </c>
      <c r="AF930">
        <v>4</v>
      </c>
      <c r="AG930">
        <v>0</v>
      </c>
      <c r="AH930">
        <v>3</v>
      </c>
      <c r="AI930">
        <f t="shared" si="98"/>
        <v>0</v>
      </c>
      <c r="AJ930" t="str">
        <f t="shared" si="99"/>
        <v>4-5 yrs</v>
      </c>
      <c r="AK930" t="str">
        <f t="shared" si="100"/>
        <v>Recent</v>
      </c>
      <c r="AL930">
        <f t="shared" si="101"/>
        <v>2</v>
      </c>
      <c r="AM930" t="str">
        <f t="shared" si="102"/>
        <v>Medium Risk</v>
      </c>
      <c r="AN930" s="6">
        <f t="shared" si="103"/>
        <v>4.0127175755386019E-2</v>
      </c>
      <c r="AO930" s="7">
        <f t="shared" si="104"/>
        <v>645552</v>
      </c>
    </row>
    <row r="931" spans="1:41" x14ac:dyDescent="0.3">
      <c r="A931" t="s">
        <v>999</v>
      </c>
      <c r="B931">
        <v>39</v>
      </c>
      <c r="C931" t="s">
        <v>802</v>
      </c>
      <c r="D931" t="s">
        <v>55</v>
      </c>
      <c r="E931" t="s">
        <v>48</v>
      </c>
      <c r="F931">
        <v>412</v>
      </c>
      <c r="G931" t="s">
        <v>735</v>
      </c>
      <c r="H931">
        <v>13</v>
      </c>
      <c r="I931">
        <v>4</v>
      </c>
      <c r="J931" t="s">
        <v>58</v>
      </c>
      <c r="K931">
        <v>1307</v>
      </c>
      <c r="L931">
        <v>3</v>
      </c>
      <c r="M931" t="s">
        <v>59</v>
      </c>
      <c r="N931">
        <v>2</v>
      </c>
      <c r="O931">
        <v>4</v>
      </c>
      <c r="P931" t="s">
        <v>444</v>
      </c>
      <c r="Q931">
        <v>2</v>
      </c>
      <c r="R931" t="s">
        <v>113</v>
      </c>
      <c r="S931">
        <v>5432</v>
      </c>
      <c r="T931" t="s">
        <v>54</v>
      </c>
      <c r="U931">
        <v>33.950000000000003</v>
      </c>
      <c r="V931">
        <v>6</v>
      </c>
      <c r="W931" t="s">
        <v>47</v>
      </c>
      <c r="X931">
        <v>13</v>
      </c>
      <c r="Y931">
        <v>3</v>
      </c>
      <c r="Z931">
        <v>4</v>
      </c>
      <c r="AA931">
        <v>2</v>
      </c>
      <c r="AB931">
        <v>21</v>
      </c>
      <c r="AC931">
        <v>4</v>
      </c>
      <c r="AD931">
        <v>3</v>
      </c>
      <c r="AE931">
        <v>19</v>
      </c>
      <c r="AF931">
        <v>9</v>
      </c>
      <c r="AG931">
        <v>15</v>
      </c>
      <c r="AH931">
        <v>2</v>
      </c>
      <c r="AI931">
        <f t="shared" si="98"/>
        <v>0</v>
      </c>
      <c r="AJ931" t="str">
        <f t="shared" si="99"/>
        <v>10+ yrs</v>
      </c>
      <c r="AK931" t="str">
        <f t="shared" si="100"/>
        <v>Overdue</v>
      </c>
      <c r="AL931">
        <f t="shared" si="101"/>
        <v>3</v>
      </c>
      <c r="AM931" t="str">
        <f t="shared" si="102"/>
        <v>High Risk</v>
      </c>
      <c r="AN931" s="6">
        <f t="shared" si="103"/>
        <v>-0.89593533560170602</v>
      </c>
      <c r="AO931" s="7">
        <f t="shared" si="104"/>
        <v>65184</v>
      </c>
    </row>
    <row r="932" spans="1:41" x14ac:dyDescent="0.3">
      <c r="A932" t="s">
        <v>1000</v>
      </c>
      <c r="B932">
        <v>39</v>
      </c>
      <c r="C932" t="s">
        <v>802</v>
      </c>
      <c r="D932" t="s">
        <v>47</v>
      </c>
      <c r="E932" t="s">
        <v>48</v>
      </c>
      <c r="F932">
        <v>360</v>
      </c>
      <c r="G932" t="s">
        <v>735</v>
      </c>
      <c r="H932">
        <v>23</v>
      </c>
      <c r="I932">
        <v>3</v>
      </c>
      <c r="J932" t="s">
        <v>58</v>
      </c>
      <c r="K932">
        <v>1310</v>
      </c>
      <c r="L932">
        <v>3</v>
      </c>
      <c r="M932" t="s">
        <v>51</v>
      </c>
      <c r="N932">
        <v>3</v>
      </c>
      <c r="O932">
        <v>1</v>
      </c>
      <c r="P932" t="s">
        <v>67</v>
      </c>
      <c r="Q932">
        <v>1</v>
      </c>
      <c r="R932" t="s">
        <v>53</v>
      </c>
      <c r="S932">
        <v>96257</v>
      </c>
      <c r="T932" t="s">
        <v>70</v>
      </c>
      <c r="U932">
        <v>601.61</v>
      </c>
      <c r="V932">
        <v>0</v>
      </c>
      <c r="W932" t="s">
        <v>55</v>
      </c>
      <c r="X932">
        <v>13</v>
      </c>
      <c r="Y932">
        <v>3</v>
      </c>
      <c r="Z932">
        <v>1</v>
      </c>
      <c r="AA932">
        <v>0</v>
      </c>
      <c r="AB932">
        <v>6</v>
      </c>
      <c r="AC932">
        <v>2</v>
      </c>
      <c r="AD932">
        <v>3</v>
      </c>
      <c r="AE932">
        <v>5</v>
      </c>
      <c r="AF932">
        <v>2</v>
      </c>
      <c r="AG932">
        <v>0</v>
      </c>
      <c r="AH932">
        <v>3</v>
      </c>
      <c r="AI932">
        <f t="shared" si="98"/>
        <v>1</v>
      </c>
      <c r="AJ932" t="str">
        <f t="shared" si="99"/>
        <v>4-5 yrs</v>
      </c>
      <c r="AK932" t="str">
        <f t="shared" si="100"/>
        <v>Recent</v>
      </c>
      <c r="AL932">
        <f t="shared" si="101"/>
        <v>1</v>
      </c>
      <c r="AM932" t="str">
        <f t="shared" si="102"/>
        <v>Low Risk</v>
      </c>
      <c r="AN932" s="6">
        <f t="shared" si="103"/>
        <v>0.93030927600794144</v>
      </c>
      <c r="AO932" s="7">
        <f t="shared" si="104"/>
        <v>1155084</v>
      </c>
    </row>
    <row r="933" spans="1:41" x14ac:dyDescent="0.3">
      <c r="A933" t="s">
        <v>1001</v>
      </c>
      <c r="B933">
        <v>39</v>
      </c>
      <c r="C933" t="s">
        <v>802</v>
      </c>
      <c r="D933" t="s">
        <v>55</v>
      </c>
      <c r="E933" t="s">
        <v>48</v>
      </c>
      <c r="F933">
        <v>524</v>
      </c>
      <c r="G933" t="s">
        <v>735</v>
      </c>
      <c r="H933">
        <v>18</v>
      </c>
      <c r="I933">
        <v>2</v>
      </c>
      <c r="J933" t="s">
        <v>50</v>
      </c>
      <c r="K933">
        <v>1322</v>
      </c>
      <c r="L933">
        <v>1</v>
      </c>
      <c r="M933" t="s">
        <v>51</v>
      </c>
      <c r="N933">
        <v>3</v>
      </c>
      <c r="O933">
        <v>2</v>
      </c>
      <c r="P933" t="s">
        <v>120</v>
      </c>
      <c r="Q933">
        <v>3</v>
      </c>
      <c r="R933" t="s">
        <v>53</v>
      </c>
      <c r="S933">
        <v>65291</v>
      </c>
      <c r="T933" t="s">
        <v>64</v>
      </c>
      <c r="U933">
        <v>408.07</v>
      </c>
      <c r="V933">
        <v>0</v>
      </c>
      <c r="W933" t="s">
        <v>55</v>
      </c>
      <c r="X933">
        <v>11</v>
      </c>
      <c r="Y933">
        <v>3</v>
      </c>
      <c r="Z933">
        <v>1</v>
      </c>
      <c r="AA933">
        <v>0</v>
      </c>
      <c r="AB933">
        <v>9</v>
      </c>
      <c r="AC933">
        <v>6</v>
      </c>
      <c r="AD933">
        <v>3</v>
      </c>
      <c r="AE933">
        <v>8</v>
      </c>
      <c r="AF933">
        <v>7</v>
      </c>
      <c r="AG933">
        <v>1</v>
      </c>
      <c r="AH933">
        <v>7</v>
      </c>
      <c r="AI933">
        <f t="shared" si="98"/>
        <v>0</v>
      </c>
      <c r="AJ933" t="str">
        <f t="shared" si="99"/>
        <v>6-10 yrs</v>
      </c>
      <c r="AK933" t="str">
        <f t="shared" si="100"/>
        <v>Recent</v>
      </c>
      <c r="AL933">
        <f t="shared" si="101"/>
        <v>0</v>
      </c>
      <c r="AM933" t="str">
        <f t="shared" si="102"/>
        <v>Minimal Risk</v>
      </c>
      <c r="AN933" s="6">
        <f t="shared" si="103"/>
        <v>0.47399266968800163</v>
      </c>
      <c r="AO933" s="7">
        <f t="shared" si="104"/>
        <v>783492</v>
      </c>
    </row>
    <row r="934" spans="1:41" x14ac:dyDescent="0.3">
      <c r="A934" t="s">
        <v>1002</v>
      </c>
      <c r="B934">
        <v>39</v>
      </c>
      <c r="C934" t="s">
        <v>802</v>
      </c>
      <c r="D934" t="s">
        <v>55</v>
      </c>
      <c r="E934" t="s">
        <v>48</v>
      </c>
      <c r="F934">
        <v>1498</v>
      </c>
      <c r="G934" t="s">
        <v>932</v>
      </c>
      <c r="H934">
        <v>21</v>
      </c>
      <c r="I934">
        <v>4</v>
      </c>
      <c r="J934" t="s">
        <v>50</v>
      </c>
      <c r="K934">
        <v>1390</v>
      </c>
      <c r="L934">
        <v>1</v>
      </c>
      <c r="M934" t="s">
        <v>51</v>
      </c>
      <c r="N934">
        <v>2</v>
      </c>
      <c r="O934">
        <v>2</v>
      </c>
      <c r="P934" t="s">
        <v>145</v>
      </c>
      <c r="Q934">
        <v>4</v>
      </c>
      <c r="R934" t="s">
        <v>113</v>
      </c>
      <c r="S934">
        <v>80104</v>
      </c>
      <c r="T934" t="s">
        <v>64</v>
      </c>
      <c r="U934">
        <v>500.65</v>
      </c>
      <c r="V934">
        <v>3</v>
      </c>
      <c r="W934" t="s">
        <v>47</v>
      </c>
      <c r="X934">
        <v>12</v>
      </c>
      <c r="Y934">
        <v>3</v>
      </c>
      <c r="Z934">
        <v>4</v>
      </c>
      <c r="AA934">
        <v>2</v>
      </c>
      <c r="AB934">
        <v>8</v>
      </c>
      <c r="AC934">
        <v>2</v>
      </c>
      <c r="AD934">
        <v>4</v>
      </c>
      <c r="AE934">
        <v>5</v>
      </c>
      <c r="AF934">
        <v>4</v>
      </c>
      <c r="AG934">
        <v>1</v>
      </c>
      <c r="AH934">
        <v>4</v>
      </c>
      <c r="AI934">
        <f t="shared" si="98"/>
        <v>0</v>
      </c>
      <c r="AJ934" t="str">
        <f t="shared" si="99"/>
        <v>4-5 yrs</v>
      </c>
      <c r="AK934" t="str">
        <f t="shared" si="100"/>
        <v>Recent</v>
      </c>
      <c r="AL934">
        <f t="shared" si="101"/>
        <v>1</v>
      </c>
      <c r="AM934" t="str">
        <f t="shared" si="102"/>
        <v>Low Risk</v>
      </c>
      <c r="AN934" s="6">
        <f t="shared" si="103"/>
        <v>0.63284376922234287</v>
      </c>
      <c r="AO934" s="7">
        <f t="shared" si="104"/>
        <v>961248</v>
      </c>
    </row>
    <row r="935" spans="1:41" x14ac:dyDescent="0.3">
      <c r="A935" t="s">
        <v>1003</v>
      </c>
      <c r="B935">
        <v>39</v>
      </c>
      <c r="C935" t="s">
        <v>802</v>
      </c>
      <c r="D935" t="s">
        <v>55</v>
      </c>
      <c r="E935" t="s">
        <v>66</v>
      </c>
      <c r="F935">
        <v>1485</v>
      </c>
      <c r="G935" t="s">
        <v>735</v>
      </c>
      <c r="H935">
        <v>25</v>
      </c>
      <c r="I935">
        <v>2</v>
      </c>
      <c r="J935" t="s">
        <v>50</v>
      </c>
      <c r="K935">
        <v>1397</v>
      </c>
      <c r="L935">
        <v>3</v>
      </c>
      <c r="M935" t="s">
        <v>51</v>
      </c>
      <c r="N935">
        <v>3</v>
      </c>
      <c r="O935">
        <v>3</v>
      </c>
      <c r="P935" t="s">
        <v>168</v>
      </c>
      <c r="Q935">
        <v>3</v>
      </c>
      <c r="R935" t="s">
        <v>113</v>
      </c>
      <c r="S935">
        <v>60399</v>
      </c>
      <c r="T935" t="s">
        <v>64</v>
      </c>
      <c r="U935">
        <v>377.49</v>
      </c>
      <c r="V935">
        <v>3</v>
      </c>
      <c r="W935" t="s">
        <v>55</v>
      </c>
      <c r="X935">
        <v>21</v>
      </c>
      <c r="Y935">
        <v>4</v>
      </c>
      <c r="Z935">
        <v>2</v>
      </c>
      <c r="AA935">
        <v>1</v>
      </c>
      <c r="AB935">
        <v>13</v>
      </c>
      <c r="AC935">
        <v>2</v>
      </c>
      <c r="AD935">
        <v>3</v>
      </c>
      <c r="AE935">
        <v>6</v>
      </c>
      <c r="AF935">
        <v>4</v>
      </c>
      <c r="AG935">
        <v>0</v>
      </c>
      <c r="AH935">
        <v>5</v>
      </c>
      <c r="AI935">
        <f t="shared" si="98"/>
        <v>0</v>
      </c>
      <c r="AJ935" t="str">
        <f t="shared" si="99"/>
        <v>6-10 yrs</v>
      </c>
      <c r="AK935" t="str">
        <f t="shared" si="100"/>
        <v>Recent</v>
      </c>
      <c r="AL935">
        <f t="shared" si="101"/>
        <v>0</v>
      </c>
      <c r="AM935" t="str">
        <f t="shared" si="102"/>
        <v>Minimal Risk</v>
      </c>
      <c r="AN935" s="6">
        <f t="shared" si="103"/>
        <v>0.25337361112758067</v>
      </c>
      <c r="AO935" s="7">
        <f t="shared" si="104"/>
        <v>724788</v>
      </c>
    </row>
    <row r="936" spans="1:41" x14ac:dyDescent="0.3">
      <c r="A936" t="s">
        <v>1004</v>
      </c>
      <c r="B936">
        <v>39</v>
      </c>
      <c r="C936" t="s">
        <v>802</v>
      </c>
      <c r="D936" t="s">
        <v>47</v>
      </c>
      <c r="E936" t="s">
        <v>66</v>
      </c>
      <c r="F936">
        <v>592</v>
      </c>
      <c r="G936" t="s">
        <v>735</v>
      </c>
      <c r="H936">
        <v>2</v>
      </c>
      <c r="I936">
        <v>3</v>
      </c>
      <c r="J936" t="s">
        <v>50</v>
      </c>
      <c r="K936">
        <v>1458</v>
      </c>
      <c r="L936">
        <v>1</v>
      </c>
      <c r="M936" t="s">
        <v>59</v>
      </c>
      <c r="N936">
        <v>2</v>
      </c>
      <c r="O936">
        <v>1</v>
      </c>
      <c r="P936" t="s">
        <v>52</v>
      </c>
      <c r="Q936">
        <v>1</v>
      </c>
      <c r="R936" t="s">
        <v>53</v>
      </c>
      <c r="S936">
        <v>80714</v>
      </c>
      <c r="T936" t="s">
        <v>64</v>
      </c>
      <c r="U936">
        <v>504.46</v>
      </c>
      <c r="V936">
        <v>2</v>
      </c>
      <c r="W936" t="s">
        <v>47</v>
      </c>
      <c r="X936">
        <v>23</v>
      </c>
      <c r="Y936">
        <v>4</v>
      </c>
      <c r="Z936">
        <v>2</v>
      </c>
      <c r="AA936">
        <v>0</v>
      </c>
      <c r="AB936">
        <v>11</v>
      </c>
      <c r="AC936">
        <v>2</v>
      </c>
      <c r="AD936">
        <v>4</v>
      </c>
      <c r="AE936">
        <v>1</v>
      </c>
      <c r="AF936">
        <v>0</v>
      </c>
      <c r="AG936">
        <v>0</v>
      </c>
      <c r="AH936">
        <v>0</v>
      </c>
      <c r="AI936">
        <f t="shared" si="98"/>
        <v>1</v>
      </c>
      <c r="AJ936" t="str">
        <f t="shared" si="99"/>
        <v>0-1 yr</v>
      </c>
      <c r="AK936" t="str">
        <f t="shared" si="100"/>
        <v>Recent</v>
      </c>
      <c r="AL936">
        <f t="shared" si="101"/>
        <v>2</v>
      </c>
      <c r="AM936" t="str">
        <f t="shared" si="102"/>
        <v>Medium Risk</v>
      </c>
      <c r="AN936" s="6">
        <f t="shared" si="103"/>
        <v>0.56057745676110171</v>
      </c>
      <c r="AO936" s="7">
        <f t="shared" si="104"/>
        <v>968568</v>
      </c>
    </row>
    <row r="937" spans="1:41" x14ac:dyDescent="0.3">
      <c r="A937" t="s">
        <v>1005</v>
      </c>
      <c r="B937">
        <v>39</v>
      </c>
      <c r="C937" t="s">
        <v>802</v>
      </c>
      <c r="D937" t="s">
        <v>55</v>
      </c>
      <c r="E937" t="s">
        <v>48</v>
      </c>
      <c r="F937">
        <v>1089</v>
      </c>
      <c r="G937" t="s">
        <v>735</v>
      </c>
      <c r="H937">
        <v>6</v>
      </c>
      <c r="I937">
        <v>3</v>
      </c>
      <c r="J937" t="s">
        <v>50</v>
      </c>
      <c r="K937">
        <v>1525</v>
      </c>
      <c r="L937">
        <v>2</v>
      </c>
      <c r="M937" t="s">
        <v>59</v>
      </c>
      <c r="N937">
        <v>3</v>
      </c>
      <c r="O937">
        <v>3</v>
      </c>
      <c r="P937" t="s">
        <v>120</v>
      </c>
      <c r="Q937">
        <v>2</v>
      </c>
      <c r="R937" t="s">
        <v>53</v>
      </c>
      <c r="S937">
        <v>51428</v>
      </c>
      <c r="T937" t="s">
        <v>64</v>
      </c>
      <c r="U937">
        <v>321.42</v>
      </c>
      <c r="V937">
        <v>4</v>
      </c>
      <c r="W937" t="s">
        <v>55</v>
      </c>
      <c r="X937">
        <v>18</v>
      </c>
      <c r="Y937">
        <v>3</v>
      </c>
      <c r="Z937">
        <v>4</v>
      </c>
      <c r="AA937">
        <v>0</v>
      </c>
      <c r="AB937">
        <v>9</v>
      </c>
      <c r="AC937">
        <v>3</v>
      </c>
      <c r="AD937">
        <v>3</v>
      </c>
      <c r="AE937">
        <v>2</v>
      </c>
      <c r="AF937">
        <v>0</v>
      </c>
      <c r="AG937">
        <v>2</v>
      </c>
      <c r="AH937">
        <v>2</v>
      </c>
      <c r="AI937">
        <f t="shared" si="98"/>
        <v>0</v>
      </c>
      <c r="AJ937" t="str">
        <f t="shared" si="99"/>
        <v>2-3 yrs</v>
      </c>
      <c r="AK937" t="str">
        <f t="shared" si="100"/>
        <v>Recent</v>
      </c>
      <c r="AL937">
        <f t="shared" si="101"/>
        <v>1</v>
      </c>
      <c r="AM937" t="str">
        <f t="shared" si="102"/>
        <v>Low Risk</v>
      </c>
      <c r="AN937" s="6">
        <f t="shared" si="103"/>
        <v>0.16102517983664744</v>
      </c>
      <c r="AO937" s="7">
        <f t="shared" si="104"/>
        <v>617136</v>
      </c>
    </row>
    <row r="938" spans="1:41" x14ac:dyDescent="0.3">
      <c r="A938" t="s">
        <v>1006</v>
      </c>
      <c r="B938">
        <v>39</v>
      </c>
      <c r="C938" t="s">
        <v>802</v>
      </c>
      <c r="D938" t="s">
        <v>55</v>
      </c>
      <c r="E938" t="s">
        <v>48</v>
      </c>
      <c r="F938">
        <v>1462</v>
      </c>
      <c r="G938" t="s">
        <v>932</v>
      </c>
      <c r="H938">
        <v>6</v>
      </c>
      <c r="I938">
        <v>3</v>
      </c>
      <c r="J938" t="s">
        <v>58</v>
      </c>
      <c r="K938">
        <v>1588</v>
      </c>
      <c r="L938">
        <v>4</v>
      </c>
      <c r="M938" t="s">
        <v>51</v>
      </c>
      <c r="N938">
        <v>4</v>
      </c>
      <c r="O938">
        <v>3</v>
      </c>
      <c r="P938" t="s">
        <v>145</v>
      </c>
      <c r="Q938">
        <v>3</v>
      </c>
      <c r="R938" t="s">
        <v>113</v>
      </c>
      <c r="S938">
        <v>88731</v>
      </c>
      <c r="T938" t="s">
        <v>70</v>
      </c>
      <c r="U938">
        <v>554.57000000000005</v>
      </c>
      <c r="V938">
        <v>2</v>
      </c>
      <c r="W938" t="s">
        <v>55</v>
      </c>
      <c r="X938">
        <v>11</v>
      </c>
      <c r="Y938">
        <v>3</v>
      </c>
      <c r="Z938">
        <v>1</v>
      </c>
      <c r="AA938">
        <v>1</v>
      </c>
      <c r="AB938">
        <v>11</v>
      </c>
      <c r="AC938">
        <v>3</v>
      </c>
      <c r="AD938">
        <v>3</v>
      </c>
      <c r="AE938">
        <v>7</v>
      </c>
      <c r="AF938">
        <v>6</v>
      </c>
      <c r="AG938">
        <v>7</v>
      </c>
      <c r="AH938">
        <v>6</v>
      </c>
      <c r="AI938">
        <f t="shared" si="98"/>
        <v>0</v>
      </c>
      <c r="AJ938" t="str">
        <f t="shared" si="99"/>
        <v>6-10 yrs</v>
      </c>
      <c r="AK938" t="str">
        <f t="shared" si="100"/>
        <v>Overdue</v>
      </c>
      <c r="AL938">
        <f t="shared" si="101"/>
        <v>1</v>
      </c>
      <c r="AM938" t="str">
        <f t="shared" si="102"/>
        <v>Low Risk</v>
      </c>
      <c r="AN938" s="6">
        <f t="shared" si="103"/>
        <v>0.80869695005078035</v>
      </c>
      <c r="AO938" s="7">
        <f t="shared" si="104"/>
        <v>1064772</v>
      </c>
    </row>
    <row r="939" spans="1:41" x14ac:dyDescent="0.3">
      <c r="A939" t="s">
        <v>1007</v>
      </c>
      <c r="B939">
        <v>39</v>
      </c>
      <c r="C939" t="s">
        <v>802</v>
      </c>
      <c r="D939" t="s">
        <v>55</v>
      </c>
      <c r="E939" t="s">
        <v>48</v>
      </c>
      <c r="F939">
        <v>1387</v>
      </c>
      <c r="G939" t="s">
        <v>735</v>
      </c>
      <c r="H939">
        <v>10</v>
      </c>
      <c r="I939">
        <v>5</v>
      </c>
      <c r="J939" t="s">
        <v>58</v>
      </c>
      <c r="K939">
        <v>1618</v>
      </c>
      <c r="L939">
        <v>2</v>
      </c>
      <c r="M939" t="s">
        <v>51</v>
      </c>
      <c r="N939">
        <v>3</v>
      </c>
      <c r="O939">
        <v>2</v>
      </c>
      <c r="P939" t="s">
        <v>120</v>
      </c>
      <c r="Q939">
        <v>1</v>
      </c>
      <c r="R939" t="s">
        <v>113</v>
      </c>
      <c r="S939">
        <v>1302</v>
      </c>
      <c r="T939" t="s">
        <v>54</v>
      </c>
      <c r="U939">
        <v>8.14</v>
      </c>
      <c r="V939">
        <v>2</v>
      </c>
      <c r="W939" t="s">
        <v>55</v>
      </c>
      <c r="X939">
        <v>13</v>
      </c>
      <c r="Y939">
        <v>3</v>
      </c>
      <c r="Z939">
        <v>4</v>
      </c>
      <c r="AA939">
        <v>3</v>
      </c>
      <c r="AB939">
        <v>10</v>
      </c>
      <c r="AC939">
        <v>3</v>
      </c>
      <c r="AD939">
        <v>3</v>
      </c>
      <c r="AE939">
        <v>7</v>
      </c>
      <c r="AF939">
        <v>7</v>
      </c>
      <c r="AG939">
        <v>7</v>
      </c>
      <c r="AH939">
        <v>7</v>
      </c>
      <c r="AI939">
        <f t="shared" si="98"/>
        <v>0</v>
      </c>
      <c r="AJ939" t="str">
        <f t="shared" si="99"/>
        <v>6-10 yrs</v>
      </c>
      <c r="AK939" t="str">
        <f t="shared" si="100"/>
        <v>Overdue</v>
      </c>
      <c r="AL939">
        <f t="shared" si="101"/>
        <v>2</v>
      </c>
      <c r="AM939" t="str">
        <f t="shared" si="102"/>
        <v>Medium Risk</v>
      </c>
      <c r="AN939" s="6">
        <f t="shared" si="103"/>
        <v>-0.97060638593475701</v>
      </c>
      <c r="AO939" s="7">
        <f t="shared" si="104"/>
        <v>15624</v>
      </c>
    </row>
    <row r="940" spans="1:41" x14ac:dyDescent="0.3">
      <c r="A940" t="s">
        <v>1008</v>
      </c>
      <c r="B940">
        <v>39</v>
      </c>
      <c r="C940" t="s">
        <v>802</v>
      </c>
      <c r="D940" t="s">
        <v>55</v>
      </c>
      <c r="E940" t="s">
        <v>48</v>
      </c>
      <c r="F940">
        <v>170</v>
      </c>
      <c r="G940" t="s">
        <v>735</v>
      </c>
      <c r="H940">
        <v>3</v>
      </c>
      <c r="I940">
        <v>2</v>
      </c>
      <c r="J940" t="s">
        <v>58</v>
      </c>
      <c r="K940">
        <v>1627</v>
      </c>
      <c r="L940">
        <v>3</v>
      </c>
      <c r="M940" t="s">
        <v>51</v>
      </c>
      <c r="N940">
        <v>2</v>
      </c>
      <c r="O940">
        <v>2</v>
      </c>
      <c r="P940" t="s">
        <v>52</v>
      </c>
      <c r="Q940">
        <v>3</v>
      </c>
      <c r="R940" t="s">
        <v>113</v>
      </c>
      <c r="S940">
        <v>83558</v>
      </c>
      <c r="T940" t="s">
        <v>70</v>
      </c>
      <c r="U940">
        <v>522.24</v>
      </c>
      <c r="V940">
        <v>0</v>
      </c>
      <c r="W940" t="s">
        <v>55</v>
      </c>
      <c r="X940">
        <v>15</v>
      </c>
      <c r="Y940">
        <v>3</v>
      </c>
      <c r="Z940">
        <v>4</v>
      </c>
      <c r="AA940">
        <v>1</v>
      </c>
      <c r="AB940">
        <v>11</v>
      </c>
      <c r="AC940">
        <v>3</v>
      </c>
      <c r="AD940">
        <v>3</v>
      </c>
      <c r="AE940">
        <v>10</v>
      </c>
      <c r="AF940">
        <v>8</v>
      </c>
      <c r="AG940">
        <v>0</v>
      </c>
      <c r="AH940">
        <v>7</v>
      </c>
      <c r="AI940">
        <f t="shared" si="98"/>
        <v>0</v>
      </c>
      <c r="AJ940" t="str">
        <f t="shared" si="99"/>
        <v>6-10 yrs</v>
      </c>
      <c r="AK940" t="str">
        <f t="shared" si="100"/>
        <v>Recent</v>
      </c>
      <c r="AL940">
        <f t="shared" si="101"/>
        <v>0</v>
      </c>
      <c r="AM940" t="str">
        <f t="shared" si="102"/>
        <v>Minimal Risk</v>
      </c>
      <c r="AN940" s="6">
        <f t="shared" si="103"/>
        <v>0.6155652195659258</v>
      </c>
      <c r="AO940" s="7">
        <f t="shared" si="104"/>
        <v>1002696</v>
      </c>
    </row>
    <row r="941" spans="1:41" x14ac:dyDescent="0.3">
      <c r="A941" t="s">
        <v>1009</v>
      </c>
      <c r="B941">
        <v>39</v>
      </c>
      <c r="C941" t="s">
        <v>802</v>
      </c>
      <c r="D941" t="s">
        <v>55</v>
      </c>
      <c r="E941" t="s">
        <v>62</v>
      </c>
      <c r="F941">
        <v>711</v>
      </c>
      <c r="G941" t="s">
        <v>735</v>
      </c>
      <c r="H941">
        <v>4</v>
      </c>
      <c r="I941">
        <v>3</v>
      </c>
      <c r="J941" t="s">
        <v>58</v>
      </c>
      <c r="K941">
        <v>1633</v>
      </c>
      <c r="L941">
        <v>1</v>
      </c>
      <c r="M941" t="s">
        <v>59</v>
      </c>
      <c r="N941">
        <v>3</v>
      </c>
      <c r="O941">
        <v>2</v>
      </c>
      <c r="P941" t="s">
        <v>120</v>
      </c>
      <c r="Q941">
        <v>3</v>
      </c>
      <c r="R941" t="s">
        <v>53</v>
      </c>
      <c r="S941">
        <v>1055</v>
      </c>
      <c r="T941" t="s">
        <v>54</v>
      </c>
      <c r="U941">
        <v>6.59</v>
      </c>
      <c r="V941">
        <v>0</v>
      </c>
      <c r="W941" t="s">
        <v>55</v>
      </c>
      <c r="X941">
        <v>13</v>
      </c>
      <c r="Y941">
        <v>3</v>
      </c>
      <c r="Z941">
        <v>4</v>
      </c>
      <c r="AA941">
        <v>0</v>
      </c>
      <c r="AB941">
        <v>10</v>
      </c>
      <c r="AC941">
        <v>2</v>
      </c>
      <c r="AD941">
        <v>1</v>
      </c>
      <c r="AE941">
        <v>9</v>
      </c>
      <c r="AF941">
        <v>2</v>
      </c>
      <c r="AG941">
        <v>3</v>
      </c>
      <c r="AH941">
        <v>8</v>
      </c>
      <c r="AI941">
        <f t="shared" si="98"/>
        <v>0</v>
      </c>
      <c r="AJ941" t="str">
        <f t="shared" si="99"/>
        <v>6-10 yrs</v>
      </c>
      <c r="AK941" t="str">
        <f t="shared" si="100"/>
        <v>Overdue</v>
      </c>
      <c r="AL941">
        <f t="shared" si="101"/>
        <v>2</v>
      </c>
      <c r="AM941" t="str">
        <f t="shared" si="102"/>
        <v>Medium Risk</v>
      </c>
      <c r="AN941" s="6">
        <f t="shared" si="103"/>
        <v>-0.97618259382578243</v>
      </c>
      <c r="AO941" s="7">
        <f t="shared" si="104"/>
        <v>12660</v>
      </c>
    </row>
    <row r="942" spans="1:41" x14ac:dyDescent="0.3">
      <c r="A942" t="s">
        <v>1010</v>
      </c>
      <c r="B942">
        <v>39</v>
      </c>
      <c r="C942" t="s">
        <v>802</v>
      </c>
      <c r="D942" t="s">
        <v>55</v>
      </c>
      <c r="E942" t="s">
        <v>48</v>
      </c>
      <c r="F942">
        <v>492</v>
      </c>
      <c r="G942" t="s">
        <v>735</v>
      </c>
      <c r="H942">
        <v>12</v>
      </c>
      <c r="I942">
        <v>3</v>
      </c>
      <c r="J942" t="s">
        <v>58</v>
      </c>
      <c r="K942">
        <v>1654</v>
      </c>
      <c r="L942">
        <v>4</v>
      </c>
      <c r="M942" t="s">
        <v>51</v>
      </c>
      <c r="N942">
        <v>3</v>
      </c>
      <c r="O942">
        <v>2</v>
      </c>
      <c r="P942" t="s">
        <v>120</v>
      </c>
      <c r="Q942">
        <v>2</v>
      </c>
      <c r="R942" t="s">
        <v>113</v>
      </c>
      <c r="S942">
        <v>9717</v>
      </c>
      <c r="T942" t="s">
        <v>54</v>
      </c>
      <c r="U942">
        <v>60.73</v>
      </c>
      <c r="V942">
        <v>4</v>
      </c>
      <c r="W942" t="s">
        <v>55</v>
      </c>
      <c r="X942">
        <v>21</v>
      </c>
      <c r="Y942">
        <v>4</v>
      </c>
      <c r="Z942">
        <v>3</v>
      </c>
      <c r="AA942">
        <v>0</v>
      </c>
      <c r="AB942">
        <v>7</v>
      </c>
      <c r="AC942">
        <v>3</v>
      </c>
      <c r="AD942">
        <v>3</v>
      </c>
      <c r="AE942">
        <v>5</v>
      </c>
      <c r="AF942">
        <v>4</v>
      </c>
      <c r="AG942">
        <v>1</v>
      </c>
      <c r="AH942">
        <v>0</v>
      </c>
      <c r="AI942">
        <f t="shared" si="98"/>
        <v>0</v>
      </c>
      <c r="AJ942" t="str">
        <f t="shared" si="99"/>
        <v>4-5 yrs</v>
      </c>
      <c r="AK942" t="str">
        <f t="shared" si="100"/>
        <v>Recent</v>
      </c>
      <c r="AL942">
        <f t="shared" si="101"/>
        <v>1</v>
      </c>
      <c r="AM942" t="str">
        <f t="shared" si="102"/>
        <v>Low Risk</v>
      </c>
      <c r="AN942" s="6">
        <f t="shared" si="103"/>
        <v>-0.78063153005225361</v>
      </c>
      <c r="AO942" s="7">
        <f t="shared" si="104"/>
        <v>116604</v>
      </c>
    </row>
    <row r="943" spans="1:41" x14ac:dyDescent="0.3">
      <c r="A943" t="s">
        <v>1011</v>
      </c>
      <c r="B943">
        <v>39</v>
      </c>
      <c r="C943" t="s">
        <v>802</v>
      </c>
      <c r="D943" t="s">
        <v>55</v>
      </c>
      <c r="E943" t="s">
        <v>66</v>
      </c>
      <c r="F943">
        <v>792</v>
      </c>
      <c r="G943" t="s">
        <v>735</v>
      </c>
      <c r="H943">
        <v>1</v>
      </c>
      <c r="I943">
        <v>3</v>
      </c>
      <c r="J943" t="s">
        <v>50</v>
      </c>
      <c r="K943">
        <v>1737</v>
      </c>
      <c r="L943">
        <v>4</v>
      </c>
      <c r="M943" t="s">
        <v>51</v>
      </c>
      <c r="N943">
        <v>3</v>
      </c>
      <c r="O943">
        <v>2</v>
      </c>
      <c r="P943" t="s">
        <v>52</v>
      </c>
      <c r="Q943">
        <v>4</v>
      </c>
      <c r="R943" t="s">
        <v>113</v>
      </c>
      <c r="S943">
        <v>29699</v>
      </c>
      <c r="T943" t="s">
        <v>72</v>
      </c>
      <c r="U943">
        <v>185.62</v>
      </c>
      <c r="V943">
        <v>1</v>
      </c>
      <c r="W943" t="s">
        <v>47</v>
      </c>
      <c r="X943">
        <v>15</v>
      </c>
      <c r="Y943">
        <v>3</v>
      </c>
      <c r="Z943">
        <v>4</v>
      </c>
      <c r="AA943">
        <v>1</v>
      </c>
      <c r="AB943">
        <v>9</v>
      </c>
      <c r="AC943">
        <v>2</v>
      </c>
      <c r="AD943">
        <v>3</v>
      </c>
      <c r="AE943">
        <v>9</v>
      </c>
      <c r="AF943">
        <v>8</v>
      </c>
      <c r="AG943">
        <v>5</v>
      </c>
      <c r="AH943">
        <v>8</v>
      </c>
      <c r="AI943">
        <f t="shared" si="98"/>
        <v>0</v>
      </c>
      <c r="AJ943" t="str">
        <f t="shared" si="99"/>
        <v>6-10 yrs</v>
      </c>
      <c r="AK943" t="str">
        <f t="shared" si="100"/>
        <v>Overdue</v>
      </c>
      <c r="AL943">
        <f t="shared" si="101"/>
        <v>2</v>
      </c>
      <c r="AM943" t="str">
        <f t="shared" si="102"/>
        <v>Medium Risk</v>
      </c>
      <c r="AN943" s="6">
        <f t="shared" si="103"/>
        <v>-0.42578003954273164</v>
      </c>
      <c r="AO943" s="7">
        <f t="shared" si="104"/>
        <v>356388</v>
      </c>
    </row>
    <row r="944" spans="1:41" x14ac:dyDescent="0.3">
      <c r="A944" t="s">
        <v>1012</v>
      </c>
      <c r="B944">
        <v>39</v>
      </c>
      <c r="C944" t="s">
        <v>802</v>
      </c>
      <c r="D944" t="s">
        <v>55</v>
      </c>
      <c r="E944" t="s">
        <v>48</v>
      </c>
      <c r="F944">
        <v>1253</v>
      </c>
      <c r="G944" t="s">
        <v>735</v>
      </c>
      <c r="H944">
        <v>10</v>
      </c>
      <c r="I944">
        <v>1</v>
      </c>
      <c r="J944" t="s">
        <v>58</v>
      </c>
      <c r="K944">
        <v>1800</v>
      </c>
      <c r="L944">
        <v>3</v>
      </c>
      <c r="M944" t="s">
        <v>51</v>
      </c>
      <c r="N944">
        <v>3</v>
      </c>
      <c r="O944">
        <v>3</v>
      </c>
      <c r="P944" t="s">
        <v>257</v>
      </c>
      <c r="Q944">
        <v>3</v>
      </c>
      <c r="R944" t="s">
        <v>53</v>
      </c>
      <c r="S944">
        <v>74686</v>
      </c>
      <c r="T944" t="s">
        <v>64</v>
      </c>
      <c r="U944">
        <v>466.79</v>
      </c>
      <c r="V944">
        <v>7</v>
      </c>
      <c r="W944" t="s">
        <v>55</v>
      </c>
      <c r="X944">
        <v>21</v>
      </c>
      <c r="Y944">
        <v>4</v>
      </c>
      <c r="Z944">
        <v>3</v>
      </c>
      <c r="AA944">
        <v>0</v>
      </c>
      <c r="AB944">
        <v>9</v>
      </c>
      <c r="AC944">
        <v>3</v>
      </c>
      <c r="AD944">
        <v>3</v>
      </c>
      <c r="AE944">
        <v>4</v>
      </c>
      <c r="AF944">
        <v>3</v>
      </c>
      <c r="AG944">
        <v>2</v>
      </c>
      <c r="AH944">
        <v>2</v>
      </c>
      <c r="AI944">
        <f t="shared" si="98"/>
        <v>0</v>
      </c>
      <c r="AJ944" t="str">
        <f t="shared" si="99"/>
        <v>4-5 yrs</v>
      </c>
      <c r="AK944" t="str">
        <f t="shared" si="100"/>
        <v>Recent</v>
      </c>
      <c r="AL944">
        <f t="shared" si="101"/>
        <v>0</v>
      </c>
      <c r="AM944" t="str">
        <f t="shared" si="102"/>
        <v>Minimal Risk</v>
      </c>
      <c r="AN944" s="6">
        <f t="shared" si="103"/>
        <v>0.47417029069001448</v>
      </c>
      <c r="AO944" s="7">
        <f t="shared" si="104"/>
        <v>896232</v>
      </c>
    </row>
    <row r="945" spans="1:41" x14ac:dyDescent="0.3">
      <c r="A945" t="s">
        <v>1013</v>
      </c>
      <c r="B945">
        <v>39</v>
      </c>
      <c r="C945" t="s">
        <v>802</v>
      </c>
      <c r="D945" t="s">
        <v>55</v>
      </c>
      <c r="E945" t="s">
        <v>62</v>
      </c>
      <c r="F945">
        <v>766</v>
      </c>
      <c r="G945" t="s">
        <v>932</v>
      </c>
      <c r="H945">
        <v>20</v>
      </c>
      <c r="I945">
        <v>3</v>
      </c>
      <c r="J945" t="s">
        <v>50</v>
      </c>
      <c r="K945">
        <v>1812</v>
      </c>
      <c r="L945">
        <v>3</v>
      </c>
      <c r="M945" t="s">
        <v>51</v>
      </c>
      <c r="N945">
        <v>3</v>
      </c>
      <c r="O945">
        <v>2</v>
      </c>
      <c r="P945" t="s">
        <v>145</v>
      </c>
      <c r="Q945">
        <v>4</v>
      </c>
      <c r="R945" t="s">
        <v>53</v>
      </c>
      <c r="S945">
        <v>68661</v>
      </c>
      <c r="T945" t="s">
        <v>64</v>
      </c>
      <c r="U945">
        <v>429.13</v>
      </c>
      <c r="V945">
        <v>2</v>
      </c>
      <c r="W945" t="s">
        <v>55</v>
      </c>
      <c r="X945">
        <v>18</v>
      </c>
      <c r="Y945">
        <v>3</v>
      </c>
      <c r="Z945">
        <v>4</v>
      </c>
      <c r="AA945">
        <v>1</v>
      </c>
      <c r="AB945">
        <v>7</v>
      </c>
      <c r="AC945">
        <v>6</v>
      </c>
      <c r="AD945">
        <v>3</v>
      </c>
      <c r="AE945">
        <v>2</v>
      </c>
      <c r="AF945">
        <v>1</v>
      </c>
      <c r="AG945">
        <v>2</v>
      </c>
      <c r="AH945">
        <v>2</v>
      </c>
      <c r="AI945">
        <f t="shared" si="98"/>
        <v>0</v>
      </c>
      <c r="AJ945" t="str">
        <f t="shared" si="99"/>
        <v>2-3 yrs</v>
      </c>
      <c r="AK945" t="str">
        <f t="shared" si="100"/>
        <v>Recent</v>
      </c>
      <c r="AL945">
        <f t="shared" si="101"/>
        <v>0</v>
      </c>
      <c r="AM945" t="str">
        <f t="shared" si="102"/>
        <v>Minimal Risk</v>
      </c>
      <c r="AN945" s="6">
        <f t="shared" si="103"/>
        <v>0.39958910963965949</v>
      </c>
      <c r="AO945" s="7">
        <f t="shared" si="104"/>
        <v>823932</v>
      </c>
    </row>
    <row r="946" spans="1:41" x14ac:dyDescent="0.3">
      <c r="A946" t="s">
        <v>1014</v>
      </c>
      <c r="B946">
        <v>39</v>
      </c>
      <c r="C946" t="s">
        <v>802</v>
      </c>
      <c r="D946" t="s">
        <v>55</v>
      </c>
      <c r="E946" t="s">
        <v>48</v>
      </c>
      <c r="F946">
        <v>835</v>
      </c>
      <c r="G946" t="s">
        <v>735</v>
      </c>
      <c r="H946">
        <v>19</v>
      </c>
      <c r="I946">
        <v>4</v>
      </c>
      <c r="J946" t="s">
        <v>82</v>
      </c>
      <c r="K946">
        <v>1871</v>
      </c>
      <c r="L946">
        <v>4</v>
      </c>
      <c r="M946" t="s">
        <v>51</v>
      </c>
      <c r="N946">
        <v>3</v>
      </c>
      <c r="O946">
        <v>2</v>
      </c>
      <c r="P946" t="s">
        <v>67</v>
      </c>
      <c r="Q946">
        <v>4</v>
      </c>
      <c r="R946" t="s">
        <v>113</v>
      </c>
      <c r="S946">
        <v>45247</v>
      </c>
      <c r="T946" t="s">
        <v>72</v>
      </c>
      <c r="U946">
        <v>282.79000000000002</v>
      </c>
      <c r="V946">
        <v>8</v>
      </c>
      <c r="W946" t="s">
        <v>55</v>
      </c>
      <c r="X946">
        <v>14</v>
      </c>
      <c r="Y946">
        <v>3</v>
      </c>
      <c r="Z946">
        <v>2</v>
      </c>
      <c r="AA946">
        <v>3</v>
      </c>
      <c r="AB946">
        <v>7</v>
      </c>
      <c r="AC946">
        <v>2</v>
      </c>
      <c r="AD946">
        <v>3</v>
      </c>
      <c r="AE946">
        <v>2</v>
      </c>
      <c r="AF946">
        <v>2</v>
      </c>
      <c r="AG946">
        <v>2</v>
      </c>
      <c r="AH946">
        <v>2</v>
      </c>
      <c r="AI946">
        <f t="shared" si="98"/>
        <v>0</v>
      </c>
      <c r="AJ946" t="str">
        <f t="shared" si="99"/>
        <v>2-3 yrs</v>
      </c>
      <c r="AK946" t="str">
        <f t="shared" si="100"/>
        <v>Recent</v>
      </c>
      <c r="AL946">
        <f t="shared" si="101"/>
        <v>0</v>
      </c>
      <c r="AM946" t="str">
        <f t="shared" si="102"/>
        <v>Minimal Risk</v>
      </c>
      <c r="AN946" s="6">
        <f t="shared" si="103"/>
        <v>-9.2630106781518978E-2</v>
      </c>
      <c r="AO946" s="7">
        <f t="shared" si="104"/>
        <v>542964</v>
      </c>
    </row>
    <row r="947" spans="1:41" x14ac:dyDescent="0.3">
      <c r="A947" t="s">
        <v>1015</v>
      </c>
      <c r="B947">
        <v>39</v>
      </c>
      <c r="C947" t="s">
        <v>802</v>
      </c>
      <c r="D947" t="s">
        <v>55</v>
      </c>
      <c r="E947" t="s">
        <v>66</v>
      </c>
      <c r="F947">
        <v>1251</v>
      </c>
      <c r="G947" t="s">
        <v>932</v>
      </c>
      <c r="H947">
        <v>21</v>
      </c>
      <c r="I947">
        <v>4</v>
      </c>
      <c r="J947" t="s">
        <v>50</v>
      </c>
      <c r="K947">
        <v>1929</v>
      </c>
      <c r="L947">
        <v>1</v>
      </c>
      <c r="M947" t="s">
        <v>59</v>
      </c>
      <c r="N947">
        <v>1</v>
      </c>
      <c r="O947">
        <v>2</v>
      </c>
      <c r="P947" t="s">
        <v>145</v>
      </c>
      <c r="Q947">
        <v>3</v>
      </c>
      <c r="R947" t="s">
        <v>113</v>
      </c>
      <c r="S947">
        <v>17748</v>
      </c>
      <c r="T947" t="s">
        <v>54</v>
      </c>
      <c r="U947">
        <v>110.92</v>
      </c>
      <c r="V947">
        <v>6</v>
      </c>
      <c r="W947" t="s">
        <v>55</v>
      </c>
      <c r="X947">
        <v>19</v>
      </c>
      <c r="Y947">
        <v>3</v>
      </c>
      <c r="Z947">
        <v>3</v>
      </c>
      <c r="AA947">
        <v>1</v>
      </c>
      <c r="AB947">
        <v>10</v>
      </c>
      <c r="AC947">
        <v>1</v>
      </c>
      <c r="AD947">
        <v>3</v>
      </c>
      <c r="AE947">
        <v>3</v>
      </c>
      <c r="AF947">
        <v>2</v>
      </c>
      <c r="AG947">
        <v>1</v>
      </c>
      <c r="AH947">
        <v>2</v>
      </c>
      <c r="AI947">
        <f t="shared" si="98"/>
        <v>0</v>
      </c>
      <c r="AJ947" t="str">
        <f t="shared" si="99"/>
        <v>2-3 yrs</v>
      </c>
      <c r="AK947" t="str">
        <f t="shared" si="100"/>
        <v>Recent</v>
      </c>
      <c r="AL947">
        <f t="shared" si="101"/>
        <v>0</v>
      </c>
      <c r="AM947" t="str">
        <f t="shared" si="102"/>
        <v>Minimal Risk</v>
      </c>
      <c r="AN947" s="6">
        <f t="shared" si="103"/>
        <v>-0.63822391870370843</v>
      </c>
      <c r="AO947" s="7">
        <f t="shared" si="104"/>
        <v>212976</v>
      </c>
    </row>
    <row r="948" spans="1:41" x14ac:dyDescent="0.3">
      <c r="A948" t="s">
        <v>1016</v>
      </c>
      <c r="B948">
        <v>39</v>
      </c>
      <c r="C948" t="s">
        <v>802</v>
      </c>
      <c r="D948" t="s">
        <v>55</v>
      </c>
      <c r="E948" t="s">
        <v>48</v>
      </c>
      <c r="F948">
        <v>867</v>
      </c>
      <c r="G948" t="s">
        <v>735</v>
      </c>
      <c r="H948">
        <v>9</v>
      </c>
      <c r="I948">
        <v>2</v>
      </c>
      <c r="J948" t="s">
        <v>58</v>
      </c>
      <c r="K948">
        <v>1936</v>
      </c>
      <c r="L948">
        <v>1</v>
      </c>
      <c r="M948" t="s">
        <v>51</v>
      </c>
      <c r="N948">
        <v>3</v>
      </c>
      <c r="O948">
        <v>2</v>
      </c>
      <c r="P948" t="s">
        <v>120</v>
      </c>
      <c r="Q948">
        <v>1</v>
      </c>
      <c r="R948" t="s">
        <v>113</v>
      </c>
      <c r="S948">
        <v>5621</v>
      </c>
      <c r="T948" t="s">
        <v>54</v>
      </c>
      <c r="U948">
        <v>35.130000000000003</v>
      </c>
      <c r="V948">
        <v>1</v>
      </c>
      <c r="W948" t="s">
        <v>55</v>
      </c>
      <c r="X948">
        <v>25</v>
      </c>
      <c r="Y948">
        <v>4</v>
      </c>
      <c r="Z948">
        <v>4</v>
      </c>
      <c r="AA948">
        <v>1</v>
      </c>
      <c r="AB948">
        <v>10</v>
      </c>
      <c r="AC948">
        <v>3</v>
      </c>
      <c r="AD948">
        <v>3</v>
      </c>
      <c r="AE948">
        <v>10</v>
      </c>
      <c r="AF948">
        <v>0</v>
      </c>
      <c r="AG948">
        <v>7</v>
      </c>
      <c r="AH948">
        <v>9</v>
      </c>
      <c r="AI948">
        <f t="shared" si="98"/>
        <v>0</v>
      </c>
      <c r="AJ948" t="str">
        <f t="shared" si="99"/>
        <v>6-10 yrs</v>
      </c>
      <c r="AK948" t="str">
        <f t="shared" si="100"/>
        <v>Overdue</v>
      </c>
      <c r="AL948">
        <f t="shared" si="101"/>
        <v>2</v>
      </c>
      <c r="AM948" t="str">
        <f t="shared" si="102"/>
        <v>Medium Risk</v>
      </c>
      <c r="AN948" s="6">
        <f t="shared" si="103"/>
        <v>-0.87310176293338659</v>
      </c>
      <c r="AO948" s="7">
        <f t="shared" si="104"/>
        <v>67452</v>
      </c>
    </row>
    <row r="949" spans="1:41" x14ac:dyDescent="0.3">
      <c r="A949" t="s">
        <v>1017</v>
      </c>
      <c r="B949">
        <v>39</v>
      </c>
      <c r="C949" t="s">
        <v>802</v>
      </c>
      <c r="D949" t="s">
        <v>55</v>
      </c>
      <c r="E949" t="s">
        <v>48</v>
      </c>
      <c r="F949">
        <v>119</v>
      </c>
      <c r="G949" t="s">
        <v>932</v>
      </c>
      <c r="H949">
        <v>15</v>
      </c>
      <c r="I949">
        <v>4</v>
      </c>
      <c r="J949" t="s">
        <v>63</v>
      </c>
      <c r="K949">
        <v>1975</v>
      </c>
      <c r="L949">
        <v>2</v>
      </c>
      <c r="M949" t="s">
        <v>51</v>
      </c>
      <c r="N949">
        <v>3</v>
      </c>
      <c r="O949">
        <v>4</v>
      </c>
      <c r="P949" t="s">
        <v>145</v>
      </c>
      <c r="Q949">
        <v>1</v>
      </c>
      <c r="R949" t="s">
        <v>53</v>
      </c>
      <c r="S949">
        <v>16034</v>
      </c>
      <c r="T949" t="s">
        <v>54</v>
      </c>
      <c r="U949">
        <v>100.21</v>
      </c>
      <c r="V949">
        <v>0</v>
      </c>
      <c r="W949" t="s">
        <v>55</v>
      </c>
      <c r="X949">
        <v>12</v>
      </c>
      <c r="Y949">
        <v>3</v>
      </c>
      <c r="Z949">
        <v>1</v>
      </c>
      <c r="AA949">
        <v>0</v>
      </c>
      <c r="AB949">
        <v>21</v>
      </c>
      <c r="AC949">
        <v>3</v>
      </c>
      <c r="AD949">
        <v>3</v>
      </c>
      <c r="AE949">
        <v>20</v>
      </c>
      <c r="AF949">
        <v>8</v>
      </c>
      <c r="AG949">
        <v>11</v>
      </c>
      <c r="AH949">
        <v>10</v>
      </c>
      <c r="AI949">
        <f t="shared" si="98"/>
        <v>0</v>
      </c>
      <c r="AJ949" t="str">
        <f t="shared" si="99"/>
        <v>10+ yrs</v>
      </c>
      <c r="AK949" t="str">
        <f t="shared" si="100"/>
        <v>Overdue</v>
      </c>
      <c r="AL949">
        <f t="shared" si="101"/>
        <v>2</v>
      </c>
      <c r="AM949" t="str">
        <f t="shared" si="102"/>
        <v>Medium Risk</v>
      </c>
      <c r="AN949" s="6">
        <f t="shared" si="103"/>
        <v>-0.67316217672387091</v>
      </c>
      <c r="AO949" s="7">
        <f t="shared" si="104"/>
        <v>192408</v>
      </c>
    </row>
    <row r="950" spans="1:41" x14ac:dyDescent="0.3">
      <c r="A950" t="s">
        <v>1018</v>
      </c>
      <c r="B950">
        <v>39</v>
      </c>
      <c r="C950" t="s">
        <v>802</v>
      </c>
      <c r="D950" t="s">
        <v>55</v>
      </c>
      <c r="E950" t="s">
        <v>48</v>
      </c>
      <c r="F950">
        <v>116</v>
      </c>
      <c r="G950" t="s">
        <v>735</v>
      </c>
      <c r="H950">
        <v>24</v>
      </c>
      <c r="I950">
        <v>1</v>
      </c>
      <c r="J950" t="s">
        <v>50</v>
      </c>
      <c r="K950">
        <v>2014</v>
      </c>
      <c r="L950">
        <v>1</v>
      </c>
      <c r="M950" t="s">
        <v>51</v>
      </c>
      <c r="N950">
        <v>3</v>
      </c>
      <c r="O950">
        <v>2</v>
      </c>
      <c r="P950" t="s">
        <v>67</v>
      </c>
      <c r="Q950">
        <v>4</v>
      </c>
      <c r="R950" t="s">
        <v>53</v>
      </c>
      <c r="S950">
        <v>6126</v>
      </c>
      <c r="T950" t="s">
        <v>54</v>
      </c>
      <c r="U950">
        <v>38.29</v>
      </c>
      <c r="V950">
        <v>7</v>
      </c>
      <c r="W950" t="s">
        <v>55</v>
      </c>
      <c r="X950">
        <v>13</v>
      </c>
      <c r="Y950">
        <v>3</v>
      </c>
      <c r="Z950">
        <v>1</v>
      </c>
      <c r="AA950">
        <v>0</v>
      </c>
      <c r="AB950">
        <v>18</v>
      </c>
      <c r="AC950">
        <v>2</v>
      </c>
      <c r="AD950">
        <v>3</v>
      </c>
      <c r="AE950">
        <v>7</v>
      </c>
      <c r="AF950">
        <v>7</v>
      </c>
      <c r="AG950">
        <v>1</v>
      </c>
      <c r="AH950">
        <v>7</v>
      </c>
      <c r="AI950">
        <f t="shared" si="98"/>
        <v>0</v>
      </c>
      <c r="AJ950" t="str">
        <f t="shared" si="99"/>
        <v>6-10 yrs</v>
      </c>
      <c r="AK950" t="str">
        <f t="shared" si="100"/>
        <v>Recent</v>
      </c>
      <c r="AL950">
        <f t="shared" si="101"/>
        <v>0</v>
      </c>
      <c r="AM950" t="str">
        <f t="shared" si="102"/>
        <v>Minimal Risk</v>
      </c>
      <c r="AN950" s="6">
        <f t="shared" si="103"/>
        <v>-0.87715101629154613</v>
      </c>
      <c r="AO950" s="7">
        <f t="shared" si="104"/>
        <v>73512</v>
      </c>
    </row>
    <row r="951" spans="1:41" x14ac:dyDescent="0.3">
      <c r="A951" t="s">
        <v>1019</v>
      </c>
      <c r="B951">
        <v>39</v>
      </c>
      <c r="C951" t="s">
        <v>802</v>
      </c>
      <c r="D951" t="s">
        <v>55</v>
      </c>
      <c r="E951" t="s">
        <v>66</v>
      </c>
      <c r="F951">
        <v>105</v>
      </c>
      <c r="G951" t="s">
        <v>735</v>
      </c>
      <c r="H951">
        <v>9</v>
      </c>
      <c r="I951">
        <v>3</v>
      </c>
      <c r="J951" t="s">
        <v>50</v>
      </c>
      <c r="K951">
        <v>2022</v>
      </c>
      <c r="L951">
        <v>4</v>
      </c>
      <c r="M951" t="s">
        <v>51</v>
      </c>
      <c r="N951">
        <v>3</v>
      </c>
      <c r="O951">
        <v>5</v>
      </c>
      <c r="P951" t="s">
        <v>444</v>
      </c>
      <c r="Q951">
        <v>4</v>
      </c>
      <c r="R951" t="s">
        <v>53</v>
      </c>
      <c r="S951">
        <v>6122</v>
      </c>
      <c r="T951" t="s">
        <v>54</v>
      </c>
      <c r="U951">
        <v>38.26</v>
      </c>
      <c r="V951">
        <v>2</v>
      </c>
      <c r="W951" t="s">
        <v>55</v>
      </c>
      <c r="X951">
        <v>13</v>
      </c>
      <c r="Y951">
        <v>3</v>
      </c>
      <c r="Z951">
        <v>3</v>
      </c>
      <c r="AA951">
        <v>0</v>
      </c>
      <c r="AB951">
        <v>21</v>
      </c>
      <c r="AC951">
        <v>3</v>
      </c>
      <c r="AD951">
        <v>2</v>
      </c>
      <c r="AE951">
        <v>6</v>
      </c>
      <c r="AF951">
        <v>0</v>
      </c>
      <c r="AG951">
        <v>1</v>
      </c>
      <c r="AH951">
        <v>3</v>
      </c>
      <c r="AI951">
        <f t="shared" si="98"/>
        <v>0</v>
      </c>
      <c r="AJ951" t="str">
        <f t="shared" si="99"/>
        <v>6-10 yrs</v>
      </c>
      <c r="AK951" t="str">
        <f t="shared" si="100"/>
        <v>Recent</v>
      </c>
      <c r="AL951">
        <f t="shared" si="101"/>
        <v>1</v>
      </c>
      <c r="AM951" t="str">
        <f t="shared" si="102"/>
        <v>Low Risk</v>
      </c>
      <c r="AN951" s="6">
        <f t="shared" si="103"/>
        <v>-0.88271651777497129</v>
      </c>
      <c r="AO951" s="7">
        <f t="shared" si="104"/>
        <v>73464</v>
      </c>
    </row>
    <row r="952" spans="1:41" x14ac:dyDescent="0.3">
      <c r="A952" t="s">
        <v>1020</v>
      </c>
      <c r="B952">
        <v>39</v>
      </c>
      <c r="C952" t="s">
        <v>802</v>
      </c>
      <c r="D952" t="s">
        <v>55</v>
      </c>
      <c r="E952" t="s">
        <v>48</v>
      </c>
      <c r="F952">
        <v>722</v>
      </c>
      <c r="G952" t="s">
        <v>932</v>
      </c>
      <c r="H952">
        <v>24</v>
      </c>
      <c r="I952">
        <v>1</v>
      </c>
      <c r="J952" t="s">
        <v>63</v>
      </c>
      <c r="K952">
        <v>2056</v>
      </c>
      <c r="L952">
        <v>2</v>
      </c>
      <c r="M952" t="s">
        <v>59</v>
      </c>
      <c r="N952">
        <v>2</v>
      </c>
      <c r="O952">
        <v>4</v>
      </c>
      <c r="P952" t="s">
        <v>145</v>
      </c>
      <c r="Q952">
        <v>4</v>
      </c>
      <c r="R952" t="s">
        <v>113</v>
      </c>
      <c r="S952">
        <v>19030</v>
      </c>
      <c r="T952" t="s">
        <v>54</v>
      </c>
      <c r="U952">
        <v>118.94</v>
      </c>
      <c r="V952">
        <v>0</v>
      </c>
      <c r="W952" t="s">
        <v>55</v>
      </c>
      <c r="X952">
        <v>11</v>
      </c>
      <c r="Y952">
        <v>3</v>
      </c>
      <c r="Z952">
        <v>1</v>
      </c>
      <c r="AA952">
        <v>1</v>
      </c>
      <c r="AB952">
        <v>21</v>
      </c>
      <c r="AC952">
        <v>2</v>
      </c>
      <c r="AD952">
        <v>2</v>
      </c>
      <c r="AE952">
        <v>20</v>
      </c>
      <c r="AF952">
        <v>9</v>
      </c>
      <c r="AG952">
        <v>9</v>
      </c>
      <c r="AH952">
        <v>6</v>
      </c>
      <c r="AI952">
        <f t="shared" si="98"/>
        <v>0</v>
      </c>
      <c r="AJ952" t="str">
        <f t="shared" si="99"/>
        <v>10+ yrs</v>
      </c>
      <c r="AK952" t="str">
        <f t="shared" si="100"/>
        <v>Overdue</v>
      </c>
      <c r="AL952">
        <f t="shared" si="101"/>
        <v>2</v>
      </c>
      <c r="AM952" t="str">
        <f t="shared" si="102"/>
        <v>Medium Risk</v>
      </c>
      <c r="AN952" s="6">
        <f t="shared" si="103"/>
        <v>-0.61209156935607234</v>
      </c>
      <c r="AO952" s="7">
        <f t="shared" si="104"/>
        <v>228360</v>
      </c>
    </row>
    <row r="953" spans="1:41" x14ac:dyDescent="0.3">
      <c r="A953" t="s">
        <v>1021</v>
      </c>
      <c r="B953">
        <v>39</v>
      </c>
      <c r="C953" t="s">
        <v>802</v>
      </c>
      <c r="D953" t="s">
        <v>55</v>
      </c>
      <c r="E953" t="s">
        <v>48</v>
      </c>
      <c r="F953">
        <v>613</v>
      </c>
      <c r="G953" t="s">
        <v>735</v>
      </c>
      <c r="H953">
        <v>6</v>
      </c>
      <c r="I953">
        <v>1</v>
      </c>
      <c r="J953" t="s">
        <v>58</v>
      </c>
      <c r="K953">
        <v>2062</v>
      </c>
      <c r="L953">
        <v>4</v>
      </c>
      <c r="M953" t="s">
        <v>51</v>
      </c>
      <c r="N953">
        <v>2</v>
      </c>
      <c r="O953">
        <v>3</v>
      </c>
      <c r="P953" t="s">
        <v>168</v>
      </c>
      <c r="Q953">
        <v>1</v>
      </c>
      <c r="R953" t="s">
        <v>113</v>
      </c>
      <c r="S953">
        <v>83838</v>
      </c>
      <c r="T953" t="s">
        <v>70</v>
      </c>
      <c r="U953">
        <v>523.99</v>
      </c>
      <c r="V953">
        <v>4</v>
      </c>
      <c r="W953" t="s">
        <v>55</v>
      </c>
      <c r="X953">
        <v>15</v>
      </c>
      <c r="Y953">
        <v>3</v>
      </c>
      <c r="Z953">
        <v>1</v>
      </c>
      <c r="AA953">
        <v>1</v>
      </c>
      <c r="AB953">
        <v>9</v>
      </c>
      <c r="AC953">
        <v>5</v>
      </c>
      <c r="AD953">
        <v>3</v>
      </c>
      <c r="AE953">
        <v>7</v>
      </c>
      <c r="AF953">
        <v>7</v>
      </c>
      <c r="AG953">
        <v>1</v>
      </c>
      <c r="AH953">
        <v>7</v>
      </c>
      <c r="AI953">
        <f t="shared" si="98"/>
        <v>0</v>
      </c>
      <c r="AJ953" t="str">
        <f t="shared" si="99"/>
        <v>6-10 yrs</v>
      </c>
      <c r="AK953" t="str">
        <f t="shared" si="100"/>
        <v>Recent</v>
      </c>
      <c r="AL953">
        <f t="shared" si="101"/>
        <v>1</v>
      </c>
      <c r="AM953" t="str">
        <f t="shared" si="102"/>
        <v>Low Risk</v>
      </c>
      <c r="AN953" s="6">
        <f t="shared" si="103"/>
        <v>0.73976947978797836</v>
      </c>
      <c r="AO953" s="7">
        <f t="shared" si="104"/>
        <v>1006056</v>
      </c>
    </row>
    <row r="954" spans="1:41" x14ac:dyDescent="0.3">
      <c r="A954" t="s">
        <v>1020</v>
      </c>
      <c r="B954">
        <v>39</v>
      </c>
      <c r="C954" t="s">
        <v>802</v>
      </c>
      <c r="D954" t="s">
        <v>55</v>
      </c>
      <c r="E954" t="s">
        <v>48</v>
      </c>
      <c r="F954">
        <v>722</v>
      </c>
      <c r="G954" t="s">
        <v>932</v>
      </c>
      <c r="H954">
        <v>24</v>
      </c>
      <c r="I954">
        <v>1</v>
      </c>
      <c r="J954" t="s">
        <v>63</v>
      </c>
      <c r="K954">
        <v>2056</v>
      </c>
      <c r="L954">
        <v>2</v>
      </c>
      <c r="M954" t="s">
        <v>59</v>
      </c>
      <c r="N954">
        <v>2</v>
      </c>
      <c r="O954">
        <v>4</v>
      </c>
      <c r="P954" t="s">
        <v>145</v>
      </c>
      <c r="Q954">
        <v>4</v>
      </c>
      <c r="R954" t="s">
        <v>113</v>
      </c>
      <c r="S954">
        <v>85717</v>
      </c>
      <c r="T954" t="s">
        <v>70</v>
      </c>
      <c r="U954">
        <v>535.73</v>
      </c>
      <c r="V954">
        <v>0</v>
      </c>
      <c r="W954" t="s">
        <v>55</v>
      </c>
      <c r="X954">
        <v>11</v>
      </c>
      <c r="Y954">
        <v>3</v>
      </c>
      <c r="Z954">
        <v>1</v>
      </c>
      <c r="AA954">
        <v>1</v>
      </c>
      <c r="AB954">
        <v>21</v>
      </c>
      <c r="AC954">
        <v>2</v>
      </c>
      <c r="AD954">
        <v>2</v>
      </c>
      <c r="AE954">
        <v>20</v>
      </c>
      <c r="AF954">
        <v>9</v>
      </c>
      <c r="AG954">
        <v>9</v>
      </c>
      <c r="AH954">
        <v>6</v>
      </c>
      <c r="AI954">
        <f t="shared" si="98"/>
        <v>0</v>
      </c>
      <c r="AJ954" t="str">
        <f t="shared" si="99"/>
        <v>10+ yrs</v>
      </c>
      <c r="AK954" t="str">
        <f t="shared" si="100"/>
        <v>Overdue</v>
      </c>
      <c r="AL954">
        <f t="shared" si="101"/>
        <v>2</v>
      </c>
      <c r="AM954" t="str">
        <f t="shared" si="102"/>
        <v>Medium Risk</v>
      </c>
      <c r="AN954" s="6">
        <f t="shared" si="103"/>
        <v>0.74725942982162641</v>
      </c>
      <c r="AO954" s="7">
        <f t="shared" si="104"/>
        <v>1028604</v>
      </c>
    </row>
    <row r="955" spans="1:41" x14ac:dyDescent="0.3">
      <c r="A955" t="s">
        <v>1021</v>
      </c>
      <c r="B955">
        <v>39</v>
      </c>
      <c r="C955" t="s">
        <v>802</v>
      </c>
      <c r="D955" t="s">
        <v>55</v>
      </c>
      <c r="E955" t="s">
        <v>48</v>
      </c>
      <c r="F955">
        <v>613</v>
      </c>
      <c r="G955" t="s">
        <v>735</v>
      </c>
      <c r="H955">
        <v>6</v>
      </c>
      <c r="I955">
        <v>1</v>
      </c>
      <c r="J955" t="s">
        <v>58</v>
      </c>
      <c r="K955">
        <v>2062</v>
      </c>
      <c r="L955">
        <v>4</v>
      </c>
      <c r="M955" t="s">
        <v>51</v>
      </c>
      <c r="N955">
        <v>2</v>
      </c>
      <c r="O955">
        <v>3</v>
      </c>
      <c r="P955" t="s">
        <v>168</v>
      </c>
      <c r="Q955">
        <v>1</v>
      </c>
      <c r="R955" t="s">
        <v>113</v>
      </c>
      <c r="S955">
        <v>56658</v>
      </c>
      <c r="T955" t="s">
        <v>64</v>
      </c>
      <c r="U955">
        <v>354.11</v>
      </c>
      <c r="V955">
        <v>4</v>
      </c>
      <c r="W955" t="s">
        <v>55</v>
      </c>
      <c r="X955">
        <v>15</v>
      </c>
      <c r="Y955">
        <v>3</v>
      </c>
      <c r="Z955">
        <v>1</v>
      </c>
      <c r="AA955">
        <v>1</v>
      </c>
      <c r="AB955">
        <v>9</v>
      </c>
      <c r="AC955">
        <v>5</v>
      </c>
      <c r="AD955">
        <v>3</v>
      </c>
      <c r="AE955">
        <v>7</v>
      </c>
      <c r="AF955">
        <v>7</v>
      </c>
      <c r="AG955">
        <v>1</v>
      </c>
      <c r="AH955">
        <v>1</v>
      </c>
      <c r="AI955">
        <f t="shared" si="98"/>
        <v>0</v>
      </c>
      <c r="AJ955" t="str">
        <f t="shared" si="99"/>
        <v>6-10 yrs</v>
      </c>
      <c r="AK955" t="str">
        <f t="shared" si="100"/>
        <v>Recent</v>
      </c>
      <c r="AL955">
        <f t="shared" si="101"/>
        <v>1</v>
      </c>
      <c r="AM955" t="str">
        <f t="shared" si="102"/>
        <v>Low Risk</v>
      </c>
      <c r="AN955" s="6">
        <f t="shared" si="103"/>
        <v>0.17574201657753383</v>
      </c>
      <c r="AO955" s="7">
        <f t="shared" si="104"/>
        <v>679896</v>
      </c>
    </row>
    <row r="956" spans="1:41" x14ac:dyDescent="0.3">
      <c r="A956" t="s">
        <v>1022</v>
      </c>
      <c r="B956">
        <v>40</v>
      </c>
      <c r="C956" t="s">
        <v>802</v>
      </c>
      <c r="D956" t="s">
        <v>55</v>
      </c>
      <c r="E956" t="s">
        <v>62</v>
      </c>
      <c r="F956">
        <v>530</v>
      </c>
      <c r="G956" t="s">
        <v>735</v>
      </c>
      <c r="H956">
        <v>1</v>
      </c>
      <c r="I956">
        <v>4</v>
      </c>
      <c r="J956" t="s">
        <v>50</v>
      </c>
      <c r="K956">
        <v>119</v>
      </c>
      <c r="L956">
        <v>3</v>
      </c>
      <c r="M956" t="s">
        <v>51</v>
      </c>
      <c r="N956">
        <v>2</v>
      </c>
      <c r="O956">
        <v>4</v>
      </c>
      <c r="P956" t="s">
        <v>168</v>
      </c>
      <c r="Q956">
        <v>2</v>
      </c>
      <c r="R956" t="s">
        <v>113</v>
      </c>
      <c r="S956">
        <v>39638</v>
      </c>
      <c r="T956" t="s">
        <v>72</v>
      </c>
      <c r="U956">
        <v>247.74</v>
      </c>
      <c r="V956">
        <v>1</v>
      </c>
      <c r="W956" t="s">
        <v>55</v>
      </c>
      <c r="X956">
        <v>22</v>
      </c>
      <c r="Y956">
        <v>4</v>
      </c>
      <c r="Z956">
        <v>4</v>
      </c>
      <c r="AA956">
        <v>1</v>
      </c>
      <c r="AB956">
        <v>22</v>
      </c>
      <c r="AC956">
        <v>3</v>
      </c>
      <c r="AD956">
        <v>2</v>
      </c>
      <c r="AE956">
        <v>22</v>
      </c>
      <c r="AF956">
        <v>3</v>
      </c>
      <c r="AG956">
        <v>11</v>
      </c>
      <c r="AH956">
        <v>11</v>
      </c>
      <c r="AI956">
        <f t="shared" si="98"/>
        <v>0</v>
      </c>
      <c r="AJ956" t="str">
        <f t="shared" si="99"/>
        <v>10+ yrs</v>
      </c>
      <c r="AK956" t="str">
        <f t="shared" si="100"/>
        <v>Overdue</v>
      </c>
      <c r="AL956">
        <f t="shared" si="101"/>
        <v>3</v>
      </c>
      <c r="AM956" t="str">
        <f t="shared" si="102"/>
        <v>High Risk</v>
      </c>
      <c r="AN956" s="6">
        <f t="shared" si="103"/>
        <v>-0.17744957370362022</v>
      </c>
      <c r="AO956" s="7">
        <f t="shared" si="104"/>
        <v>475656</v>
      </c>
    </row>
    <row r="957" spans="1:41" x14ac:dyDescent="0.3">
      <c r="A957" t="s">
        <v>1023</v>
      </c>
      <c r="B957">
        <v>40</v>
      </c>
      <c r="C957" t="s">
        <v>802</v>
      </c>
      <c r="D957" t="s">
        <v>55</v>
      </c>
      <c r="E957" t="s">
        <v>62</v>
      </c>
      <c r="F957">
        <v>1395</v>
      </c>
      <c r="G957" t="s">
        <v>735</v>
      </c>
      <c r="H957">
        <v>26</v>
      </c>
      <c r="I957">
        <v>3</v>
      </c>
      <c r="J957" t="s">
        <v>58</v>
      </c>
      <c r="K957">
        <v>202</v>
      </c>
      <c r="L957">
        <v>2</v>
      </c>
      <c r="M957" t="s">
        <v>59</v>
      </c>
      <c r="N957">
        <v>3</v>
      </c>
      <c r="O957">
        <v>2</v>
      </c>
      <c r="P957" t="s">
        <v>67</v>
      </c>
      <c r="Q957">
        <v>2</v>
      </c>
      <c r="R957" t="s">
        <v>53</v>
      </c>
      <c r="S957">
        <v>68067</v>
      </c>
      <c r="T957" t="s">
        <v>64</v>
      </c>
      <c r="U957">
        <v>425.42</v>
      </c>
      <c r="V957">
        <v>1</v>
      </c>
      <c r="W957" t="s">
        <v>55</v>
      </c>
      <c r="X957">
        <v>11</v>
      </c>
      <c r="Y957">
        <v>3</v>
      </c>
      <c r="Z957">
        <v>1</v>
      </c>
      <c r="AA957">
        <v>1</v>
      </c>
      <c r="AB957">
        <v>20</v>
      </c>
      <c r="AC957">
        <v>2</v>
      </c>
      <c r="AD957">
        <v>3</v>
      </c>
      <c r="AE957">
        <v>20</v>
      </c>
      <c r="AF957">
        <v>7</v>
      </c>
      <c r="AG957">
        <v>2</v>
      </c>
      <c r="AH957">
        <v>13</v>
      </c>
      <c r="AI957">
        <f t="shared" si="98"/>
        <v>0</v>
      </c>
      <c r="AJ957" t="str">
        <f t="shared" si="99"/>
        <v>10+ yrs</v>
      </c>
      <c r="AK957" t="str">
        <f t="shared" si="100"/>
        <v>Recent</v>
      </c>
      <c r="AL957">
        <f t="shared" si="101"/>
        <v>1</v>
      </c>
      <c r="AM957" t="str">
        <f t="shared" si="102"/>
        <v>Low Risk</v>
      </c>
      <c r="AN957" s="6">
        <f t="shared" si="103"/>
        <v>0.36499539243932966</v>
      </c>
      <c r="AO957" s="7">
        <f t="shared" si="104"/>
        <v>816804</v>
      </c>
    </row>
    <row r="958" spans="1:41" x14ac:dyDescent="0.3">
      <c r="A958" t="s">
        <v>1024</v>
      </c>
      <c r="B958">
        <v>40</v>
      </c>
      <c r="C958" t="s">
        <v>802</v>
      </c>
      <c r="D958" t="s">
        <v>55</v>
      </c>
      <c r="E958" t="s">
        <v>48</v>
      </c>
      <c r="F958">
        <v>630</v>
      </c>
      <c r="G958" t="s">
        <v>932</v>
      </c>
      <c r="H958">
        <v>4</v>
      </c>
      <c r="I958">
        <v>4</v>
      </c>
      <c r="J958" t="s">
        <v>63</v>
      </c>
      <c r="K958">
        <v>215</v>
      </c>
      <c r="L958">
        <v>3</v>
      </c>
      <c r="M958" t="s">
        <v>51</v>
      </c>
      <c r="N958">
        <v>2</v>
      </c>
      <c r="O958">
        <v>3</v>
      </c>
      <c r="P958" t="s">
        <v>145</v>
      </c>
      <c r="Q958">
        <v>4</v>
      </c>
      <c r="R958" t="s">
        <v>113</v>
      </c>
      <c r="S958">
        <v>89869</v>
      </c>
      <c r="T958" t="s">
        <v>70</v>
      </c>
      <c r="U958">
        <v>561.67999999999995</v>
      </c>
      <c r="V958">
        <v>7</v>
      </c>
      <c r="W958" t="s">
        <v>55</v>
      </c>
      <c r="X958">
        <v>11</v>
      </c>
      <c r="Y958">
        <v>3</v>
      </c>
      <c r="Z958">
        <v>1</v>
      </c>
      <c r="AA958">
        <v>1</v>
      </c>
      <c r="AB958">
        <v>15</v>
      </c>
      <c r="AC958">
        <v>2</v>
      </c>
      <c r="AD958">
        <v>2</v>
      </c>
      <c r="AE958">
        <v>12</v>
      </c>
      <c r="AF958">
        <v>11</v>
      </c>
      <c r="AG958">
        <v>2</v>
      </c>
      <c r="AH958">
        <v>11</v>
      </c>
      <c r="AI958">
        <f t="shared" si="98"/>
        <v>0</v>
      </c>
      <c r="AJ958" t="str">
        <f t="shared" si="99"/>
        <v>10+ yrs</v>
      </c>
      <c r="AK958" t="str">
        <f t="shared" si="100"/>
        <v>Recent</v>
      </c>
      <c r="AL958">
        <f t="shared" si="101"/>
        <v>1</v>
      </c>
      <c r="AM958" t="str">
        <f t="shared" si="102"/>
        <v>Low Risk</v>
      </c>
      <c r="AN958" s="6">
        <f t="shared" si="103"/>
        <v>0.83189399650757434</v>
      </c>
      <c r="AO958" s="7">
        <f t="shared" si="104"/>
        <v>1078428</v>
      </c>
    </row>
    <row r="959" spans="1:41" x14ac:dyDescent="0.3">
      <c r="A959" t="s">
        <v>1025</v>
      </c>
      <c r="B959">
        <v>40</v>
      </c>
      <c r="C959" t="s">
        <v>802</v>
      </c>
      <c r="D959" t="s">
        <v>55</v>
      </c>
      <c r="E959" t="s">
        <v>48</v>
      </c>
      <c r="F959">
        <v>989</v>
      </c>
      <c r="G959" t="s">
        <v>735</v>
      </c>
      <c r="H959">
        <v>4</v>
      </c>
      <c r="I959">
        <v>1</v>
      </c>
      <c r="J959" t="s">
        <v>58</v>
      </c>
      <c r="K959">
        <v>253</v>
      </c>
      <c r="L959">
        <v>4</v>
      </c>
      <c r="M959" t="s">
        <v>59</v>
      </c>
      <c r="N959">
        <v>3</v>
      </c>
      <c r="O959">
        <v>5</v>
      </c>
      <c r="P959" t="s">
        <v>444</v>
      </c>
      <c r="Q959">
        <v>3</v>
      </c>
      <c r="R959" t="s">
        <v>113</v>
      </c>
      <c r="S959">
        <v>35674</v>
      </c>
      <c r="T959" t="s">
        <v>72</v>
      </c>
      <c r="U959">
        <v>222.96</v>
      </c>
      <c r="V959">
        <v>1</v>
      </c>
      <c r="W959" t="s">
        <v>55</v>
      </c>
      <c r="X959">
        <v>14</v>
      </c>
      <c r="Y959">
        <v>3</v>
      </c>
      <c r="Z959">
        <v>2</v>
      </c>
      <c r="AA959">
        <v>1</v>
      </c>
      <c r="AB959">
        <v>21</v>
      </c>
      <c r="AC959">
        <v>2</v>
      </c>
      <c r="AD959">
        <v>3</v>
      </c>
      <c r="AE959">
        <v>20</v>
      </c>
      <c r="AF959">
        <v>8</v>
      </c>
      <c r="AG959">
        <v>9</v>
      </c>
      <c r="AH959">
        <v>9</v>
      </c>
      <c r="AI959">
        <f t="shared" si="98"/>
        <v>0</v>
      </c>
      <c r="AJ959" t="str">
        <f t="shared" si="99"/>
        <v>10+ yrs</v>
      </c>
      <c r="AK959" t="str">
        <f t="shared" si="100"/>
        <v>Overdue</v>
      </c>
      <c r="AL959">
        <f t="shared" si="101"/>
        <v>1</v>
      </c>
      <c r="AM959" t="str">
        <f t="shared" si="102"/>
        <v>Low Risk</v>
      </c>
      <c r="AN959" s="6">
        <f t="shared" si="103"/>
        <v>-0.3165679606508211</v>
      </c>
      <c r="AO959" s="7">
        <f t="shared" si="104"/>
        <v>428088</v>
      </c>
    </row>
    <row r="960" spans="1:41" x14ac:dyDescent="0.3">
      <c r="A960" t="s">
        <v>1026</v>
      </c>
      <c r="B960">
        <v>40</v>
      </c>
      <c r="C960" t="s">
        <v>802</v>
      </c>
      <c r="D960" t="s">
        <v>55</v>
      </c>
      <c r="E960" t="s">
        <v>48</v>
      </c>
      <c r="F960">
        <v>905</v>
      </c>
      <c r="G960" t="s">
        <v>735</v>
      </c>
      <c r="H960">
        <v>19</v>
      </c>
      <c r="I960">
        <v>2</v>
      </c>
      <c r="J960" t="s">
        <v>58</v>
      </c>
      <c r="K960">
        <v>281</v>
      </c>
      <c r="L960">
        <v>3</v>
      </c>
      <c r="M960" t="s">
        <v>51</v>
      </c>
      <c r="N960">
        <v>3</v>
      </c>
      <c r="O960">
        <v>2</v>
      </c>
      <c r="P960" t="s">
        <v>52</v>
      </c>
      <c r="Q960">
        <v>4</v>
      </c>
      <c r="R960" t="s">
        <v>113</v>
      </c>
      <c r="S960">
        <v>36854</v>
      </c>
      <c r="T960" t="s">
        <v>72</v>
      </c>
      <c r="U960">
        <v>230.34</v>
      </c>
      <c r="V960">
        <v>8</v>
      </c>
      <c r="W960" t="s">
        <v>47</v>
      </c>
      <c r="X960">
        <v>15</v>
      </c>
      <c r="Y960">
        <v>3</v>
      </c>
      <c r="Z960">
        <v>3</v>
      </c>
      <c r="AA960">
        <v>1</v>
      </c>
      <c r="AB960">
        <v>15</v>
      </c>
      <c r="AC960">
        <v>2</v>
      </c>
      <c r="AD960">
        <v>4</v>
      </c>
      <c r="AE960">
        <v>7</v>
      </c>
      <c r="AF960">
        <v>2</v>
      </c>
      <c r="AG960">
        <v>3</v>
      </c>
      <c r="AH960">
        <v>7</v>
      </c>
      <c r="AI960">
        <f t="shared" si="98"/>
        <v>0</v>
      </c>
      <c r="AJ960" t="str">
        <f t="shared" si="99"/>
        <v>6-10 yrs</v>
      </c>
      <c r="AK960" t="str">
        <f t="shared" si="100"/>
        <v>Overdue</v>
      </c>
      <c r="AL960">
        <f t="shared" si="101"/>
        <v>2</v>
      </c>
      <c r="AM960" t="str">
        <f t="shared" si="102"/>
        <v>Medium Risk</v>
      </c>
      <c r="AN960" s="6">
        <f t="shared" si="103"/>
        <v>-0.28744057299262032</v>
      </c>
      <c r="AO960" s="7">
        <f t="shared" si="104"/>
        <v>442248</v>
      </c>
    </row>
    <row r="961" spans="1:41" x14ac:dyDescent="0.3">
      <c r="A961" t="s">
        <v>1027</v>
      </c>
      <c r="B961">
        <v>40</v>
      </c>
      <c r="C961" t="s">
        <v>802</v>
      </c>
      <c r="D961" t="s">
        <v>55</v>
      </c>
      <c r="E961" t="s">
        <v>66</v>
      </c>
      <c r="F961">
        <v>1151</v>
      </c>
      <c r="G961" t="s">
        <v>735</v>
      </c>
      <c r="H961">
        <v>9</v>
      </c>
      <c r="I961">
        <v>5</v>
      </c>
      <c r="J961" t="s">
        <v>50</v>
      </c>
      <c r="K961">
        <v>287</v>
      </c>
      <c r="L961">
        <v>4</v>
      </c>
      <c r="M961" t="s">
        <v>51</v>
      </c>
      <c r="N961">
        <v>2</v>
      </c>
      <c r="O961">
        <v>2</v>
      </c>
      <c r="P961" t="s">
        <v>168</v>
      </c>
      <c r="Q961">
        <v>4</v>
      </c>
      <c r="R961" t="s">
        <v>113</v>
      </c>
      <c r="S961">
        <v>47271</v>
      </c>
      <c r="T961" t="s">
        <v>72</v>
      </c>
      <c r="U961">
        <v>295.44</v>
      </c>
      <c r="V961">
        <v>9</v>
      </c>
      <c r="W961" t="s">
        <v>55</v>
      </c>
      <c r="X961">
        <v>14</v>
      </c>
      <c r="Y961">
        <v>3</v>
      </c>
      <c r="Z961">
        <v>4</v>
      </c>
      <c r="AA961">
        <v>1</v>
      </c>
      <c r="AB961">
        <v>5</v>
      </c>
      <c r="AC961">
        <v>5</v>
      </c>
      <c r="AD961">
        <v>1</v>
      </c>
      <c r="AE961">
        <v>3</v>
      </c>
      <c r="AF961">
        <v>2</v>
      </c>
      <c r="AG961">
        <v>0</v>
      </c>
      <c r="AH961">
        <v>2</v>
      </c>
      <c r="AI961">
        <f t="shared" si="98"/>
        <v>0</v>
      </c>
      <c r="AJ961" t="str">
        <f t="shared" si="99"/>
        <v>2-3 yrs</v>
      </c>
      <c r="AK961" t="str">
        <f t="shared" si="100"/>
        <v>Recent</v>
      </c>
      <c r="AL961">
        <f t="shared" si="101"/>
        <v>1</v>
      </c>
      <c r="AM961" t="str">
        <f t="shared" si="102"/>
        <v>Low Risk</v>
      </c>
      <c r="AN961" s="6">
        <f t="shared" si="103"/>
        <v>-1.9052898696801844E-2</v>
      </c>
      <c r="AO961" s="7">
        <f t="shared" si="104"/>
        <v>567252</v>
      </c>
    </row>
    <row r="962" spans="1:41" x14ac:dyDescent="0.3">
      <c r="A962" t="s">
        <v>1028</v>
      </c>
      <c r="B962">
        <v>40</v>
      </c>
      <c r="C962" t="s">
        <v>802</v>
      </c>
      <c r="D962" t="s">
        <v>55</v>
      </c>
      <c r="E962" t="s">
        <v>48</v>
      </c>
      <c r="F962">
        <v>1300</v>
      </c>
      <c r="G962" t="s">
        <v>735</v>
      </c>
      <c r="H962">
        <v>24</v>
      </c>
      <c r="I962">
        <v>2</v>
      </c>
      <c r="J962" t="s">
        <v>77</v>
      </c>
      <c r="K962">
        <v>335</v>
      </c>
      <c r="L962">
        <v>1</v>
      </c>
      <c r="M962" t="s">
        <v>51</v>
      </c>
      <c r="N962">
        <v>3</v>
      </c>
      <c r="O962">
        <v>2</v>
      </c>
      <c r="P962" t="s">
        <v>67</v>
      </c>
      <c r="Q962">
        <v>4</v>
      </c>
      <c r="R962" t="s">
        <v>113</v>
      </c>
      <c r="S962">
        <v>74688</v>
      </c>
      <c r="T962" t="s">
        <v>64</v>
      </c>
      <c r="U962">
        <v>466.8</v>
      </c>
      <c r="V962">
        <v>1</v>
      </c>
      <c r="W962" t="s">
        <v>55</v>
      </c>
      <c r="X962">
        <v>17</v>
      </c>
      <c r="Y962">
        <v>3</v>
      </c>
      <c r="Z962">
        <v>1</v>
      </c>
      <c r="AA962">
        <v>2</v>
      </c>
      <c r="AB962">
        <v>9</v>
      </c>
      <c r="AC962">
        <v>3</v>
      </c>
      <c r="AD962">
        <v>3</v>
      </c>
      <c r="AE962">
        <v>9</v>
      </c>
      <c r="AF962">
        <v>8</v>
      </c>
      <c r="AG962">
        <v>4</v>
      </c>
      <c r="AH962">
        <v>7</v>
      </c>
      <c r="AI962">
        <f t="shared" ref="AI962:AI1025" si="105">IF(D962="Yes",1,0)</f>
        <v>0</v>
      </c>
      <c r="AJ962" t="str">
        <f t="shared" ref="AJ962:AJ1025" si="106">IF(AE962&lt;=1,"0-1 yr",IF(AE962&lt;=3,"2-3 yrs",IF(AE962&lt;=5,"4-5 yrs",IF(AE962&lt;=10,"6-10 yrs","10+ yrs"))))</f>
        <v>6-10 yrs</v>
      </c>
      <c r="AK962" t="str">
        <f t="shared" ref="AK962:AK1025" si="107">IF(AG962&gt;=3,"Overdue","Recent")</f>
        <v>Overdue</v>
      </c>
      <c r="AL962">
        <f t="shared" ref="AL962:AL1025" si="108">IF(W962="Yes",1,0)+IF(AD962&lt;=2,1,0)+IF(Q962&lt;=2,1,0)+IF(AG962&gt;=3,1,0)</f>
        <v>1</v>
      </c>
      <c r="AM962" t="str">
        <f t="shared" ref="AM962:AM1025" si="109">IF(AL962&gt;=3,"High Risk",IF(AL962=2,"Medium Risk",IF(AL962=1,"Low Risk","Minimal Risk")))</f>
        <v>Low Risk</v>
      </c>
      <c r="AN962" s="6">
        <f t="shared" ref="AN962:AN1025" si="110">IFERROR((S962-AVERAGEIF(P$2:P$1479,P962,S$2:S$1479))/AVERAGEIF(P$2:P$1479,P962,S$2:S$1479),0)</f>
        <v>0.4977709590625215</v>
      </c>
      <c r="AO962" s="7">
        <f t="shared" ref="AO962:AO1025" si="111">S962*12</f>
        <v>896256</v>
      </c>
    </row>
    <row r="963" spans="1:41" x14ac:dyDescent="0.3">
      <c r="A963" t="s">
        <v>1029</v>
      </c>
      <c r="B963">
        <v>40</v>
      </c>
      <c r="C963" t="s">
        <v>802</v>
      </c>
      <c r="D963" t="s">
        <v>55</v>
      </c>
      <c r="E963" t="s">
        <v>48</v>
      </c>
      <c r="F963">
        <v>1416</v>
      </c>
      <c r="G963" t="s">
        <v>735</v>
      </c>
      <c r="H963">
        <v>2</v>
      </c>
      <c r="I963">
        <v>2</v>
      </c>
      <c r="J963" t="s">
        <v>58</v>
      </c>
      <c r="K963">
        <v>352</v>
      </c>
      <c r="L963">
        <v>1</v>
      </c>
      <c r="M963" t="s">
        <v>51</v>
      </c>
      <c r="N963">
        <v>3</v>
      </c>
      <c r="O963">
        <v>5</v>
      </c>
      <c r="P963" t="s">
        <v>257</v>
      </c>
      <c r="Q963">
        <v>3</v>
      </c>
      <c r="R963" t="s">
        <v>113</v>
      </c>
      <c r="S963">
        <v>39518</v>
      </c>
      <c r="T963" t="s">
        <v>72</v>
      </c>
      <c r="U963">
        <v>246.99</v>
      </c>
      <c r="V963">
        <v>0</v>
      </c>
      <c r="W963" t="s">
        <v>55</v>
      </c>
      <c r="X963">
        <v>19</v>
      </c>
      <c r="Y963">
        <v>3</v>
      </c>
      <c r="Z963">
        <v>4</v>
      </c>
      <c r="AA963">
        <v>1</v>
      </c>
      <c r="AB963">
        <v>22</v>
      </c>
      <c r="AC963">
        <v>5</v>
      </c>
      <c r="AD963">
        <v>3</v>
      </c>
      <c r="AE963">
        <v>21</v>
      </c>
      <c r="AF963">
        <v>7</v>
      </c>
      <c r="AG963">
        <v>3</v>
      </c>
      <c r="AH963">
        <v>7</v>
      </c>
      <c r="AI963">
        <f t="shared" si="105"/>
        <v>0</v>
      </c>
      <c r="AJ963" t="str">
        <f t="shared" si="106"/>
        <v>10+ yrs</v>
      </c>
      <c r="AK963" t="str">
        <f t="shared" si="107"/>
        <v>Overdue</v>
      </c>
      <c r="AL963">
        <f t="shared" si="108"/>
        <v>1</v>
      </c>
      <c r="AM963" t="str">
        <f t="shared" si="109"/>
        <v>Low Risk</v>
      </c>
      <c r="AN963" s="6">
        <f t="shared" si="110"/>
        <v>-0.21998417979958773</v>
      </c>
      <c r="AO963" s="7">
        <f t="shared" si="111"/>
        <v>474216</v>
      </c>
    </row>
    <row r="964" spans="1:41" x14ac:dyDescent="0.3">
      <c r="A964" t="s">
        <v>1030</v>
      </c>
      <c r="B964">
        <v>40</v>
      </c>
      <c r="C964" t="s">
        <v>802</v>
      </c>
      <c r="D964" t="s">
        <v>55</v>
      </c>
      <c r="E964" t="s">
        <v>48</v>
      </c>
      <c r="F964">
        <v>1124</v>
      </c>
      <c r="G964" t="s">
        <v>932</v>
      </c>
      <c r="H964">
        <v>1</v>
      </c>
      <c r="I964">
        <v>2</v>
      </c>
      <c r="J964" t="s">
        <v>58</v>
      </c>
      <c r="K964">
        <v>453</v>
      </c>
      <c r="L964">
        <v>2</v>
      </c>
      <c r="M964" t="s">
        <v>51</v>
      </c>
      <c r="N964">
        <v>1</v>
      </c>
      <c r="O964">
        <v>2</v>
      </c>
      <c r="P964" t="s">
        <v>145</v>
      </c>
      <c r="Q964">
        <v>4</v>
      </c>
      <c r="R964" t="s">
        <v>113</v>
      </c>
      <c r="S964">
        <v>11267</v>
      </c>
      <c r="T964" t="s">
        <v>54</v>
      </c>
      <c r="U964">
        <v>70.42</v>
      </c>
      <c r="V964">
        <v>2</v>
      </c>
      <c r="W964" t="s">
        <v>47</v>
      </c>
      <c r="X964">
        <v>22</v>
      </c>
      <c r="Y964">
        <v>4</v>
      </c>
      <c r="Z964">
        <v>3</v>
      </c>
      <c r="AA964">
        <v>3</v>
      </c>
      <c r="AB964">
        <v>6</v>
      </c>
      <c r="AC964">
        <v>2</v>
      </c>
      <c r="AD964">
        <v>2</v>
      </c>
      <c r="AE964">
        <v>4</v>
      </c>
      <c r="AF964">
        <v>3</v>
      </c>
      <c r="AG964">
        <v>0</v>
      </c>
      <c r="AH964">
        <v>2</v>
      </c>
      <c r="AI964">
        <f t="shared" si="105"/>
        <v>0</v>
      </c>
      <c r="AJ964" t="str">
        <f t="shared" si="106"/>
        <v>4-5 yrs</v>
      </c>
      <c r="AK964" t="str">
        <f t="shared" si="107"/>
        <v>Recent</v>
      </c>
      <c r="AL964">
        <f t="shared" si="108"/>
        <v>2</v>
      </c>
      <c r="AM964" t="str">
        <f t="shared" si="109"/>
        <v>Medium Risk</v>
      </c>
      <c r="AN964" s="6">
        <f t="shared" si="110"/>
        <v>-0.77033293283945703</v>
      </c>
      <c r="AO964" s="7">
        <f t="shared" si="111"/>
        <v>135204</v>
      </c>
    </row>
    <row r="965" spans="1:41" x14ac:dyDescent="0.3">
      <c r="A965" t="s">
        <v>1031</v>
      </c>
      <c r="B965">
        <v>40</v>
      </c>
      <c r="C965" t="s">
        <v>802</v>
      </c>
      <c r="D965" t="s">
        <v>55</v>
      </c>
      <c r="E965" t="s">
        <v>48</v>
      </c>
      <c r="F965">
        <v>1171</v>
      </c>
      <c r="G965" t="s">
        <v>735</v>
      </c>
      <c r="H965">
        <v>10</v>
      </c>
      <c r="I965">
        <v>4</v>
      </c>
      <c r="J965" t="s">
        <v>50</v>
      </c>
      <c r="K965">
        <v>483</v>
      </c>
      <c r="L965">
        <v>4</v>
      </c>
      <c r="M965" t="s">
        <v>59</v>
      </c>
      <c r="N965">
        <v>4</v>
      </c>
      <c r="O965">
        <v>1</v>
      </c>
      <c r="P965" t="s">
        <v>52</v>
      </c>
      <c r="Q965">
        <v>3</v>
      </c>
      <c r="R965" t="s">
        <v>113</v>
      </c>
      <c r="S965">
        <v>91825</v>
      </c>
      <c r="T965" t="s">
        <v>70</v>
      </c>
      <c r="U965">
        <v>573.91</v>
      </c>
      <c r="V965">
        <v>3</v>
      </c>
      <c r="W965" t="s">
        <v>47</v>
      </c>
      <c r="X965">
        <v>13</v>
      </c>
      <c r="Y965">
        <v>3</v>
      </c>
      <c r="Z965">
        <v>3</v>
      </c>
      <c r="AA965">
        <v>1</v>
      </c>
      <c r="AB965">
        <v>10</v>
      </c>
      <c r="AC965">
        <v>3</v>
      </c>
      <c r="AD965">
        <v>3</v>
      </c>
      <c r="AE965">
        <v>7</v>
      </c>
      <c r="AF965">
        <v>7</v>
      </c>
      <c r="AG965">
        <v>1</v>
      </c>
      <c r="AH965">
        <v>7</v>
      </c>
      <c r="AI965">
        <f t="shared" si="105"/>
        <v>0</v>
      </c>
      <c r="AJ965" t="str">
        <f t="shared" si="106"/>
        <v>6-10 yrs</v>
      </c>
      <c r="AK965" t="str">
        <f t="shared" si="107"/>
        <v>Recent</v>
      </c>
      <c r="AL965">
        <f t="shared" si="108"/>
        <v>1</v>
      </c>
      <c r="AM965" t="str">
        <f t="shared" si="109"/>
        <v>Low Risk</v>
      </c>
      <c r="AN965" s="6">
        <f t="shared" si="110"/>
        <v>0.77540482403409772</v>
      </c>
      <c r="AO965" s="7">
        <f t="shared" si="111"/>
        <v>1101900</v>
      </c>
    </row>
    <row r="966" spans="1:41" x14ac:dyDescent="0.3">
      <c r="A966" t="s">
        <v>1032</v>
      </c>
      <c r="B966">
        <v>40</v>
      </c>
      <c r="C966" t="s">
        <v>802</v>
      </c>
      <c r="D966" t="s">
        <v>47</v>
      </c>
      <c r="E966" t="s">
        <v>48</v>
      </c>
      <c r="F966">
        <v>575</v>
      </c>
      <c r="G966" t="s">
        <v>932</v>
      </c>
      <c r="H966">
        <v>22</v>
      </c>
      <c r="I966">
        <v>2</v>
      </c>
      <c r="J966" t="s">
        <v>63</v>
      </c>
      <c r="K966">
        <v>492</v>
      </c>
      <c r="L966">
        <v>3</v>
      </c>
      <c r="M966" t="s">
        <v>51</v>
      </c>
      <c r="N966">
        <v>2</v>
      </c>
      <c r="O966">
        <v>2</v>
      </c>
      <c r="P966" t="s">
        <v>145</v>
      </c>
      <c r="Q966">
        <v>3</v>
      </c>
      <c r="R966" t="s">
        <v>113</v>
      </c>
      <c r="S966">
        <v>2062</v>
      </c>
      <c r="T966" t="s">
        <v>54</v>
      </c>
      <c r="U966">
        <v>12.89</v>
      </c>
      <c r="V966">
        <v>2</v>
      </c>
      <c r="W966" t="s">
        <v>47</v>
      </c>
      <c r="X966">
        <v>12</v>
      </c>
      <c r="Y966">
        <v>3</v>
      </c>
      <c r="Z966">
        <v>1</v>
      </c>
      <c r="AA966">
        <v>2</v>
      </c>
      <c r="AB966">
        <v>8</v>
      </c>
      <c r="AC966">
        <v>6</v>
      </c>
      <c r="AD966">
        <v>3</v>
      </c>
      <c r="AE966">
        <v>6</v>
      </c>
      <c r="AF966">
        <v>4</v>
      </c>
      <c r="AG966">
        <v>1</v>
      </c>
      <c r="AH966">
        <v>0</v>
      </c>
      <c r="AI966">
        <f t="shared" si="105"/>
        <v>1</v>
      </c>
      <c r="AJ966" t="str">
        <f t="shared" si="106"/>
        <v>6-10 yrs</v>
      </c>
      <c r="AK966" t="str">
        <f t="shared" si="107"/>
        <v>Recent</v>
      </c>
      <c r="AL966">
        <f t="shared" si="108"/>
        <v>1</v>
      </c>
      <c r="AM966" t="str">
        <f t="shared" si="109"/>
        <v>Low Risk</v>
      </c>
      <c r="AN966" s="6">
        <f t="shared" si="110"/>
        <v>-0.95796809332696908</v>
      </c>
      <c r="AO966" s="7">
        <f t="shared" si="111"/>
        <v>24744</v>
      </c>
    </row>
    <row r="967" spans="1:41" x14ac:dyDescent="0.3">
      <c r="A967" t="s">
        <v>1033</v>
      </c>
      <c r="B967">
        <v>40</v>
      </c>
      <c r="C967" t="s">
        <v>802</v>
      </c>
      <c r="D967" t="s">
        <v>55</v>
      </c>
      <c r="E967" t="s">
        <v>48</v>
      </c>
      <c r="F967">
        <v>759</v>
      </c>
      <c r="G967" t="s">
        <v>932</v>
      </c>
      <c r="H967">
        <v>2</v>
      </c>
      <c r="I967">
        <v>2</v>
      </c>
      <c r="J967" t="s">
        <v>63</v>
      </c>
      <c r="K967">
        <v>516</v>
      </c>
      <c r="L967">
        <v>4</v>
      </c>
      <c r="M967" t="s">
        <v>59</v>
      </c>
      <c r="N967">
        <v>3</v>
      </c>
      <c r="O967">
        <v>2</v>
      </c>
      <c r="P967" t="s">
        <v>145</v>
      </c>
      <c r="Q967">
        <v>2</v>
      </c>
      <c r="R967" t="s">
        <v>113</v>
      </c>
      <c r="S967">
        <v>51448</v>
      </c>
      <c r="T967" t="s">
        <v>64</v>
      </c>
      <c r="U967">
        <v>321.55</v>
      </c>
      <c r="V967">
        <v>7</v>
      </c>
      <c r="W967" t="s">
        <v>55</v>
      </c>
      <c r="X967">
        <v>12</v>
      </c>
      <c r="Y967">
        <v>3</v>
      </c>
      <c r="Z967">
        <v>3</v>
      </c>
      <c r="AA967">
        <v>2</v>
      </c>
      <c r="AB967">
        <v>8</v>
      </c>
      <c r="AC967">
        <v>5</v>
      </c>
      <c r="AD967">
        <v>3</v>
      </c>
      <c r="AE967">
        <v>5</v>
      </c>
      <c r="AF967">
        <v>4</v>
      </c>
      <c r="AG967">
        <v>1</v>
      </c>
      <c r="AH967">
        <v>3</v>
      </c>
      <c r="AI967">
        <f t="shared" si="105"/>
        <v>0</v>
      </c>
      <c r="AJ967" t="str">
        <f t="shared" si="106"/>
        <v>4-5 yrs</v>
      </c>
      <c r="AK967" t="str">
        <f t="shared" si="107"/>
        <v>Recent</v>
      </c>
      <c r="AL967">
        <f t="shared" si="108"/>
        <v>1</v>
      </c>
      <c r="AM967" t="str">
        <f t="shared" si="109"/>
        <v>Low Risk</v>
      </c>
      <c r="AN967" s="6">
        <f t="shared" si="110"/>
        <v>4.8718493944760528E-2</v>
      </c>
      <c r="AO967" s="7">
        <f t="shared" si="111"/>
        <v>617376</v>
      </c>
    </row>
    <row r="968" spans="1:41" x14ac:dyDescent="0.3">
      <c r="A968" t="s">
        <v>1034</v>
      </c>
      <c r="B968">
        <v>40</v>
      </c>
      <c r="C968" t="s">
        <v>802</v>
      </c>
      <c r="D968" t="s">
        <v>55</v>
      </c>
      <c r="E968" t="s">
        <v>48</v>
      </c>
      <c r="F968">
        <v>555</v>
      </c>
      <c r="G968" t="s">
        <v>735</v>
      </c>
      <c r="H968">
        <v>2</v>
      </c>
      <c r="I968">
        <v>3</v>
      </c>
      <c r="J968" t="s">
        <v>58</v>
      </c>
      <c r="K968">
        <v>521</v>
      </c>
      <c r="L968">
        <v>2</v>
      </c>
      <c r="M968" t="s">
        <v>59</v>
      </c>
      <c r="N968">
        <v>2</v>
      </c>
      <c r="O968">
        <v>2</v>
      </c>
      <c r="P968" t="s">
        <v>52</v>
      </c>
      <c r="Q968">
        <v>3</v>
      </c>
      <c r="R968" t="s">
        <v>113</v>
      </c>
      <c r="S968">
        <v>96462</v>
      </c>
      <c r="T968" t="s">
        <v>70</v>
      </c>
      <c r="U968">
        <v>602.89</v>
      </c>
      <c r="V968">
        <v>6</v>
      </c>
      <c r="W968" t="s">
        <v>55</v>
      </c>
      <c r="X968">
        <v>22</v>
      </c>
      <c r="Y968">
        <v>4</v>
      </c>
      <c r="Z968">
        <v>2</v>
      </c>
      <c r="AA968">
        <v>1</v>
      </c>
      <c r="AB968">
        <v>20</v>
      </c>
      <c r="AC968">
        <v>3</v>
      </c>
      <c r="AD968">
        <v>3</v>
      </c>
      <c r="AE968">
        <v>1</v>
      </c>
      <c r="AF968">
        <v>0</v>
      </c>
      <c r="AG968">
        <v>0</v>
      </c>
      <c r="AH968">
        <v>0</v>
      </c>
      <c r="AI968">
        <f t="shared" si="105"/>
        <v>0</v>
      </c>
      <c r="AJ968" t="str">
        <f t="shared" si="106"/>
        <v>0-1 yr</v>
      </c>
      <c r="AK968" t="str">
        <f t="shared" si="107"/>
        <v>Recent</v>
      </c>
      <c r="AL968">
        <f t="shared" si="108"/>
        <v>0</v>
      </c>
      <c r="AM968" t="str">
        <f t="shared" si="109"/>
        <v>Minimal Risk</v>
      </c>
      <c r="AN968" s="6">
        <f t="shared" si="110"/>
        <v>0.86505962576615447</v>
      </c>
      <c r="AO968" s="7">
        <f t="shared" si="111"/>
        <v>1157544</v>
      </c>
    </row>
    <row r="969" spans="1:41" x14ac:dyDescent="0.3">
      <c r="A969" t="s">
        <v>1035</v>
      </c>
      <c r="B969">
        <v>40</v>
      </c>
      <c r="C969" t="s">
        <v>802</v>
      </c>
      <c r="D969" t="s">
        <v>55</v>
      </c>
      <c r="E969" t="s">
        <v>48</v>
      </c>
      <c r="F969">
        <v>1398</v>
      </c>
      <c r="G969" t="s">
        <v>932</v>
      </c>
      <c r="H969">
        <v>2</v>
      </c>
      <c r="I969">
        <v>4</v>
      </c>
      <c r="J969" t="s">
        <v>50</v>
      </c>
      <c r="K969">
        <v>558</v>
      </c>
      <c r="L969">
        <v>3</v>
      </c>
      <c r="M969" t="s">
        <v>59</v>
      </c>
      <c r="N969">
        <v>3</v>
      </c>
      <c r="O969">
        <v>5</v>
      </c>
      <c r="P969" t="s">
        <v>444</v>
      </c>
      <c r="Q969">
        <v>3</v>
      </c>
      <c r="R969" t="s">
        <v>113</v>
      </c>
      <c r="S969">
        <v>7229</v>
      </c>
      <c r="T969" t="s">
        <v>54</v>
      </c>
      <c r="U969">
        <v>45.18</v>
      </c>
      <c r="V969">
        <v>0</v>
      </c>
      <c r="W969" t="s">
        <v>55</v>
      </c>
      <c r="X969">
        <v>14</v>
      </c>
      <c r="Y969">
        <v>3</v>
      </c>
      <c r="Z969">
        <v>4</v>
      </c>
      <c r="AA969">
        <v>0</v>
      </c>
      <c r="AB969">
        <v>21</v>
      </c>
      <c r="AC969">
        <v>2</v>
      </c>
      <c r="AD969">
        <v>3</v>
      </c>
      <c r="AE969">
        <v>20</v>
      </c>
      <c r="AF969">
        <v>15</v>
      </c>
      <c r="AG969">
        <v>1</v>
      </c>
      <c r="AH969">
        <v>12</v>
      </c>
      <c r="AI969">
        <f t="shared" si="105"/>
        <v>0</v>
      </c>
      <c r="AJ969" t="str">
        <f t="shared" si="106"/>
        <v>10+ yrs</v>
      </c>
      <c r="AK969" t="str">
        <f t="shared" si="107"/>
        <v>Recent</v>
      </c>
      <c r="AL969">
        <f t="shared" si="108"/>
        <v>0</v>
      </c>
      <c r="AM969" t="str">
        <f t="shared" si="109"/>
        <v>Minimal Risk</v>
      </c>
      <c r="AN969" s="6">
        <f t="shared" si="110"/>
        <v>-0.86150893613121005</v>
      </c>
      <c r="AO969" s="7">
        <f t="shared" si="111"/>
        <v>86748</v>
      </c>
    </row>
    <row r="970" spans="1:41" x14ac:dyDescent="0.3">
      <c r="A970" t="s">
        <v>1036</v>
      </c>
      <c r="B970">
        <v>40</v>
      </c>
      <c r="C970" t="s">
        <v>802</v>
      </c>
      <c r="D970" t="s">
        <v>55</v>
      </c>
      <c r="E970" t="s">
        <v>48</v>
      </c>
      <c r="F970">
        <v>302</v>
      </c>
      <c r="G970" t="s">
        <v>735</v>
      </c>
      <c r="H970">
        <v>6</v>
      </c>
      <c r="I970">
        <v>3</v>
      </c>
      <c r="J970" t="s">
        <v>50</v>
      </c>
      <c r="K970">
        <v>601</v>
      </c>
      <c r="L970">
        <v>2</v>
      </c>
      <c r="M970" t="s">
        <v>59</v>
      </c>
      <c r="N970">
        <v>3</v>
      </c>
      <c r="O970">
        <v>4</v>
      </c>
      <c r="P970" t="s">
        <v>120</v>
      </c>
      <c r="Q970">
        <v>3</v>
      </c>
      <c r="R970" t="s">
        <v>53</v>
      </c>
      <c r="S970">
        <v>57793</v>
      </c>
      <c r="T970" t="s">
        <v>64</v>
      </c>
      <c r="U970">
        <v>361.21</v>
      </c>
      <c r="V970">
        <v>7</v>
      </c>
      <c r="W970" t="s">
        <v>55</v>
      </c>
      <c r="X970">
        <v>15</v>
      </c>
      <c r="Y970">
        <v>3</v>
      </c>
      <c r="Z970">
        <v>3</v>
      </c>
      <c r="AA970">
        <v>0</v>
      </c>
      <c r="AB970">
        <v>22</v>
      </c>
      <c r="AC970">
        <v>3</v>
      </c>
      <c r="AD970">
        <v>3</v>
      </c>
      <c r="AE970">
        <v>20</v>
      </c>
      <c r="AF970">
        <v>6</v>
      </c>
      <c r="AG970">
        <v>5</v>
      </c>
      <c r="AH970">
        <v>13</v>
      </c>
      <c r="AI970">
        <f t="shared" si="105"/>
        <v>0</v>
      </c>
      <c r="AJ970" t="str">
        <f t="shared" si="106"/>
        <v>10+ yrs</v>
      </c>
      <c r="AK970" t="str">
        <f t="shared" si="107"/>
        <v>Overdue</v>
      </c>
      <c r="AL970">
        <f t="shared" si="108"/>
        <v>1</v>
      </c>
      <c r="AM970" t="str">
        <f t="shared" si="109"/>
        <v>Low Risk</v>
      </c>
      <c r="AN970" s="6">
        <f t="shared" si="110"/>
        <v>0.30471976779768545</v>
      </c>
      <c r="AO970" s="7">
        <f t="shared" si="111"/>
        <v>693516</v>
      </c>
    </row>
    <row r="971" spans="1:41" x14ac:dyDescent="0.3">
      <c r="A971" t="s">
        <v>1037</v>
      </c>
      <c r="B971">
        <v>40</v>
      </c>
      <c r="C971" t="s">
        <v>802</v>
      </c>
      <c r="D971" t="s">
        <v>55</v>
      </c>
      <c r="E971" t="s">
        <v>66</v>
      </c>
      <c r="F971">
        <v>1094</v>
      </c>
      <c r="G971" t="s">
        <v>932</v>
      </c>
      <c r="H971">
        <v>28</v>
      </c>
      <c r="I971">
        <v>3</v>
      </c>
      <c r="J971" t="s">
        <v>82</v>
      </c>
      <c r="K971">
        <v>615</v>
      </c>
      <c r="L971">
        <v>3</v>
      </c>
      <c r="M971" t="s">
        <v>51</v>
      </c>
      <c r="N971">
        <v>1</v>
      </c>
      <c r="O971">
        <v>3</v>
      </c>
      <c r="P971" t="s">
        <v>145</v>
      </c>
      <c r="Q971">
        <v>1</v>
      </c>
      <c r="R971" t="s">
        <v>53</v>
      </c>
      <c r="S971">
        <v>48915</v>
      </c>
      <c r="T971" t="s">
        <v>72</v>
      </c>
      <c r="U971">
        <v>305.72000000000003</v>
      </c>
      <c r="V971">
        <v>3</v>
      </c>
      <c r="W971" t="s">
        <v>55</v>
      </c>
      <c r="X971">
        <v>15</v>
      </c>
      <c r="Y971">
        <v>3</v>
      </c>
      <c r="Z971">
        <v>3</v>
      </c>
      <c r="AA971">
        <v>1</v>
      </c>
      <c r="AB971">
        <v>20</v>
      </c>
      <c r="AC971">
        <v>2</v>
      </c>
      <c r="AD971">
        <v>3</v>
      </c>
      <c r="AE971">
        <v>1</v>
      </c>
      <c r="AF971">
        <v>0</v>
      </c>
      <c r="AG971">
        <v>0</v>
      </c>
      <c r="AH971">
        <v>1</v>
      </c>
      <c r="AI971">
        <f t="shared" si="105"/>
        <v>0</v>
      </c>
      <c r="AJ971" t="str">
        <f t="shared" si="106"/>
        <v>0-1 yr</v>
      </c>
      <c r="AK971" t="str">
        <f t="shared" si="107"/>
        <v>Recent</v>
      </c>
      <c r="AL971">
        <f t="shared" si="108"/>
        <v>1</v>
      </c>
      <c r="AM971" t="str">
        <f t="shared" si="109"/>
        <v>Low Risk</v>
      </c>
      <c r="AN971" s="6">
        <f t="shared" si="110"/>
        <v>-2.914299267066529E-3</v>
      </c>
      <c r="AO971" s="7">
        <f t="shared" si="111"/>
        <v>586980</v>
      </c>
    </row>
    <row r="972" spans="1:41" x14ac:dyDescent="0.3">
      <c r="A972" t="s">
        <v>1038</v>
      </c>
      <c r="B972">
        <v>40</v>
      </c>
      <c r="C972" t="s">
        <v>802</v>
      </c>
      <c r="D972" t="s">
        <v>55</v>
      </c>
      <c r="E972" t="s">
        <v>62</v>
      </c>
      <c r="F972">
        <v>580</v>
      </c>
      <c r="G972" t="s">
        <v>932</v>
      </c>
      <c r="H972">
        <v>5</v>
      </c>
      <c r="I972">
        <v>4</v>
      </c>
      <c r="J972" t="s">
        <v>50</v>
      </c>
      <c r="K972">
        <v>729</v>
      </c>
      <c r="L972">
        <v>4</v>
      </c>
      <c r="M972" t="s">
        <v>51</v>
      </c>
      <c r="N972">
        <v>2</v>
      </c>
      <c r="O972">
        <v>3</v>
      </c>
      <c r="P972" t="s">
        <v>145</v>
      </c>
      <c r="Q972">
        <v>1</v>
      </c>
      <c r="R972" t="s">
        <v>113</v>
      </c>
      <c r="S972">
        <v>5632</v>
      </c>
      <c r="T972" t="s">
        <v>54</v>
      </c>
      <c r="U972">
        <v>35.200000000000003</v>
      </c>
      <c r="V972">
        <v>5</v>
      </c>
      <c r="W972" t="s">
        <v>47</v>
      </c>
      <c r="X972">
        <v>21</v>
      </c>
      <c r="Y972">
        <v>4</v>
      </c>
      <c r="Z972">
        <v>3</v>
      </c>
      <c r="AA972">
        <v>1</v>
      </c>
      <c r="AB972">
        <v>20</v>
      </c>
      <c r="AC972">
        <v>2</v>
      </c>
      <c r="AD972">
        <v>3</v>
      </c>
      <c r="AE972">
        <v>18</v>
      </c>
      <c r="AF972">
        <v>13</v>
      </c>
      <c r="AG972">
        <v>1</v>
      </c>
      <c r="AH972">
        <v>12</v>
      </c>
      <c r="AI972">
        <f t="shared" si="105"/>
        <v>0</v>
      </c>
      <c r="AJ972" t="str">
        <f t="shared" si="106"/>
        <v>10+ yrs</v>
      </c>
      <c r="AK972" t="str">
        <f t="shared" si="107"/>
        <v>Recent</v>
      </c>
      <c r="AL972">
        <f t="shared" si="108"/>
        <v>2</v>
      </c>
      <c r="AM972" t="str">
        <f t="shared" si="109"/>
        <v>Medium Risk</v>
      </c>
      <c r="AN972" s="6">
        <f t="shared" si="110"/>
        <v>-0.8851970424915081</v>
      </c>
      <c r="AO972" s="7">
        <f t="shared" si="111"/>
        <v>67584</v>
      </c>
    </row>
    <row r="973" spans="1:41" x14ac:dyDescent="0.3">
      <c r="A973" t="s">
        <v>1039</v>
      </c>
      <c r="B973">
        <v>40</v>
      </c>
      <c r="C973" t="s">
        <v>802</v>
      </c>
      <c r="D973" t="s">
        <v>55</v>
      </c>
      <c r="E973" t="s">
        <v>48</v>
      </c>
      <c r="F973">
        <v>804</v>
      </c>
      <c r="G973" t="s">
        <v>735</v>
      </c>
      <c r="H973">
        <v>2</v>
      </c>
      <c r="I973">
        <v>1</v>
      </c>
      <c r="J973" t="s">
        <v>58</v>
      </c>
      <c r="K973">
        <v>763</v>
      </c>
      <c r="L973">
        <v>4</v>
      </c>
      <c r="M973" t="s">
        <v>59</v>
      </c>
      <c r="N973">
        <v>2</v>
      </c>
      <c r="O973">
        <v>1</v>
      </c>
      <c r="P973" t="s">
        <v>67</v>
      </c>
      <c r="Q973">
        <v>4</v>
      </c>
      <c r="R973" t="s">
        <v>53</v>
      </c>
      <c r="S973">
        <v>4596</v>
      </c>
      <c r="T973" t="s">
        <v>54</v>
      </c>
      <c r="U973">
        <v>28.72</v>
      </c>
      <c r="V973">
        <v>0</v>
      </c>
      <c r="W973" t="s">
        <v>47</v>
      </c>
      <c r="X973">
        <v>20</v>
      </c>
      <c r="Y973">
        <v>4</v>
      </c>
      <c r="Z973">
        <v>4</v>
      </c>
      <c r="AA973">
        <v>0</v>
      </c>
      <c r="AB973">
        <v>5</v>
      </c>
      <c r="AC973">
        <v>2</v>
      </c>
      <c r="AD973">
        <v>2</v>
      </c>
      <c r="AE973">
        <v>4</v>
      </c>
      <c r="AF973">
        <v>2</v>
      </c>
      <c r="AG973">
        <v>2</v>
      </c>
      <c r="AH973">
        <v>3</v>
      </c>
      <c r="AI973">
        <f t="shared" si="105"/>
        <v>0</v>
      </c>
      <c r="AJ973" t="str">
        <f t="shared" si="106"/>
        <v>4-5 yrs</v>
      </c>
      <c r="AK973" t="str">
        <f t="shared" si="107"/>
        <v>Recent</v>
      </c>
      <c r="AL973">
        <f t="shared" si="108"/>
        <v>2</v>
      </c>
      <c r="AM973" t="str">
        <f t="shared" si="109"/>
        <v>Medium Risk</v>
      </c>
      <c r="AN973" s="6">
        <f t="shared" si="110"/>
        <v>-0.90783318166437244</v>
      </c>
      <c r="AO973" s="7">
        <f t="shared" si="111"/>
        <v>55152</v>
      </c>
    </row>
    <row r="974" spans="1:41" x14ac:dyDescent="0.3">
      <c r="A974" t="s">
        <v>1040</v>
      </c>
      <c r="B974">
        <v>40</v>
      </c>
      <c r="C974" t="s">
        <v>802</v>
      </c>
      <c r="D974" t="s">
        <v>55</v>
      </c>
      <c r="E974" t="s">
        <v>62</v>
      </c>
      <c r="F974">
        <v>791</v>
      </c>
      <c r="G974" t="s">
        <v>735</v>
      </c>
      <c r="H974">
        <v>2</v>
      </c>
      <c r="I974">
        <v>2</v>
      </c>
      <c r="J974" t="s">
        <v>58</v>
      </c>
      <c r="K974">
        <v>807</v>
      </c>
      <c r="L974">
        <v>3</v>
      </c>
      <c r="M974" t="s">
        <v>59</v>
      </c>
      <c r="N974">
        <v>4</v>
      </c>
      <c r="O974">
        <v>2</v>
      </c>
      <c r="P974" t="s">
        <v>168</v>
      </c>
      <c r="Q974">
        <v>2</v>
      </c>
      <c r="R974" t="s">
        <v>113</v>
      </c>
      <c r="S974">
        <v>7168</v>
      </c>
      <c r="T974" t="s">
        <v>54</v>
      </c>
      <c r="U974">
        <v>44.8</v>
      </c>
      <c r="V974">
        <v>1</v>
      </c>
      <c r="W974" t="s">
        <v>55</v>
      </c>
      <c r="X974">
        <v>24</v>
      </c>
      <c r="Y974">
        <v>4</v>
      </c>
      <c r="Z974">
        <v>4</v>
      </c>
      <c r="AA974">
        <v>1</v>
      </c>
      <c r="AB974">
        <v>8</v>
      </c>
      <c r="AC974">
        <v>2</v>
      </c>
      <c r="AD974">
        <v>3</v>
      </c>
      <c r="AE974">
        <v>8</v>
      </c>
      <c r="AF974">
        <v>7</v>
      </c>
      <c r="AG974">
        <v>3</v>
      </c>
      <c r="AH974">
        <v>7</v>
      </c>
      <c r="AI974">
        <f t="shared" si="105"/>
        <v>0</v>
      </c>
      <c r="AJ974" t="str">
        <f t="shared" si="106"/>
        <v>6-10 yrs</v>
      </c>
      <c r="AK974" t="str">
        <f t="shared" si="107"/>
        <v>Overdue</v>
      </c>
      <c r="AL974">
        <f t="shared" si="108"/>
        <v>2</v>
      </c>
      <c r="AM974" t="str">
        <f t="shared" si="109"/>
        <v>Medium Risk</v>
      </c>
      <c r="AN974" s="6">
        <f t="shared" si="110"/>
        <v>-0.85125280146090998</v>
      </c>
      <c r="AO974" s="7">
        <f t="shared" si="111"/>
        <v>86016</v>
      </c>
    </row>
    <row r="975" spans="1:41" x14ac:dyDescent="0.3">
      <c r="A975" t="s">
        <v>1041</v>
      </c>
      <c r="B975">
        <v>40</v>
      </c>
      <c r="C975" t="s">
        <v>802</v>
      </c>
      <c r="D975" t="s">
        <v>55</v>
      </c>
      <c r="E975" t="s">
        <v>62</v>
      </c>
      <c r="F975">
        <v>720</v>
      </c>
      <c r="G975" t="s">
        <v>735</v>
      </c>
      <c r="H975">
        <v>16</v>
      </c>
      <c r="I975">
        <v>4</v>
      </c>
      <c r="J975" t="s">
        <v>58</v>
      </c>
      <c r="K975">
        <v>832</v>
      </c>
      <c r="L975">
        <v>1</v>
      </c>
      <c r="M975" t="s">
        <v>51</v>
      </c>
      <c r="N975">
        <v>2</v>
      </c>
      <c r="O975">
        <v>2</v>
      </c>
      <c r="P975" t="s">
        <v>52</v>
      </c>
      <c r="Q975">
        <v>3</v>
      </c>
      <c r="R975" t="s">
        <v>53</v>
      </c>
      <c r="S975">
        <v>8561</v>
      </c>
      <c r="T975" t="s">
        <v>54</v>
      </c>
      <c r="U975">
        <v>53.51</v>
      </c>
      <c r="V975">
        <v>6</v>
      </c>
      <c r="W975" t="s">
        <v>55</v>
      </c>
      <c r="X975">
        <v>14</v>
      </c>
      <c r="Y975">
        <v>3</v>
      </c>
      <c r="Z975">
        <v>4</v>
      </c>
      <c r="AA975">
        <v>0</v>
      </c>
      <c r="AB975">
        <v>10</v>
      </c>
      <c r="AC975">
        <v>6</v>
      </c>
      <c r="AD975">
        <v>3</v>
      </c>
      <c r="AE975">
        <v>1</v>
      </c>
      <c r="AF975">
        <v>0</v>
      </c>
      <c r="AG975">
        <v>0</v>
      </c>
      <c r="AH975">
        <v>0</v>
      </c>
      <c r="AI975">
        <f t="shared" si="105"/>
        <v>0</v>
      </c>
      <c r="AJ975" t="str">
        <f t="shared" si="106"/>
        <v>0-1 yr</v>
      </c>
      <c r="AK975" t="str">
        <f t="shared" si="107"/>
        <v>Recent</v>
      </c>
      <c r="AL975">
        <f t="shared" si="108"/>
        <v>0</v>
      </c>
      <c r="AM975" t="str">
        <f t="shared" si="109"/>
        <v>Minimal Risk</v>
      </c>
      <c r="AN975" s="6">
        <f t="shared" si="110"/>
        <v>-0.83447600654989484</v>
      </c>
      <c r="AO975" s="7">
        <f t="shared" si="111"/>
        <v>102732</v>
      </c>
    </row>
    <row r="976" spans="1:41" x14ac:dyDescent="0.3">
      <c r="A976" t="s">
        <v>1042</v>
      </c>
      <c r="B976">
        <v>40</v>
      </c>
      <c r="C976" t="s">
        <v>802</v>
      </c>
      <c r="D976" t="s">
        <v>55</v>
      </c>
      <c r="E976" t="s">
        <v>48</v>
      </c>
      <c r="F976">
        <v>658</v>
      </c>
      <c r="G976" t="s">
        <v>932</v>
      </c>
      <c r="H976">
        <v>10</v>
      </c>
      <c r="I976">
        <v>4</v>
      </c>
      <c r="J976" t="s">
        <v>63</v>
      </c>
      <c r="K976">
        <v>954</v>
      </c>
      <c r="L976">
        <v>1</v>
      </c>
      <c r="M976" t="s">
        <v>51</v>
      </c>
      <c r="N976">
        <v>2</v>
      </c>
      <c r="O976">
        <v>3</v>
      </c>
      <c r="P976" t="s">
        <v>145</v>
      </c>
      <c r="Q976">
        <v>2</v>
      </c>
      <c r="R976" t="s">
        <v>113</v>
      </c>
      <c r="S976">
        <v>74794</v>
      </c>
      <c r="T976" t="s">
        <v>64</v>
      </c>
      <c r="U976">
        <v>467.46</v>
      </c>
      <c r="V976">
        <v>2</v>
      </c>
      <c r="W976" t="s">
        <v>55</v>
      </c>
      <c r="X976">
        <v>12</v>
      </c>
      <c r="Y976">
        <v>3</v>
      </c>
      <c r="Z976">
        <v>2</v>
      </c>
      <c r="AA976">
        <v>1</v>
      </c>
      <c r="AB976">
        <v>11</v>
      </c>
      <c r="AC976">
        <v>2</v>
      </c>
      <c r="AD976">
        <v>2</v>
      </c>
      <c r="AE976">
        <v>1</v>
      </c>
      <c r="AF976">
        <v>0</v>
      </c>
      <c r="AG976">
        <v>0</v>
      </c>
      <c r="AH976">
        <v>0</v>
      </c>
      <c r="AI976">
        <f t="shared" si="105"/>
        <v>0</v>
      </c>
      <c r="AJ976" t="str">
        <f t="shared" si="106"/>
        <v>0-1 yr</v>
      </c>
      <c r="AK976" t="str">
        <f t="shared" si="107"/>
        <v>Recent</v>
      </c>
      <c r="AL976">
        <f t="shared" si="108"/>
        <v>2</v>
      </c>
      <c r="AM976" t="str">
        <f t="shared" si="109"/>
        <v>Medium Risk</v>
      </c>
      <c r="AN976" s="6">
        <f t="shared" si="110"/>
        <v>0.5246044751225396</v>
      </c>
      <c r="AO976" s="7">
        <f t="shared" si="111"/>
        <v>897528</v>
      </c>
    </row>
    <row r="977" spans="1:41" x14ac:dyDescent="0.3">
      <c r="A977" t="s">
        <v>1043</v>
      </c>
      <c r="B977">
        <v>40</v>
      </c>
      <c r="C977" t="s">
        <v>802</v>
      </c>
      <c r="D977" t="s">
        <v>55</v>
      </c>
      <c r="E977" t="s">
        <v>62</v>
      </c>
      <c r="F977">
        <v>1469</v>
      </c>
      <c r="G977" t="s">
        <v>735</v>
      </c>
      <c r="H977">
        <v>9</v>
      </c>
      <c r="I977">
        <v>4</v>
      </c>
      <c r="J977" t="s">
        <v>58</v>
      </c>
      <c r="K977">
        <v>964</v>
      </c>
      <c r="L977">
        <v>4</v>
      </c>
      <c r="M977" t="s">
        <v>51</v>
      </c>
      <c r="N977">
        <v>3</v>
      </c>
      <c r="O977">
        <v>1</v>
      </c>
      <c r="P977" t="s">
        <v>67</v>
      </c>
      <c r="Q977">
        <v>2</v>
      </c>
      <c r="R977" t="s">
        <v>53</v>
      </c>
      <c r="S977">
        <v>83152</v>
      </c>
      <c r="T977" t="s">
        <v>64</v>
      </c>
      <c r="U977">
        <v>519.70000000000005</v>
      </c>
      <c r="V977">
        <v>8</v>
      </c>
      <c r="W977" t="s">
        <v>47</v>
      </c>
      <c r="X977">
        <v>14</v>
      </c>
      <c r="Y977">
        <v>3</v>
      </c>
      <c r="Z977">
        <v>4</v>
      </c>
      <c r="AA977">
        <v>1</v>
      </c>
      <c r="AB977">
        <v>3</v>
      </c>
      <c r="AC977">
        <v>2</v>
      </c>
      <c r="AD977">
        <v>3</v>
      </c>
      <c r="AE977">
        <v>1</v>
      </c>
      <c r="AF977">
        <v>1</v>
      </c>
      <c r="AG977">
        <v>0</v>
      </c>
      <c r="AH977">
        <v>0</v>
      </c>
      <c r="AI977">
        <f t="shared" si="105"/>
        <v>0</v>
      </c>
      <c r="AJ977" t="str">
        <f t="shared" si="106"/>
        <v>0-1 yr</v>
      </c>
      <c r="AK977" t="str">
        <f t="shared" si="107"/>
        <v>Recent</v>
      </c>
      <c r="AL977">
        <f t="shared" si="108"/>
        <v>2</v>
      </c>
      <c r="AM977" t="str">
        <f t="shared" si="109"/>
        <v>Medium Risk</v>
      </c>
      <c r="AN977" s="6">
        <f t="shared" si="110"/>
        <v>0.66750550005311149</v>
      </c>
      <c r="AO977" s="7">
        <f t="shared" si="111"/>
        <v>997824</v>
      </c>
    </row>
    <row r="978" spans="1:41" x14ac:dyDescent="0.3">
      <c r="A978" t="s">
        <v>1044</v>
      </c>
      <c r="B978">
        <v>40</v>
      </c>
      <c r="C978" t="s">
        <v>802</v>
      </c>
      <c r="D978" t="s">
        <v>47</v>
      </c>
      <c r="E978" t="s">
        <v>66</v>
      </c>
      <c r="F978">
        <v>1479</v>
      </c>
      <c r="G978" t="s">
        <v>932</v>
      </c>
      <c r="H978">
        <v>24</v>
      </c>
      <c r="I978">
        <v>3</v>
      </c>
      <c r="J978" t="s">
        <v>50</v>
      </c>
      <c r="K978">
        <v>986</v>
      </c>
      <c r="L978">
        <v>2</v>
      </c>
      <c r="M978" t="s">
        <v>59</v>
      </c>
      <c r="N978">
        <v>4</v>
      </c>
      <c r="O978">
        <v>4</v>
      </c>
      <c r="P978" t="s">
        <v>145</v>
      </c>
      <c r="Q978">
        <v>2</v>
      </c>
      <c r="R978" t="s">
        <v>53</v>
      </c>
      <c r="S978">
        <v>27734</v>
      </c>
      <c r="T978" t="s">
        <v>72</v>
      </c>
      <c r="U978">
        <v>173.34</v>
      </c>
      <c r="V978">
        <v>4</v>
      </c>
      <c r="W978" t="s">
        <v>47</v>
      </c>
      <c r="X978">
        <v>16</v>
      </c>
      <c r="Y978">
        <v>3</v>
      </c>
      <c r="Z978">
        <v>4</v>
      </c>
      <c r="AA978">
        <v>0</v>
      </c>
      <c r="AB978">
        <v>22</v>
      </c>
      <c r="AC978">
        <v>2</v>
      </c>
      <c r="AD978">
        <v>2</v>
      </c>
      <c r="AE978">
        <v>1</v>
      </c>
      <c r="AF978">
        <v>0</v>
      </c>
      <c r="AG978">
        <v>0</v>
      </c>
      <c r="AH978">
        <v>0</v>
      </c>
      <c r="AI978">
        <f t="shared" si="105"/>
        <v>1</v>
      </c>
      <c r="AJ978" t="str">
        <f t="shared" si="106"/>
        <v>0-1 yr</v>
      </c>
      <c r="AK978" t="str">
        <f t="shared" si="107"/>
        <v>Recent</v>
      </c>
      <c r="AL978">
        <f t="shared" si="108"/>
        <v>3</v>
      </c>
      <c r="AM978" t="str">
        <f t="shared" si="109"/>
        <v>High Risk</v>
      </c>
      <c r="AN978" s="6">
        <f t="shared" si="110"/>
        <v>-0.43466881684294845</v>
      </c>
      <c r="AO978" s="7">
        <f t="shared" si="111"/>
        <v>332808</v>
      </c>
    </row>
    <row r="979" spans="1:41" x14ac:dyDescent="0.3">
      <c r="A979" t="s">
        <v>1045</v>
      </c>
      <c r="B979">
        <v>40</v>
      </c>
      <c r="C979" t="s">
        <v>802</v>
      </c>
      <c r="D979" t="s">
        <v>55</v>
      </c>
      <c r="E979" t="s">
        <v>48</v>
      </c>
      <c r="F979">
        <v>300</v>
      </c>
      <c r="G979" t="s">
        <v>932</v>
      </c>
      <c r="H979">
        <v>26</v>
      </c>
      <c r="I979">
        <v>3</v>
      </c>
      <c r="J979" t="s">
        <v>63</v>
      </c>
      <c r="K979">
        <v>1066</v>
      </c>
      <c r="L979">
        <v>3</v>
      </c>
      <c r="M979" t="s">
        <v>51</v>
      </c>
      <c r="N979">
        <v>3</v>
      </c>
      <c r="O979">
        <v>2</v>
      </c>
      <c r="P979" t="s">
        <v>145</v>
      </c>
      <c r="Q979">
        <v>1</v>
      </c>
      <c r="R979" t="s">
        <v>113</v>
      </c>
      <c r="S979">
        <v>7371</v>
      </c>
      <c r="T979" t="s">
        <v>54</v>
      </c>
      <c r="U979">
        <v>46.07</v>
      </c>
      <c r="V979">
        <v>1</v>
      </c>
      <c r="W979" t="s">
        <v>55</v>
      </c>
      <c r="X979">
        <v>14</v>
      </c>
      <c r="Y979">
        <v>3</v>
      </c>
      <c r="Z979">
        <v>2</v>
      </c>
      <c r="AA979">
        <v>1</v>
      </c>
      <c r="AB979">
        <v>8</v>
      </c>
      <c r="AC979">
        <v>3</v>
      </c>
      <c r="AD979">
        <v>2</v>
      </c>
      <c r="AE979">
        <v>7</v>
      </c>
      <c r="AF979">
        <v>7</v>
      </c>
      <c r="AG979">
        <v>7</v>
      </c>
      <c r="AH979">
        <v>5</v>
      </c>
      <c r="AI979">
        <f t="shared" si="105"/>
        <v>0</v>
      </c>
      <c r="AJ979" t="str">
        <f t="shared" si="106"/>
        <v>6-10 yrs</v>
      </c>
      <c r="AK979" t="str">
        <f t="shared" si="107"/>
        <v>Overdue</v>
      </c>
      <c r="AL979">
        <f t="shared" si="108"/>
        <v>3</v>
      </c>
      <c r="AM979" t="str">
        <f t="shared" si="109"/>
        <v>High Risk</v>
      </c>
      <c r="AN979" s="6">
        <f t="shared" si="110"/>
        <v>-0.8497491832750188</v>
      </c>
      <c r="AO979" s="7">
        <f t="shared" si="111"/>
        <v>88452</v>
      </c>
    </row>
    <row r="980" spans="1:41" x14ac:dyDescent="0.3">
      <c r="A980" t="s">
        <v>1046</v>
      </c>
      <c r="B980">
        <v>40</v>
      </c>
      <c r="C980" t="s">
        <v>802</v>
      </c>
      <c r="D980" t="s">
        <v>55</v>
      </c>
      <c r="E980" t="s">
        <v>48</v>
      </c>
      <c r="F980">
        <v>1492</v>
      </c>
      <c r="G980" t="s">
        <v>735</v>
      </c>
      <c r="H980">
        <v>20</v>
      </c>
      <c r="I980">
        <v>4</v>
      </c>
      <c r="J980" t="s">
        <v>77</v>
      </c>
      <c r="K980">
        <v>1092</v>
      </c>
      <c r="L980">
        <v>1</v>
      </c>
      <c r="M980" t="s">
        <v>51</v>
      </c>
      <c r="N980">
        <v>3</v>
      </c>
      <c r="O980">
        <v>3</v>
      </c>
      <c r="P980" t="s">
        <v>168</v>
      </c>
      <c r="Q980">
        <v>4</v>
      </c>
      <c r="R980" t="s">
        <v>113</v>
      </c>
      <c r="S980">
        <v>27069</v>
      </c>
      <c r="T980" t="s">
        <v>72</v>
      </c>
      <c r="U980">
        <v>169.18</v>
      </c>
      <c r="V980">
        <v>4</v>
      </c>
      <c r="W980" t="s">
        <v>55</v>
      </c>
      <c r="X980">
        <v>20</v>
      </c>
      <c r="Y980">
        <v>4</v>
      </c>
      <c r="Z980">
        <v>4</v>
      </c>
      <c r="AA980">
        <v>1</v>
      </c>
      <c r="AB980">
        <v>14</v>
      </c>
      <c r="AC980">
        <v>6</v>
      </c>
      <c r="AD980">
        <v>3</v>
      </c>
      <c r="AE980">
        <v>11</v>
      </c>
      <c r="AF980">
        <v>10</v>
      </c>
      <c r="AG980">
        <v>11</v>
      </c>
      <c r="AH980">
        <v>1</v>
      </c>
      <c r="AI980">
        <f t="shared" si="105"/>
        <v>0</v>
      </c>
      <c r="AJ980" t="str">
        <f t="shared" si="106"/>
        <v>10+ yrs</v>
      </c>
      <c r="AK980" t="str">
        <f t="shared" si="107"/>
        <v>Overdue</v>
      </c>
      <c r="AL980">
        <f t="shared" si="108"/>
        <v>1</v>
      </c>
      <c r="AM980" t="str">
        <f t="shared" si="109"/>
        <v>Low Risk</v>
      </c>
      <c r="AN980" s="6">
        <f t="shared" si="110"/>
        <v>-0.43827596020443249</v>
      </c>
      <c r="AO980" s="7">
        <f t="shared" si="111"/>
        <v>324828</v>
      </c>
    </row>
    <row r="981" spans="1:41" x14ac:dyDescent="0.3">
      <c r="A981" t="s">
        <v>1047</v>
      </c>
      <c r="B981">
        <v>40</v>
      </c>
      <c r="C981" t="s">
        <v>802</v>
      </c>
      <c r="D981" t="s">
        <v>55</v>
      </c>
      <c r="E981" t="s">
        <v>48</v>
      </c>
      <c r="F981">
        <v>1308</v>
      </c>
      <c r="G981" t="s">
        <v>735</v>
      </c>
      <c r="H981">
        <v>14</v>
      </c>
      <c r="I981">
        <v>3</v>
      </c>
      <c r="J981" t="s">
        <v>58</v>
      </c>
      <c r="K981">
        <v>1128</v>
      </c>
      <c r="L981">
        <v>3</v>
      </c>
      <c r="M981" t="s">
        <v>51</v>
      </c>
      <c r="N981">
        <v>2</v>
      </c>
      <c r="O981">
        <v>5</v>
      </c>
      <c r="P981" t="s">
        <v>257</v>
      </c>
      <c r="Q981">
        <v>3</v>
      </c>
      <c r="R981" t="s">
        <v>53</v>
      </c>
      <c r="S981">
        <v>80905</v>
      </c>
      <c r="T981" t="s">
        <v>64</v>
      </c>
      <c r="U981">
        <v>505.66</v>
      </c>
      <c r="V981">
        <v>1</v>
      </c>
      <c r="W981" t="s">
        <v>55</v>
      </c>
      <c r="X981">
        <v>14</v>
      </c>
      <c r="Y981">
        <v>3</v>
      </c>
      <c r="Z981">
        <v>1</v>
      </c>
      <c r="AA981">
        <v>0</v>
      </c>
      <c r="AB981">
        <v>21</v>
      </c>
      <c r="AC981">
        <v>2</v>
      </c>
      <c r="AD981">
        <v>4</v>
      </c>
      <c r="AE981">
        <v>20</v>
      </c>
      <c r="AF981">
        <v>7</v>
      </c>
      <c r="AG981">
        <v>4</v>
      </c>
      <c r="AH981">
        <v>9</v>
      </c>
      <c r="AI981">
        <f t="shared" si="105"/>
        <v>0</v>
      </c>
      <c r="AJ981" t="str">
        <f t="shared" si="106"/>
        <v>10+ yrs</v>
      </c>
      <c r="AK981" t="str">
        <f t="shared" si="107"/>
        <v>Overdue</v>
      </c>
      <c r="AL981">
        <f t="shared" si="108"/>
        <v>1</v>
      </c>
      <c r="AM981" t="str">
        <f t="shared" si="109"/>
        <v>Low Risk</v>
      </c>
      <c r="AN981" s="6">
        <f t="shared" si="110"/>
        <v>0.59692241341450369</v>
      </c>
      <c r="AO981" s="7">
        <f t="shared" si="111"/>
        <v>970860</v>
      </c>
    </row>
    <row r="982" spans="1:41" x14ac:dyDescent="0.3">
      <c r="A982" t="s">
        <v>1048</v>
      </c>
      <c r="B982">
        <v>40</v>
      </c>
      <c r="C982" t="s">
        <v>802</v>
      </c>
      <c r="D982" t="s">
        <v>55</v>
      </c>
      <c r="E982" t="s">
        <v>62</v>
      </c>
      <c r="F982">
        <v>593</v>
      </c>
      <c r="G982" t="s">
        <v>735</v>
      </c>
      <c r="H982">
        <v>9</v>
      </c>
      <c r="I982">
        <v>4</v>
      </c>
      <c r="J982" t="s">
        <v>58</v>
      </c>
      <c r="K982">
        <v>1166</v>
      </c>
      <c r="L982">
        <v>2</v>
      </c>
      <c r="M982" t="s">
        <v>59</v>
      </c>
      <c r="N982">
        <v>3</v>
      </c>
      <c r="O982">
        <v>3</v>
      </c>
      <c r="P982" t="s">
        <v>257</v>
      </c>
      <c r="Q982">
        <v>3</v>
      </c>
      <c r="R982" t="s">
        <v>53</v>
      </c>
      <c r="S982">
        <v>13910</v>
      </c>
      <c r="T982" t="s">
        <v>54</v>
      </c>
      <c r="U982">
        <v>86.94</v>
      </c>
      <c r="V982">
        <v>9</v>
      </c>
      <c r="W982" t="s">
        <v>55</v>
      </c>
      <c r="X982">
        <v>17</v>
      </c>
      <c r="Y982">
        <v>3</v>
      </c>
      <c r="Z982">
        <v>3</v>
      </c>
      <c r="AA982">
        <v>0</v>
      </c>
      <c r="AB982">
        <v>20</v>
      </c>
      <c r="AC982">
        <v>3</v>
      </c>
      <c r="AD982">
        <v>2</v>
      </c>
      <c r="AE982">
        <v>18</v>
      </c>
      <c r="AF982">
        <v>7</v>
      </c>
      <c r="AG982">
        <v>2</v>
      </c>
      <c r="AH982">
        <v>13</v>
      </c>
      <c r="AI982">
        <f t="shared" si="105"/>
        <v>0</v>
      </c>
      <c r="AJ982" t="str">
        <f t="shared" si="106"/>
        <v>10+ yrs</v>
      </c>
      <c r="AK982" t="str">
        <f t="shared" si="107"/>
        <v>Recent</v>
      </c>
      <c r="AL982">
        <f t="shared" si="108"/>
        <v>1</v>
      </c>
      <c r="AM982" t="str">
        <f t="shared" si="109"/>
        <v>Low Risk</v>
      </c>
      <c r="AN982" s="6">
        <f t="shared" si="110"/>
        <v>-0.72544106333853597</v>
      </c>
      <c r="AO982" s="7">
        <f t="shared" si="111"/>
        <v>166920</v>
      </c>
    </row>
    <row r="983" spans="1:41" x14ac:dyDescent="0.3">
      <c r="A983" t="s">
        <v>1049</v>
      </c>
      <c r="B983">
        <v>40</v>
      </c>
      <c r="C983" t="s">
        <v>802</v>
      </c>
      <c r="D983" t="s">
        <v>55</v>
      </c>
      <c r="E983" t="s">
        <v>62</v>
      </c>
      <c r="F983">
        <v>902</v>
      </c>
      <c r="G983" t="s">
        <v>735</v>
      </c>
      <c r="H983">
        <v>26</v>
      </c>
      <c r="I983">
        <v>2</v>
      </c>
      <c r="J983" t="s">
        <v>58</v>
      </c>
      <c r="K983">
        <v>1180</v>
      </c>
      <c r="L983">
        <v>3</v>
      </c>
      <c r="M983" t="s">
        <v>59</v>
      </c>
      <c r="N983">
        <v>2</v>
      </c>
      <c r="O983">
        <v>2</v>
      </c>
      <c r="P983" t="s">
        <v>67</v>
      </c>
      <c r="Q983">
        <v>4</v>
      </c>
      <c r="R983" t="s">
        <v>113</v>
      </c>
      <c r="S983">
        <v>74479</v>
      </c>
      <c r="T983" t="s">
        <v>64</v>
      </c>
      <c r="U983">
        <v>465.49</v>
      </c>
      <c r="V983">
        <v>3</v>
      </c>
      <c r="W983" t="s">
        <v>47</v>
      </c>
      <c r="X983">
        <v>13</v>
      </c>
      <c r="Y983">
        <v>3</v>
      </c>
      <c r="Z983">
        <v>4</v>
      </c>
      <c r="AA983">
        <v>1</v>
      </c>
      <c r="AB983">
        <v>16</v>
      </c>
      <c r="AC983">
        <v>3</v>
      </c>
      <c r="AD983">
        <v>1</v>
      </c>
      <c r="AE983">
        <v>1</v>
      </c>
      <c r="AF983">
        <v>1</v>
      </c>
      <c r="AG983">
        <v>0</v>
      </c>
      <c r="AH983">
        <v>0</v>
      </c>
      <c r="AI983">
        <f t="shared" si="105"/>
        <v>0</v>
      </c>
      <c r="AJ983" t="str">
        <f t="shared" si="106"/>
        <v>0-1 yr</v>
      </c>
      <c r="AK983" t="str">
        <f t="shared" si="107"/>
        <v>Recent</v>
      </c>
      <c r="AL983">
        <f t="shared" si="108"/>
        <v>2</v>
      </c>
      <c r="AM983" t="str">
        <f t="shared" si="109"/>
        <v>Medium Risk</v>
      </c>
      <c r="AN983" s="6">
        <f t="shared" si="110"/>
        <v>0.49357973516518772</v>
      </c>
      <c r="AO983" s="7">
        <f t="shared" si="111"/>
        <v>893748</v>
      </c>
    </row>
    <row r="984" spans="1:41" x14ac:dyDescent="0.3">
      <c r="A984" t="s">
        <v>1050</v>
      </c>
      <c r="B984">
        <v>40</v>
      </c>
      <c r="C984" t="s">
        <v>802</v>
      </c>
      <c r="D984" t="s">
        <v>55</v>
      </c>
      <c r="E984" t="s">
        <v>62</v>
      </c>
      <c r="F984">
        <v>1184</v>
      </c>
      <c r="G984" t="s">
        <v>932</v>
      </c>
      <c r="H984">
        <v>2</v>
      </c>
      <c r="I984">
        <v>4</v>
      </c>
      <c r="J984" t="s">
        <v>58</v>
      </c>
      <c r="K984">
        <v>1212</v>
      </c>
      <c r="L984">
        <v>2</v>
      </c>
      <c r="M984" t="s">
        <v>51</v>
      </c>
      <c r="N984">
        <v>3</v>
      </c>
      <c r="O984">
        <v>2</v>
      </c>
      <c r="P984" t="s">
        <v>145</v>
      </c>
      <c r="Q984">
        <v>2</v>
      </c>
      <c r="R984" t="s">
        <v>113</v>
      </c>
      <c r="S984">
        <v>78735</v>
      </c>
      <c r="T984" t="s">
        <v>64</v>
      </c>
      <c r="U984">
        <v>492.09</v>
      </c>
      <c r="V984">
        <v>5</v>
      </c>
      <c r="W984" t="s">
        <v>55</v>
      </c>
      <c r="X984">
        <v>12</v>
      </c>
      <c r="Y984">
        <v>3</v>
      </c>
      <c r="Z984">
        <v>4</v>
      </c>
      <c r="AA984">
        <v>3</v>
      </c>
      <c r="AB984">
        <v>5</v>
      </c>
      <c r="AC984">
        <v>2</v>
      </c>
      <c r="AD984">
        <v>3</v>
      </c>
      <c r="AE984">
        <v>0</v>
      </c>
      <c r="AF984">
        <v>0</v>
      </c>
      <c r="AG984">
        <v>0</v>
      </c>
      <c r="AH984">
        <v>0</v>
      </c>
      <c r="AI984">
        <f t="shared" si="105"/>
        <v>0</v>
      </c>
      <c r="AJ984" t="str">
        <f t="shared" si="106"/>
        <v>0-1 yr</v>
      </c>
      <c r="AK984" t="str">
        <f t="shared" si="107"/>
        <v>Recent</v>
      </c>
      <c r="AL984">
        <f t="shared" si="108"/>
        <v>1</v>
      </c>
      <c r="AM984" t="str">
        <f t="shared" si="109"/>
        <v>Low Risk</v>
      </c>
      <c r="AN984" s="6">
        <f t="shared" si="110"/>
        <v>0.60493800771148964</v>
      </c>
      <c r="AO984" s="7">
        <f t="shared" si="111"/>
        <v>944820</v>
      </c>
    </row>
    <row r="985" spans="1:41" x14ac:dyDescent="0.3">
      <c r="A985" t="s">
        <v>1051</v>
      </c>
      <c r="B985">
        <v>40</v>
      </c>
      <c r="C985" t="s">
        <v>802</v>
      </c>
      <c r="D985" t="s">
        <v>55</v>
      </c>
      <c r="E985" t="s">
        <v>48</v>
      </c>
      <c r="F985">
        <v>107</v>
      </c>
      <c r="G985" t="s">
        <v>932</v>
      </c>
      <c r="H985">
        <v>10</v>
      </c>
      <c r="I985">
        <v>3</v>
      </c>
      <c r="J985" t="s">
        <v>77</v>
      </c>
      <c r="K985">
        <v>1239</v>
      </c>
      <c r="L985">
        <v>2</v>
      </c>
      <c r="M985" t="s">
        <v>59</v>
      </c>
      <c r="N985">
        <v>2</v>
      </c>
      <c r="O985">
        <v>2</v>
      </c>
      <c r="P985" t="s">
        <v>145</v>
      </c>
      <c r="Q985">
        <v>2</v>
      </c>
      <c r="R985" t="s">
        <v>113</v>
      </c>
      <c r="S985">
        <v>82264</v>
      </c>
      <c r="T985" t="s">
        <v>64</v>
      </c>
      <c r="U985">
        <v>514.15</v>
      </c>
      <c r="V985">
        <v>7</v>
      </c>
      <c r="W985" t="s">
        <v>55</v>
      </c>
      <c r="X985">
        <v>12</v>
      </c>
      <c r="Y985">
        <v>3</v>
      </c>
      <c r="Z985">
        <v>2</v>
      </c>
      <c r="AA985">
        <v>1</v>
      </c>
      <c r="AB985">
        <v>7</v>
      </c>
      <c r="AC985">
        <v>2</v>
      </c>
      <c r="AD985">
        <v>4</v>
      </c>
      <c r="AE985">
        <v>5</v>
      </c>
      <c r="AF985">
        <v>1</v>
      </c>
      <c r="AG985">
        <v>1</v>
      </c>
      <c r="AH985">
        <v>3</v>
      </c>
      <c r="AI985">
        <f t="shared" si="105"/>
        <v>0</v>
      </c>
      <c r="AJ985" t="str">
        <f t="shared" si="106"/>
        <v>4-5 yrs</v>
      </c>
      <c r="AK985" t="str">
        <f t="shared" si="107"/>
        <v>Recent</v>
      </c>
      <c r="AL985">
        <f t="shared" si="108"/>
        <v>1</v>
      </c>
      <c r="AM985" t="str">
        <f t="shared" si="109"/>
        <v>Low Risk</v>
      </c>
      <c r="AN985" s="6">
        <f t="shared" si="110"/>
        <v>0.67687331258497474</v>
      </c>
      <c r="AO985" s="7">
        <f t="shared" si="111"/>
        <v>987168</v>
      </c>
    </row>
    <row r="986" spans="1:41" x14ac:dyDescent="0.3">
      <c r="A986" t="s">
        <v>1052</v>
      </c>
      <c r="B986">
        <v>40</v>
      </c>
      <c r="C986" t="s">
        <v>802</v>
      </c>
      <c r="D986" t="s">
        <v>47</v>
      </c>
      <c r="E986" t="s">
        <v>48</v>
      </c>
      <c r="F986">
        <v>299</v>
      </c>
      <c r="G986" t="s">
        <v>932</v>
      </c>
      <c r="H986">
        <v>25</v>
      </c>
      <c r="I986">
        <v>4</v>
      </c>
      <c r="J986" t="s">
        <v>63</v>
      </c>
      <c r="K986">
        <v>1318</v>
      </c>
      <c r="L986">
        <v>4</v>
      </c>
      <c r="M986" t="s">
        <v>51</v>
      </c>
      <c r="N986">
        <v>2</v>
      </c>
      <c r="O986">
        <v>3</v>
      </c>
      <c r="P986" t="s">
        <v>145</v>
      </c>
      <c r="Q986">
        <v>2</v>
      </c>
      <c r="R986" t="s">
        <v>53</v>
      </c>
      <c r="S986">
        <v>24275</v>
      </c>
      <c r="T986" t="s">
        <v>54</v>
      </c>
      <c r="U986">
        <v>151.72</v>
      </c>
      <c r="V986">
        <v>2</v>
      </c>
      <c r="W986" t="s">
        <v>47</v>
      </c>
      <c r="X986">
        <v>12</v>
      </c>
      <c r="Y986">
        <v>3</v>
      </c>
      <c r="Z986">
        <v>3</v>
      </c>
      <c r="AA986">
        <v>0</v>
      </c>
      <c r="AB986">
        <v>9</v>
      </c>
      <c r="AC986">
        <v>2</v>
      </c>
      <c r="AD986">
        <v>3</v>
      </c>
      <c r="AE986">
        <v>5</v>
      </c>
      <c r="AF986">
        <v>4</v>
      </c>
      <c r="AG986">
        <v>1</v>
      </c>
      <c r="AH986">
        <v>0</v>
      </c>
      <c r="AI986">
        <f t="shared" si="105"/>
        <v>1</v>
      </c>
      <c r="AJ986" t="str">
        <f t="shared" si="106"/>
        <v>4-5 yrs</v>
      </c>
      <c r="AK986" t="str">
        <f t="shared" si="107"/>
        <v>Recent</v>
      </c>
      <c r="AL986">
        <f t="shared" si="108"/>
        <v>2</v>
      </c>
      <c r="AM986" t="str">
        <f t="shared" si="109"/>
        <v>Medium Risk</v>
      </c>
      <c r="AN986" s="6">
        <f t="shared" si="110"/>
        <v>-0.50517723836671857</v>
      </c>
      <c r="AO986" s="7">
        <f t="shared" si="111"/>
        <v>291300</v>
      </c>
    </row>
    <row r="987" spans="1:41" x14ac:dyDescent="0.3">
      <c r="A987" t="s">
        <v>1053</v>
      </c>
      <c r="B987">
        <v>40</v>
      </c>
      <c r="C987" t="s">
        <v>802</v>
      </c>
      <c r="D987" t="s">
        <v>55</v>
      </c>
      <c r="E987" t="s">
        <v>66</v>
      </c>
      <c r="F987">
        <v>458</v>
      </c>
      <c r="G987" t="s">
        <v>735</v>
      </c>
      <c r="H987">
        <v>16</v>
      </c>
      <c r="I987">
        <v>2</v>
      </c>
      <c r="J987" t="s">
        <v>50</v>
      </c>
      <c r="K987">
        <v>1340</v>
      </c>
      <c r="L987">
        <v>3</v>
      </c>
      <c r="M987" t="s">
        <v>51</v>
      </c>
      <c r="N987">
        <v>3</v>
      </c>
      <c r="O987">
        <v>1</v>
      </c>
      <c r="P987" t="s">
        <v>67</v>
      </c>
      <c r="Q987">
        <v>3</v>
      </c>
      <c r="R987" t="s">
        <v>53</v>
      </c>
      <c r="S987">
        <v>73274</v>
      </c>
      <c r="T987" t="s">
        <v>64</v>
      </c>
      <c r="U987">
        <v>457.96</v>
      </c>
      <c r="V987">
        <v>9</v>
      </c>
      <c r="W987" t="s">
        <v>55</v>
      </c>
      <c r="X987">
        <v>16</v>
      </c>
      <c r="Y987">
        <v>3</v>
      </c>
      <c r="Z987">
        <v>2</v>
      </c>
      <c r="AA987">
        <v>1</v>
      </c>
      <c r="AB987">
        <v>6</v>
      </c>
      <c r="AC987">
        <v>0</v>
      </c>
      <c r="AD987">
        <v>3</v>
      </c>
      <c r="AE987">
        <v>4</v>
      </c>
      <c r="AF987">
        <v>2</v>
      </c>
      <c r="AG987">
        <v>0</v>
      </c>
      <c r="AH987">
        <v>0</v>
      </c>
      <c r="AI987">
        <f t="shared" si="105"/>
        <v>0</v>
      </c>
      <c r="AJ987" t="str">
        <f t="shared" si="106"/>
        <v>4-5 yrs</v>
      </c>
      <c r="AK987" t="str">
        <f t="shared" si="107"/>
        <v>Recent</v>
      </c>
      <c r="AL987">
        <f t="shared" si="108"/>
        <v>0</v>
      </c>
      <c r="AM987" t="str">
        <f t="shared" si="109"/>
        <v>Minimal Risk</v>
      </c>
      <c r="AN987" s="6">
        <f t="shared" si="110"/>
        <v>0.46941502322122969</v>
      </c>
      <c r="AO987" s="7">
        <f t="shared" si="111"/>
        <v>879288</v>
      </c>
    </row>
    <row r="988" spans="1:41" x14ac:dyDescent="0.3">
      <c r="A988" t="s">
        <v>1054</v>
      </c>
      <c r="B988">
        <v>40</v>
      </c>
      <c r="C988" t="s">
        <v>802</v>
      </c>
      <c r="D988" t="s">
        <v>55</v>
      </c>
      <c r="E988" t="s">
        <v>48</v>
      </c>
      <c r="F988">
        <v>523</v>
      </c>
      <c r="G988" t="s">
        <v>735</v>
      </c>
      <c r="H988">
        <v>2</v>
      </c>
      <c r="I988">
        <v>3</v>
      </c>
      <c r="J988" t="s">
        <v>50</v>
      </c>
      <c r="K988">
        <v>1346</v>
      </c>
      <c r="L988">
        <v>3</v>
      </c>
      <c r="M988" t="s">
        <v>51</v>
      </c>
      <c r="N988">
        <v>3</v>
      </c>
      <c r="O988">
        <v>2</v>
      </c>
      <c r="P988" t="s">
        <v>67</v>
      </c>
      <c r="Q988">
        <v>4</v>
      </c>
      <c r="R988" t="s">
        <v>53</v>
      </c>
      <c r="S988">
        <v>82449</v>
      </c>
      <c r="T988" t="s">
        <v>64</v>
      </c>
      <c r="U988">
        <v>515.30999999999995</v>
      </c>
      <c r="V988">
        <v>1</v>
      </c>
      <c r="W988" t="s">
        <v>55</v>
      </c>
      <c r="X988">
        <v>13</v>
      </c>
      <c r="Y988">
        <v>3</v>
      </c>
      <c r="Z988">
        <v>3</v>
      </c>
      <c r="AA988">
        <v>0</v>
      </c>
      <c r="AB988">
        <v>9</v>
      </c>
      <c r="AC988">
        <v>4</v>
      </c>
      <c r="AD988">
        <v>3</v>
      </c>
      <c r="AE988">
        <v>9</v>
      </c>
      <c r="AF988">
        <v>8</v>
      </c>
      <c r="AG988">
        <v>8</v>
      </c>
      <c r="AH988">
        <v>8</v>
      </c>
      <c r="AI988">
        <f t="shared" si="105"/>
        <v>0</v>
      </c>
      <c r="AJ988" t="str">
        <f t="shared" si="106"/>
        <v>6-10 yrs</v>
      </c>
      <c r="AK988" t="str">
        <f t="shared" si="107"/>
        <v>Overdue</v>
      </c>
      <c r="AL988">
        <f t="shared" si="108"/>
        <v>1</v>
      </c>
      <c r="AM988" t="str">
        <f t="shared" si="109"/>
        <v>Low Risk</v>
      </c>
      <c r="AN988" s="6">
        <f t="shared" si="110"/>
        <v>0.6534077469438978</v>
      </c>
      <c r="AO988" s="7">
        <f t="shared" si="111"/>
        <v>989388</v>
      </c>
    </row>
    <row r="989" spans="1:41" x14ac:dyDescent="0.3">
      <c r="A989" t="s">
        <v>1055</v>
      </c>
      <c r="B989">
        <v>40</v>
      </c>
      <c r="C989" t="s">
        <v>802</v>
      </c>
      <c r="D989" t="s">
        <v>55</v>
      </c>
      <c r="E989" t="s">
        <v>48</v>
      </c>
      <c r="F989">
        <v>329</v>
      </c>
      <c r="G989" t="s">
        <v>735</v>
      </c>
      <c r="H989">
        <v>1</v>
      </c>
      <c r="I989">
        <v>4</v>
      </c>
      <c r="J989" t="s">
        <v>50</v>
      </c>
      <c r="K989">
        <v>1361</v>
      </c>
      <c r="L989">
        <v>2</v>
      </c>
      <c r="M989" t="s">
        <v>51</v>
      </c>
      <c r="N989">
        <v>3</v>
      </c>
      <c r="O989">
        <v>1</v>
      </c>
      <c r="P989" t="s">
        <v>52</v>
      </c>
      <c r="Q989">
        <v>2</v>
      </c>
      <c r="R989" t="s">
        <v>113</v>
      </c>
      <c r="S989">
        <v>61004</v>
      </c>
      <c r="T989" t="s">
        <v>64</v>
      </c>
      <c r="U989">
        <v>381.28</v>
      </c>
      <c r="V989">
        <v>3</v>
      </c>
      <c r="W989" t="s">
        <v>55</v>
      </c>
      <c r="X989">
        <v>22</v>
      </c>
      <c r="Y989">
        <v>4</v>
      </c>
      <c r="Z989">
        <v>3</v>
      </c>
      <c r="AA989">
        <v>1</v>
      </c>
      <c r="AB989">
        <v>7</v>
      </c>
      <c r="AC989">
        <v>3</v>
      </c>
      <c r="AD989">
        <v>3</v>
      </c>
      <c r="AE989">
        <v>4</v>
      </c>
      <c r="AF989">
        <v>2</v>
      </c>
      <c r="AG989">
        <v>0</v>
      </c>
      <c r="AH989">
        <v>3</v>
      </c>
      <c r="AI989">
        <f t="shared" si="105"/>
        <v>0</v>
      </c>
      <c r="AJ989" t="str">
        <f t="shared" si="106"/>
        <v>4-5 yrs</v>
      </c>
      <c r="AK989" t="str">
        <f t="shared" si="107"/>
        <v>Recent</v>
      </c>
      <c r="AL989">
        <f t="shared" si="108"/>
        <v>1</v>
      </c>
      <c r="AM989" t="str">
        <f t="shared" si="109"/>
        <v>Low Risk</v>
      </c>
      <c r="AN989" s="6">
        <f t="shared" si="110"/>
        <v>0.1794913790947574</v>
      </c>
      <c r="AO989" s="7">
        <f t="shared" si="111"/>
        <v>732048</v>
      </c>
    </row>
    <row r="990" spans="1:41" x14ac:dyDescent="0.3">
      <c r="A990" t="s">
        <v>1056</v>
      </c>
      <c r="B990">
        <v>40</v>
      </c>
      <c r="C990" t="s">
        <v>802</v>
      </c>
      <c r="D990" t="s">
        <v>55</v>
      </c>
      <c r="E990" t="s">
        <v>48</v>
      </c>
      <c r="F990">
        <v>1202</v>
      </c>
      <c r="G990" t="s">
        <v>735</v>
      </c>
      <c r="H990">
        <v>2</v>
      </c>
      <c r="I990">
        <v>1</v>
      </c>
      <c r="J990" t="s">
        <v>58</v>
      </c>
      <c r="K990">
        <v>1375</v>
      </c>
      <c r="L990">
        <v>2</v>
      </c>
      <c r="M990" t="s">
        <v>59</v>
      </c>
      <c r="N990">
        <v>4</v>
      </c>
      <c r="O990">
        <v>2</v>
      </c>
      <c r="P990" t="s">
        <v>168</v>
      </c>
      <c r="Q990">
        <v>3</v>
      </c>
      <c r="R990" t="s">
        <v>113</v>
      </c>
      <c r="S990">
        <v>63981</v>
      </c>
      <c r="T990" t="s">
        <v>64</v>
      </c>
      <c r="U990">
        <v>399.88</v>
      </c>
      <c r="V990">
        <v>5</v>
      </c>
      <c r="W990" t="s">
        <v>55</v>
      </c>
      <c r="X990">
        <v>20</v>
      </c>
      <c r="Y990">
        <v>4</v>
      </c>
      <c r="Z990">
        <v>2</v>
      </c>
      <c r="AA990">
        <v>3</v>
      </c>
      <c r="AB990">
        <v>15</v>
      </c>
      <c r="AC990">
        <v>0</v>
      </c>
      <c r="AD990">
        <v>3</v>
      </c>
      <c r="AE990">
        <v>12</v>
      </c>
      <c r="AF990">
        <v>11</v>
      </c>
      <c r="AG990">
        <v>11</v>
      </c>
      <c r="AH990">
        <v>8</v>
      </c>
      <c r="AI990">
        <f t="shared" si="105"/>
        <v>0</v>
      </c>
      <c r="AJ990" t="str">
        <f t="shared" si="106"/>
        <v>10+ yrs</v>
      </c>
      <c r="AK990" t="str">
        <f t="shared" si="107"/>
        <v>Overdue</v>
      </c>
      <c r="AL990">
        <f t="shared" si="108"/>
        <v>1</v>
      </c>
      <c r="AM990" t="str">
        <f t="shared" si="109"/>
        <v>Low Risk</v>
      </c>
      <c r="AN990" s="6">
        <f t="shared" si="110"/>
        <v>0.32770570727253329</v>
      </c>
      <c r="AO990" s="7">
        <f t="shared" si="111"/>
        <v>767772</v>
      </c>
    </row>
    <row r="991" spans="1:41" x14ac:dyDescent="0.3">
      <c r="A991" t="s">
        <v>1057</v>
      </c>
      <c r="B991">
        <v>40</v>
      </c>
      <c r="C991" t="s">
        <v>802</v>
      </c>
      <c r="D991" t="s">
        <v>55</v>
      </c>
      <c r="E991" t="s">
        <v>66</v>
      </c>
      <c r="F991">
        <v>663</v>
      </c>
      <c r="G991" t="s">
        <v>735</v>
      </c>
      <c r="H991">
        <v>9</v>
      </c>
      <c r="I991">
        <v>4</v>
      </c>
      <c r="J991" t="s">
        <v>82</v>
      </c>
      <c r="K991">
        <v>1449</v>
      </c>
      <c r="L991">
        <v>3</v>
      </c>
      <c r="M991" t="s">
        <v>51</v>
      </c>
      <c r="N991">
        <v>3</v>
      </c>
      <c r="O991">
        <v>2</v>
      </c>
      <c r="P991" t="s">
        <v>52</v>
      </c>
      <c r="Q991">
        <v>3</v>
      </c>
      <c r="R991" t="s">
        <v>53</v>
      </c>
      <c r="S991">
        <v>85659</v>
      </c>
      <c r="T991" t="s">
        <v>70</v>
      </c>
      <c r="U991">
        <v>535.37</v>
      </c>
      <c r="V991">
        <v>3</v>
      </c>
      <c r="W991" t="s">
        <v>55</v>
      </c>
      <c r="X991">
        <v>11</v>
      </c>
      <c r="Y991">
        <v>3</v>
      </c>
      <c r="Z991">
        <v>3</v>
      </c>
      <c r="AA991">
        <v>2</v>
      </c>
      <c r="AB991">
        <v>11</v>
      </c>
      <c r="AC991">
        <v>2</v>
      </c>
      <c r="AD991">
        <v>4</v>
      </c>
      <c r="AE991">
        <v>8</v>
      </c>
      <c r="AF991">
        <v>7</v>
      </c>
      <c r="AG991">
        <v>0</v>
      </c>
      <c r="AH991">
        <v>7</v>
      </c>
      <c r="AI991">
        <f t="shared" si="105"/>
        <v>0</v>
      </c>
      <c r="AJ991" t="str">
        <f t="shared" si="106"/>
        <v>6-10 yrs</v>
      </c>
      <c r="AK991" t="str">
        <f t="shared" si="107"/>
        <v>Recent</v>
      </c>
      <c r="AL991">
        <f t="shared" si="108"/>
        <v>0</v>
      </c>
      <c r="AM991" t="str">
        <f t="shared" si="109"/>
        <v>Minimal Risk</v>
      </c>
      <c r="AN991" s="6">
        <f t="shared" si="110"/>
        <v>0.65618733266470763</v>
      </c>
      <c r="AO991" s="7">
        <f t="shared" si="111"/>
        <v>1027908</v>
      </c>
    </row>
    <row r="992" spans="1:41" x14ac:dyDescent="0.3">
      <c r="A992" t="s">
        <v>1058</v>
      </c>
      <c r="B992">
        <v>40</v>
      </c>
      <c r="C992" t="s">
        <v>802</v>
      </c>
      <c r="D992" t="s">
        <v>55</v>
      </c>
      <c r="E992" t="s">
        <v>66</v>
      </c>
      <c r="F992">
        <v>218</v>
      </c>
      <c r="G992" t="s">
        <v>735</v>
      </c>
      <c r="H992">
        <v>8</v>
      </c>
      <c r="I992">
        <v>1</v>
      </c>
      <c r="J992" t="s">
        <v>58</v>
      </c>
      <c r="K992">
        <v>1468</v>
      </c>
      <c r="L992">
        <v>4</v>
      </c>
      <c r="M992" t="s">
        <v>51</v>
      </c>
      <c r="N992">
        <v>2</v>
      </c>
      <c r="O992">
        <v>3</v>
      </c>
      <c r="P992" t="s">
        <v>257</v>
      </c>
      <c r="Q992">
        <v>2</v>
      </c>
      <c r="R992" t="s">
        <v>53</v>
      </c>
      <c r="S992">
        <v>55553</v>
      </c>
      <c r="T992" t="s">
        <v>64</v>
      </c>
      <c r="U992">
        <v>347.21</v>
      </c>
      <c r="V992">
        <v>2</v>
      </c>
      <c r="W992" t="s">
        <v>55</v>
      </c>
      <c r="X992">
        <v>11</v>
      </c>
      <c r="Y992">
        <v>3</v>
      </c>
      <c r="Z992">
        <v>3</v>
      </c>
      <c r="AA992">
        <v>1</v>
      </c>
      <c r="AB992">
        <v>16</v>
      </c>
      <c r="AC992">
        <v>5</v>
      </c>
      <c r="AD992">
        <v>3</v>
      </c>
      <c r="AE992">
        <v>9</v>
      </c>
      <c r="AF992">
        <v>8</v>
      </c>
      <c r="AG992">
        <v>4</v>
      </c>
      <c r="AH992">
        <v>8</v>
      </c>
      <c r="AI992">
        <f t="shared" si="105"/>
        <v>0</v>
      </c>
      <c r="AJ992" t="str">
        <f t="shared" si="106"/>
        <v>6-10 yrs</v>
      </c>
      <c r="AK992" t="str">
        <f t="shared" si="107"/>
        <v>Overdue</v>
      </c>
      <c r="AL992">
        <f t="shared" si="108"/>
        <v>2</v>
      </c>
      <c r="AM992" t="str">
        <f t="shared" si="109"/>
        <v>Medium Risk</v>
      </c>
      <c r="AN992" s="6">
        <f t="shared" si="110"/>
        <v>9.6518519651639836E-2</v>
      </c>
      <c r="AO992" s="7">
        <f t="shared" si="111"/>
        <v>666636</v>
      </c>
    </row>
    <row r="993" spans="1:41" x14ac:dyDescent="0.3">
      <c r="A993" t="s">
        <v>1059</v>
      </c>
      <c r="B993">
        <v>40</v>
      </c>
      <c r="C993" t="s">
        <v>802</v>
      </c>
      <c r="D993" t="s">
        <v>55</v>
      </c>
      <c r="E993" t="s">
        <v>48</v>
      </c>
      <c r="F993">
        <v>896</v>
      </c>
      <c r="G993" t="s">
        <v>735</v>
      </c>
      <c r="H993">
        <v>2</v>
      </c>
      <c r="I993">
        <v>3</v>
      </c>
      <c r="J993" t="s">
        <v>58</v>
      </c>
      <c r="K993">
        <v>1474</v>
      </c>
      <c r="L993">
        <v>3</v>
      </c>
      <c r="M993" t="s">
        <v>51</v>
      </c>
      <c r="N993">
        <v>3</v>
      </c>
      <c r="O993">
        <v>1</v>
      </c>
      <c r="P993" t="s">
        <v>67</v>
      </c>
      <c r="Q993">
        <v>3</v>
      </c>
      <c r="R993" t="s">
        <v>113</v>
      </c>
      <c r="S993">
        <v>49447</v>
      </c>
      <c r="T993" t="s">
        <v>72</v>
      </c>
      <c r="U993">
        <v>309.04000000000002</v>
      </c>
      <c r="V993">
        <v>2</v>
      </c>
      <c r="W993" t="s">
        <v>55</v>
      </c>
      <c r="X993">
        <v>14</v>
      </c>
      <c r="Y993">
        <v>3</v>
      </c>
      <c r="Z993">
        <v>3</v>
      </c>
      <c r="AA993">
        <v>1</v>
      </c>
      <c r="AB993">
        <v>8</v>
      </c>
      <c r="AC993">
        <v>3</v>
      </c>
      <c r="AD993">
        <v>4</v>
      </c>
      <c r="AE993">
        <v>3</v>
      </c>
      <c r="AF993">
        <v>1</v>
      </c>
      <c r="AG993">
        <v>1</v>
      </c>
      <c r="AH993">
        <v>2</v>
      </c>
      <c r="AI993">
        <f t="shared" si="105"/>
        <v>0</v>
      </c>
      <c r="AJ993" t="str">
        <f t="shared" si="106"/>
        <v>2-3 yrs</v>
      </c>
      <c r="AK993" t="str">
        <f t="shared" si="107"/>
        <v>Recent</v>
      </c>
      <c r="AL993">
        <f t="shared" si="108"/>
        <v>0</v>
      </c>
      <c r="AM993" t="str">
        <f t="shared" si="109"/>
        <v>Minimal Risk</v>
      </c>
      <c r="AN993" s="6">
        <f t="shared" si="110"/>
        <v>-8.4045547776818094E-3</v>
      </c>
      <c r="AO993" s="7">
        <f t="shared" si="111"/>
        <v>593364</v>
      </c>
    </row>
    <row r="994" spans="1:41" x14ac:dyDescent="0.3">
      <c r="A994" t="s">
        <v>1060</v>
      </c>
      <c r="B994">
        <v>40</v>
      </c>
      <c r="C994" t="s">
        <v>802</v>
      </c>
      <c r="D994" t="s">
        <v>47</v>
      </c>
      <c r="E994" t="s">
        <v>48</v>
      </c>
      <c r="F994">
        <v>676</v>
      </c>
      <c r="G994" t="s">
        <v>735</v>
      </c>
      <c r="H994">
        <v>9</v>
      </c>
      <c r="I994">
        <v>4</v>
      </c>
      <c r="J994" t="s">
        <v>50</v>
      </c>
      <c r="K994">
        <v>1534</v>
      </c>
      <c r="L994">
        <v>4</v>
      </c>
      <c r="M994" t="s">
        <v>51</v>
      </c>
      <c r="N994">
        <v>3</v>
      </c>
      <c r="O994">
        <v>1</v>
      </c>
      <c r="P994" t="s">
        <v>52</v>
      </c>
      <c r="Q994">
        <v>1</v>
      </c>
      <c r="R994" t="s">
        <v>53</v>
      </c>
      <c r="S994">
        <v>35529</v>
      </c>
      <c r="T994" t="s">
        <v>72</v>
      </c>
      <c r="U994">
        <v>222.06</v>
      </c>
      <c r="V994">
        <v>3</v>
      </c>
      <c r="W994" t="s">
        <v>55</v>
      </c>
      <c r="X994">
        <v>14</v>
      </c>
      <c r="Y994">
        <v>3</v>
      </c>
      <c r="Z994">
        <v>2</v>
      </c>
      <c r="AA994">
        <v>0</v>
      </c>
      <c r="AB994">
        <v>15</v>
      </c>
      <c r="AC994">
        <v>3</v>
      </c>
      <c r="AD994">
        <v>1</v>
      </c>
      <c r="AE994">
        <v>5</v>
      </c>
      <c r="AF994">
        <v>4</v>
      </c>
      <c r="AG994">
        <v>1</v>
      </c>
      <c r="AH994">
        <v>0</v>
      </c>
      <c r="AI994">
        <f t="shared" si="105"/>
        <v>1</v>
      </c>
      <c r="AJ994" t="str">
        <f t="shared" si="106"/>
        <v>4-5 yrs</v>
      </c>
      <c r="AK994" t="str">
        <f t="shared" si="107"/>
        <v>Recent</v>
      </c>
      <c r="AL994">
        <f t="shared" si="108"/>
        <v>2</v>
      </c>
      <c r="AM994" t="str">
        <f t="shared" si="109"/>
        <v>Medium Risk</v>
      </c>
      <c r="AN994" s="6">
        <f t="shared" si="110"/>
        <v>-0.31305899272412241</v>
      </c>
      <c r="AO994" s="7">
        <f t="shared" si="111"/>
        <v>426348</v>
      </c>
    </row>
    <row r="995" spans="1:41" x14ac:dyDescent="0.3">
      <c r="A995" t="s">
        <v>1061</v>
      </c>
      <c r="B995">
        <v>40</v>
      </c>
      <c r="C995" t="s">
        <v>802</v>
      </c>
      <c r="D995" t="s">
        <v>55</v>
      </c>
      <c r="E995" t="s">
        <v>48</v>
      </c>
      <c r="F995">
        <v>1342</v>
      </c>
      <c r="G995" t="s">
        <v>932</v>
      </c>
      <c r="H995">
        <v>9</v>
      </c>
      <c r="I995">
        <v>2</v>
      </c>
      <c r="J995" t="s">
        <v>58</v>
      </c>
      <c r="K995">
        <v>1548</v>
      </c>
      <c r="L995">
        <v>1</v>
      </c>
      <c r="M995" t="s">
        <v>51</v>
      </c>
      <c r="N995">
        <v>3</v>
      </c>
      <c r="O995">
        <v>2</v>
      </c>
      <c r="P995" t="s">
        <v>145</v>
      </c>
      <c r="Q995">
        <v>1</v>
      </c>
      <c r="R995" t="s">
        <v>113</v>
      </c>
      <c r="S995">
        <v>76703</v>
      </c>
      <c r="T995" t="s">
        <v>64</v>
      </c>
      <c r="U995">
        <v>479.39</v>
      </c>
      <c r="V995">
        <v>0</v>
      </c>
      <c r="W995" t="s">
        <v>55</v>
      </c>
      <c r="X995">
        <v>12</v>
      </c>
      <c r="Y995">
        <v>3</v>
      </c>
      <c r="Z995">
        <v>4</v>
      </c>
      <c r="AA995">
        <v>0</v>
      </c>
      <c r="AB995">
        <v>9</v>
      </c>
      <c r="AC995">
        <v>5</v>
      </c>
      <c r="AD995">
        <v>4</v>
      </c>
      <c r="AE995">
        <v>8</v>
      </c>
      <c r="AF995">
        <v>4</v>
      </c>
      <c r="AG995">
        <v>7</v>
      </c>
      <c r="AH995">
        <v>1</v>
      </c>
      <c r="AI995">
        <f t="shared" si="105"/>
        <v>0</v>
      </c>
      <c r="AJ995" t="str">
        <f t="shared" si="106"/>
        <v>6-10 yrs</v>
      </c>
      <c r="AK995" t="str">
        <f t="shared" si="107"/>
        <v>Overdue</v>
      </c>
      <c r="AL995">
        <f t="shared" si="108"/>
        <v>2</v>
      </c>
      <c r="AM995" t="str">
        <f t="shared" si="109"/>
        <v>Medium Risk</v>
      </c>
      <c r="AN995" s="6">
        <f t="shared" si="110"/>
        <v>0.56351762247405079</v>
      </c>
      <c r="AO995" s="7">
        <f t="shared" si="111"/>
        <v>920436</v>
      </c>
    </row>
    <row r="996" spans="1:41" x14ac:dyDescent="0.3">
      <c r="A996" t="s">
        <v>1062</v>
      </c>
      <c r="B996">
        <v>40</v>
      </c>
      <c r="C996" t="s">
        <v>802</v>
      </c>
      <c r="D996" t="s">
        <v>55</v>
      </c>
      <c r="E996" t="s">
        <v>48</v>
      </c>
      <c r="F996">
        <v>898</v>
      </c>
      <c r="G996" t="s">
        <v>406</v>
      </c>
      <c r="H996">
        <v>6</v>
      </c>
      <c r="I996">
        <v>2</v>
      </c>
      <c r="J996" t="s">
        <v>58</v>
      </c>
      <c r="K996">
        <v>1550</v>
      </c>
      <c r="L996">
        <v>3</v>
      </c>
      <c r="M996" t="s">
        <v>51</v>
      </c>
      <c r="N996">
        <v>3</v>
      </c>
      <c r="O996">
        <v>4</v>
      </c>
      <c r="P996" t="s">
        <v>444</v>
      </c>
      <c r="Q996">
        <v>4</v>
      </c>
      <c r="R996" t="s">
        <v>53</v>
      </c>
      <c r="S996">
        <v>77090</v>
      </c>
      <c r="T996" t="s">
        <v>64</v>
      </c>
      <c r="U996">
        <v>481.81</v>
      </c>
      <c r="V996">
        <v>1</v>
      </c>
      <c r="W996" t="s">
        <v>47</v>
      </c>
      <c r="X996">
        <v>21</v>
      </c>
      <c r="Y996">
        <v>4</v>
      </c>
      <c r="Z996">
        <v>4</v>
      </c>
      <c r="AA996">
        <v>0</v>
      </c>
      <c r="AB996">
        <v>21</v>
      </c>
      <c r="AC996">
        <v>2</v>
      </c>
      <c r="AD996">
        <v>3</v>
      </c>
      <c r="AE996">
        <v>21</v>
      </c>
      <c r="AF996">
        <v>7</v>
      </c>
      <c r="AG996">
        <v>7</v>
      </c>
      <c r="AH996">
        <v>7</v>
      </c>
      <c r="AI996">
        <f t="shared" si="105"/>
        <v>0</v>
      </c>
      <c r="AJ996" t="str">
        <f t="shared" si="106"/>
        <v>10+ yrs</v>
      </c>
      <c r="AK996" t="str">
        <f t="shared" si="107"/>
        <v>Overdue</v>
      </c>
      <c r="AL996">
        <f t="shared" si="108"/>
        <v>2</v>
      </c>
      <c r="AM996" t="str">
        <f t="shared" si="109"/>
        <v>Medium Risk</v>
      </c>
      <c r="AN996" s="6">
        <f t="shared" si="110"/>
        <v>0.47686763226518475</v>
      </c>
      <c r="AO996" s="7">
        <f t="shared" si="111"/>
        <v>925080</v>
      </c>
    </row>
    <row r="997" spans="1:41" x14ac:dyDescent="0.3">
      <c r="A997" t="s">
        <v>1063</v>
      </c>
      <c r="B997">
        <v>40</v>
      </c>
      <c r="C997" t="s">
        <v>802</v>
      </c>
      <c r="D997" t="s">
        <v>55</v>
      </c>
      <c r="E997" t="s">
        <v>66</v>
      </c>
      <c r="F997">
        <v>1142</v>
      </c>
      <c r="G997" t="s">
        <v>735</v>
      </c>
      <c r="H997">
        <v>8</v>
      </c>
      <c r="I997">
        <v>2</v>
      </c>
      <c r="J997" t="s">
        <v>50</v>
      </c>
      <c r="K997">
        <v>1552</v>
      </c>
      <c r="L997">
        <v>4</v>
      </c>
      <c r="M997" t="s">
        <v>51</v>
      </c>
      <c r="N997">
        <v>3</v>
      </c>
      <c r="O997">
        <v>2</v>
      </c>
      <c r="P997" t="s">
        <v>168</v>
      </c>
      <c r="Q997">
        <v>4</v>
      </c>
      <c r="R997" t="s">
        <v>53</v>
      </c>
      <c r="S997">
        <v>18260</v>
      </c>
      <c r="T997" t="s">
        <v>54</v>
      </c>
      <c r="U997">
        <v>114.12</v>
      </c>
      <c r="V997">
        <v>3</v>
      </c>
      <c r="W997" t="s">
        <v>47</v>
      </c>
      <c r="X997">
        <v>18</v>
      </c>
      <c r="Y997">
        <v>3</v>
      </c>
      <c r="Z997">
        <v>3</v>
      </c>
      <c r="AA997">
        <v>0</v>
      </c>
      <c r="AB997">
        <v>8</v>
      </c>
      <c r="AC997">
        <v>2</v>
      </c>
      <c r="AD997">
        <v>3</v>
      </c>
      <c r="AE997">
        <v>2</v>
      </c>
      <c r="AF997">
        <v>2</v>
      </c>
      <c r="AG997">
        <v>2</v>
      </c>
      <c r="AH997">
        <v>2</v>
      </c>
      <c r="AI997">
        <f t="shared" si="105"/>
        <v>0</v>
      </c>
      <c r="AJ997" t="str">
        <f t="shared" si="106"/>
        <v>2-3 yrs</v>
      </c>
      <c r="AK997" t="str">
        <f t="shared" si="107"/>
        <v>Recent</v>
      </c>
      <c r="AL997">
        <f t="shared" si="108"/>
        <v>1</v>
      </c>
      <c r="AM997" t="str">
        <f t="shared" si="109"/>
        <v>Low Risk</v>
      </c>
      <c r="AN997" s="6">
        <f t="shared" si="110"/>
        <v>-0.62107647247157038</v>
      </c>
      <c r="AO997" s="7">
        <f t="shared" si="111"/>
        <v>219120</v>
      </c>
    </row>
    <row r="998" spans="1:41" x14ac:dyDescent="0.3">
      <c r="A998" t="s">
        <v>1064</v>
      </c>
      <c r="B998">
        <v>40</v>
      </c>
      <c r="C998" t="s">
        <v>802</v>
      </c>
      <c r="D998" t="s">
        <v>55</v>
      </c>
      <c r="E998" t="s">
        <v>48</v>
      </c>
      <c r="F998">
        <v>118</v>
      </c>
      <c r="G998" t="s">
        <v>932</v>
      </c>
      <c r="H998">
        <v>14</v>
      </c>
      <c r="I998">
        <v>2</v>
      </c>
      <c r="J998" t="s">
        <v>50</v>
      </c>
      <c r="K998">
        <v>1598</v>
      </c>
      <c r="L998">
        <v>4</v>
      </c>
      <c r="M998" t="s">
        <v>59</v>
      </c>
      <c r="N998">
        <v>3</v>
      </c>
      <c r="O998">
        <v>2</v>
      </c>
      <c r="P998" t="s">
        <v>145</v>
      </c>
      <c r="Q998">
        <v>1</v>
      </c>
      <c r="R998" t="s">
        <v>113</v>
      </c>
      <c r="S998">
        <v>4812</v>
      </c>
      <c r="T998" t="s">
        <v>54</v>
      </c>
      <c r="U998">
        <v>30.08</v>
      </c>
      <c r="V998">
        <v>1</v>
      </c>
      <c r="W998" t="s">
        <v>55</v>
      </c>
      <c r="X998">
        <v>15</v>
      </c>
      <c r="Y998">
        <v>3</v>
      </c>
      <c r="Z998">
        <v>3</v>
      </c>
      <c r="AA998">
        <v>1</v>
      </c>
      <c r="AB998">
        <v>5</v>
      </c>
      <c r="AC998">
        <v>2</v>
      </c>
      <c r="AD998">
        <v>3</v>
      </c>
      <c r="AE998">
        <v>5</v>
      </c>
      <c r="AF998">
        <v>4</v>
      </c>
      <c r="AG998">
        <v>1</v>
      </c>
      <c r="AH998">
        <v>2</v>
      </c>
      <c r="AI998">
        <f t="shared" si="105"/>
        <v>0</v>
      </c>
      <c r="AJ998" t="str">
        <f t="shared" si="106"/>
        <v>4-5 yrs</v>
      </c>
      <c r="AK998" t="str">
        <f t="shared" si="107"/>
        <v>Recent</v>
      </c>
      <c r="AL998">
        <f t="shared" si="108"/>
        <v>1</v>
      </c>
      <c r="AM998" t="str">
        <f t="shared" si="109"/>
        <v>Low Risk</v>
      </c>
      <c r="AN998" s="6">
        <f t="shared" si="110"/>
        <v>-0.90191196173102572</v>
      </c>
      <c r="AO998" s="7">
        <f t="shared" si="111"/>
        <v>57744</v>
      </c>
    </row>
    <row r="999" spans="1:41" x14ac:dyDescent="0.3">
      <c r="A999" t="s">
        <v>1065</v>
      </c>
      <c r="B999">
        <v>40</v>
      </c>
      <c r="C999" t="s">
        <v>802</v>
      </c>
      <c r="D999" t="s">
        <v>55</v>
      </c>
      <c r="E999" t="s">
        <v>48</v>
      </c>
      <c r="F999">
        <v>884</v>
      </c>
      <c r="G999" t="s">
        <v>735</v>
      </c>
      <c r="H999">
        <v>15</v>
      </c>
      <c r="I999">
        <v>3</v>
      </c>
      <c r="J999" t="s">
        <v>50</v>
      </c>
      <c r="K999">
        <v>1628</v>
      </c>
      <c r="L999">
        <v>1</v>
      </c>
      <c r="M999" t="s">
        <v>59</v>
      </c>
      <c r="N999">
        <v>2</v>
      </c>
      <c r="O999">
        <v>3</v>
      </c>
      <c r="P999" t="s">
        <v>120</v>
      </c>
      <c r="Q999">
        <v>3</v>
      </c>
      <c r="R999" t="s">
        <v>113</v>
      </c>
      <c r="S999">
        <v>29024</v>
      </c>
      <c r="T999" t="s">
        <v>72</v>
      </c>
      <c r="U999">
        <v>181.4</v>
      </c>
      <c r="V999">
        <v>1</v>
      </c>
      <c r="W999" t="s">
        <v>55</v>
      </c>
      <c r="X999">
        <v>13</v>
      </c>
      <c r="Y999">
        <v>3</v>
      </c>
      <c r="Z999">
        <v>4</v>
      </c>
      <c r="AA999">
        <v>2</v>
      </c>
      <c r="AB999">
        <v>18</v>
      </c>
      <c r="AC999">
        <v>2</v>
      </c>
      <c r="AD999">
        <v>3</v>
      </c>
      <c r="AE999">
        <v>18</v>
      </c>
      <c r="AF999">
        <v>15</v>
      </c>
      <c r="AG999">
        <v>14</v>
      </c>
      <c r="AH999">
        <v>12</v>
      </c>
      <c r="AI999">
        <f t="shared" si="105"/>
        <v>0</v>
      </c>
      <c r="AJ999" t="str">
        <f t="shared" si="106"/>
        <v>10+ yrs</v>
      </c>
      <c r="AK999" t="str">
        <f t="shared" si="107"/>
        <v>Overdue</v>
      </c>
      <c r="AL999">
        <f t="shared" si="108"/>
        <v>1</v>
      </c>
      <c r="AM999" t="str">
        <f t="shared" si="109"/>
        <v>Low Risk</v>
      </c>
      <c r="AN999" s="6">
        <f t="shared" si="110"/>
        <v>-0.34476170919384663</v>
      </c>
      <c r="AO999" s="7">
        <f t="shared" si="111"/>
        <v>348288</v>
      </c>
    </row>
    <row r="1000" spans="1:41" x14ac:dyDescent="0.3">
      <c r="A1000" t="s">
        <v>1066</v>
      </c>
      <c r="B1000">
        <v>40</v>
      </c>
      <c r="C1000" t="s">
        <v>802</v>
      </c>
      <c r="D1000" t="s">
        <v>55</v>
      </c>
      <c r="E1000" t="s">
        <v>48</v>
      </c>
      <c r="F1000">
        <v>448</v>
      </c>
      <c r="G1000" t="s">
        <v>735</v>
      </c>
      <c r="H1000">
        <v>16</v>
      </c>
      <c r="I1000">
        <v>3</v>
      </c>
      <c r="J1000" t="s">
        <v>50</v>
      </c>
      <c r="K1000">
        <v>1641</v>
      </c>
      <c r="L1000">
        <v>3</v>
      </c>
      <c r="M1000" t="s">
        <v>59</v>
      </c>
      <c r="N1000">
        <v>3</v>
      </c>
      <c r="O1000">
        <v>3</v>
      </c>
      <c r="P1000" t="s">
        <v>120</v>
      </c>
      <c r="Q1000">
        <v>4</v>
      </c>
      <c r="R1000" t="s">
        <v>53</v>
      </c>
      <c r="S1000">
        <v>59656</v>
      </c>
      <c r="T1000" t="s">
        <v>64</v>
      </c>
      <c r="U1000">
        <v>372.85</v>
      </c>
      <c r="V1000">
        <v>6</v>
      </c>
      <c r="W1000" t="s">
        <v>47</v>
      </c>
      <c r="X1000">
        <v>15</v>
      </c>
      <c r="Y1000">
        <v>3</v>
      </c>
      <c r="Z1000">
        <v>4</v>
      </c>
      <c r="AA1000">
        <v>0</v>
      </c>
      <c r="AB1000">
        <v>18</v>
      </c>
      <c r="AC1000">
        <v>2</v>
      </c>
      <c r="AD1000">
        <v>2</v>
      </c>
      <c r="AE1000">
        <v>4</v>
      </c>
      <c r="AF1000">
        <v>2</v>
      </c>
      <c r="AG1000">
        <v>3</v>
      </c>
      <c r="AH1000">
        <v>3</v>
      </c>
      <c r="AI1000">
        <f t="shared" si="105"/>
        <v>0</v>
      </c>
      <c r="AJ1000" t="str">
        <f t="shared" si="106"/>
        <v>4-5 yrs</v>
      </c>
      <c r="AK1000" t="str">
        <f t="shared" si="107"/>
        <v>Overdue</v>
      </c>
      <c r="AL1000">
        <f t="shared" si="108"/>
        <v>3</v>
      </c>
      <c r="AM1000" t="str">
        <f t="shared" si="109"/>
        <v>High Risk</v>
      </c>
      <c r="AN1000" s="6">
        <f t="shared" si="110"/>
        <v>0.34677837225509528</v>
      </c>
      <c r="AO1000" s="7">
        <f t="shared" si="111"/>
        <v>715872</v>
      </c>
    </row>
    <row r="1001" spans="1:41" x14ac:dyDescent="0.3">
      <c r="A1001" t="s">
        <v>1067</v>
      </c>
      <c r="B1001">
        <v>40</v>
      </c>
      <c r="C1001" t="s">
        <v>802</v>
      </c>
      <c r="D1001" t="s">
        <v>47</v>
      </c>
      <c r="E1001" t="s">
        <v>48</v>
      </c>
      <c r="F1001">
        <v>1329</v>
      </c>
      <c r="G1001" t="s">
        <v>735</v>
      </c>
      <c r="H1001">
        <v>7</v>
      </c>
      <c r="I1001">
        <v>3</v>
      </c>
      <c r="J1001" t="s">
        <v>50</v>
      </c>
      <c r="K1001">
        <v>1649</v>
      </c>
      <c r="L1001">
        <v>1</v>
      </c>
      <c r="M1001" t="s">
        <v>51</v>
      </c>
      <c r="N1001">
        <v>3</v>
      </c>
      <c r="O1001">
        <v>1</v>
      </c>
      <c r="P1001" t="s">
        <v>52</v>
      </c>
      <c r="Q1001">
        <v>1</v>
      </c>
      <c r="R1001" t="s">
        <v>53</v>
      </c>
      <c r="S1001">
        <v>28285</v>
      </c>
      <c r="T1001" t="s">
        <v>72</v>
      </c>
      <c r="U1001">
        <v>176.78</v>
      </c>
      <c r="V1001">
        <v>3</v>
      </c>
      <c r="W1001" t="s">
        <v>47</v>
      </c>
      <c r="X1001">
        <v>14</v>
      </c>
      <c r="Y1001">
        <v>3</v>
      </c>
      <c r="Z1001">
        <v>2</v>
      </c>
      <c r="AA1001">
        <v>0</v>
      </c>
      <c r="AB1001">
        <v>10</v>
      </c>
      <c r="AC1001">
        <v>3</v>
      </c>
      <c r="AD1001">
        <v>1</v>
      </c>
      <c r="AE1001">
        <v>4</v>
      </c>
      <c r="AF1001">
        <v>2</v>
      </c>
      <c r="AG1001">
        <v>0</v>
      </c>
      <c r="AH1001">
        <v>3</v>
      </c>
      <c r="AI1001">
        <f t="shared" si="105"/>
        <v>1</v>
      </c>
      <c r="AJ1001" t="str">
        <f t="shared" si="106"/>
        <v>4-5 yrs</v>
      </c>
      <c r="AK1001" t="str">
        <f t="shared" si="107"/>
        <v>Recent</v>
      </c>
      <c r="AL1001">
        <f t="shared" si="108"/>
        <v>3</v>
      </c>
      <c r="AM1001" t="str">
        <f t="shared" si="109"/>
        <v>High Risk</v>
      </c>
      <c r="AN1001" s="6">
        <f t="shared" si="110"/>
        <v>-0.45311924369393464</v>
      </c>
      <c r="AO1001" s="7">
        <f t="shared" si="111"/>
        <v>339420</v>
      </c>
    </row>
    <row r="1002" spans="1:41" x14ac:dyDescent="0.3">
      <c r="A1002" t="s">
        <v>1068</v>
      </c>
      <c r="B1002">
        <v>40</v>
      </c>
      <c r="C1002" t="s">
        <v>802</v>
      </c>
      <c r="D1002" t="s">
        <v>55</v>
      </c>
      <c r="E1002" t="s">
        <v>48</v>
      </c>
      <c r="F1002">
        <v>369</v>
      </c>
      <c r="G1002" t="s">
        <v>735</v>
      </c>
      <c r="H1002">
        <v>8</v>
      </c>
      <c r="I1002">
        <v>2</v>
      </c>
      <c r="J1002" t="s">
        <v>50</v>
      </c>
      <c r="K1002">
        <v>1724</v>
      </c>
      <c r="L1002">
        <v>2</v>
      </c>
      <c r="M1002" t="s">
        <v>59</v>
      </c>
      <c r="N1002">
        <v>3</v>
      </c>
      <c r="O1002">
        <v>2</v>
      </c>
      <c r="P1002" t="s">
        <v>120</v>
      </c>
      <c r="Q1002">
        <v>1</v>
      </c>
      <c r="R1002" t="s">
        <v>113</v>
      </c>
      <c r="S1002">
        <v>93436</v>
      </c>
      <c r="T1002" t="s">
        <v>70</v>
      </c>
      <c r="U1002">
        <v>583.98</v>
      </c>
      <c r="V1002">
        <v>2</v>
      </c>
      <c r="W1002" t="s">
        <v>47</v>
      </c>
      <c r="X1002">
        <v>16</v>
      </c>
      <c r="Y1002">
        <v>3</v>
      </c>
      <c r="Z1002">
        <v>2</v>
      </c>
      <c r="AA1002">
        <v>1</v>
      </c>
      <c r="AB1002">
        <v>18</v>
      </c>
      <c r="AC1002">
        <v>3</v>
      </c>
      <c r="AD1002">
        <v>3</v>
      </c>
      <c r="AE1002">
        <v>1</v>
      </c>
      <c r="AF1002">
        <v>0</v>
      </c>
      <c r="AG1002">
        <v>0</v>
      </c>
      <c r="AH1002">
        <v>0</v>
      </c>
      <c r="AI1002">
        <f t="shared" si="105"/>
        <v>0</v>
      </c>
      <c r="AJ1002" t="str">
        <f t="shared" si="106"/>
        <v>0-1 yr</v>
      </c>
      <c r="AK1002" t="str">
        <f t="shared" si="107"/>
        <v>Recent</v>
      </c>
      <c r="AL1002">
        <f t="shared" si="108"/>
        <v>2</v>
      </c>
      <c r="AM1002" t="str">
        <f t="shared" si="109"/>
        <v>Medium Risk</v>
      </c>
      <c r="AN1002" s="6">
        <f t="shared" si="110"/>
        <v>1.1093868846390487</v>
      </c>
      <c r="AO1002" s="7">
        <f t="shared" si="111"/>
        <v>1121232</v>
      </c>
    </row>
    <row r="1003" spans="1:41" x14ac:dyDescent="0.3">
      <c r="A1003" t="s">
        <v>1069</v>
      </c>
      <c r="B1003">
        <v>40</v>
      </c>
      <c r="C1003" t="s">
        <v>802</v>
      </c>
      <c r="D1003" t="s">
        <v>55</v>
      </c>
      <c r="E1003" t="s">
        <v>48</v>
      </c>
      <c r="F1003">
        <v>611</v>
      </c>
      <c r="G1003" t="s">
        <v>932</v>
      </c>
      <c r="H1003">
        <v>7</v>
      </c>
      <c r="I1003">
        <v>4</v>
      </c>
      <c r="J1003" t="s">
        <v>58</v>
      </c>
      <c r="K1003">
        <v>1740</v>
      </c>
      <c r="L1003">
        <v>2</v>
      </c>
      <c r="M1003" t="s">
        <v>51</v>
      </c>
      <c r="N1003">
        <v>3</v>
      </c>
      <c r="O1003">
        <v>5</v>
      </c>
      <c r="P1003" t="s">
        <v>444</v>
      </c>
      <c r="Q1003">
        <v>2</v>
      </c>
      <c r="R1003" t="s">
        <v>53</v>
      </c>
      <c r="S1003">
        <v>2605</v>
      </c>
      <c r="T1003" t="s">
        <v>54</v>
      </c>
      <c r="U1003">
        <v>16.28</v>
      </c>
      <c r="V1003">
        <v>1</v>
      </c>
      <c r="W1003" t="s">
        <v>55</v>
      </c>
      <c r="X1003">
        <v>14</v>
      </c>
      <c r="Y1003">
        <v>3</v>
      </c>
      <c r="Z1003">
        <v>2</v>
      </c>
      <c r="AA1003">
        <v>0</v>
      </c>
      <c r="AB1003">
        <v>21</v>
      </c>
      <c r="AC1003">
        <v>3</v>
      </c>
      <c r="AD1003">
        <v>2</v>
      </c>
      <c r="AE1003">
        <v>21</v>
      </c>
      <c r="AF1003">
        <v>8</v>
      </c>
      <c r="AG1003">
        <v>12</v>
      </c>
      <c r="AH1003">
        <v>8</v>
      </c>
      <c r="AI1003">
        <f t="shared" si="105"/>
        <v>0</v>
      </c>
      <c r="AJ1003" t="str">
        <f t="shared" si="106"/>
        <v>10+ yrs</v>
      </c>
      <c r="AK1003" t="str">
        <f t="shared" si="107"/>
        <v>Overdue</v>
      </c>
      <c r="AL1003">
        <f t="shared" si="108"/>
        <v>3</v>
      </c>
      <c r="AM1003" t="str">
        <f t="shared" si="109"/>
        <v>High Risk</v>
      </c>
      <c r="AN1003" s="6">
        <f t="shared" si="110"/>
        <v>-0.9500941732773277</v>
      </c>
      <c r="AO1003" s="7">
        <f t="shared" si="111"/>
        <v>31260</v>
      </c>
    </row>
    <row r="1004" spans="1:41" x14ac:dyDescent="0.3">
      <c r="A1004" t="s">
        <v>1070</v>
      </c>
      <c r="B1004">
        <v>40</v>
      </c>
      <c r="C1004" t="s">
        <v>802</v>
      </c>
      <c r="D1004" t="s">
        <v>55</v>
      </c>
      <c r="E1004" t="s">
        <v>48</v>
      </c>
      <c r="F1004">
        <v>616</v>
      </c>
      <c r="G1004" t="s">
        <v>735</v>
      </c>
      <c r="H1004">
        <v>2</v>
      </c>
      <c r="I1004">
        <v>2</v>
      </c>
      <c r="J1004" t="s">
        <v>50</v>
      </c>
      <c r="K1004">
        <v>1802</v>
      </c>
      <c r="L1004">
        <v>3</v>
      </c>
      <c r="M1004" t="s">
        <v>59</v>
      </c>
      <c r="N1004">
        <v>3</v>
      </c>
      <c r="O1004">
        <v>1</v>
      </c>
      <c r="P1004" t="s">
        <v>52</v>
      </c>
      <c r="Q1004">
        <v>1</v>
      </c>
      <c r="R1004" t="s">
        <v>113</v>
      </c>
      <c r="S1004">
        <v>72158</v>
      </c>
      <c r="T1004" t="s">
        <v>64</v>
      </c>
      <c r="U1004">
        <v>450.99</v>
      </c>
      <c r="V1004">
        <v>4</v>
      </c>
      <c r="W1004" t="s">
        <v>55</v>
      </c>
      <c r="X1004">
        <v>17</v>
      </c>
      <c r="Y1004">
        <v>3</v>
      </c>
      <c r="Z1004">
        <v>4</v>
      </c>
      <c r="AA1004">
        <v>1</v>
      </c>
      <c r="AB1004">
        <v>7</v>
      </c>
      <c r="AC1004">
        <v>5</v>
      </c>
      <c r="AD1004">
        <v>2</v>
      </c>
      <c r="AE1004">
        <v>4</v>
      </c>
      <c r="AF1004">
        <v>3</v>
      </c>
      <c r="AG1004">
        <v>0</v>
      </c>
      <c r="AH1004">
        <v>2</v>
      </c>
      <c r="AI1004">
        <f t="shared" si="105"/>
        <v>0</v>
      </c>
      <c r="AJ1004" t="str">
        <f t="shared" si="106"/>
        <v>4-5 yrs</v>
      </c>
      <c r="AK1004" t="str">
        <f t="shared" si="107"/>
        <v>Recent</v>
      </c>
      <c r="AL1004">
        <f t="shared" si="108"/>
        <v>2</v>
      </c>
      <c r="AM1004" t="str">
        <f t="shared" si="109"/>
        <v>Medium Risk</v>
      </c>
      <c r="AN1004" s="6">
        <f t="shared" si="110"/>
        <v>0.39515013659300219</v>
      </c>
      <c r="AO1004" s="7">
        <f t="shared" si="111"/>
        <v>865896</v>
      </c>
    </row>
    <row r="1005" spans="1:41" x14ac:dyDescent="0.3">
      <c r="A1005" t="s">
        <v>1071</v>
      </c>
      <c r="B1005">
        <v>40</v>
      </c>
      <c r="C1005" t="s">
        <v>802</v>
      </c>
      <c r="D1005" t="s">
        <v>55</v>
      </c>
      <c r="E1005" t="s">
        <v>48</v>
      </c>
      <c r="F1005">
        <v>1194</v>
      </c>
      <c r="G1005" t="s">
        <v>735</v>
      </c>
      <c r="H1005">
        <v>1</v>
      </c>
      <c r="I1005">
        <v>3</v>
      </c>
      <c r="J1005" t="s">
        <v>50</v>
      </c>
      <c r="K1005">
        <v>1822</v>
      </c>
      <c r="L1005">
        <v>3</v>
      </c>
      <c r="M1005" t="s">
        <v>59</v>
      </c>
      <c r="N1005">
        <v>3</v>
      </c>
      <c r="O1005">
        <v>2</v>
      </c>
      <c r="P1005" t="s">
        <v>168</v>
      </c>
      <c r="Q1005">
        <v>4</v>
      </c>
      <c r="R1005" t="s">
        <v>113</v>
      </c>
      <c r="S1005">
        <v>73303</v>
      </c>
      <c r="T1005" t="s">
        <v>64</v>
      </c>
      <c r="U1005">
        <v>458.14</v>
      </c>
      <c r="V1005">
        <v>4</v>
      </c>
      <c r="W1005" t="s">
        <v>55</v>
      </c>
      <c r="X1005">
        <v>17</v>
      </c>
      <c r="Y1005">
        <v>3</v>
      </c>
      <c r="Z1005">
        <v>4</v>
      </c>
      <c r="AA1005">
        <v>1</v>
      </c>
      <c r="AB1005">
        <v>12</v>
      </c>
      <c r="AC1005">
        <v>3</v>
      </c>
      <c r="AD1005">
        <v>3</v>
      </c>
      <c r="AE1005">
        <v>5</v>
      </c>
      <c r="AF1005">
        <v>3</v>
      </c>
      <c r="AG1005">
        <v>0</v>
      </c>
      <c r="AH1005">
        <v>3</v>
      </c>
      <c r="AI1005">
        <f t="shared" si="105"/>
        <v>0</v>
      </c>
      <c r="AJ1005" t="str">
        <f t="shared" si="106"/>
        <v>4-5 yrs</v>
      </c>
      <c r="AK1005" t="str">
        <f t="shared" si="107"/>
        <v>Recent</v>
      </c>
      <c r="AL1005">
        <f t="shared" si="108"/>
        <v>0</v>
      </c>
      <c r="AM1005" t="str">
        <f t="shared" si="109"/>
        <v>Minimal Risk</v>
      </c>
      <c r="AN1005" s="6">
        <f t="shared" si="110"/>
        <v>0.52115177099761656</v>
      </c>
      <c r="AO1005" s="7">
        <f t="shared" si="111"/>
        <v>879636</v>
      </c>
    </row>
    <row r="1006" spans="1:41" x14ac:dyDescent="0.3">
      <c r="A1006" t="s">
        <v>1072</v>
      </c>
      <c r="B1006">
        <v>40</v>
      </c>
      <c r="C1006" t="s">
        <v>802</v>
      </c>
      <c r="D1006" t="s">
        <v>55</v>
      </c>
      <c r="E1006" t="s">
        <v>48</v>
      </c>
      <c r="F1006">
        <v>750</v>
      </c>
      <c r="G1006" t="s">
        <v>735</v>
      </c>
      <c r="H1006">
        <v>12</v>
      </c>
      <c r="I1006">
        <v>3</v>
      </c>
      <c r="J1006" t="s">
        <v>50</v>
      </c>
      <c r="K1006">
        <v>1829</v>
      </c>
      <c r="L1006">
        <v>2</v>
      </c>
      <c r="M1006" t="s">
        <v>59</v>
      </c>
      <c r="N1006">
        <v>3</v>
      </c>
      <c r="O1006">
        <v>2</v>
      </c>
      <c r="P1006" t="s">
        <v>168</v>
      </c>
      <c r="Q1006">
        <v>1</v>
      </c>
      <c r="R1006" t="s">
        <v>113</v>
      </c>
      <c r="S1006">
        <v>28139</v>
      </c>
      <c r="T1006" t="s">
        <v>72</v>
      </c>
      <c r="U1006">
        <v>175.87</v>
      </c>
      <c r="V1006">
        <v>2</v>
      </c>
      <c r="W1006" t="s">
        <v>55</v>
      </c>
      <c r="X1006">
        <v>12</v>
      </c>
      <c r="Y1006">
        <v>3</v>
      </c>
      <c r="Z1006">
        <v>2</v>
      </c>
      <c r="AA1006">
        <v>1</v>
      </c>
      <c r="AB1006">
        <v>15</v>
      </c>
      <c r="AC1006">
        <v>3</v>
      </c>
      <c r="AD1006">
        <v>3</v>
      </c>
      <c r="AE1006">
        <v>7</v>
      </c>
      <c r="AF1006">
        <v>4</v>
      </c>
      <c r="AG1006">
        <v>7</v>
      </c>
      <c r="AH1006">
        <v>7</v>
      </c>
      <c r="AI1006">
        <f t="shared" si="105"/>
        <v>0</v>
      </c>
      <c r="AJ1006" t="str">
        <f t="shared" si="106"/>
        <v>6-10 yrs</v>
      </c>
      <c r="AK1006" t="str">
        <f t="shared" si="107"/>
        <v>Overdue</v>
      </c>
      <c r="AL1006">
        <f t="shared" si="108"/>
        <v>2</v>
      </c>
      <c r="AM1006" t="str">
        <f t="shared" si="109"/>
        <v>Medium Risk</v>
      </c>
      <c r="AN1006" s="6">
        <f t="shared" si="110"/>
        <v>-0.4160717885475092</v>
      </c>
      <c r="AO1006" s="7">
        <f t="shared" si="111"/>
        <v>337668</v>
      </c>
    </row>
    <row r="1007" spans="1:41" x14ac:dyDescent="0.3">
      <c r="A1007" t="s">
        <v>1073</v>
      </c>
      <c r="B1007">
        <v>40</v>
      </c>
      <c r="C1007" t="s">
        <v>802</v>
      </c>
      <c r="D1007" t="s">
        <v>55</v>
      </c>
      <c r="E1007" t="s">
        <v>48</v>
      </c>
      <c r="F1007">
        <v>1137</v>
      </c>
      <c r="G1007" t="s">
        <v>735</v>
      </c>
      <c r="H1007">
        <v>1</v>
      </c>
      <c r="I1007">
        <v>4</v>
      </c>
      <c r="J1007" t="s">
        <v>50</v>
      </c>
      <c r="K1007">
        <v>1892</v>
      </c>
      <c r="L1007">
        <v>1</v>
      </c>
      <c r="M1007" t="s">
        <v>51</v>
      </c>
      <c r="N1007">
        <v>3</v>
      </c>
      <c r="O1007">
        <v>4</v>
      </c>
      <c r="P1007" t="s">
        <v>444</v>
      </c>
      <c r="Q1007">
        <v>1</v>
      </c>
      <c r="R1007" t="s">
        <v>113</v>
      </c>
      <c r="S1007">
        <v>78149</v>
      </c>
      <c r="T1007" t="s">
        <v>64</v>
      </c>
      <c r="U1007">
        <v>488.43</v>
      </c>
      <c r="V1007">
        <v>2</v>
      </c>
      <c r="W1007" t="s">
        <v>55</v>
      </c>
      <c r="X1007">
        <v>11</v>
      </c>
      <c r="Y1007">
        <v>3</v>
      </c>
      <c r="Z1007">
        <v>1</v>
      </c>
      <c r="AA1007">
        <v>1</v>
      </c>
      <c r="AB1007">
        <v>22</v>
      </c>
      <c r="AC1007">
        <v>3</v>
      </c>
      <c r="AD1007">
        <v>3</v>
      </c>
      <c r="AE1007">
        <v>19</v>
      </c>
      <c r="AF1007">
        <v>7</v>
      </c>
      <c r="AG1007">
        <v>11</v>
      </c>
      <c r="AH1007">
        <v>16</v>
      </c>
      <c r="AI1007">
        <f t="shared" si="105"/>
        <v>0</v>
      </c>
      <c r="AJ1007" t="str">
        <f t="shared" si="106"/>
        <v>10+ yrs</v>
      </c>
      <c r="AK1007" t="str">
        <f t="shared" si="107"/>
        <v>Overdue</v>
      </c>
      <c r="AL1007">
        <f t="shared" si="108"/>
        <v>2</v>
      </c>
      <c r="AM1007" t="str">
        <f t="shared" si="109"/>
        <v>Medium Risk</v>
      </c>
      <c r="AN1007" s="6">
        <f t="shared" si="110"/>
        <v>0.49715564397317319</v>
      </c>
      <c r="AO1007" s="7">
        <f t="shared" si="111"/>
        <v>937788</v>
      </c>
    </row>
    <row r="1008" spans="1:41" x14ac:dyDescent="0.3">
      <c r="A1008" t="s">
        <v>1074</v>
      </c>
      <c r="B1008">
        <v>40</v>
      </c>
      <c r="C1008" t="s">
        <v>802</v>
      </c>
      <c r="D1008" t="s">
        <v>55</v>
      </c>
      <c r="E1008" t="s">
        <v>62</v>
      </c>
      <c r="F1008">
        <v>692</v>
      </c>
      <c r="G1008" t="s">
        <v>735</v>
      </c>
      <c r="H1008">
        <v>11</v>
      </c>
      <c r="I1008">
        <v>3</v>
      </c>
      <c r="J1008" t="s">
        <v>77</v>
      </c>
      <c r="K1008">
        <v>1985</v>
      </c>
      <c r="L1008">
        <v>4</v>
      </c>
      <c r="M1008" t="s">
        <v>59</v>
      </c>
      <c r="N1008">
        <v>3</v>
      </c>
      <c r="O1008">
        <v>2</v>
      </c>
      <c r="P1008" t="s">
        <v>52</v>
      </c>
      <c r="Q1008">
        <v>3</v>
      </c>
      <c r="R1008" t="s">
        <v>113</v>
      </c>
      <c r="S1008">
        <v>57138</v>
      </c>
      <c r="T1008" t="s">
        <v>64</v>
      </c>
      <c r="U1008">
        <v>357.11</v>
      </c>
      <c r="V1008">
        <v>1</v>
      </c>
      <c r="W1008" t="s">
        <v>55</v>
      </c>
      <c r="X1008">
        <v>11</v>
      </c>
      <c r="Y1008">
        <v>3</v>
      </c>
      <c r="Z1008">
        <v>1</v>
      </c>
      <c r="AA1008">
        <v>1</v>
      </c>
      <c r="AB1008">
        <v>10</v>
      </c>
      <c r="AC1008">
        <v>2</v>
      </c>
      <c r="AD1008">
        <v>4</v>
      </c>
      <c r="AE1008">
        <v>10</v>
      </c>
      <c r="AF1008">
        <v>9</v>
      </c>
      <c r="AG1008">
        <v>9</v>
      </c>
      <c r="AH1008">
        <v>4</v>
      </c>
      <c r="AI1008">
        <f t="shared" si="105"/>
        <v>0</v>
      </c>
      <c r="AJ1008" t="str">
        <f t="shared" si="106"/>
        <v>6-10 yrs</v>
      </c>
      <c r="AK1008" t="str">
        <f t="shared" si="107"/>
        <v>Overdue</v>
      </c>
      <c r="AL1008">
        <f t="shared" si="108"/>
        <v>1</v>
      </c>
      <c r="AM1008" t="str">
        <f t="shared" si="109"/>
        <v>Low Risk</v>
      </c>
      <c r="AN1008" s="6">
        <f t="shared" si="110"/>
        <v>0.10474359744797469</v>
      </c>
      <c r="AO1008" s="7">
        <f t="shared" si="111"/>
        <v>685656</v>
      </c>
    </row>
    <row r="1009" spans="1:41" x14ac:dyDescent="0.3">
      <c r="A1009" t="s">
        <v>1075</v>
      </c>
      <c r="B1009">
        <v>40</v>
      </c>
      <c r="C1009" t="s">
        <v>802</v>
      </c>
      <c r="D1009" t="s">
        <v>55</v>
      </c>
      <c r="E1009" t="s">
        <v>48</v>
      </c>
      <c r="F1009">
        <v>444</v>
      </c>
      <c r="G1009" t="s">
        <v>932</v>
      </c>
      <c r="H1009">
        <v>2</v>
      </c>
      <c r="I1009">
        <v>2</v>
      </c>
      <c r="J1009" t="s">
        <v>63</v>
      </c>
      <c r="K1009">
        <v>1986</v>
      </c>
      <c r="L1009">
        <v>2</v>
      </c>
      <c r="M1009" t="s">
        <v>59</v>
      </c>
      <c r="N1009">
        <v>3</v>
      </c>
      <c r="O1009">
        <v>2</v>
      </c>
      <c r="P1009" t="s">
        <v>145</v>
      </c>
      <c r="Q1009">
        <v>2</v>
      </c>
      <c r="R1009" t="s">
        <v>113</v>
      </c>
      <c r="S1009">
        <v>77125</v>
      </c>
      <c r="T1009" t="s">
        <v>64</v>
      </c>
      <c r="U1009">
        <v>482.03</v>
      </c>
      <c r="V1009">
        <v>3</v>
      </c>
      <c r="W1009" t="s">
        <v>55</v>
      </c>
      <c r="X1009">
        <v>14</v>
      </c>
      <c r="Y1009">
        <v>3</v>
      </c>
      <c r="Z1009">
        <v>3</v>
      </c>
      <c r="AA1009">
        <v>1</v>
      </c>
      <c r="AB1009">
        <v>15</v>
      </c>
      <c r="AC1009">
        <v>4</v>
      </c>
      <c r="AD1009">
        <v>3</v>
      </c>
      <c r="AE1009">
        <v>11</v>
      </c>
      <c r="AF1009">
        <v>8</v>
      </c>
      <c r="AG1009">
        <v>5</v>
      </c>
      <c r="AH1009">
        <v>10</v>
      </c>
      <c r="AI1009">
        <f t="shared" si="105"/>
        <v>0</v>
      </c>
      <c r="AJ1009" t="str">
        <f t="shared" si="106"/>
        <v>10+ yrs</v>
      </c>
      <c r="AK1009" t="str">
        <f t="shared" si="107"/>
        <v>Overdue</v>
      </c>
      <c r="AL1009">
        <f t="shared" si="108"/>
        <v>2</v>
      </c>
      <c r="AM1009" t="str">
        <f t="shared" si="109"/>
        <v>Medium Risk</v>
      </c>
      <c r="AN1009" s="6">
        <f t="shared" si="110"/>
        <v>0.57211969066804647</v>
      </c>
      <c r="AO1009" s="7">
        <f t="shared" si="111"/>
        <v>925500</v>
      </c>
    </row>
    <row r="1010" spans="1:41" x14ac:dyDescent="0.3">
      <c r="A1010" t="s">
        <v>1076</v>
      </c>
      <c r="B1010">
        <v>40</v>
      </c>
      <c r="C1010" t="s">
        <v>802</v>
      </c>
      <c r="D1010" t="s">
        <v>55</v>
      </c>
      <c r="E1010" t="s">
        <v>48</v>
      </c>
      <c r="F1010">
        <v>543</v>
      </c>
      <c r="G1010" t="s">
        <v>735</v>
      </c>
      <c r="H1010">
        <v>1</v>
      </c>
      <c r="I1010">
        <v>4</v>
      </c>
      <c r="J1010" t="s">
        <v>50</v>
      </c>
      <c r="K1010">
        <v>2012</v>
      </c>
      <c r="L1010">
        <v>1</v>
      </c>
      <c r="M1010" t="s">
        <v>51</v>
      </c>
      <c r="N1010">
        <v>3</v>
      </c>
      <c r="O1010">
        <v>1</v>
      </c>
      <c r="P1010" t="s">
        <v>52</v>
      </c>
      <c r="Q1010">
        <v>4</v>
      </c>
      <c r="R1010" t="s">
        <v>113</v>
      </c>
      <c r="S1010">
        <v>14918</v>
      </c>
      <c r="T1010" t="s">
        <v>54</v>
      </c>
      <c r="U1010">
        <v>93.24</v>
      </c>
      <c r="V1010">
        <v>8</v>
      </c>
      <c r="W1010" t="s">
        <v>55</v>
      </c>
      <c r="X1010">
        <v>19</v>
      </c>
      <c r="Y1010">
        <v>3</v>
      </c>
      <c r="Z1010">
        <v>3</v>
      </c>
      <c r="AA1010">
        <v>2</v>
      </c>
      <c r="AB1010">
        <v>8</v>
      </c>
      <c r="AC1010">
        <v>3</v>
      </c>
      <c r="AD1010">
        <v>2</v>
      </c>
      <c r="AE1010">
        <v>1</v>
      </c>
      <c r="AF1010">
        <v>0</v>
      </c>
      <c r="AG1010">
        <v>0</v>
      </c>
      <c r="AH1010">
        <v>0</v>
      </c>
      <c r="AI1010">
        <f t="shared" si="105"/>
        <v>0</v>
      </c>
      <c r="AJ1010" t="str">
        <f t="shared" si="106"/>
        <v>0-1 yr</v>
      </c>
      <c r="AK1010" t="str">
        <f t="shared" si="107"/>
        <v>Recent</v>
      </c>
      <c r="AL1010">
        <f t="shared" si="108"/>
        <v>1</v>
      </c>
      <c r="AM1010" t="str">
        <f t="shared" si="109"/>
        <v>Low Risk</v>
      </c>
      <c r="AN1010" s="6">
        <f t="shared" si="110"/>
        <v>-0.71156559580788814</v>
      </c>
      <c r="AO1010" s="7">
        <f t="shared" si="111"/>
        <v>179016</v>
      </c>
    </row>
    <row r="1011" spans="1:41" x14ac:dyDescent="0.3">
      <c r="A1011" t="s">
        <v>1077</v>
      </c>
      <c r="B1011">
        <v>40</v>
      </c>
      <c r="C1011" t="s">
        <v>802</v>
      </c>
      <c r="D1011" t="s">
        <v>55</v>
      </c>
      <c r="E1011" t="s">
        <v>48</v>
      </c>
      <c r="F1011">
        <v>1322</v>
      </c>
      <c r="G1011" t="s">
        <v>735</v>
      </c>
      <c r="H1011">
        <v>2</v>
      </c>
      <c r="I1011">
        <v>4</v>
      </c>
      <c r="J1011" t="s">
        <v>50</v>
      </c>
      <c r="K1011">
        <v>2048</v>
      </c>
      <c r="L1011">
        <v>3</v>
      </c>
      <c r="M1011" t="s">
        <v>51</v>
      </c>
      <c r="N1011">
        <v>2</v>
      </c>
      <c r="O1011">
        <v>1</v>
      </c>
      <c r="P1011" t="s">
        <v>67</v>
      </c>
      <c r="Q1011">
        <v>3</v>
      </c>
      <c r="R1011" t="s">
        <v>53</v>
      </c>
      <c r="S1011">
        <v>86655</v>
      </c>
      <c r="T1011" t="s">
        <v>70</v>
      </c>
      <c r="U1011">
        <v>541.59</v>
      </c>
      <c r="V1011">
        <v>2</v>
      </c>
      <c r="W1011" t="s">
        <v>55</v>
      </c>
      <c r="X1011">
        <v>14</v>
      </c>
      <c r="Y1011">
        <v>3</v>
      </c>
      <c r="Z1011">
        <v>4</v>
      </c>
      <c r="AA1011">
        <v>0</v>
      </c>
      <c r="AB1011">
        <v>8</v>
      </c>
      <c r="AC1011">
        <v>2</v>
      </c>
      <c r="AD1011">
        <v>3</v>
      </c>
      <c r="AE1011">
        <v>2</v>
      </c>
      <c r="AF1011">
        <v>2</v>
      </c>
      <c r="AG1011">
        <v>2</v>
      </c>
      <c r="AH1011">
        <v>2</v>
      </c>
      <c r="AI1011">
        <f t="shared" si="105"/>
        <v>0</v>
      </c>
      <c r="AJ1011" t="str">
        <f t="shared" si="106"/>
        <v>2-3 yrs</v>
      </c>
      <c r="AK1011" t="str">
        <f t="shared" si="107"/>
        <v>Recent</v>
      </c>
      <c r="AL1011">
        <f t="shared" si="108"/>
        <v>0</v>
      </c>
      <c r="AM1011" t="str">
        <f t="shared" si="109"/>
        <v>Minimal Risk</v>
      </c>
      <c r="AN1011" s="6">
        <f t="shared" si="110"/>
        <v>0.7377536211648833</v>
      </c>
      <c r="AO1011" s="7">
        <f t="shared" si="111"/>
        <v>1039860</v>
      </c>
    </row>
    <row r="1012" spans="1:41" x14ac:dyDescent="0.3">
      <c r="A1012" t="s">
        <v>1078</v>
      </c>
      <c r="B1012">
        <v>40</v>
      </c>
      <c r="C1012" t="s">
        <v>802</v>
      </c>
      <c r="D1012" t="s">
        <v>55</v>
      </c>
      <c r="E1012" t="s">
        <v>48</v>
      </c>
      <c r="F1012">
        <v>1194</v>
      </c>
      <c r="G1012" t="s">
        <v>735</v>
      </c>
      <c r="H1012">
        <v>2</v>
      </c>
      <c r="I1012">
        <v>4</v>
      </c>
      <c r="J1012" t="s">
        <v>58</v>
      </c>
      <c r="K1012">
        <v>2051</v>
      </c>
      <c r="L1012">
        <v>3</v>
      </c>
      <c r="M1012" t="s">
        <v>59</v>
      </c>
      <c r="N1012">
        <v>3</v>
      </c>
      <c r="O1012">
        <v>1</v>
      </c>
      <c r="P1012" t="s">
        <v>67</v>
      </c>
      <c r="Q1012">
        <v>3</v>
      </c>
      <c r="R1012" t="s">
        <v>113</v>
      </c>
      <c r="S1012">
        <v>28446</v>
      </c>
      <c r="T1012" t="s">
        <v>72</v>
      </c>
      <c r="U1012">
        <v>177.79</v>
      </c>
      <c r="V1012">
        <v>2</v>
      </c>
      <c r="W1012" t="s">
        <v>55</v>
      </c>
      <c r="X1012">
        <v>14</v>
      </c>
      <c r="Y1012">
        <v>3</v>
      </c>
      <c r="Z1012">
        <v>2</v>
      </c>
      <c r="AA1012">
        <v>3</v>
      </c>
      <c r="AB1012">
        <v>20</v>
      </c>
      <c r="AC1012">
        <v>2</v>
      </c>
      <c r="AD1012">
        <v>3</v>
      </c>
      <c r="AE1012">
        <v>5</v>
      </c>
      <c r="AF1012">
        <v>3</v>
      </c>
      <c r="AG1012">
        <v>0</v>
      </c>
      <c r="AH1012">
        <v>2</v>
      </c>
      <c r="AI1012">
        <f t="shared" si="105"/>
        <v>0</v>
      </c>
      <c r="AJ1012" t="str">
        <f t="shared" si="106"/>
        <v>4-5 yrs</v>
      </c>
      <c r="AK1012" t="str">
        <f t="shared" si="107"/>
        <v>Recent</v>
      </c>
      <c r="AL1012">
        <f t="shared" si="108"/>
        <v>0</v>
      </c>
      <c r="AM1012" t="str">
        <f t="shared" si="109"/>
        <v>Minimal Risk</v>
      </c>
      <c r="AN1012" s="6">
        <f t="shared" si="110"/>
        <v>-0.42955236849972572</v>
      </c>
      <c r="AO1012" s="7">
        <f t="shared" si="111"/>
        <v>341352</v>
      </c>
    </row>
    <row r="1013" spans="1:41" x14ac:dyDescent="0.3">
      <c r="A1013" t="s">
        <v>1079</v>
      </c>
      <c r="B1013">
        <v>41</v>
      </c>
      <c r="C1013" t="s">
        <v>802</v>
      </c>
      <c r="D1013" t="s">
        <v>47</v>
      </c>
      <c r="E1013" t="s">
        <v>48</v>
      </c>
      <c r="F1013">
        <v>1102</v>
      </c>
      <c r="G1013" t="s">
        <v>932</v>
      </c>
      <c r="H1013">
        <v>1</v>
      </c>
      <c r="I1013">
        <v>2</v>
      </c>
      <c r="J1013" t="s">
        <v>50</v>
      </c>
      <c r="K1013">
        <v>1</v>
      </c>
      <c r="L1013">
        <v>2</v>
      </c>
      <c r="M1013" t="s">
        <v>59</v>
      </c>
      <c r="N1013">
        <v>3</v>
      </c>
      <c r="O1013">
        <v>2</v>
      </c>
      <c r="P1013" t="s">
        <v>145</v>
      </c>
      <c r="Q1013">
        <v>4</v>
      </c>
      <c r="R1013" t="s">
        <v>53</v>
      </c>
      <c r="S1013">
        <v>14046</v>
      </c>
      <c r="T1013" t="s">
        <v>54</v>
      </c>
      <c r="U1013">
        <v>87.79</v>
      </c>
      <c r="V1013">
        <v>8</v>
      </c>
      <c r="W1013" t="s">
        <v>47</v>
      </c>
      <c r="X1013">
        <v>11</v>
      </c>
      <c r="Y1013">
        <v>3</v>
      </c>
      <c r="Z1013">
        <v>1</v>
      </c>
      <c r="AA1013">
        <v>0</v>
      </c>
      <c r="AB1013">
        <v>8</v>
      </c>
      <c r="AC1013">
        <v>0</v>
      </c>
      <c r="AD1013">
        <v>1</v>
      </c>
      <c r="AE1013">
        <v>6</v>
      </c>
      <c r="AF1013">
        <v>4</v>
      </c>
      <c r="AG1013">
        <v>0</v>
      </c>
      <c r="AH1013">
        <v>5</v>
      </c>
      <c r="AI1013">
        <f t="shared" si="105"/>
        <v>1</v>
      </c>
      <c r="AJ1013" t="str">
        <f t="shared" si="106"/>
        <v>6-10 yrs</v>
      </c>
      <c r="AK1013" t="str">
        <f t="shared" si="107"/>
        <v>Recent</v>
      </c>
      <c r="AL1013">
        <f t="shared" si="108"/>
        <v>2</v>
      </c>
      <c r="AM1013" t="str">
        <f t="shared" si="109"/>
        <v>Medium Risk</v>
      </c>
      <c r="AN1013" s="6">
        <f t="shared" si="110"/>
        <v>-0.71368566385577459</v>
      </c>
      <c r="AO1013" s="7">
        <f t="shared" si="111"/>
        <v>168552</v>
      </c>
    </row>
    <row r="1014" spans="1:41" x14ac:dyDescent="0.3">
      <c r="A1014" t="s">
        <v>1080</v>
      </c>
      <c r="B1014">
        <v>41</v>
      </c>
      <c r="C1014" t="s">
        <v>802</v>
      </c>
      <c r="D1014" t="s">
        <v>47</v>
      </c>
      <c r="E1014" t="s">
        <v>48</v>
      </c>
      <c r="F1014">
        <v>1360</v>
      </c>
      <c r="G1014" t="s">
        <v>735</v>
      </c>
      <c r="H1014">
        <v>12</v>
      </c>
      <c r="I1014">
        <v>3</v>
      </c>
      <c r="J1014" t="s">
        <v>77</v>
      </c>
      <c r="K1014">
        <v>58</v>
      </c>
      <c r="L1014">
        <v>2</v>
      </c>
      <c r="M1014" t="s">
        <v>59</v>
      </c>
      <c r="N1014">
        <v>3</v>
      </c>
      <c r="O1014">
        <v>5</v>
      </c>
      <c r="P1014" t="s">
        <v>257</v>
      </c>
      <c r="Q1014">
        <v>3</v>
      </c>
      <c r="R1014" t="s">
        <v>113</v>
      </c>
      <c r="S1014">
        <v>25818</v>
      </c>
      <c r="T1014" t="s">
        <v>72</v>
      </c>
      <c r="U1014">
        <v>161.36000000000001</v>
      </c>
      <c r="V1014">
        <v>1</v>
      </c>
      <c r="W1014" t="s">
        <v>55</v>
      </c>
      <c r="X1014">
        <v>12</v>
      </c>
      <c r="Y1014">
        <v>3</v>
      </c>
      <c r="Z1014">
        <v>4</v>
      </c>
      <c r="AA1014">
        <v>0</v>
      </c>
      <c r="AB1014">
        <v>23</v>
      </c>
      <c r="AC1014">
        <v>0</v>
      </c>
      <c r="AD1014">
        <v>3</v>
      </c>
      <c r="AE1014">
        <v>22</v>
      </c>
      <c r="AF1014">
        <v>15</v>
      </c>
      <c r="AG1014">
        <v>15</v>
      </c>
      <c r="AH1014">
        <v>8</v>
      </c>
      <c r="AI1014">
        <f t="shared" si="105"/>
        <v>1</v>
      </c>
      <c r="AJ1014" t="str">
        <f t="shared" si="106"/>
        <v>10+ yrs</v>
      </c>
      <c r="AK1014" t="str">
        <f t="shared" si="107"/>
        <v>Overdue</v>
      </c>
      <c r="AL1014">
        <f t="shared" si="108"/>
        <v>1</v>
      </c>
      <c r="AM1014" t="str">
        <f t="shared" si="109"/>
        <v>Low Risk</v>
      </c>
      <c r="AN1014" s="6">
        <f t="shared" si="110"/>
        <v>-0.49039808578535743</v>
      </c>
      <c r="AO1014" s="7">
        <f t="shared" si="111"/>
        <v>309816</v>
      </c>
    </row>
    <row r="1015" spans="1:41" x14ac:dyDescent="0.3">
      <c r="A1015" t="s">
        <v>1081</v>
      </c>
      <c r="B1015">
        <v>41</v>
      </c>
      <c r="C1015" t="s">
        <v>802</v>
      </c>
      <c r="D1015" t="s">
        <v>55</v>
      </c>
      <c r="E1015" t="s">
        <v>48</v>
      </c>
      <c r="F1015">
        <v>802</v>
      </c>
      <c r="G1015" t="s">
        <v>932</v>
      </c>
      <c r="H1015">
        <v>9</v>
      </c>
      <c r="I1015">
        <v>1</v>
      </c>
      <c r="J1015" t="s">
        <v>50</v>
      </c>
      <c r="K1015">
        <v>176</v>
      </c>
      <c r="L1015">
        <v>3</v>
      </c>
      <c r="M1015" t="s">
        <v>51</v>
      </c>
      <c r="N1015">
        <v>3</v>
      </c>
      <c r="O1015">
        <v>3</v>
      </c>
      <c r="P1015" t="s">
        <v>145</v>
      </c>
      <c r="Q1015">
        <v>3</v>
      </c>
      <c r="R1015" t="s">
        <v>113</v>
      </c>
      <c r="S1015">
        <v>5324</v>
      </c>
      <c r="T1015" t="s">
        <v>54</v>
      </c>
      <c r="U1015">
        <v>33.28</v>
      </c>
      <c r="V1015">
        <v>3</v>
      </c>
      <c r="W1015" t="s">
        <v>47</v>
      </c>
      <c r="X1015">
        <v>13</v>
      </c>
      <c r="Y1015">
        <v>3</v>
      </c>
      <c r="Z1015">
        <v>3</v>
      </c>
      <c r="AA1015">
        <v>1</v>
      </c>
      <c r="AB1015">
        <v>12</v>
      </c>
      <c r="AC1015">
        <v>2</v>
      </c>
      <c r="AD1015">
        <v>3</v>
      </c>
      <c r="AE1015">
        <v>9</v>
      </c>
      <c r="AF1015">
        <v>7</v>
      </c>
      <c r="AG1015">
        <v>0</v>
      </c>
      <c r="AH1015">
        <v>7</v>
      </c>
      <c r="AI1015">
        <f t="shared" si="105"/>
        <v>0</v>
      </c>
      <c r="AJ1015" t="str">
        <f t="shared" si="106"/>
        <v>6-10 yrs</v>
      </c>
      <c r="AK1015" t="str">
        <f t="shared" si="107"/>
        <v>Recent</v>
      </c>
      <c r="AL1015">
        <f t="shared" si="108"/>
        <v>1</v>
      </c>
      <c r="AM1015" t="str">
        <f t="shared" si="109"/>
        <v>Low Risk</v>
      </c>
      <c r="AN1015" s="6">
        <f t="shared" si="110"/>
        <v>-0.89147532923025374</v>
      </c>
      <c r="AO1015" s="7">
        <f t="shared" si="111"/>
        <v>63888</v>
      </c>
    </row>
    <row r="1016" spans="1:41" x14ac:dyDescent="0.3">
      <c r="A1016" t="s">
        <v>1082</v>
      </c>
      <c r="B1016">
        <v>41</v>
      </c>
      <c r="C1016" t="s">
        <v>802</v>
      </c>
      <c r="D1016" t="s">
        <v>55</v>
      </c>
      <c r="E1016" t="s">
        <v>62</v>
      </c>
      <c r="F1016">
        <v>857</v>
      </c>
      <c r="G1016" t="s">
        <v>735</v>
      </c>
      <c r="H1016">
        <v>10</v>
      </c>
      <c r="I1016">
        <v>3</v>
      </c>
      <c r="J1016" t="s">
        <v>50</v>
      </c>
      <c r="K1016">
        <v>199</v>
      </c>
      <c r="L1016">
        <v>4</v>
      </c>
      <c r="M1016" t="s">
        <v>51</v>
      </c>
      <c r="N1016">
        <v>2</v>
      </c>
      <c r="O1016">
        <v>4</v>
      </c>
      <c r="P1016" t="s">
        <v>444</v>
      </c>
      <c r="Q1016">
        <v>1</v>
      </c>
      <c r="R1016" t="s">
        <v>53</v>
      </c>
      <c r="S1016">
        <v>77323</v>
      </c>
      <c r="T1016" t="s">
        <v>64</v>
      </c>
      <c r="U1016">
        <v>483.27</v>
      </c>
      <c r="V1016">
        <v>4</v>
      </c>
      <c r="W1016" t="s">
        <v>55</v>
      </c>
      <c r="X1016">
        <v>13</v>
      </c>
      <c r="Y1016">
        <v>3</v>
      </c>
      <c r="Z1016">
        <v>2</v>
      </c>
      <c r="AA1016">
        <v>1</v>
      </c>
      <c r="AB1016">
        <v>21</v>
      </c>
      <c r="AC1016">
        <v>2</v>
      </c>
      <c r="AD1016">
        <v>2</v>
      </c>
      <c r="AE1016">
        <v>7</v>
      </c>
      <c r="AF1016">
        <v>6</v>
      </c>
      <c r="AG1016">
        <v>7</v>
      </c>
      <c r="AH1016">
        <v>7</v>
      </c>
      <c r="AI1016">
        <f t="shared" si="105"/>
        <v>0</v>
      </c>
      <c r="AJ1016" t="str">
        <f t="shared" si="106"/>
        <v>6-10 yrs</v>
      </c>
      <c r="AK1016" t="str">
        <f t="shared" si="107"/>
        <v>Overdue</v>
      </c>
      <c r="AL1016">
        <f t="shared" si="108"/>
        <v>3</v>
      </c>
      <c r="AM1016" t="str">
        <f t="shared" si="109"/>
        <v>High Risk</v>
      </c>
      <c r="AN1016" s="6">
        <f t="shared" si="110"/>
        <v>0.48133137799508213</v>
      </c>
      <c r="AO1016" s="7">
        <f t="shared" si="111"/>
        <v>927876</v>
      </c>
    </row>
    <row r="1017" spans="1:41" x14ac:dyDescent="0.3">
      <c r="A1017" t="s">
        <v>1083</v>
      </c>
      <c r="B1017">
        <v>41</v>
      </c>
      <c r="C1017" t="s">
        <v>802</v>
      </c>
      <c r="D1017" t="s">
        <v>55</v>
      </c>
      <c r="E1017" t="s">
        <v>48</v>
      </c>
      <c r="F1017">
        <v>933</v>
      </c>
      <c r="G1017" t="s">
        <v>735</v>
      </c>
      <c r="H1017">
        <v>9</v>
      </c>
      <c r="I1017">
        <v>4</v>
      </c>
      <c r="J1017" t="s">
        <v>50</v>
      </c>
      <c r="K1017">
        <v>200</v>
      </c>
      <c r="L1017">
        <v>3</v>
      </c>
      <c r="M1017" t="s">
        <v>51</v>
      </c>
      <c r="N1017">
        <v>3</v>
      </c>
      <c r="O1017">
        <v>1</v>
      </c>
      <c r="P1017" t="s">
        <v>52</v>
      </c>
      <c r="Q1017">
        <v>1</v>
      </c>
      <c r="R1017" t="s">
        <v>113</v>
      </c>
      <c r="S1017">
        <v>10111</v>
      </c>
      <c r="T1017" t="s">
        <v>54</v>
      </c>
      <c r="U1017">
        <v>63.19</v>
      </c>
      <c r="V1017">
        <v>2</v>
      </c>
      <c r="W1017" t="s">
        <v>55</v>
      </c>
      <c r="X1017">
        <v>21</v>
      </c>
      <c r="Y1017">
        <v>4</v>
      </c>
      <c r="Z1017">
        <v>4</v>
      </c>
      <c r="AA1017">
        <v>1</v>
      </c>
      <c r="AB1017">
        <v>7</v>
      </c>
      <c r="AC1017">
        <v>2</v>
      </c>
      <c r="AD1017">
        <v>3</v>
      </c>
      <c r="AE1017">
        <v>5</v>
      </c>
      <c r="AF1017">
        <v>0</v>
      </c>
      <c r="AG1017">
        <v>1</v>
      </c>
      <c r="AH1017">
        <v>4</v>
      </c>
      <c r="AI1017">
        <f t="shared" si="105"/>
        <v>0</v>
      </c>
      <c r="AJ1017" t="str">
        <f t="shared" si="106"/>
        <v>4-5 yrs</v>
      </c>
      <c r="AK1017" t="str">
        <f t="shared" si="107"/>
        <v>Recent</v>
      </c>
      <c r="AL1017">
        <f t="shared" si="108"/>
        <v>1</v>
      </c>
      <c r="AM1017" t="str">
        <f t="shared" si="109"/>
        <v>Low Risk</v>
      </c>
      <c r="AN1017" s="6">
        <f t="shared" si="110"/>
        <v>-0.80450728912813763</v>
      </c>
      <c r="AO1017" s="7">
        <f t="shared" si="111"/>
        <v>121332</v>
      </c>
    </row>
    <row r="1018" spans="1:41" x14ac:dyDescent="0.3">
      <c r="A1018" t="s">
        <v>1084</v>
      </c>
      <c r="B1018">
        <v>41</v>
      </c>
      <c r="C1018" t="s">
        <v>802</v>
      </c>
      <c r="D1018" t="s">
        <v>55</v>
      </c>
      <c r="E1018" t="s">
        <v>48</v>
      </c>
      <c r="F1018">
        <v>465</v>
      </c>
      <c r="G1018" t="s">
        <v>735</v>
      </c>
      <c r="H1018">
        <v>14</v>
      </c>
      <c r="I1018">
        <v>3</v>
      </c>
      <c r="J1018" t="s">
        <v>50</v>
      </c>
      <c r="K1018">
        <v>227</v>
      </c>
      <c r="L1018">
        <v>1</v>
      </c>
      <c r="M1018" t="s">
        <v>51</v>
      </c>
      <c r="N1018">
        <v>3</v>
      </c>
      <c r="O1018">
        <v>1</v>
      </c>
      <c r="P1018" t="s">
        <v>67</v>
      </c>
      <c r="Q1018">
        <v>3</v>
      </c>
      <c r="R1018" t="s">
        <v>113</v>
      </c>
      <c r="S1018">
        <v>39110</v>
      </c>
      <c r="T1018" t="s">
        <v>72</v>
      </c>
      <c r="U1018">
        <v>244.44</v>
      </c>
      <c r="V1018">
        <v>4</v>
      </c>
      <c r="W1018" t="s">
        <v>55</v>
      </c>
      <c r="X1018">
        <v>12</v>
      </c>
      <c r="Y1018">
        <v>3</v>
      </c>
      <c r="Z1018">
        <v>1</v>
      </c>
      <c r="AA1018">
        <v>1</v>
      </c>
      <c r="AB1018">
        <v>13</v>
      </c>
      <c r="AC1018">
        <v>2</v>
      </c>
      <c r="AD1018">
        <v>3</v>
      </c>
      <c r="AE1018">
        <v>9</v>
      </c>
      <c r="AF1018">
        <v>8</v>
      </c>
      <c r="AG1018">
        <v>1</v>
      </c>
      <c r="AH1018">
        <v>8</v>
      </c>
      <c r="AI1018">
        <f t="shared" si="105"/>
        <v>0</v>
      </c>
      <c r="AJ1018" t="str">
        <f t="shared" si="106"/>
        <v>6-10 yrs</v>
      </c>
      <c r="AK1018" t="str">
        <f t="shared" si="107"/>
        <v>Recent</v>
      </c>
      <c r="AL1018">
        <f t="shared" si="108"/>
        <v>0</v>
      </c>
      <c r="AM1018" t="str">
        <f t="shared" si="109"/>
        <v>Minimal Risk</v>
      </c>
      <c r="AN1018" s="6">
        <f t="shared" si="110"/>
        <v>-0.21569968122141153</v>
      </c>
      <c r="AO1018" s="7">
        <f t="shared" si="111"/>
        <v>469320</v>
      </c>
    </row>
    <row r="1019" spans="1:41" x14ac:dyDescent="0.3">
      <c r="A1019" t="s">
        <v>1085</v>
      </c>
      <c r="B1019">
        <v>41</v>
      </c>
      <c r="C1019" t="s">
        <v>802</v>
      </c>
      <c r="D1019" t="s">
        <v>47</v>
      </c>
      <c r="E1019" t="s">
        <v>48</v>
      </c>
      <c r="F1019">
        <v>1356</v>
      </c>
      <c r="G1019" t="s">
        <v>932</v>
      </c>
      <c r="H1019">
        <v>20</v>
      </c>
      <c r="I1019">
        <v>2</v>
      </c>
      <c r="J1019" t="s">
        <v>63</v>
      </c>
      <c r="K1019">
        <v>248</v>
      </c>
      <c r="L1019">
        <v>2</v>
      </c>
      <c r="M1019" t="s">
        <v>59</v>
      </c>
      <c r="N1019">
        <v>3</v>
      </c>
      <c r="O1019">
        <v>1</v>
      </c>
      <c r="P1019" t="s">
        <v>60</v>
      </c>
      <c r="Q1019">
        <v>2</v>
      </c>
      <c r="R1019" t="s">
        <v>53</v>
      </c>
      <c r="S1019">
        <v>17389</v>
      </c>
      <c r="T1019" t="s">
        <v>54</v>
      </c>
      <c r="U1019">
        <v>108.68</v>
      </c>
      <c r="V1019">
        <v>1</v>
      </c>
      <c r="W1019" t="s">
        <v>47</v>
      </c>
      <c r="X1019">
        <v>22</v>
      </c>
      <c r="Y1019">
        <v>4</v>
      </c>
      <c r="Z1019">
        <v>4</v>
      </c>
      <c r="AA1019">
        <v>0</v>
      </c>
      <c r="AB1019">
        <v>4</v>
      </c>
      <c r="AC1019">
        <v>5</v>
      </c>
      <c r="AD1019">
        <v>2</v>
      </c>
      <c r="AE1019">
        <v>4</v>
      </c>
      <c r="AF1019">
        <v>3</v>
      </c>
      <c r="AG1019">
        <v>0</v>
      </c>
      <c r="AH1019">
        <v>2</v>
      </c>
      <c r="AI1019">
        <f t="shared" si="105"/>
        <v>1</v>
      </c>
      <c r="AJ1019" t="str">
        <f t="shared" si="106"/>
        <v>4-5 yrs</v>
      </c>
      <c r="AK1019" t="str">
        <f t="shared" si="107"/>
        <v>Recent</v>
      </c>
      <c r="AL1019">
        <f t="shared" si="108"/>
        <v>3</v>
      </c>
      <c r="AM1019" t="str">
        <f t="shared" si="109"/>
        <v>High Risk</v>
      </c>
      <c r="AN1019" s="6">
        <f t="shared" si="110"/>
        <v>-0.64747356732347017</v>
      </c>
      <c r="AO1019" s="7">
        <f t="shared" si="111"/>
        <v>208668</v>
      </c>
    </row>
    <row r="1020" spans="1:41" x14ac:dyDescent="0.3">
      <c r="A1020" t="s">
        <v>1086</v>
      </c>
      <c r="B1020">
        <v>41</v>
      </c>
      <c r="C1020" t="s">
        <v>802</v>
      </c>
      <c r="D1020" t="s">
        <v>55</v>
      </c>
      <c r="E1020" t="s">
        <v>48</v>
      </c>
      <c r="F1020">
        <v>896</v>
      </c>
      <c r="G1020" t="s">
        <v>932</v>
      </c>
      <c r="H1020">
        <v>6</v>
      </c>
      <c r="I1020">
        <v>3</v>
      </c>
      <c r="J1020" t="s">
        <v>50</v>
      </c>
      <c r="K1020">
        <v>298</v>
      </c>
      <c r="L1020">
        <v>4</v>
      </c>
      <c r="M1020" t="s">
        <v>59</v>
      </c>
      <c r="N1020">
        <v>3</v>
      </c>
      <c r="O1020">
        <v>3</v>
      </c>
      <c r="P1020" t="s">
        <v>444</v>
      </c>
      <c r="Q1020">
        <v>4</v>
      </c>
      <c r="R1020" t="s">
        <v>53</v>
      </c>
      <c r="S1020">
        <v>42427</v>
      </c>
      <c r="T1020" t="s">
        <v>72</v>
      </c>
      <c r="U1020">
        <v>265.17</v>
      </c>
      <c r="V1020">
        <v>3</v>
      </c>
      <c r="W1020" t="s">
        <v>47</v>
      </c>
      <c r="X1020">
        <v>18</v>
      </c>
      <c r="Y1020">
        <v>3</v>
      </c>
      <c r="Z1020">
        <v>3</v>
      </c>
      <c r="AA1020">
        <v>0</v>
      </c>
      <c r="AB1020">
        <v>16</v>
      </c>
      <c r="AC1020">
        <v>3</v>
      </c>
      <c r="AD1020">
        <v>3</v>
      </c>
      <c r="AE1020">
        <v>1</v>
      </c>
      <c r="AF1020">
        <v>0</v>
      </c>
      <c r="AG1020">
        <v>0</v>
      </c>
      <c r="AH1020">
        <v>0</v>
      </c>
      <c r="AI1020">
        <f t="shared" si="105"/>
        <v>0</v>
      </c>
      <c r="AJ1020" t="str">
        <f t="shared" si="106"/>
        <v>0-1 yr</v>
      </c>
      <c r="AK1020" t="str">
        <f t="shared" si="107"/>
        <v>Recent</v>
      </c>
      <c r="AL1020">
        <f t="shared" si="108"/>
        <v>1</v>
      </c>
      <c r="AM1020" t="str">
        <f t="shared" si="109"/>
        <v>Low Risk</v>
      </c>
      <c r="AN1020" s="6">
        <f t="shared" si="110"/>
        <v>-0.18719596531177854</v>
      </c>
      <c r="AO1020" s="7">
        <f t="shared" si="111"/>
        <v>509124</v>
      </c>
    </row>
    <row r="1021" spans="1:41" x14ac:dyDescent="0.3">
      <c r="A1021" t="s">
        <v>1087</v>
      </c>
      <c r="B1021">
        <v>41</v>
      </c>
      <c r="C1021" t="s">
        <v>802</v>
      </c>
      <c r="D1021" t="s">
        <v>55</v>
      </c>
      <c r="E1021" t="s">
        <v>48</v>
      </c>
      <c r="F1021">
        <v>1411</v>
      </c>
      <c r="G1021" t="s">
        <v>735</v>
      </c>
      <c r="H1021">
        <v>19</v>
      </c>
      <c r="I1021">
        <v>2</v>
      </c>
      <c r="J1021" t="s">
        <v>50</v>
      </c>
      <c r="K1021">
        <v>334</v>
      </c>
      <c r="L1021">
        <v>3</v>
      </c>
      <c r="M1021" t="s">
        <v>51</v>
      </c>
      <c r="N1021">
        <v>3</v>
      </c>
      <c r="O1021">
        <v>2</v>
      </c>
      <c r="P1021" t="s">
        <v>67</v>
      </c>
      <c r="Q1021">
        <v>1</v>
      </c>
      <c r="R1021" t="s">
        <v>113</v>
      </c>
      <c r="S1021">
        <v>80579</v>
      </c>
      <c r="T1021" t="s">
        <v>64</v>
      </c>
      <c r="U1021">
        <v>503.62</v>
      </c>
      <c r="V1021">
        <v>2</v>
      </c>
      <c r="W1021" t="s">
        <v>55</v>
      </c>
      <c r="X1021">
        <v>16</v>
      </c>
      <c r="Y1021">
        <v>3</v>
      </c>
      <c r="Z1021">
        <v>1</v>
      </c>
      <c r="AA1021">
        <v>2</v>
      </c>
      <c r="AB1021">
        <v>17</v>
      </c>
      <c r="AC1021">
        <v>2</v>
      </c>
      <c r="AD1021">
        <v>2</v>
      </c>
      <c r="AE1021">
        <v>1</v>
      </c>
      <c r="AF1021">
        <v>0</v>
      </c>
      <c r="AG1021">
        <v>0</v>
      </c>
      <c r="AH1021">
        <v>0</v>
      </c>
      <c r="AI1021">
        <f t="shared" si="105"/>
        <v>0</v>
      </c>
      <c r="AJ1021" t="str">
        <f t="shared" si="106"/>
        <v>0-1 yr</v>
      </c>
      <c r="AK1021" t="str">
        <f t="shared" si="107"/>
        <v>Recent</v>
      </c>
      <c r="AL1021">
        <f t="shared" si="108"/>
        <v>2</v>
      </c>
      <c r="AM1021" t="str">
        <f t="shared" si="109"/>
        <v>Medium Risk</v>
      </c>
      <c r="AN1021" s="6">
        <f t="shared" si="110"/>
        <v>0.61590732259933212</v>
      </c>
      <c r="AO1021" s="7">
        <f t="shared" si="111"/>
        <v>966948</v>
      </c>
    </row>
    <row r="1022" spans="1:41" x14ac:dyDescent="0.3">
      <c r="A1022" t="s">
        <v>1088</v>
      </c>
      <c r="B1022">
        <v>41</v>
      </c>
      <c r="C1022" t="s">
        <v>802</v>
      </c>
      <c r="D1022" t="s">
        <v>55</v>
      </c>
      <c r="E1022" t="s">
        <v>48</v>
      </c>
      <c r="F1022">
        <v>334</v>
      </c>
      <c r="G1022" t="s">
        <v>932</v>
      </c>
      <c r="H1022">
        <v>2</v>
      </c>
      <c r="I1022">
        <v>4</v>
      </c>
      <c r="J1022" t="s">
        <v>50</v>
      </c>
      <c r="K1022">
        <v>410</v>
      </c>
      <c r="L1022">
        <v>4</v>
      </c>
      <c r="M1022" t="s">
        <v>51</v>
      </c>
      <c r="N1022">
        <v>3</v>
      </c>
      <c r="O1022">
        <v>4</v>
      </c>
      <c r="P1022" t="s">
        <v>444</v>
      </c>
      <c r="Q1022">
        <v>2</v>
      </c>
      <c r="R1022" t="s">
        <v>53</v>
      </c>
      <c r="S1022">
        <v>29746</v>
      </c>
      <c r="T1022" t="s">
        <v>72</v>
      </c>
      <c r="U1022">
        <v>185.91</v>
      </c>
      <c r="V1022">
        <v>1</v>
      </c>
      <c r="W1022" t="s">
        <v>55</v>
      </c>
      <c r="X1022">
        <v>19</v>
      </c>
      <c r="Y1022">
        <v>3</v>
      </c>
      <c r="Z1022">
        <v>2</v>
      </c>
      <c r="AA1022">
        <v>0</v>
      </c>
      <c r="AB1022">
        <v>22</v>
      </c>
      <c r="AC1022">
        <v>2</v>
      </c>
      <c r="AD1022">
        <v>3</v>
      </c>
      <c r="AE1022">
        <v>22</v>
      </c>
      <c r="AF1022">
        <v>10</v>
      </c>
      <c r="AG1022">
        <v>0</v>
      </c>
      <c r="AH1022">
        <v>4</v>
      </c>
      <c r="AI1022">
        <f t="shared" si="105"/>
        <v>0</v>
      </c>
      <c r="AJ1022" t="str">
        <f t="shared" si="106"/>
        <v>10+ yrs</v>
      </c>
      <c r="AK1022" t="str">
        <f t="shared" si="107"/>
        <v>Recent</v>
      </c>
      <c r="AL1022">
        <f t="shared" si="108"/>
        <v>1</v>
      </c>
      <c r="AM1022" t="str">
        <f t="shared" si="109"/>
        <v>Low Risk</v>
      </c>
      <c r="AN1022" s="6">
        <f t="shared" si="110"/>
        <v>-0.43013484771876787</v>
      </c>
      <c r="AO1022" s="7">
        <f t="shared" si="111"/>
        <v>356952</v>
      </c>
    </row>
    <row r="1023" spans="1:41" x14ac:dyDescent="0.3">
      <c r="A1023" t="s">
        <v>1089</v>
      </c>
      <c r="B1023">
        <v>41</v>
      </c>
      <c r="C1023" t="s">
        <v>802</v>
      </c>
      <c r="D1023" t="s">
        <v>55</v>
      </c>
      <c r="E1023" t="s">
        <v>48</v>
      </c>
      <c r="F1023">
        <v>483</v>
      </c>
      <c r="G1023" t="s">
        <v>735</v>
      </c>
      <c r="H1023">
        <v>6</v>
      </c>
      <c r="I1023">
        <v>3</v>
      </c>
      <c r="J1023" t="s">
        <v>58</v>
      </c>
      <c r="K1023">
        <v>466</v>
      </c>
      <c r="L1023">
        <v>4</v>
      </c>
      <c r="M1023" t="s">
        <v>51</v>
      </c>
      <c r="N1023">
        <v>2</v>
      </c>
      <c r="O1023">
        <v>2</v>
      </c>
      <c r="P1023" t="s">
        <v>120</v>
      </c>
      <c r="Q1023">
        <v>2</v>
      </c>
      <c r="R1023" t="s">
        <v>53</v>
      </c>
      <c r="S1023">
        <v>88886</v>
      </c>
      <c r="T1023" t="s">
        <v>70</v>
      </c>
      <c r="U1023">
        <v>555.54</v>
      </c>
      <c r="V1023">
        <v>6</v>
      </c>
      <c r="W1023" t="s">
        <v>47</v>
      </c>
      <c r="X1023">
        <v>15</v>
      </c>
      <c r="Y1023">
        <v>3</v>
      </c>
      <c r="Z1023">
        <v>4</v>
      </c>
      <c r="AA1023">
        <v>0</v>
      </c>
      <c r="AB1023">
        <v>8</v>
      </c>
      <c r="AC1023">
        <v>3</v>
      </c>
      <c r="AD1023">
        <v>3</v>
      </c>
      <c r="AE1023">
        <v>5</v>
      </c>
      <c r="AF1023">
        <v>4</v>
      </c>
      <c r="AG1023">
        <v>1</v>
      </c>
      <c r="AH1023">
        <v>2</v>
      </c>
      <c r="AI1023">
        <f t="shared" si="105"/>
        <v>0</v>
      </c>
      <c r="AJ1023" t="str">
        <f t="shared" si="106"/>
        <v>4-5 yrs</v>
      </c>
      <c r="AK1023" t="str">
        <f t="shared" si="107"/>
        <v>Recent</v>
      </c>
      <c r="AL1023">
        <f t="shared" si="108"/>
        <v>2</v>
      </c>
      <c r="AM1023" t="str">
        <f t="shared" si="109"/>
        <v>Medium Risk</v>
      </c>
      <c r="AN1023" s="6">
        <f t="shared" si="110"/>
        <v>1.0066672655938447</v>
      </c>
      <c r="AO1023" s="7">
        <f t="shared" si="111"/>
        <v>1066632</v>
      </c>
    </row>
    <row r="1024" spans="1:41" x14ac:dyDescent="0.3">
      <c r="A1024" t="s">
        <v>1090</v>
      </c>
      <c r="B1024">
        <v>41</v>
      </c>
      <c r="C1024" t="s">
        <v>802</v>
      </c>
      <c r="D1024" t="s">
        <v>47</v>
      </c>
      <c r="E1024" t="s">
        <v>62</v>
      </c>
      <c r="F1024">
        <v>143</v>
      </c>
      <c r="G1024" t="s">
        <v>932</v>
      </c>
      <c r="H1024">
        <v>4</v>
      </c>
      <c r="I1024">
        <v>3</v>
      </c>
      <c r="J1024" t="s">
        <v>63</v>
      </c>
      <c r="K1024">
        <v>488</v>
      </c>
      <c r="L1024">
        <v>1</v>
      </c>
      <c r="M1024" t="s">
        <v>51</v>
      </c>
      <c r="N1024">
        <v>3</v>
      </c>
      <c r="O1024">
        <v>2</v>
      </c>
      <c r="P1024" t="s">
        <v>145</v>
      </c>
      <c r="Q1024">
        <v>2</v>
      </c>
      <c r="R1024" t="s">
        <v>53</v>
      </c>
      <c r="S1024">
        <v>1117</v>
      </c>
      <c r="T1024" t="s">
        <v>54</v>
      </c>
      <c r="U1024">
        <v>6.98</v>
      </c>
      <c r="V1024">
        <v>1</v>
      </c>
      <c r="W1024" t="s">
        <v>55</v>
      </c>
      <c r="X1024">
        <v>18</v>
      </c>
      <c r="Y1024">
        <v>3</v>
      </c>
      <c r="Z1024">
        <v>3</v>
      </c>
      <c r="AA1024">
        <v>0</v>
      </c>
      <c r="AB1024">
        <v>8</v>
      </c>
      <c r="AC1024">
        <v>5</v>
      </c>
      <c r="AD1024">
        <v>3</v>
      </c>
      <c r="AE1024">
        <v>8</v>
      </c>
      <c r="AF1024">
        <v>7</v>
      </c>
      <c r="AG1024">
        <v>7</v>
      </c>
      <c r="AH1024">
        <v>7</v>
      </c>
      <c r="AI1024">
        <f t="shared" si="105"/>
        <v>1</v>
      </c>
      <c r="AJ1024" t="str">
        <f t="shared" si="106"/>
        <v>6-10 yrs</v>
      </c>
      <c r="AK1024" t="str">
        <f t="shared" si="107"/>
        <v>Overdue</v>
      </c>
      <c r="AL1024">
        <f t="shared" si="108"/>
        <v>2</v>
      </c>
      <c r="AM1024" t="str">
        <f t="shared" si="109"/>
        <v>Medium Risk</v>
      </c>
      <c r="AN1024" s="6">
        <f t="shared" si="110"/>
        <v>-0.97723101854812044</v>
      </c>
      <c r="AO1024" s="7">
        <f t="shared" si="111"/>
        <v>13404</v>
      </c>
    </row>
    <row r="1025" spans="1:41" x14ac:dyDescent="0.3">
      <c r="A1025" t="s">
        <v>1091</v>
      </c>
      <c r="B1025">
        <v>41</v>
      </c>
      <c r="C1025" t="s">
        <v>802</v>
      </c>
      <c r="D1025" t="s">
        <v>55</v>
      </c>
      <c r="E1025" t="s">
        <v>48</v>
      </c>
      <c r="F1025">
        <v>645</v>
      </c>
      <c r="G1025" t="s">
        <v>932</v>
      </c>
      <c r="H1025">
        <v>1</v>
      </c>
      <c r="I1025">
        <v>3</v>
      </c>
      <c r="J1025" t="s">
        <v>63</v>
      </c>
      <c r="K1025">
        <v>534</v>
      </c>
      <c r="L1025">
        <v>2</v>
      </c>
      <c r="M1025" t="s">
        <v>51</v>
      </c>
      <c r="N1025">
        <v>4</v>
      </c>
      <c r="O1025">
        <v>3</v>
      </c>
      <c r="P1025" t="s">
        <v>145</v>
      </c>
      <c r="Q1025">
        <v>1</v>
      </c>
      <c r="R1025" t="s">
        <v>113</v>
      </c>
      <c r="S1025">
        <v>85471</v>
      </c>
      <c r="T1025" t="s">
        <v>70</v>
      </c>
      <c r="U1025">
        <v>534.19000000000005</v>
      </c>
      <c r="V1025">
        <v>1</v>
      </c>
      <c r="W1025" t="s">
        <v>55</v>
      </c>
      <c r="X1025">
        <v>16</v>
      </c>
      <c r="Y1025">
        <v>3</v>
      </c>
      <c r="Z1025">
        <v>3</v>
      </c>
      <c r="AA1025">
        <v>1</v>
      </c>
      <c r="AB1025">
        <v>10</v>
      </c>
      <c r="AC1025">
        <v>2</v>
      </c>
      <c r="AD1025">
        <v>3</v>
      </c>
      <c r="AE1025">
        <v>10</v>
      </c>
      <c r="AF1025">
        <v>7</v>
      </c>
      <c r="AG1025">
        <v>0</v>
      </c>
      <c r="AH1025">
        <v>7</v>
      </c>
      <c r="AI1025">
        <f t="shared" si="105"/>
        <v>0</v>
      </c>
      <c r="AJ1025" t="str">
        <f t="shared" si="106"/>
        <v>6-10 yrs</v>
      </c>
      <c r="AK1025" t="str">
        <f t="shared" si="107"/>
        <v>Recent</v>
      </c>
      <c r="AL1025">
        <f t="shared" si="108"/>
        <v>1</v>
      </c>
      <c r="AM1025" t="str">
        <f t="shared" si="109"/>
        <v>Low Risk</v>
      </c>
      <c r="AN1025" s="6">
        <f t="shared" si="110"/>
        <v>0.7422449540497712</v>
      </c>
      <c r="AO1025" s="7">
        <f t="shared" si="111"/>
        <v>1025652</v>
      </c>
    </row>
    <row r="1026" spans="1:41" x14ac:dyDescent="0.3">
      <c r="A1026" t="s">
        <v>1092</v>
      </c>
      <c r="B1026">
        <v>41</v>
      </c>
      <c r="C1026" t="s">
        <v>802</v>
      </c>
      <c r="D1026" t="s">
        <v>55</v>
      </c>
      <c r="E1026" t="s">
        <v>66</v>
      </c>
      <c r="F1026">
        <v>267</v>
      </c>
      <c r="G1026" t="s">
        <v>932</v>
      </c>
      <c r="H1026">
        <v>10</v>
      </c>
      <c r="I1026">
        <v>2</v>
      </c>
      <c r="J1026" t="s">
        <v>50</v>
      </c>
      <c r="K1026">
        <v>599</v>
      </c>
      <c r="L1026">
        <v>4</v>
      </c>
      <c r="M1026" t="s">
        <v>51</v>
      </c>
      <c r="N1026">
        <v>3</v>
      </c>
      <c r="O1026">
        <v>2</v>
      </c>
      <c r="P1026" t="s">
        <v>145</v>
      </c>
      <c r="Q1026">
        <v>4</v>
      </c>
      <c r="R1026" t="s">
        <v>53</v>
      </c>
      <c r="S1026">
        <v>14234</v>
      </c>
      <c r="T1026" t="s">
        <v>54</v>
      </c>
      <c r="U1026">
        <v>88.96</v>
      </c>
      <c r="V1026">
        <v>7</v>
      </c>
      <c r="W1026" t="s">
        <v>55</v>
      </c>
      <c r="X1026">
        <v>14</v>
      </c>
      <c r="Y1026">
        <v>3</v>
      </c>
      <c r="Z1026">
        <v>4</v>
      </c>
      <c r="AA1026">
        <v>0</v>
      </c>
      <c r="AB1026">
        <v>16</v>
      </c>
      <c r="AC1026">
        <v>3</v>
      </c>
      <c r="AD1026">
        <v>3</v>
      </c>
      <c r="AE1026">
        <v>14</v>
      </c>
      <c r="AF1026">
        <v>3</v>
      </c>
      <c r="AG1026">
        <v>1</v>
      </c>
      <c r="AH1026">
        <v>10</v>
      </c>
      <c r="AI1026">
        <f t="shared" ref="AI1026:AI1089" si="112">IF(D1026="Yes",1,0)</f>
        <v>0</v>
      </c>
      <c r="AJ1026" t="str">
        <f t="shared" ref="AJ1026:AJ1089" si="113">IF(AE1026&lt;=1,"0-1 yr",IF(AE1026&lt;=3,"2-3 yrs",IF(AE1026&lt;=5,"4-5 yrs",IF(AE1026&lt;=10,"6-10 yrs","10+ yrs"))))</f>
        <v>10+ yrs</v>
      </c>
      <c r="AK1026" t="str">
        <f t="shared" ref="AK1026:AK1089" si="114">IF(AG1026&gt;=3,"Overdue","Recent")</f>
        <v>Recent</v>
      </c>
      <c r="AL1026">
        <f t="shared" ref="AL1026:AL1089" si="115">IF(W1026="Yes",1,0)+IF(AD1026&lt;=2,1,0)+IF(Q1026&lt;=2,1,0)+IF(AG1026&gt;=3,1,0)</f>
        <v>0</v>
      </c>
      <c r="AM1026" t="str">
        <f t="shared" ref="AM1026:AM1089" si="116">IF(AL1026&gt;=3,"High Risk",IF(AL1026=2,"Medium Risk",IF(AL1026=1,"Low Risk","Minimal Risk")))</f>
        <v>Minimal Risk</v>
      </c>
      <c r="AN1026" s="6">
        <f t="shared" ref="AN1026:AN1089" si="117">IFERROR((S1026-AVERAGEIF(P$2:P$1479,P1026,S$2:S$1479))/AVERAGEIF(P$2:P$1479,P1026,S$2:S$1479),0)</f>
        <v>-0.70985346285939743</v>
      </c>
      <c r="AO1026" s="7">
        <f t="shared" ref="AO1026:AO1089" si="118">S1026*12</f>
        <v>170808</v>
      </c>
    </row>
    <row r="1027" spans="1:41" x14ac:dyDescent="0.3">
      <c r="A1027" t="s">
        <v>1093</v>
      </c>
      <c r="B1027">
        <v>41</v>
      </c>
      <c r="C1027" t="s">
        <v>802</v>
      </c>
      <c r="D1027" t="s">
        <v>55</v>
      </c>
      <c r="E1027" t="s">
        <v>66</v>
      </c>
      <c r="F1027">
        <v>509</v>
      </c>
      <c r="G1027" t="s">
        <v>735</v>
      </c>
      <c r="H1027">
        <v>2</v>
      </c>
      <c r="I1027">
        <v>4</v>
      </c>
      <c r="J1027" t="s">
        <v>82</v>
      </c>
      <c r="K1027">
        <v>616</v>
      </c>
      <c r="L1027">
        <v>1</v>
      </c>
      <c r="M1027" t="s">
        <v>59</v>
      </c>
      <c r="N1027">
        <v>2</v>
      </c>
      <c r="O1027">
        <v>2</v>
      </c>
      <c r="P1027" t="s">
        <v>168</v>
      </c>
      <c r="Q1027">
        <v>3</v>
      </c>
      <c r="R1027" t="s">
        <v>53</v>
      </c>
      <c r="S1027">
        <v>54441</v>
      </c>
      <c r="T1027" t="s">
        <v>64</v>
      </c>
      <c r="U1027">
        <v>340.26</v>
      </c>
      <c r="V1027">
        <v>2</v>
      </c>
      <c r="W1027" t="s">
        <v>47</v>
      </c>
      <c r="X1027">
        <v>17</v>
      </c>
      <c r="Y1027">
        <v>3</v>
      </c>
      <c r="Z1027">
        <v>1</v>
      </c>
      <c r="AA1027">
        <v>0</v>
      </c>
      <c r="AB1027">
        <v>10</v>
      </c>
      <c r="AC1027">
        <v>3</v>
      </c>
      <c r="AD1027">
        <v>3</v>
      </c>
      <c r="AE1027">
        <v>8</v>
      </c>
      <c r="AF1027">
        <v>7</v>
      </c>
      <c r="AG1027">
        <v>0</v>
      </c>
      <c r="AH1027">
        <v>7</v>
      </c>
      <c r="AI1027">
        <f t="shared" si="112"/>
        <v>0</v>
      </c>
      <c r="AJ1027" t="str">
        <f t="shared" si="113"/>
        <v>6-10 yrs</v>
      </c>
      <c r="AK1027" t="str">
        <f t="shared" si="114"/>
        <v>Recent</v>
      </c>
      <c r="AL1027">
        <f t="shared" si="115"/>
        <v>1</v>
      </c>
      <c r="AM1027" t="str">
        <f t="shared" si="116"/>
        <v>Low Risk</v>
      </c>
      <c r="AN1027" s="6">
        <f t="shared" si="117"/>
        <v>0.12973580296688056</v>
      </c>
      <c r="AO1027" s="7">
        <f t="shared" si="118"/>
        <v>653292</v>
      </c>
    </row>
    <row r="1028" spans="1:41" x14ac:dyDescent="0.3">
      <c r="A1028" t="s">
        <v>1094</v>
      </c>
      <c r="B1028">
        <v>41</v>
      </c>
      <c r="C1028" t="s">
        <v>802</v>
      </c>
      <c r="D1028" t="s">
        <v>55</v>
      </c>
      <c r="E1028" t="s">
        <v>48</v>
      </c>
      <c r="F1028">
        <v>1276</v>
      </c>
      <c r="G1028" t="s">
        <v>932</v>
      </c>
      <c r="H1028">
        <v>2</v>
      </c>
      <c r="I1028">
        <v>5</v>
      </c>
      <c r="J1028" t="s">
        <v>50</v>
      </c>
      <c r="K1028">
        <v>625</v>
      </c>
      <c r="L1028">
        <v>2</v>
      </c>
      <c r="M1028" t="s">
        <v>59</v>
      </c>
      <c r="N1028">
        <v>3</v>
      </c>
      <c r="O1028">
        <v>4</v>
      </c>
      <c r="P1028" t="s">
        <v>444</v>
      </c>
      <c r="Q1028">
        <v>1</v>
      </c>
      <c r="R1028" t="s">
        <v>113</v>
      </c>
      <c r="S1028">
        <v>1846</v>
      </c>
      <c r="T1028" t="s">
        <v>54</v>
      </c>
      <c r="U1028">
        <v>11.54</v>
      </c>
      <c r="V1028">
        <v>7</v>
      </c>
      <c r="W1028" t="s">
        <v>55</v>
      </c>
      <c r="X1028">
        <v>16</v>
      </c>
      <c r="Y1028">
        <v>3</v>
      </c>
      <c r="Z1028">
        <v>2</v>
      </c>
      <c r="AA1028">
        <v>1</v>
      </c>
      <c r="AB1028">
        <v>22</v>
      </c>
      <c r="AC1028">
        <v>2</v>
      </c>
      <c r="AD1028">
        <v>3</v>
      </c>
      <c r="AE1028">
        <v>18</v>
      </c>
      <c r="AF1028">
        <v>16</v>
      </c>
      <c r="AG1028">
        <v>11</v>
      </c>
      <c r="AH1028">
        <v>8</v>
      </c>
      <c r="AI1028">
        <f t="shared" si="112"/>
        <v>0</v>
      </c>
      <c r="AJ1028" t="str">
        <f t="shared" si="113"/>
        <v>10+ yrs</v>
      </c>
      <c r="AK1028" t="str">
        <f t="shared" si="114"/>
        <v>Overdue</v>
      </c>
      <c r="AL1028">
        <f t="shared" si="115"/>
        <v>2</v>
      </c>
      <c r="AM1028" t="str">
        <f t="shared" si="116"/>
        <v>Medium Risk</v>
      </c>
      <c r="AN1028" s="6">
        <f t="shared" si="117"/>
        <v>-0.96463487288673588</v>
      </c>
      <c r="AO1028" s="7">
        <f t="shared" si="118"/>
        <v>22152</v>
      </c>
    </row>
    <row r="1029" spans="1:41" x14ac:dyDescent="0.3">
      <c r="A1029" t="s">
        <v>1095</v>
      </c>
      <c r="B1029">
        <v>41</v>
      </c>
      <c r="C1029" t="s">
        <v>802</v>
      </c>
      <c r="D1029" t="s">
        <v>55</v>
      </c>
      <c r="E1029" t="s">
        <v>48</v>
      </c>
      <c r="F1029">
        <v>427</v>
      </c>
      <c r="G1029" t="s">
        <v>406</v>
      </c>
      <c r="H1029">
        <v>10</v>
      </c>
      <c r="I1029">
        <v>4</v>
      </c>
      <c r="J1029" t="s">
        <v>80</v>
      </c>
      <c r="K1029">
        <v>731</v>
      </c>
      <c r="L1029">
        <v>2</v>
      </c>
      <c r="M1029" t="s">
        <v>51</v>
      </c>
      <c r="N1029">
        <v>2</v>
      </c>
      <c r="O1029">
        <v>5</v>
      </c>
      <c r="P1029" t="s">
        <v>444</v>
      </c>
      <c r="Q1029">
        <v>4</v>
      </c>
      <c r="R1029" t="s">
        <v>113</v>
      </c>
      <c r="S1029">
        <v>11954</v>
      </c>
      <c r="T1029" t="s">
        <v>54</v>
      </c>
      <c r="U1029">
        <v>74.709999999999994</v>
      </c>
      <c r="V1029">
        <v>3</v>
      </c>
      <c r="W1029" t="s">
        <v>55</v>
      </c>
      <c r="X1029">
        <v>15</v>
      </c>
      <c r="Y1029">
        <v>3</v>
      </c>
      <c r="Z1029">
        <v>2</v>
      </c>
      <c r="AA1029">
        <v>3</v>
      </c>
      <c r="AB1029">
        <v>23</v>
      </c>
      <c r="AC1029">
        <v>2</v>
      </c>
      <c r="AD1029">
        <v>2</v>
      </c>
      <c r="AE1029">
        <v>21</v>
      </c>
      <c r="AF1029">
        <v>6</v>
      </c>
      <c r="AG1029">
        <v>12</v>
      </c>
      <c r="AH1029">
        <v>6</v>
      </c>
      <c r="AI1029">
        <f t="shared" si="112"/>
        <v>0</v>
      </c>
      <c r="AJ1029" t="str">
        <f t="shared" si="113"/>
        <v>10+ yrs</v>
      </c>
      <c r="AK1029" t="str">
        <f t="shared" si="114"/>
        <v>Overdue</v>
      </c>
      <c r="AL1029">
        <f t="shared" si="115"/>
        <v>2</v>
      </c>
      <c r="AM1029" t="str">
        <f t="shared" si="116"/>
        <v>Medium Risk</v>
      </c>
      <c r="AN1029" s="6">
        <f t="shared" si="117"/>
        <v>-0.77098877057857029</v>
      </c>
      <c r="AO1029" s="7">
        <f t="shared" si="118"/>
        <v>143448</v>
      </c>
    </row>
    <row r="1030" spans="1:41" x14ac:dyDescent="0.3">
      <c r="A1030" t="s">
        <v>1096</v>
      </c>
      <c r="B1030">
        <v>41</v>
      </c>
      <c r="C1030" t="s">
        <v>802</v>
      </c>
      <c r="D1030" t="s">
        <v>55</v>
      </c>
      <c r="E1030" t="s">
        <v>48</v>
      </c>
      <c r="F1030">
        <v>314</v>
      </c>
      <c r="G1030" t="s">
        <v>406</v>
      </c>
      <c r="H1030">
        <v>1</v>
      </c>
      <c r="I1030">
        <v>3</v>
      </c>
      <c r="J1030" t="s">
        <v>80</v>
      </c>
      <c r="K1030">
        <v>734</v>
      </c>
      <c r="L1030">
        <v>4</v>
      </c>
      <c r="M1030" t="s">
        <v>51</v>
      </c>
      <c r="N1030">
        <v>2</v>
      </c>
      <c r="O1030">
        <v>5</v>
      </c>
      <c r="P1030" t="s">
        <v>444</v>
      </c>
      <c r="Q1030">
        <v>3</v>
      </c>
      <c r="R1030" t="s">
        <v>113</v>
      </c>
      <c r="S1030">
        <v>80239</v>
      </c>
      <c r="T1030" t="s">
        <v>64</v>
      </c>
      <c r="U1030">
        <v>501.49</v>
      </c>
      <c r="V1030">
        <v>1</v>
      </c>
      <c r="W1030" t="s">
        <v>55</v>
      </c>
      <c r="X1030">
        <v>12</v>
      </c>
      <c r="Y1030">
        <v>3</v>
      </c>
      <c r="Z1030">
        <v>2</v>
      </c>
      <c r="AA1030">
        <v>1</v>
      </c>
      <c r="AB1030">
        <v>22</v>
      </c>
      <c r="AC1030">
        <v>3</v>
      </c>
      <c r="AD1030">
        <v>3</v>
      </c>
      <c r="AE1030">
        <v>22</v>
      </c>
      <c r="AF1030">
        <v>7</v>
      </c>
      <c r="AG1030">
        <v>2</v>
      </c>
      <c r="AH1030">
        <v>10</v>
      </c>
      <c r="AI1030">
        <f t="shared" si="112"/>
        <v>0</v>
      </c>
      <c r="AJ1030" t="str">
        <f t="shared" si="113"/>
        <v>10+ yrs</v>
      </c>
      <c r="AK1030" t="str">
        <f t="shared" si="114"/>
        <v>Recent</v>
      </c>
      <c r="AL1030">
        <f t="shared" si="115"/>
        <v>0</v>
      </c>
      <c r="AM1030" t="str">
        <f t="shared" si="116"/>
        <v>Minimal Risk</v>
      </c>
      <c r="AN1030" s="6">
        <f t="shared" si="117"/>
        <v>0.53719525159328263</v>
      </c>
      <c r="AO1030" s="7">
        <f t="shared" si="118"/>
        <v>962868</v>
      </c>
    </row>
    <row r="1031" spans="1:41" x14ac:dyDescent="0.3">
      <c r="A1031" t="s">
        <v>1097</v>
      </c>
      <c r="B1031">
        <v>41</v>
      </c>
      <c r="C1031" t="s">
        <v>802</v>
      </c>
      <c r="D1031" t="s">
        <v>47</v>
      </c>
      <c r="E1031" t="s">
        <v>48</v>
      </c>
      <c r="F1031">
        <v>1085</v>
      </c>
      <c r="G1031" t="s">
        <v>735</v>
      </c>
      <c r="H1031">
        <v>2</v>
      </c>
      <c r="I1031">
        <v>4</v>
      </c>
      <c r="J1031" t="s">
        <v>50</v>
      </c>
      <c r="K1031">
        <v>927</v>
      </c>
      <c r="L1031">
        <v>2</v>
      </c>
      <c r="M1031" t="s">
        <v>59</v>
      </c>
      <c r="N1031">
        <v>1</v>
      </c>
      <c r="O1031">
        <v>1</v>
      </c>
      <c r="P1031" t="s">
        <v>52</v>
      </c>
      <c r="Q1031">
        <v>4</v>
      </c>
      <c r="R1031" t="s">
        <v>113</v>
      </c>
      <c r="S1031">
        <v>47514</v>
      </c>
      <c r="T1031" t="s">
        <v>72</v>
      </c>
      <c r="U1031">
        <v>296.95999999999998</v>
      </c>
      <c r="V1031">
        <v>4</v>
      </c>
      <c r="W1031" t="s">
        <v>47</v>
      </c>
      <c r="X1031">
        <v>13</v>
      </c>
      <c r="Y1031">
        <v>3</v>
      </c>
      <c r="Z1031">
        <v>3</v>
      </c>
      <c r="AA1031">
        <v>1</v>
      </c>
      <c r="AB1031">
        <v>10</v>
      </c>
      <c r="AC1031">
        <v>1</v>
      </c>
      <c r="AD1031">
        <v>2</v>
      </c>
      <c r="AE1031">
        <v>7</v>
      </c>
      <c r="AF1031">
        <v>7</v>
      </c>
      <c r="AG1031">
        <v>1</v>
      </c>
      <c r="AH1031">
        <v>0</v>
      </c>
      <c r="AI1031">
        <f t="shared" si="112"/>
        <v>1</v>
      </c>
      <c r="AJ1031" t="str">
        <f t="shared" si="113"/>
        <v>6-10 yrs</v>
      </c>
      <c r="AK1031" t="str">
        <f t="shared" si="114"/>
        <v>Recent</v>
      </c>
      <c r="AL1031">
        <f t="shared" si="115"/>
        <v>2</v>
      </c>
      <c r="AM1031" t="str">
        <f t="shared" si="116"/>
        <v>Medium Risk</v>
      </c>
      <c r="AN1031" s="6">
        <f t="shared" si="117"/>
        <v>-8.1333135756535599E-2</v>
      </c>
      <c r="AO1031" s="7">
        <f t="shared" si="118"/>
        <v>570168</v>
      </c>
    </row>
    <row r="1032" spans="1:41" x14ac:dyDescent="0.3">
      <c r="A1032" t="s">
        <v>1098</v>
      </c>
      <c r="B1032">
        <v>41</v>
      </c>
      <c r="C1032" t="s">
        <v>802</v>
      </c>
      <c r="D1032" t="s">
        <v>55</v>
      </c>
      <c r="E1032" t="s">
        <v>48</v>
      </c>
      <c r="F1032">
        <v>263</v>
      </c>
      <c r="G1032" t="s">
        <v>735</v>
      </c>
      <c r="H1032">
        <v>6</v>
      </c>
      <c r="I1032">
        <v>3</v>
      </c>
      <c r="J1032" t="s">
        <v>58</v>
      </c>
      <c r="K1032">
        <v>957</v>
      </c>
      <c r="L1032">
        <v>4</v>
      </c>
      <c r="M1032" t="s">
        <v>51</v>
      </c>
      <c r="N1032">
        <v>3</v>
      </c>
      <c r="O1032">
        <v>1</v>
      </c>
      <c r="P1032" t="s">
        <v>52</v>
      </c>
      <c r="Q1032">
        <v>1</v>
      </c>
      <c r="R1032" t="s">
        <v>53</v>
      </c>
      <c r="S1032">
        <v>89236</v>
      </c>
      <c r="T1032" t="s">
        <v>70</v>
      </c>
      <c r="U1032">
        <v>557.72</v>
      </c>
      <c r="V1032">
        <v>2</v>
      </c>
      <c r="W1032" t="s">
        <v>47</v>
      </c>
      <c r="X1032">
        <v>13</v>
      </c>
      <c r="Y1032">
        <v>3</v>
      </c>
      <c r="Z1032">
        <v>3</v>
      </c>
      <c r="AA1032">
        <v>0</v>
      </c>
      <c r="AB1032">
        <v>20</v>
      </c>
      <c r="AC1032">
        <v>3</v>
      </c>
      <c r="AD1032">
        <v>3</v>
      </c>
      <c r="AE1032">
        <v>18</v>
      </c>
      <c r="AF1032">
        <v>13</v>
      </c>
      <c r="AG1032">
        <v>2</v>
      </c>
      <c r="AH1032">
        <v>17</v>
      </c>
      <c r="AI1032">
        <f t="shared" si="112"/>
        <v>0</v>
      </c>
      <c r="AJ1032" t="str">
        <f t="shared" si="113"/>
        <v>10+ yrs</v>
      </c>
      <c r="AK1032" t="str">
        <f t="shared" si="114"/>
        <v>Recent</v>
      </c>
      <c r="AL1032">
        <f t="shared" si="115"/>
        <v>2</v>
      </c>
      <c r="AM1032" t="str">
        <f t="shared" si="116"/>
        <v>Medium Risk</v>
      </c>
      <c r="AN1032" s="6">
        <f t="shared" si="117"/>
        <v>0.72534739861156272</v>
      </c>
      <c r="AO1032" s="7">
        <f t="shared" si="118"/>
        <v>1070832</v>
      </c>
    </row>
    <row r="1033" spans="1:41" x14ac:dyDescent="0.3">
      <c r="A1033" t="s">
        <v>1099</v>
      </c>
      <c r="B1033">
        <v>41</v>
      </c>
      <c r="C1033" t="s">
        <v>802</v>
      </c>
      <c r="D1033" t="s">
        <v>55</v>
      </c>
      <c r="E1033" t="s">
        <v>62</v>
      </c>
      <c r="F1033">
        <v>840</v>
      </c>
      <c r="G1033" t="s">
        <v>735</v>
      </c>
      <c r="H1033">
        <v>9</v>
      </c>
      <c r="I1033">
        <v>3</v>
      </c>
      <c r="J1033" t="s">
        <v>58</v>
      </c>
      <c r="K1033">
        <v>999</v>
      </c>
      <c r="L1033">
        <v>1</v>
      </c>
      <c r="M1033" t="s">
        <v>51</v>
      </c>
      <c r="N1033">
        <v>3</v>
      </c>
      <c r="O1033">
        <v>5</v>
      </c>
      <c r="P1033" t="s">
        <v>257</v>
      </c>
      <c r="Q1033">
        <v>3</v>
      </c>
      <c r="R1033" t="s">
        <v>53</v>
      </c>
      <c r="S1033">
        <v>98579</v>
      </c>
      <c r="T1033" t="s">
        <v>70</v>
      </c>
      <c r="U1033">
        <v>616.12</v>
      </c>
      <c r="V1033">
        <v>2</v>
      </c>
      <c r="W1033" t="s">
        <v>55</v>
      </c>
      <c r="X1033">
        <v>17</v>
      </c>
      <c r="Y1033">
        <v>3</v>
      </c>
      <c r="Z1033">
        <v>2</v>
      </c>
      <c r="AA1033">
        <v>1</v>
      </c>
      <c r="AB1033">
        <v>21</v>
      </c>
      <c r="AC1033">
        <v>2</v>
      </c>
      <c r="AD1033">
        <v>4</v>
      </c>
      <c r="AE1033">
        <v>18</v>
      </c>
      <c r="AF1033">
        <v>16</v>
      </c>
      <c r="AG1033">
        <v>0</v>
      </c>
      <c r="AH1033">
        <v>11</v>
      </c>
      <c r="AI1033">
        <f t="shared" si="112"/>
        <v>0</v>
      </c>
      <c r="AJ1033" t="str">
        <f t="shared" si="113"/>
        <v>10+ yrs</v>
      </c>
      <c r="AK1033" t="str">
        <f t="shared" si="114"/>
        <v>Recent</v>
      </c>
      <c r="AL1033">
        <f t="shared" si="115"/>
        <v>0</v>
      </c>
      <c r="AM1033" t="str">
        <f t="shared" si="116"/>
        <v>Minimal Risk</v>
      </c>
      <c r="AN1033" s="6">
        <f t="shared" si="117"/>
        <v>0.94577609037745947</v>
      </c>
      <c r="AO1033" s="7">
        <f t="shared" si="118"/>
        <v>1182948</v>
      </c>
    </row>
    <row r="1034" spans="1:41" x14ac:dyDescent="0.3">
      <c r="A1034" t="s">
        <v>1100</v>
      </c>
      <c r="B1034">
        <v>41</v>
      </c>
      <c r="C1034" t="s">
        <v>802</v>
      </c>
      <c r="D1034" t="s">
        <v>55</v>
      </c>
      <c r="E1034" t="s">
        <v>48</v>
      </c>
      <c r="F1034">
        <v>549</v>
      </c>
      <c r="G1034" t="s">
        <v>735</v>
      </c>
      <c r="H1034">
        <v>7</v>
      </c>
      <c r="I1034">
        <v>2</v>
      </c>
      <c r="J1034" t="s">
        <v>58</v>
      </c>
      <c r="K1034">
        <v>1025</v>
      </c>
      <c r="L1034">
        <v>4</v>
      </c>
      <c r="M1034" t="s">
        <v>59</v>
      </c>
      <c r="N1034">
        <v>3</v>
      </c>
      <c r="O1034">
        <v>2</v>
      </c>
      <c r="P1034" t="s">
        <v>120</v>
      </c>
      <c r="Q1034">
        <v>3</v>
      </c>
      <c r="R1034" t="s">
        <v>53</v>
      </c>
      <c r="S1034">
        <v>7469</v>
      </c>
      <c r="T1034" t="s">
        <v>54</v>
      </c>
      <c r="U1034">
        <v>46.68</v>
      </c>
      <c r="V1034">
        <v>6</v>
      </c>
      <c r="W1034" t="s">
        <v>55</v>
      </c>
      <c r="X1034">
        <v>14</v>
      </c>
      <c r="Y1034">
        <v>3</v>
      </c>
      <c r="Z1034">
        <v>2</v>
      </c>
      <c r="AA1034">
        <v>0</v>
      </c>
      <c r="AB1034">
        <v>8</v>
      </c>
      <c r="AC1034">
        <v>6</v>
      </c>
      <c r="AD1034">
        <v>3</v>
      </c>
      <c r="AE1034">
        <v>2</v>
      </c>
      <c r="AF1034">
        <v>2</v>
      </c>
      <c r="AG1034">
        <v>2</v>
      </c>
      <c r="AH1034">
        <v>1</v>
      </c>
      <c r="AI1034">
        <f t="shared" si="112"/>
        <v>0</v>
      </c>
      <c r="AJ1034" t="str">
        <f t="shared" si="113"/>
        <v>2-3 yrs</v>
      </c>
      <c r="AK1034" t="str">
        <f t="shared" si="114"/>
        <v>Recent</v>
      </c>
      <c r="AL1034">
        <f t="shared" si="115"/>
        <v>0</v>
      </c>
      <c r="AM1034" t="str">
        <f t="shared" si="116"/>
        <v>Minimal Risk</v>
      </c>
      <c r="AN1034" s="6">
        <f t="shared" si="117"/>
        <v>-0.8313817945827191</v>
      </c>
      <c r="AO1034" s="7">
        <f t="shared" si="118"/>
        <v>89628</v>
      </c>
    </row>
    <row r="1035" spans="1:41" x14ac:dyDescent="0.3">
      <c r="A1035" t="s">
        <v>1101</v>
      </c>
      <c r="B1035">
        <v>41</v>
      </c>
      <c r="C1035" t="s">
        <v>802</v>
      </c>
      <c r="D1035" t="s">
        <v>55</v>
      </c>
      <c r="E1035" t="s">
        <v>66</v>
      </c>
      <c r="F1035">
        <v>247</v>
      </c>
      <c r="G1035" t="s">
        <v>735</v>
      </c>
      <c r="H1035">
        <v>7</v>
      </c>
      <c r="I1035">
        <v>1</v>
      </c>
      <c r="J1035" t="s">
        <v>50</v>
      </c>
      <c r="K1035">
        <v>1035</v>
      </c>
      <c r="L1035">
        <v>2</v>
      </c>
      <c r="M1035" t="s">
        <v>59</v>
      </c>
      <c r="N1035">
        <v>1</v>
      </c>
      <c r="O1035">
        <v>5</v>
      </c>
      <c r="P1035" t="s">
        <v>257</v>
      </c>
      <c r="Q1035">
        <v>3</v>
      </c>
      <c r="R1035" t="s">
        <v>53</v>
      </c>
      <c r="S1035">
        <v>31105</v>
      </c>
      <c r="T1035" t="s">
        <v>72</v>
      </c>
      <c r="U1035">
        <v>194.41</v>
      </c>
      <c r="V1035">
        <v>1</v>
      </c>
      <c r="W1035" t="s">
        <v>55</v>
      </c>
      <c r="X1035">
        <v>22</v>
      </c>
      <c r="Y1035">
        <v>4</v>
      </c>
      <c r="Z1035">
        <v>2</v>
      </c>
      <c r="AA1035">
        <v>2</v>
      </c>
      <c r="AB1035">
        <v>21</v>
      </c>
      <c r="AC1035">
        <v>3</v>
      </c>
      <c r="AD1035">
        <v>3</v>
      </c>
      <c r="AE1035">
        <v>21</v>
      </c>
      <c r="AF1035">
        <v>16</v>
      </c>
      <c r="AG1035">
        <v>5</v>
      </c>
      <c r="AH1035">
        <v>10</v>
      </c>
      <c r="AI1035">
        <f t="shared" si="112"/>
        <v>0</v>
      </c>
      <c r="AJ1035" t="str">
        <f t="shared" si="113"/>
        <v>10+ yrs</v>
      </c>
      <c r="AK1035" t="str">
        <f t="shared" si="114"/>
        <v>Overdue</v>
      </c>
      <c r="AL1035">
        <f t="shared" si="115"/>
        <v>1</v>
      </c>
      <c r="AM1035" t="str">
        <f t="shared" si="116"/>
        <v>Low Risk</v>
      </c>
      <c r="AN1035" s="6">
        <f t="shared" si="117"/>
        <v>-0.38604200396442573</v>
      </c>
      <c r="AO1035" s="7">
        <f t="shared" si="118"/>
        <v>373260</v>
      </c>
    </row>
    <row r="1036" spans="1:41" x14ac:dyDescent="0.3">
      <c r="A1036" t="s">
        <v>1102</v>
      </c>
      <c r="B1036">
        <v>41</v>
      </c>
      <c r="C1036" t="s">
        <v>802</v>
      </c>
      <c r="D1036" t="s">
        <v>55</v>
      </c>
      <c r="E1036" t="s">
        <v>48</v>
      </c>
      <c r="F1036">
        <v>509</v>
      </c>
      <c r="G1036" t="s">
        <v>735</v>
      </c>
      <c r="H1036">
        <v>7</v>
      </c>
      <c r="I1036">
        <v>2</v>
      </c>
      <c r="J1036" t="s">
        <v>77</v>
      </c>
      <c r="K1036">
        <v>1085</v>
      </c>
      <c r="L1036">
        <v>2</v>
      </c>
      <c r="M1036" t="s">
        <v>59</v>
      </c>
      <c r="N1036">
        <v>4</v>
      </c>
      <c r="O1036">
        <v>1</v>
      </c>
      <c r="P1036" t="s">
        <v>67</v>
      </c>
      <c r="Q1036">
        <v>3</v>
      </c>
      <c r="R1036" t="s">
        <v>113</v>
      </c>
      <c r="S1036">
        <v>43101</v>
      </c>
      <c r="T1036" t="s">
        <v>72</v>
      </c>
      <c r="U1036">
        <v>269.38</v>
      </c>
      <c r="V1036">
        <v>1</v>
      </c>
      <c r="W1036" t="s">
        <v>55</v>
      </c>
      <c r="X1036">
        <v>13</v>
      </c>
      <c r="Y1036">
        <v>3</v>
      </c>
      <c r="Z1036">
        <v>3</v>
      </c>
      <c r="AA1036">
        <v>0</v>
      </c>
      <c r="AB1036">
        <v>10</v>
      </c>
      <c r="AC1036">
        <v>3</v>
      </c>
      <c r="AD1036">
        <v>3</v>
      </c>
      <c r="AE1036">
        <v>10</v>
      </c>
      <c r="AF1036">
        <v>6</v>
      </c>
      <c r="AG1036">
        <v>0</v>
      </c>
      <c r="AH1036">
        <v>8</v>
      </c>
      <c r="AI1036">
        <f t="shared" si="112"/>
        <v>0</v>
      </c>
      <c r="AJ1036" t="str">
        <f t="shared" si="113"/>
        <v>6-10 yrs</v>
      </c>
      <c r="AK1036" t="str">
        <f t="shared" si="114"/>
        <v>Recent</v>
      </c>
      <c r="AL1036">
        <f t="shared" si="115"/>
        <v>0</v>
      </c>
      <c r="AM1036" t="str">
        <f t="shared" si="116"/>
        <v>Minimal Risk</v>
      </c>
      <c r="AN1036" s="6">
        <f t="shared" si="117"/>
        <v>-0.13566535311490815</v>
      </c>
      <c r="AO1036" s="7">
        <f t="shared" si="118"/>
        <v>517212</v>
      </c>
    </row>
    <row r="1037" spans="1:41" x14ac:dyDescent="0.3">
      <c r="A1037" t="s">
        <v>1103</v>
      </c>
      <c r="B1037">
        <v>41</v>
      </c>
      <c r="C1037" t="s">
        <v>802</v>
      </c>
      <c r="D1037" t="s">
        <v>55</v>
      </c>
      <c r="E1037" t="s">
        <v>48</v>
      </c>
      <c r="F1037">
        <v>167</v>
      </c>
      <c r="G1037" t="s">
        <v>735</v>
      </c>
      <c r="H1037">
        <v>12</v>
      </c>
      <c r="I1037">
        <v>4</v>
      </c>
      <c r="J1037" t="s">
        <v>50</v>
      </c>
      <c r="K1037">
        <v>1158</v>
      </c>
      <c r="L1037">
        <v>2</v>
      </c>
      <c r="M1037" t="s">
        <v>51</v>
      </c>
      <c r="N1037">
        <v>3</v>
      </c>
      <c r="O1037">
        <v>1</v>
      </c>
      <c r="P1037" t="s">
        <v>52</v>
      </c>
      <c r="Q1037">
        <v>4</v>
      </c>
      <c r="R1037" t="s">
        <v>113</v>
      </c>
      <c r="S1037">
        <v>65323</v>
      </c>
      <c r="T1037" t="s">
        <v>64</v>
      </c>
      <c r="U1037">
        <v>408.27</v>
      </c>
      <c r="V1037">
        <v>3</v>
      </c>
      <c r="W1037" t="s">
        <v>47</v>
      </c>
      <c r="X1037">
        <v>11</v>
      </c>
      <c r="Y1037">
        <v>3</v>
      </c>
      <c r="Z1037">
        <v>1</v>
      </c>
      <c r="AA1037">
        <v>1</v>
      </c>
      <c r="AB1037">
        <v>6</v>
      </c>
      <c r="AC1037">
        <v>4</v>
      </c>
      <c r="AD1037">
        <v>3</v>
      </c>
      <c r="AE1037">
        <v>1</v>
      </c>
      <c r="AF1037">
        <v>0</v>
      </c>
      <c r="AG1037">
        <v>0</v>
      </c>
      <c r="AH1037">
        <v>0</v>
      </c>
      <c r="AI1037">
        <f t="shared" si="112"/>
        <v>0</v>
      </c>
      <c r="AJ1037" t="str">
        <f t="shared" si="113"/>
        <v>0-1 yr</v>
      </c>
      <c r="AK1037" t="str">
        <f t="shared" si="114"/>
        <v>Recent</v>
      </c>
      <c r="AL1037">
        <f t="shared" si="115"/>
        <v>1</v>
      </c>
      <c r="AM1037" t="str">
        <f t="shared" si="116"/>
        <v>Low Risk</v>
      </c>
      <c r="AN1037" s="6">
        <f t="shared" si="117"/>
        <v>0.26299776009125364</v>
      </c>
      <c r="AO1037" s="7">
        <f t="shared" si="118"/>
        <v>783876</v>
      </c>
    </row>
    <row r="1038" spans="1:41" x14ac:dyDescent="0.3">
      <c r="A1038" t="s">
        <v>1104</v>
      </c>
      <c r="B1038">
        <v>41</v>
      </c>
      <c r="C1038" t="s">
        <v>802</v>
      </c>
      <c r="D1038" t="s">
        <v>47</v>
      </c>
      <c r="E1038" t="s">
        <v>66</v>
      </c>
      <c r="F1038">
        <v>906</v>
      </c>
      <c r="G1038" t="s">
        <v>735</v>
      </c>
      <c r="H1038">
        <v>5</v>
      </c>
      <c r="I1038">
        <v>2</v>
      </c>
      <c r="J1038" t="s">
        <v>50</v>
      </c>
      <c r="K1038">
        <v>1210</v>
      </c>
      <c r="L1038">
        <v>1</v>
      </c>
      <c r="M1038" t="s">
        <v>51</v>
      </c>
      <c r="N1038">
        <v>2</v>
      </c>
      <c r="O1038">
        <v>1</v>
      </c>
      <c r="P1038" t="s">
        <v>67</v>
      </c>
      <c r="Q1038">
        <v>1</v>
      </c>
      <c r="R1038" t="s">
        <v>53</v>
      </c>
      <c r="S1038">
        <v>92922</v>
      </c>
      <c r="T1038" t="s">
        <v>70</v>
      </c>
      <c r="U1038">
        <v>580.76</v>
      </c>
      <c r="V1038">
        <v>6</v>
      </c>
      <c r="W1038" t="s">
        <v>55</v>
      </c>
      <c r="X1038">
        <v>17</v>
      </c>
      <c r="Y1038">
        <v>3</v>
      </c>
      <c r="Z1038">
        <v>1</v>
      </c>
      <c r="AA1038">
        <v>1</v>
      </c>
      <c r="AB1038">
        <v>5</v>
      </c>
      <c r="AC1038">
        <v>2</v>
      </c>
      <c r="AD1038">
        <v>1</v>
      </c>
      <c r="AE1038">
        <v>1</v>
      </c>
      <c r="AF1038">
        <v>0</v>
      </c>
      <c r="AG1038">
        <v>0</v>
      </c>
      <c r="AH1038">
        <v>0</v>
      </c>
      <c r="AI1038">
        <f t="shared" si="112"/>
        <v>1</v>
      </c>
      <c r="AJ1038" t="str">
        <f t="shared" si="113"/>
        <v>0-1 yr</v>
      </c>
      <c r="AK1038" t="str">
        <f t="shared" si="114"/>
        <v>Recent</v>
      </c>
      <c r="AL1038">
        <f t="shared" si="115"/>
        <v>2</v>
      </c>
      <c r="AM1038" t="str">
        <f t="shared" si="116"/>
        <v>Medium Risk</v>
      </c>
      <c r="AN1038" s="6">
        <f t="shared" si="117"/>
        <v>0.86343017697632318</v>
      </c>
      <c r="AO1038" s="7">
        <f t="shared" si="118"/>
        <v>1115064</v>
      </c>
    </row>
    <row r="1039" spans="1:41" x14ac:dyDescent="0.3">
      <c r="A1039" t="s">
        <v>1105</v>
      </c>
      <c r="B1039">
        <v>41</v>
      </c>
      <c r="C1039" t="s">
        <v>802</v>
      </c>
      <c r="D1039" t="s">
        <v>55</v>
      </c>
      <c r="E1039" t="s">
        <v>66</v>
      </c>
      <c r="F1039">
        <v>256</v>
      </c>
      <c r="G1039" t="s">
        <v>932</v>
      </c>
      <c r="H1039">
        <v>10</v>
      </c>
      <c r="I1039">
        <v>2</v>
      </c>
      <c r="J1039" t="s">
        <v>58</v>
      </c>
      <c r="K1039">
        <v>1329</v>
      </c>
      <c r="L1039">
        <v>3</v>
      </c>
      <c r="M1039" t="s">
        <v>51</v>
      </c>
      <c r="N1039">
        <v>1</v>
      </c>
      <c r="O1039">
        <v>2</v>
      </c>
      <c r="P1039" t="s">
        <v>145</v>
      </c>
      <c r="Q1039">
        <v>2</v>
      </c>
      <c r="R1039" t="s">
        <v>53</v>
      </c>
      <c r="S1039">
        <v>59067</v>
      </c>
      <c r="T1039" t="s">
        <v>64</v>
      </c>
      <c r="U1039">
        <v>369.17</v>
      </c>
      <c r="V1039">
        <v>1</v>
      </c>
      <c r="W1039" t="s">
        <v>55</v>
      </c>
      <c r="X1039">
        <v>13</v>
      </c>
      <c r="Y1039">
        <v>3</v>
      </c>
      <c r="Z1039">
        <v>1</v>
      </c>
      <c r="AA1039">
        <v>0</v>
      </c>
      <c r="AB1039">
        <v>19</v>
      </c>
      <c r="AC1039">
        <v>4</v>
      </c>
      <c r="AD1039">
        <v>3</v>
      </c>
      <c r="AE1039">
        <v>19</v>
      </c>
      <c r="AF1039">
        <v>2</v>
      </c>
      <c r="AG1039">
        <v>11</v>
      </c>
      <c r="AH1039">
        <v>9</v>
      </c>
      <c r="AI1039">
        <f t="shared" si="112"/>
        <v>0</v>
      </c>
      <c r="AJ1039" t="str">
        <f t="shared" si="113"/>
        <v>10+ yrs</v>
      </c>
      <c r="AK1039" t="str">
        <f t="shared" si="114"/>
        <v>Overdue</v>
      </c>
      <c r="AL1039">
        <f t="shared" si="115"/>
        <v>2</v>
      </c>
      <c r="AM1039" t="str">
        <f t="shared" si="116"/>
        <v>Medium Risk</v>
      </c>
      <c r="AN1039" s="6">
        <f t="shared" si="117"/>
        <v>0.20402455453730312</v>
      </c>
      <c r="AO1039" s="7">
        <f t="shared" si="118"/>
        <v>708804</v>
      </c>
    </row>
    <row r="1040" spans="1:41" x14ac:dyDescent="0.3">
      <c r="A1040" t="s">
        <v>1106</v>
      </c>
      <c r="B1040">
        <v>41</v>
      </c>
      <c r="C1040" t="s">
        <v>802</v>
      </c>
      <c r="D1040" t="s">
        <v>55</v>
      </c>
      <c r="E1040" t="s">
        <v>62</v>
      </c>
      <c r="F1040">
        <v>1018</v>
      </c>
      <c r="G1040" t="s">
        <v>932</v>
      </c>
      <c r="H1040">
        <v>1</v>
      </c>
      <c r="I1040">
        <v>3</v>
      </c>
      <c r="J1040" t="s">
        <v>63</v>
      </c>
      <c r="K1040">
        <v>1349</v>
      </c>
      <c r="L1040">
        <v>3</v>
      </c>
      <c r="M1040" t="s">
        <v>59</v>
      </c>
      <c r="N1040">
        <v>3</v>
      </c>
      <c r="O1040">
        <v>2</v>
      </c>
      <c r="P1040" t="s">
        <v>145</v>
      </c>
      <c r="Q1040">
        <v>1</v>
      </c>
      <c r="R1040" t="s">
        <v>53</v>
      </c>
      <c r="S1040">
        <v>50376</v>
      </c>
      <c r="T1040" t="s">
        <v>64</v>
      </c>
      <c r="U1040">
        <v>314.85000000000002</v>
      </c>
      <c r="V1040">
        <v>0</v>
      </c>
      <c r="W1040" t="s">
        <v>55</v>
      </c>
      <c r="X1040">
        <v>17</v>
      </c>
      <c r="Y1040">
        <v>3</v>
      </c>
      <c r="Z1040">
        <v>4</v>
      </c>
      <c r="AA1040">
        <v>1</v>
      </c>
      <c r="AB1040">
        <v>10</v>
      </c>
      <c r="AC1040">
        <v>2</v>
      </c>
      <c r="AD1040">
        <v>3</v>
      </c>
      <c r="AE1040">
        <v>9</v>
      </c>
      <c r="AF1040">
        <v>3</v>
      </c>
      <c r="AG1040">
        <v>1</v>
      </c>
      <c r="AH1040">
        <v>7</v>
      </c>
      <c r="AI1040">
        <f t="shared" si="112"/>
        <v>0</v>
      </c>
      <c r="AJ1040" t="str">
        <f t="shared" si="113"/>
        <v>6-10 yrs</v>
      </c>
      <c r="AK1040" t="str">
        <f t="shared" si="114"/>
        <v>Recent</v>
      </c>
      <c r="AL1040">
        <f t="shared" si="115"/>
        <v>1</v>
      </c>
      <c r="AM1040" t="str">
        <f t="shared" si="116"/>
        <v>Low Risk</v>
      </c>
      <c r="AN1040" s="6">
        <f t="shared" si="117"/>
        <v>2.6866794646269173E-2</v>
      </c>
      <c r="AO1040" s="7">
        <f t="shared" si="118"/>
        <v>604512</v>
      </c>
    </row>
    <row r="1041" spans="1:41" x14ac:dyDescent="0.3">
      <c r="A1041" t="s">
        <v>1107</v>
      </c>
      <c r="B1041">
        <v>41</v>
      </c>
      <c r="C1041" t="s">
        <v>802</v>
      </c>
      <c r="D1041" t="s">
        <v>55</v>
      </c>
      <c r="E1041" t="s">
        <v>62</v>
      </c>
      <c r="F1041">
        <v>1200</v>
      </c>
      <c r="G1041" t="s">
        <v>735</v>
      </c>
      <c r="H1041">
        <v>22</v>
      </c>
      <c r="I1041">
        <v>3</v>
      </c>
      <c r="J1041" t="s">
        <v>50</v>
      </c>
      <c r="K1041">
        <v>1392</v>
      </c>
      <c r="L1041">
        <v>4</v>
      </c>
      <c r="M1041" t="s">
        <v>59</v>
      </c>
      <c r="N1041">
        <v>3</v>
      </c>
      <c r="O1041">
        <v>2</v>
      </c>
      <c r="P1041" t="s">
        <v>67</v>
      </c>
      <c r="Q1041">
        <v>4</v>
      </c>
      <c r="R1041" t="s">
        <v>53</v>
      </c>
      <c r="S1041">
        <v>46587</v>
      </c>
      <c r="T1041" t="s">
        <v>72</v>
      </c>
      <c r="U1041">
        <v>291.17</v>
      </c>
      <c r="V1041">
        <v>3</v>
      </c>
      <c r="W1041" t="s">
        <v>47</v>
      </c>
      <c r="X1041">
        <v>14</v>
      </c>
      <c r="Y1041">
        <v>3</v>
      </c>
      <c r="Z1041">
        <v>1</v>
      </c>
      <c r="AA1041">
        <v>2</v>
      </c>
      <c r="AB1041">
        <v>12</v>
      </c>
      <c r="AC1041">
        <v>4</v>
      </c>
      <c r="AD1041">
        <v>2</v>
      </c>
      <c r="AE1041">
        <v>6</v>
      </c>
      <c r="AF1041">
        <v>2</v>
      </c>
      <c r="AG1041">
        <v>3</v>
      </c>
      <c r="AH1041">
        <v>3</v>
      </c>
      <c r="AI1041">
        <f t="shared" si="112"/>
        <v>0</v>
      </c>
      <c r="AJ1041" t="str">
        <f t="shared" si="113"/>
        <v>6-10 yrs</v>
      </c>
      <c r="AK1041" t="str">
        <f t="shared" si="114"/>
        <v>Overdue</v>
      </c>
      <c r="AL1041">
        <f t="shared" si="115"/>
        <v>3</v>
      </c>
      <c r="AM1041" t="str">
        <f t="shared" si="116"/>
        <v>High Risk</v>
      </c>
      <c r="AN1041" s="6">
        <f t="shared" si="117"/>
        <v>-6.5758144951723302E-2</v>
      </c>
      <c r="AO1041" s="7">
        <f t="shared" si="118"/>
        <v>559044</v>
      </c>
    </row>
    <row r="1042" spans="1:41" x14ac:dyDescent="0.3">
      <c r="A1042" t="s">
        <v>1108</v>
      </c>
      <c r="B1042">
        <v>41</v>
      </c>
      <c r="C1042" t="s">
        <v>802</v>
      </c>
      <c r="D1042" t="s">
        <v>55</v>
      </c>
      <c r="E1042" t="s">
        <v>48</v>
      </c>
      <c r="F1042">
        <v>1283</v>
      </c>
      <c r="G1042" t="s">
        <v>735</v>
      </c>
      <c r="H1042">
        <v>5</v>
      </c>
      <c r="I1042">
        <v>5</v>
      </c>
      <c r="J1042" t="s">
        <v>58</v>
      </c>
      <c r="K1042">
        <v>1448</v>
      </c>
      <c r="L1042">
        <v>2</v>
      </c>
      <c r="M1042" t="s">
        <v>51</v>
      </c>
      <c r="N1042">
        <v>4</v>
      </c>
      <c r="O1042">
        <v>1</v>
      </c>
      <c r="P1042" t="s">
        <v>67</v>
      </c>
      <c r="Q1042">
        <v>3</v>
      </c>
      <c r="R1042" t="s">
        <v>113</v>
      </c>
      <c r="S1042">
        <v>37976</v>
      </c>
      <c r="T1042" t="s">
        <v>72</v>
      </c>
      <c r="U1042">
        <v>237.35</v>
      </c>
      <c r="V1042">
        <v>2</v>
      </c>
      <c r="W1042" t="s">
        <v>47</v>
      </c>
      <c r="X1042">
        <v>12</v>
      </c>
      <c r="Y1042">
        <v>3</v>
      </c>
      <c r="Z1042">
        <v>1</v>
      </c>
      <c r="AA1042">
        <v>0</v>
      </c>
      <c r="AB1042">
        <v>7</v>
      </c>
      <c r="AC1042">
        <v>5</v>
      </c>
      <c r="AD1042">
        <v>2</v>
      </c>
      <c r="AE1042">
        <v>4</v>
      </c>
      <c r="AF1042">
        <v>2</v>
      </c>
      <c r="AG1042">
        <v>0</v>
      </c>
      <c r="AH1042">
        <v>3</v>
      </c>
      <c r="AI1042">
        <f t="shared" si="112"/>
        <v>0</v>
      </c>
      <c r="AJ1042" t="str">
        <f t="shared" si="113"/>
        <v>4-5 yrs</v>
      </c>
      <c r="AK1042" t="str">
        <f t="shared" si="114"/>
        <v>Recent</v>
      </c>
      <c r="AL1042">
        <f t="shared" si="115"/>
        <v>2</v>
      </c>
      <c r="AM1042" t="str">
        <f t="shared" si="116"/>
        <v>Medium Risk</v>
      </c>
      <c r="AN1042" s="6">
        <f t="shared" si="117"/>
        <v>-0.23844058026244755</v>
      </c>
      <c r="AO1042" s="7">
        <f t="shared" si="118"/>
        <v>455712</v>
      </c>
    </row>
    <row r="1043" spans="1:41" x14ac:dyDescent="0.3">
      <c r="A1043" t="s">
        <v>1109</v>
      </c>
      <c r="B1043">
        <v>41</v>
      </c>
      <c r="C1043" t="s">
        <v>802</v>
      </c>
      <c r="D1043" t="s">
        <v>55</v>
      </c>
      <c r="E1043" t="s">
        <v>48</v>
      </c>
      <c r="F1043">
        <v>1206</v>
      </c>
      <c r="G1043" t="s">
        <v>932</v>
      </c>
      <c r="H1043">
        <v>23</v>
      </c>
      <c r="I1043">
        <v>2</v>
      </c>
      <c r="J1043" t="s">
        <v>50</v>
      </c>
      <c r="K1043">
        <v>1678</v>
      </c>
      <c r="L1043">
        <v>4</v>
      </c>
      <c r="M1043" t="s">
        <v>51</v>
      </c>
      <c r="N1043">
        <v>3</v>
      </c>
      <c r="O1043">
        <v>3</v>
      </c>
      <c r="P1043" t="s">
        <v>145</v>
      </c>
      <c r="Q1043">
        <v>3</v>
      </c>
      <c r="R1043" t="s">
        <v>53</v>
      </c>
      <c r="S1043">
        <v>68584</v>
      </c>
      <c r="T1043" t="s">
        <v>64</v>
      </c>
      <c r="U1043">
        <v>428.65</v>
      </c>
      <c r="V1043">
        <v>3</v>
      </c>
      <c r="W1043" t="s">
        <v>47</v>
      </c>
      <c r="X1043">
        <v>16</v>
      </c>
      <c r="Y1043">
        <v>3</v>
      </c>
      <c r="Z1043">
        <v>4</v>
      </c>
      <c r="AA1043">
        <v>0</v>
      </c>
      <c r="AB1043">
        <v>21</v>
      </c>
      <c r="AC1043">
        <v>2</v>
      </c>
      <c r="AD1043">
        <v>3</v>
      </c>
      <c r="AE1043">
        <v>2</v>
      </c>
      <c r="AF1043">
        <v>0</v>
      </c>
      <c r="AG1043">
        <v>0</v>
      </c>
      <c r="AH1043">
        <v>2</v>
      </c>
      <c r="AI1043">
        <f t="shared" si="112"/>
        <v>0</v>
      </c>
      <c r="AJ1043" t="str">
        <f t="shared" si="113"/>
        <v>2-3 yrs</v>
      </c>
      <c r="AK1043" t="str">
        <f t="shared" si="114"/>
        <v>Recent</v>
      </c>
      <c r="AL1043">
        <f t="shared" si="115"/>
        <v>1</v>
      </c>
      <c r="AM1043" t="str">
        <f t="shared" si="116"/>
        <v>Low Risk</v>
      </c>
      <c r="AN1043" s="6">
        <f t="shared" si="117"/>
        <v>0.39801953795497308</v>
      </c>
      <c r="AO1043" s="7">
        <f t="shared" si="118"/>
        <v>823008</v>
      </c>
    </row>
    <row r="1044" spans="1:41" x14ac:dyDescent="0.3">
      <c r="A1044" t="s">
        <v>1110</v>
      </c>
      <c r="B1044">
        <v>41</v>
      </c>
      <c r="C1044" t="s">
        <v>802</v>
      </c>
      <c r="D1044" t="s">
        <v>55</v>
      </c>
      <c r="E1044" t="s">
        <v>48</v>
      </c>
      <c r="F1044">
        <v>918</v>
      </c>
      <c r="G1044" t="s">
        <v>932</v>
      </c>
      <c r="H1044">
        <v>6</v>
      </c>
      <c r="I1044">
        <v>3</v>
      </c>
      <c r="J1044" t="s">
        <v>63</v>
      </c>
      <c r="K1044">
        <v>1708</v>
      </c>
      <c r="L1044">
        <v>4</v>
      </c>
      <c r="M1044" t="s">
        <v>51</v>
      </c>
      <c r="N1044">
        <v>3</v>
      </c>
      <c r="O1044">
        <v>3</v>
      </c>
      <c r="P1044" t="s">
        <v>145</v>
      </c>
      <c r="Q1044">
        <v>3</v>
      </c>
      <c r="R1044" t="s">
        <v>53</v>
      </c>
      <c r="S1044">
        <v>79477</v>
      </c>
      <c r="T1044" t="s">
        <v>64</v>
      </c>
      <c r="U1044">
        <v>496.73</v>
      </c>
      <c r="V1044">
        <v>1</v>
      </c>
      <c r="W1044" t="s">
        <v>55</v>
      </c>
      <c r="X1044">
        <v>12</v>
      </c>
      <c r="Y1044">
        <v>3</v>
      </c>
      <c r="Z1044">
        <v>2</v>
      </c>
      <c r="AA1044">
        <v>0</v>
      </c>
      <c r="AB1044">
        <v>10</v>
      </c>
      <c r="AC1044">
        <v>3</v>
      </c>
      <c r="AD1044">
        <v>3</v>
      </c>
      <c r="AE1044">
        <v>10</v>
      </c>
      <c r="AF1044">
        <v>8</v>
      </c>
      <c r="AG1044">
        <v>8</v>
      </c>
      <c r="AH1044">
        <v>7</v>
      </c>
      <c r="AI1044">
        <f t="shared" si="112"/>
        <v>0</v>
      </c>
      <c r="AJ1044" t="str">
        <f t="shared" si="113"/>
        <v>6-10 yrs</v>
      </c>
      <c r="AK1044" t="str">
        <f t="shared" si="114"/>
        <v>Overdue</v>
      </c>
      <c r="AL1044">
        <f t="shared" si="115"/>
        <v>1</v>
      </c>
      <c r="AM1044" t="str">
        <f t="shared" si="116"/>
        <v>Low Risk</v>
      </c>
      <c r="AN1044" s="6">
        <f t="shared" si="117"/>
        <v>0.62006297121846787</v>
      </c>
      <c r="AO1044" s="7">
        <f t="shared" si="118"/>
        <v>953724</v>
      </c>
    </row>
    <row r="1045" spans="1:41" x14ac:dyDescent="0.3">
      <c r="A1045" t="s">
        <v>1111</v>
      </c>
      <c r="B1045">
        <v>41</v>
      </c>
      <c r="C1045" t="s">
        <v>802</v>
      </c>
      <c r="D1045" t="s">
        <v>55</v>
      </c>
      <c r="E1045" t="s">
        <v>66</v>
      </c>
      <c r="F1045">
        <v>552</v>
      </c>
      <c r="G1045" t="s">
        <v>80</v>
      </c>
      <c r="H1045">
        <v>4</v>
      </c>
      <c r="I1045">
        <v>3</v>
      </c>
      <c r="J1045" t="s">
        <v>80</v>
      </c>
      <c r="K1045">
        <v>1722</v>
      </c>
      <c r="L1045">
        <v>3</v>
      </c>
      <c r="M1045" t="s">
        <v>51</v>
      </c>
      <c r="N1045">
        <v>1</v>
      </c>
      <c r="O1045">
        <v>2</v>
      </c>
      <c r="P1045" t="s">
        <v>80</v>
      </c>
      <c r="Q1045">
        <v>2</v>
      </c>
      <c r="R1045" t="s">
        <v>113</v>
      </c>
      <c r="S1045">
        <v>43533</v>
      </c>
      <c r="T1045" t="s">
        <v>72</v>
      </c>
      <c r="U1045">
        <v>272.08</v>
      </c>
      <c r="V1045">
        <v>6</v>
      </c>
      <c r="W1045" t="s">
        <v>55</v>
      </c>
      <c r="X1045">
        <v>19</v>
      </c>
      <c r="Y1045">
        <v>3</v>
      </c>
      <c r="Z1045">
        <v>2</v>
      </c>
      <c r="AA1045">
        <v>1</v>
      </c>
      <c r="AB1045">
        <v>10</v>
      </c>
      <c r="AC1045">
        <v>4</v>
      </c>
      <c r="AD1045">
        <v>3</v>
      </c>
      <c r="AE1045">
        <v>3</v>
      </c>
      <c r="AF1045">
        <v>2</v>
      </c>
      <c r="AG1045">
        <v>1</v>
      </c>
      <c r="AH1045">
        <v>2</v>
      </c>
      <c r="AI1045">
        <f t="shared" si="112"/>
        <v>0</v>
      </c>
      <c r="AJ1045" t="str">
        <f t="shared" si="113"/>
        <v>2-3 yrs</v>
      </c>
      <c r="AK1045" t="str">
        <f t="shared" si="114"/>
        <v>Recent</v>
      </c>
      <c r="AL1045">
        <f t="shared" si="115"/>
        <v>1</v>
      </c>
      <c r="AM1045" t="str">
        <f t="shared" si="116"/>
        <v>Low Risk</v>
      </c>
      <c r="AN1045" s="6">
        <f t="shared" si="117"/>
        <v>-0.14210612084026542</v>
      </c>
      <c r="AO1045" s="7">
        <f t="shared" si="118"/>
        <v>522396</v>
      </c>
    </row>
    <row r="1046" spans="1:41" x14ac:dyDescent="0.3">
      <c r="A1046" t="s">
        <v>1112</v>
      </c>
      <c r="B1046">
        <v>41</v>
      </c>
      <c r="C1046" t="s">
        <v>802</v>
      </c>
      <c r="D1046" t="s">
        <v>55</v>
      </c>
      <c r="E1046" t="s">
        <v>48</v>
      </c>
      <c r="F1046">
        <v>548</v>
      </c>
      <c r="G1046" t="s">
        <v>735</v>
      </c>
      <c r="H1046">
        <v>9</v>
      </c>
      <c r="I1046">
        <v>4</v>
      </c>
      <c r="J1046" t="s">
        <v>50</v>
      </c>
      <c r="K1046">
        <v>1772</v>
      </c>
      <c r="L1046">
        <v>3</v>
      </c>
      <c r="M1046" t="s">
        <v>51</v>
      </c>
      <c r="N1046">
        <v>3</v>
      </c>
      <c r="O1046">
        <v>1</v>
      </c>
      <c r="P1046" t="s">
        <v>52</v>
      </c>
      <c r="Q1046">
        <v>1</v>
      </c>
      <c r="R1046" t="s">
        <v>113</v>
      </c>
      <c r="S1046">
        <v>2828</v>
      </c>
      <c r="T1046" t="s">
        <v>54</v>
      </c>
      <c r="U1046">
        <v>17.68</v>
      </c>
      <c r="V1046">
        <v>1</v>
      </c>
      <c r="W1046" t="s">
        <v>55</v>
      </c>
      <c r="X1046">
        <v>20</v>
      </c>
      <c r="Y1046">
        <v>4</v>
      </c>
      <c r="Z1046">
        <v>2</v>
      </c>
      <c r="AA1046">
        <v>2</v>
      </c>
      <c r="AB1046">
        <v>5</v>
      </c>
      <c r="AC1046">
        <v>2</v>
      </c>
      <c r="AD1046">
        <v>3</v>
      </c>
      <c r="AE1046">
        <v>5</v>
      </c>
      <c r="AF1046">
        <v>3</v>
      </c>
      <c r="AG1046">
        <v>0</v>
      </c>
      <c r="AH1046">
        <v>4</v>
      </c>
      <c r="AI1046">
        <f t="shared" si="112"/>
        <v>0</v>
      </c>
      <c r="AJ1046" t="str">
        <f t="shared" si="113"/>
        <v>4-5 yrs</v>
      </c>
      <c r="AK1046" t="str">
        <f t="shared" si="114"/>
        <v>Recent</v>
      </c>
      <c r="AL1046">
        <f t="shared" si="115"/>
        <v>1</v>
      </c>
      <c r="AM1046" t="str">
        <f t="shared" si="116"/>
        <v>Low Risk</v>
      </c>
      <c r="AN1046" s="6">
        <f t="shared" si="117"/>
        <v>-0.945321591697594</v>
      </c>
      <c r="AO1046" s="7">
        <f t="shared" si="118"/>
        <v>33936</v>
      </c>
    </row>
    <row r="1047" spans="1:41" x14ac:dyDescent="0.3">
      <c r="A1047" t="s">
        <v>1113</v>
      </c>
      <c r="B1047">
        <v>41</v>
      </c>
      <c r="C1047" t="s">
        <v>802</v>
      </c>
      <c r="D1047" t="s">
        <v>55</v>
      </c>
      <c r="E1047" t="s">
        <v>48</v>
      </c>
      <c r="F1047">
        <v>447</v>
      </c>
      <c r="G1047" t="s">
        <v>735</v>
      </c>
      <c r="H1047">
        <v>5</v>
      </c>
      <c r="I1047">
        <v>3</v>
      </c>
      <c r="J1047" t="s">
        <v>50</v>
      </c>
      <c r="K1047">
        <v>1814</v>
      </c>
      <c r="L1047">
        <v>2</v>
      </c>
      <c r="M1047" t="s">
        <v>51</v>
      </c>
      <c r="N1047">
        <v>4</v>
      </c>
      <c r="O1047">
        <v>2</v>
      </c>
      <c r="P1047" t="s">
        <v>168</v>
      </c>
      <c r="Q1047">
        <v>2</v>
      </c>
      <c r="R1047" t="s">
        <v>53</v>
      </c>
      <c r="S1047">
        <v>2917</v>
      </c>
      <c r="T1047" t="s">
        <v>54</v>
      </c>
      <c r="U1047">
        <v>18.23</v>
      </c>
      <c r="V1047">
        <v>3</v>
      </c>
      <c r="W1047" t="s">
        <v>55</v>
      </c>
      <c r="X1047">
        <v>12</v>
      </c>
      <c r="Y1047">
        <v>3</v>
      </c>
      <c r="Z1047">
        <v>1</v>
      </c>
      <c r="AA1047">
        <v>0</v>
      </c>
      <c r="AB1047">
        <v>11</v>
      </c>
      <c r="AC1047">
        <v>3</v>
      </c>
      <c r="AD1047">
        <v>1</v>
      </c>
      <c r="AE1047">
        <v>3</v>
      </c>
      <c r="AF1047">
        <v>2</v>
      </c>
      <c r="AG1047">
        <v>1</v>
      </c>
      <c r="AH1047">
        <v>2</v>
      </c>
      <c r="AI1047">
        <f t="shared" si="112"/>
        <v>0</v>
      </c>
      <c r="AJ1047" t="str">
        <f t="shared" si="113"/>
        <v>2-3 yrs</v>
      </c>
      <c r="AK1047" t="str">
        <f t="shared" si="114"/>
        <v>Recent</v>
      </c>
      <c r="AL1047">
        <f t="shared" si="115"/>
        <v>2</v>
      </c>
      <c r="AM1047" t="str">
        <f t="shared" si="116"/>
        <v>Medium Risk</v>
      </c>
      <c r="AN1047" s="6">
        <f t="shared" si="117"/>
        <v>-0.9394676927820137</v>
      </c>
      <c r="AO1047" s="7">
        <f t="shared" si="118"/>
        <v>35004</v>
      </c>
    </row>
    <row r="1048" spans="1:41" x14ac:dyDescent="0.3">
      <c r="A1048" t="s">
        <v>1114</v>
      </c>
      <c r="B1048">
        <v>41</v>
      </c>
      <c r="C1048" t="s">
        <v>802</v>
      </c>
      <c r="D1048" t="s">
        <v>55</v>
      </c>
      <c r="E1048" t="s">
        <v>48</v>
      </c>
      <c r="F1048">
        <v>796</v>
      </c>
      <c r="G1048" t="s">
        <v>932</v>
      </c>
      <c r="H1048">
        <v>4</v>
      </c>
      <c r="I1048">
        <v>1</v>
      </c>
      <c r="J1048" t="s">
        <v>63</v>
      </c>
      <c r="K1048">
        <v>1815</v>
      </c>
      <c r="L1048">
        <v>3</v>
      </c>
      <c r="M1048" t="s">
        <v>59</v>
      </c>
      <c r="N1048">
        <v>3</v>
      </c>
      <c r="O1048">
        <v>3</v>
      </c>
      <c r="P1048" t="s">
        <v>145</v>
      </c>
      <c r="Q1048">
        <v>3</v>
      </c>
      <c r="R1048" t="s">
        <v>113</v>
      </c>
      <c r="S1048">
        <v>21618</v>
      </c>
      <c r="T1048" t="s">
        <v>54</v>
      </c>
      <c r="U1048">
        <v>135.11000000000001</v>
      </c>
      <c r="V1048">
        <v>0</v>
      </c>
      <c r="W1048" t="s">
        <v>47</v>
      </c>
      <c r="X1048">
        <v>13</v>
      </c>
      <c r="Y1048">
        <v>3</v>
      </c>
      <c r="Z1048">
        <v>4</v>
      </c>
      <c r="AA1048">
        <v>1</v>
      </c>
      <c r="AB1048">
        <v>23</v>
      </c>
      <c r="AC1048">
        <v>3</v>
      </c>
      <c r="AD1048">
        <v>4</v>
      </c>
      <c r="AE1048">
        <v>22</v>
      </c>
      <c r="AF1048">
        <v>14</v>
      </c>
      <c r="AG1048">
        <v>13</v>
      </c>
      <c r="AH1048">
        <v>5</v>
      </c>
      <c r="AI1048">
        <f t="shared" si="112"/>
        <v>0</v>
      </c>
      <c r="AJ1048" t="str">
        <f t="shared" si="113"/>
        <v>10+ yrs</v>
      </c>
      <c r="AK1048" t="str">
        <f t="shared" si="114"/>
        <v>Overdue</v>
      </c>
      <c r="AL1048">
        <f t="shared" si="115"/>
        <v>2</v>
      </c>
      <c r="AM1048" t="str">
        <f t="shared" si="116"/>
        <v>Medium Risk</v>
      </c>
      <c r="AN1048" s="6">
        <f t="shared" si="117"/>
        <v>-0.55933765351232634</v>
      </c>
      <c r="AO1048" s="7">
        <f t="shared" si="118"/>
        <v>259416</v>
      </c>
    </row>
    <row r="1049" spans="1:41" x14ac:dyDescent="0.3">
      <c r="A1049" t="s">
        <v>1115</v>
      </c>
      <c r="B1049">
        <v>41</v>
      </c>
      <c r="C1049" t="s">
        <v>802</v>
      </c>
      <c r="D1049" t="s">
        <v>55</v>
      </c>
      <c r="E1049" t="s">
        <v>48</v>
      </c>
      <c r="F1049">
        <v>337</v>
      </c>
      <c r="G1049" t="s">
        <v>932</v>
      </c>
      <c r="H1049">
        <v>8</v>
      </c>
      <c r="I1049">
        <v>3</v>
      </c>
      <c r="J1049" t="s">
        <v>63</v>
      </c>
      <c r="K1049">
        <v>1909</v>
      </c>
      <c r="L1049">
        <v>3</v>
      </c>
      <c r="M1049" t="s">
        <v>59</v>
      </c>
      <c r="N1049">
        <v>3</v>
      </c>
      <c r="O1049">
        <v>2</v>
      </c>
      <c r="P1049" t="s">
        <v>145</v>
      </c>
      <c r="Q1049">
        <v>2</v>
      </c>
      <c r="R1049" t="s">
        <v>113</v>
      </c>
      <c r="S1049">
        <v>33254</v>
      </c>
      <c r="T1049" t="s">
        <v>72</v>
      </c>
      <c r="U1049">
        <v>207.84</v>
      </c>
      <c r="V1049">
        <v>5</v>
      </c>
      <c r="W1049" t="s">
        <v>55</v>
      </c>
      <c r="X1049">
        <v>21</v>
      </c>
      <c r="Y1049">
        <v>4</v>
      </c>
      <c r="Z1049">
        <v>3</v>
      </c>
      <c r="AA1049">
        <v>1</v>
      </c>
      <c r="AB1049">
        <v>14</v>
      </c>
      <c r="AC1049">
        <v>3</v>
      </c>
      <c r="AD1049">
        <v>3</v>
      </c>
      <c r="AE1049">
        <v>5</v>
      </c>
      <c r="AF1049">
        <v>4</v>
      </c>
      <c r="AG1049">
        <v>1</v>
      </c>
      <c r="AH1049">
        <v>4</v>
      </c>
      <c r="AI1049">
        <f t="shared" si="112"/>
        <v>0</v>
      </c>
      <c r="AJ1049" t="str">
        <f t="shared" si="113"/>
        <v>4-5 yrs</v>
      </c>
      <c r="AK1049" t="str">
        <f t="shared" si="114"/>
        <v>Recent</v>
      </c>
      <c r="AL1049">
        <f t="shared" si="115"/>
        <v>1</v>
      </c>
      <c r="AM1049" t="str">
        <f t="shared" si="116"/>
        <v>Low Risk</v>
      </c>
      <c r="AN1049" s="6">
        <f t="shared" si="117"/>
        <v>-0.32214887269400044</v>
      </c>
      <c r="AO1049" s="7">
        <f t="shared" si="118"/>
        <v>399048</v>
      </c>
    </row>
    <row r="1050" spans="1:41" x14ac:dyDescent="0.3">
      <c r="A1050" t="s">
        <v>1116</v>
      </c>
      <c r="B1050">
        <v>41</v>
      </c>
      <c r="C1050" t="s">
        <v>802</v>
      </c>
      <c r="D1050" t="s">
        <v>55</v>
      </c>
      <c r="E1050" t="s">
        <v>48</v>
      </c>
      <c r="F1050">
        <v>642</v>
      </c>
      <c r="G1050" t="s">
        <v>735</v>
      </c>
      <c r="H1050">
        <v>1</v>
      </c>
      <c r="I1050">
        <v>3</v>
      </c>
      <c r="J1050" t="s">
        <v>50</v>
      </c>
      <c r="K1050">
        <v>1999</v>
      </c>
      <c r="L1050">
        <v>4</v>
      </c>
      <c r="M1050" t="s">
        <v>51</v>
      </c>
      <c r="N1050">
        <v>3</v>
      </c>
      <c r="O1050">
        <v>1</v>
      </c>
      <c r="P1050" t="s">
        <v>67</v>
      </c>
      <c r="Q1050">
        <v>4</v>
      </c>
      <c r="R1050" t="s">
        <v>113</v>
      </c>
      <c r="S1050">
        <v>48362</v>
      </c>
      <c r="T1050" t="s">
        <v>72</v>
      </c>
      <c r="U1050">
        <v>302.26</v>
      </c>
      <c r="V1050">
        <v>3</v>
      </c>
      <c r="W1050" t="s">
        <v>55</v>
      </c>
      <c r="X1050">
        <v>22</v>
      </c>
      <c r="Y1050">
        <v>4</v>
      </c>
      <c r="Z1050">
        <v>1</v>
      </c>
      <c r="AA1050">
        <v>1</v>
      </c>
      <c r="AB1050">
        <v>12</v>
      </c>
      <c r="AC1050">
        <v>3</v>
      </c>
      <c r="AD1050">
        <v>3</v>
      </c>
      <c r="AE1050">
        <v>5</v>
      </c>
      <c r="AF1050">
        <v>3</v>
      </c>
      <c r="AG1050">
        <v>1</v>
      </c>
      <c r="AH1050">
        <v>0</v>
      </c>
      <c r="AI1050">
        <f t="shared" si="112"/>
        <v>0</v>
      </c>
      <c r="AJ1050" t="str">
        <f t="shared" si="113"/>
        <v>4-5 yrs</v>
      </c>
      <c r="AK1050" t="str">
        <f t="shared" si="114"/>
        <v>Recent</v>
      </c>
      <c r="AL1050">
        <f t="shared" si="115"/>
        <v>0</v>
      </c>
      <c r="AM1050" t="str">
        <f t="shared" si="116"/>
        <v>Minimal Risk</v>
      </c>
      <c r="AN1050" s="6">
        <f t="shared" si="117"/>
        <v>-3.0162822378673078E-2</v>
      </c>
      <c r="AO1050" s="7">
        <f t="shared" si="118"/>
        <v>580344</v>
      </c>
    </row>
    <row r="1051" spans="1:41" x14ac:dyDescent="0.3">
      <c r="A1051" t="s">
        <v>1117</v>
      </c>
      <c r="B1051">
        <v>41</v>
      </c>
      <c r="C1051" t="s">
        <v>802</v>
      </c>
      <c r="D1051" t="s">
        <v>55</v>
      </c>
      <c r="E1051" t="s">
        <v>48</v>
      </c>
      <c r="F1051">
        <v>582</v>
      </c>
      <c r="G1051" t="s">
        <v>735</v>
      </c>
      <c r="H1051">
        <v>28</v>
      </c>
      <c r="I1051">
        <v>4</v>
      </c>
      <c r="J1051" t="s">
        <v>50</v>
      </c>
      <c r="K1051">
        <v>2034</v>
      </c>
      <c r="L1051">
        <v>1</v>
      </c>
      <c r="M1051" t="s">
        <v>59</v>
      </c>
      <c r="N1051">
        <v>2</v>
      </c>
      <c r="O1051">
        <v>4</v>
      </c>
      <c r="P1051" t="s">
        <v>120</v>
      </c>
      <c r="Q1051">
        <v>2</v>
      </c>
      <c r="R1051" t="s">
        <v>113</v>
      </c>
      <c r="S1051">
        <v>21128</v>
      </c>
      <c r="T1051" t="s">
        <v>54</v>
      </c>
      <c r="U1051">
        <v>132.05000000000001</v>
      </c>
      <c r="V1051">
        <v>0</v>
      </c>
      <c r="W1051" t="s">
        <v>55</v>
      </c>
      <c r="X1051">
        <v>23</v>
      </c>
      <c r="Y1051">
        <v>4</v>
      </c>
      <c r="Z1051">
        <v>3</v>
      </c>
      <c r="AA1051">
        <v>1</v>
      </c>
      <c r="AB1051">
        <v>21</v>
      </c>
      <c r="AC1051">
        <v>3</v>
      </c>
      <c r="AD1051">
        <v>3</v>
      </c>
      <c r="AE1051">
        <v>20</v>
      </c>
      <c r="AF1051">
        <v>7</v>
      </c>
      <c r="AG1051">
        <v>0</v>
      </c>
      <c r="AH1051">
        <v>10</v>
      </c>
      <c r="AI1051">
        <f t="shared" si="112"/>
        <v>0</v>
      </c>
      <c r="AJ1051" t="str">
        <f t="shared" si="113"/>
        <v>10+ yrs</v>
      </c>
      <c r="AK1051" t="str">
        <f t="shared" si="114"/>
        <v>Recent</v>
      </c>
      <c r="AL1051">
        <f t="shared" si="115"/>
        <v>1</v>
      </c>
      <c r="AM1051" t="str">
        <f t="shared" si="116"/>
        <v>Low Risk</v>
      </c>
      <c r="AN1051" s="6">
        <f t="shared" si="117"/>
        <v>-0.52301975578306203</v>
      </c>
      <c r="AO1051" s="7">
        <f t="shared" si="118"/>
        <v>253536</v>
      </c>
    </row>
    <row r="1052" spans="1:41" x14ac:dyDescent="0.3">
      <c r="A1052" t="s">
        <v>1118</v>
      </c>
      <c r="B1052">
        <v>41</v>
      </c>
      <c r="C1052" t="s">
        <v>802</v>
      </c>
      <c r="D1052" t="s">
        <v>55</v>
      </c>
      <c r="E1052" t="s">
        <v>48</v>
      </c>
      <c r="F1052">
        <v>930</v>
      </c>
      <c r="G1052" t="s">
        <v>932</v>
      </c>
      <c r="H1052">
        <v>3</v>
      </c>
      <c r="I1052">
        <v>3</v>
      </c>
      <c r="J1052" t="s">
        <v>50</v>
      </c>
      <c r="K1052">
        <v>2037</v>
      </c>
      <c r="L1052">
        <v>3</v>
      </c>
      <c r="M1052" t="s">
        <v>51</v>
      </c>
      <c r="N1052">
        <v>2</v>
      </c>
      <c r="O1052">
        <v>2</v>
      </c>
      <c r="P1052" t="s">
        <v>145</v>
      </c>
      <c r="Q1052">
        <v>2</v>
      </c>
      <c r="R1052" t="s">
        <v>113</v>
      </c>
      <c r="S1052">
        <v>60383</v>
      </c>
      <c r="T1052" t="s">
        <v>64</v>
      </c>
      <c r="U1052">
        <v>377.39</v>
      </c>
      <c r="V1052">
        <v>2</v>
      </c>
      <c r="W1052" t="s">
        <v>55</v>
      </c>
      <c r="X1052">
        <v>11</v>
      </c>
      <c r="Y1052">
        <v>3</v>
      </c>
      <c r="Z1052">
        <v>3</v>
      </c>
      <c r="AA1052">
        <v>1</v>
      </c>
      <c r="AB1052">
        <v>14</v>
      </c>
      <c r="AC1052">
        <v>5</v>
      </c>
      <c r="AD1052">
        <v>3</v>
      </c>
      <c r="AE1052">
        <v>5</v>
      </c>
      <c r="AF1052">
        <v>4</v>
      </c>
      <c r="AG1052">
        <v>0</v>
      </c>
      <c r="AH1052">
        <v>4</v>
      </c>
      <c r="AI1052">
        <f t="shared" si="112"/>
        <v>0</v>
      </c>
      <c r="AJ1052" t="str">
        <f t="shared" si="113"/>
        <v>4-5 yrs</v>
      </c>
      <c r="AK1052" t="str">
        <f t="shared" si="114"/>
        <v>Recent</v>
      </c>
      <c r="AL1052">
        <f t="shared" si="115"/>
        <v>1</v>
      </c>
      <c r="AM1052" t="str">
        <f t="shared" si="116"/>
        <v>Low Risk</v>
      </c>
      <c r="AN1052" s="6">
        <f t="shared" si="117"/>
        <v>0.23084996151194362</v>
      </c>
      <c r="AO1052" s="7">
        <f t="shared" si="118"/>
        <v>724596</v>
      </c>
    </row>
    <row r="1053" spans="1:41" x14ac:dyDescent="0.3">
      <c r="A1053" t="s">
        <v>1119</v>
      </c>
      <c r="B1053">
        <v>42</v>
      </c>
      <c r="C1053" t="s">
        <v>802</v>
      </c>
      <c r="D1053" t="s">
        <v>55</v>
      </c>
      <c r="E1053" t="s">
        <v>48</v>
      </c>
      <c r="F1053">
        <v>691</v>
      </c>
      <c r="G1053" t="s">
        <v>932</v>
      </c>
      <c r="H1053">
        <v>8</v>
      </c>
      <c r="I1053">
        <v>4</v>
      </c>
      <c r="J1053" t="s">
        <v>63</v>
      </c>
      <c r="K1053">
        <v>35</v>
      </c>
      <c r="L1053">
        <v>3</v>
      </c>
      <c r="M1053" t="s">
        <v>51</v>
      </c>
      <c r="N1053">
        <v>3</v>
      </c>
      <c r="O1053">
        <v>2</v>
      </c>
      <c r="P1053" t="s">
        <v>145</v>
      </c>
      <c r="Q1053">
        <v>2</v>
      </c>
      <c r="R1053" t="s">
        <v>113</v>
      </c>
      <c r="S1053">
        <v>66545</v>
      </c>
      <c r="T1053" t="s">
        <v>64</v>
      </c>
      <c r="U1053">
        <v>415.91</v>
      </c>
      <c r="V1053">
        <v>0</v>
      </c>
      <c r="W1053" t="s">
        <v>55</v>
      </c>
      <c r="X1053">
        <v>11</v>
      </c>
      <c r="Y1053">
        <v>3</v>
      </c>
      <c r="Z1053">
        <v>4</v>
      </c>
      <c r="AA1053">
        <v>1</v>
      </c>
      <c r="AB1053">
        <v>10</v>
      </c>
      <c r="AC1053">
        <v>2</v>
      </c>
      <c r="AD1053">
        <v>3</v>
      </c>
      <c r="AE1053">
        <v>9</v>
      </c>
      <c r="AF1053">
        <v>7</v>
      </c>
      <c r="AG1053">
        <v>4</v>
      </c>
      <c r="AH1053">
        <v>7</v>
      </c>
      <c r="AI1053">
        <f t="shared" si="112"/>
        <v>0</v>
      </c>
      <c r="AJ1053" t="str">
        <f t="shared" si="113"/>
        <v>6-10 yrs</v>
      </c>
      <c r="AK1053" t="str">
        <f t="shared" si="114"/>
        <v>Overdue</v>
      </c>
      <c r="AL1053">
        <f t="shared" si="115"/>
        <v>2</v>
      </c>
      <c r="AM1053" t="str">
        <f t="shared" si="116"/>
        <v>Medium Risk</v>
      </c>
      <c r="AN1053" s="6">
        <f t="shared" si="117"/>
        <v>0.35645646438256279</v>
      </c>
      <c r="AO1053" s="7">
        <f t="shared" si="118"/>
        <v>798540</v>
      </c>
    </row>
    <row r="1054" spans="1:41" x14ac:dyDescent="0.3">
      <c r="A1054" t="s">
        <v>1120</v>
      </c>
      <c r="B1054">
        <v>42</v>
      </c>
      <c r="C1054" t="s">
        <v>802</v>
      </c>
      <c r="D1054" t="s">
        <v>55</v>
      </c>
      <c r="E1054" t="s">
        <v>66</v>
      </c>
      <c r="F1054">
        <v>926</v>
      </c>
      <c r="G1054" t="s">
        <v>735</v>
      </c>
      <c r="H1054">
        <v>21</v>
      </c>
      <c r="I1054">
        <v>2</v>
      </c>
      <c r="J1054" t="s">
        <v>58</v>
      </c>
      <c r="K1054">
        <v>270</v>
      </c>
      <c r="L1054">
        <v>3</v>
      </c>
      <c r="M1054" t="s">
        <v>59</v>
      </c>
      <c r="N1054">
        <v>3</v>
      </c>
      <c r="O1054">
        <v>2</v>
      </c>
      <c r="P1054" t="s">
        <v>120</v>
      </c>
      <c r="Q1054">
        <v>3</v>
      </c>
      <c r="R1054" t="s">
        <v>53</v>
      </c>
      <c r="S1054">
        <v>83180</v>
      </c>
      <c r="T1054" t="s">
        <v>64</v>
      </c>
      <c r="U1054">
        <v>519.88</v>
      </c>
      <c r="V1054">
        <v>2</v>
      </c>
      <c r="W1054" t="s">
        <v>55</v>
      </c>
      <c r="X1054">
        <v>16</v>
      </c>
      <c r="Y1054">
        <v>3</v>
      </c>
      <c r="Z1054">
        <v>2</v>
      </c>
      <c r="AA1054">
        <v>1</v>
      </c>
      <c r="AB1054">
        <v>11</v>
      </c>
      <c r="AC1054">
        <v>5</v>
      </c>
      <c r="AD1054">
        <v>3</v>
      </c>
      <c r="AE1054">
        <v>5</v>
      </c>
      <c r="AF1054">
        <v>3</v>
      </c>
      <c r="AG1054">
        <v>0</v>
      </c>
      <c r="AH1054">
        <v>2</v>
      </c>
      <c r="AI1054">
        <f t="shared" si="112"/>
        <v>0</v>
      </c>
      <c r="AJ1054" t="str">
        <f t="shared" si="113"/>
        <v>4-5 yrs</v>
      </c>
      <c r="AK1054" t="str">
        <f t="shared" si="114"/>
        <v>Recent</v>
      </c>
      <c r="AL1054">
        <f t="shared" si="115"/>
        <v>0</v>
      </c>
      <c r="AM1054" t="str">
        <f t="shared" si="116"/>
        <v>Minimal Risk</v>
      </c>
      <c r="AN1054" s="6">
        <f t="shared" si="117"/>
        <v>0.87785009058902419</v>
      </c>
      <c r="AO1054" s="7">
        <f t="shared" si="118"/>
        <v>998160</v>
      </c>
    </row>
    <row r="1055" spans="1:41" x14ac:dyDescent="0.3">
      <c r="A1055" t="s">
        <v>1121</v>
      </c>
      <c r="B1055">
        <v>42</v>
      </c>
      <c r="C1055" t="s">
        <v>802</v>
      </c>
      <c r="D1055" t="s">
        <v>55</v>
      </c>
      <c r="E1055" t="s">
        <v>48</v>
      </c>
      <c r="F1055">
        <v>532</v>
      </c>
      <c r="G1055" t="s">
        <v>735</v>
      </c>
      <c r="H1055">
        <v>4</v>
      </c>
      <c r="I1055">
        <v>2</v>
      </c>
      <c r="J1055" t="s">
        <v>77</v>
      </c>
      <c r="K1055">
        <v>319</v>
      </c>
      <c r="L1055">
        <v>3</v>
      </c>
      <c r="M1055" t="s">
        <v>51</v>
      </c>
      <c r="N1055">
        <v>3</v>
      </c>
      <c r="O1055">
        <v>5</v>
      </c>
      <c r="P1055" t="s">
        <v>444</v>
      </c>
      <c r="Q1055">
        <v>4</v>
      </c>
      <c r="R1055" t="s">
        <v>113</v>
      </c>
      <c r="S1055">
        <v>88958</v>
      </c>
      <c r="T1055" t="s">
        <v>70</v>
      </c>
      <c r="U1055">
        <v>555.99</v>
      </c>
      <c r="V1055">
        <v>1</v>
      </c>
      <c r="W1055" t="s">
        <v>55</v>
      </c>
      <c r="X1055">
        <v>11</v>
      </c>
      <c r="Y1055">
        <v>3</v>
      </c>
      <c r="Z1055">
        <v>4</v>
      </c>
      <c r="AA1055">
        <v>0</v>
      </c>
      <c r="AB1055">
        <v>22</v>
      </c>
      <c r="AC1055">
        <v>3</v>
      </c>
      <c r="AD1055">
        <v>3</v>
      </c>
      <c r="AE1055">
        <v>22</v>
      </c>
      <c r="AF1055">
        <v>17</v>
      </c>
      <c r="AG1055">
        <v>11</v>
      </c>
      <c r="AH1055">
        <v>15</v>
      </c>
      <c r="AI1055">
        <f t="shared" si="112"/>
        <v>0</v>
      </c>
      <c r="AJ1055" t="str">
        <f t="shared" si="113"/>
        <v>10+ yrs</v>
      </c>
      <c r="AK1055" t="str">
        <f t="shared" si="114"/>
        <v>Overdue</v>
      </c>
      <c r="AL1055">
        <f t="shared" si="115"/>
        <v>1</v>
      </c>
      <c r="AM1055" t="str">
        <f t="shared" si="116"/>
        <v>Low Risk</v>
      </c>
      <c r="AN1055" s="6">
        <f t="shared" si="117"/>
        <v>0.70423129888502145</v>
      </c>
      <c r="AO1055" s="7">
        <f t="shared" si="118"/>
        <v>1067496</v>
      </c>
    </row>
    <row r="1056" spans="1:41" x14ac:dyDescent="0.3">
      <c r="A1056" t="s">
        <v>1122</v>
      </c>
      <c r="B1056">
        <v>42</v>
      </c>
      <c r="C1056" t="s">
        <v>802</v>
      </c>
      <c r="D1056" t="s">
        <v>55</v>
      </c>
      <c r="E1056" t="s">
        <v>48</v>
      </c>
      <c r="F1056">
        <v>916</v>
      </c>
      <c r="G1056" t="s">
        <v>735</v>
      </c>
      <c r="H1056">
        <v>17</v>
      </c>
      <c r="I1056">
        <v>2</v>
      </c>
      <c r="J1056" t="s">
        <v>50</v>
      </c>
      <c r="K1056">
        <v>347</v>
      </c>
      <c r="L1056">
        <v>4</v>
      </c>
      <c r="M1056" t="s">
        <v>59</v>
      </c>
      <c r="N1056">
        <v>4</v>
      </c>
      <c r="O1056">
        <v>2</v>
      </c>
      <c r="P1056" t="s">
        <v>67</v>
      </c>
      <c r="Q1056">
        <v>1</v>
      </c>
      <c r="R1056" t="s">
        <v>53</v>
      </c>
      <c r="S1056">
        <v>10865</v>
      </c>
      <c r="T1056" t="s">
        <v>54</v>
      </c>
      <c r="U1056">
        <v>67.91</v>
      </c>
      <c r="V1056">
        <v>3</v>
      </c>
      <c r="W1056" t="s">
        <v>47</v>
      </c>
      <c r="X1056">
        <v>13</v>
      </c>
      <c r="Y1056">
        <v>3</v>
      </c>
      <c r="Z1056">
        <v>3</v>
      </c>
      <c r="AA1056">
        <v>0</v>
      </c>
      <c r="AB1056">
        <v>10</v>
      </c>
      <c r="AC1056">
        <v>1</v>
      </c>
      <c r="AD1056">
        <v>3</v>
      </c>
      <c r="AE1056">
        <v>3</v>
      </c>
      <c r="AF1056">
        <v>2</v>
      </c>
      <c r="AG1056">
        <v>0</v>
      </c>
      <c r="AH1056">
        <v>2</v>
      </c>
      <c r="AI1056">
        <f t="shared" si="112"/>
        <v>0</v>
      </c>
      <c r="AJ1056" t="str">
        <f t="shared" si="113"/>
        <v>2-3 yrs</v>
      </c>
      <c r="AK1056" t="str">
        <f t="shared" si="114"/>
        <v>Recent</v>
      </c>
      <c r="AL1056">
        <f t="shared" si="115"/>
        <v>2</v>
      </c>
      <c r="AM1056" t="str">
        <f t="shared" si="116"/>
        <v>Medium Risk</v>
      </c>
      <c r="AN1056" s="6">
        <f t="shared" si="117"/>
        <v>-0.78211651844721652</v>
      </c>
      <c r="AO1056" s="7">
        <f t="shared" si="118"/>
        <v>130380</v>
      </c>
    </row>
    <row r="1057" spans="1:41" x14ac:dyDescent="0.3">
      <c r="A1057" t="s">
        <v>1123</v>
      </c>
      <c r="B1057">
        <v>42</v>
      </c>
      <c r="C1057" t="s">
        <v>802</v>
      </c>
      <c r="D1057" t="s">
        <v>55</v>
      </c>
      <c r="E1057" t="s">
        <v>48</v>
      </c>
      <c r="F1057">
        <v>269</v>
      </c>
      <c r="G1057" t="s">
        <v>735</v>
      </c>
      <c r="H1057">
        <v>2</v>
      </c>
      <c r="I1057">
        <v>3</v>
      </c>
      <c r="J1057" t="s">
        <v>58</v>
      </c>
      <c r="K1057">
        <v>351</v>
      </c>
      <c r="L1057">
        <v>4</v>
      </c>
      <c r="M1057" t="s">
        <v>59</v>
      </c>
      <c r="N1057">
        <v>2</v>
      </c>
      <c r="O1057">
        <v>1</v>
      </c>
      <c r="P1057" t="s">
        <v>52</v>
      </c>
      <c r="Q1057">
        <v>1</v>
      </c>
      <c r="R1057" t="s">
        <v>113</v>
      </c>
      <c r="S1057">
        <v>3219</v>
      </c>
      <c r="T1057" t="s">
        <v>54</v>
      </c>
      <c r="U1057">
        <v>20.12</v>
      </c>
      <c r="V1057">
        <v>0</v>
      </c>
      <c r="W1057" t="s">
        <v>47</v>
      </c>
      <c r="X1057">
        <v>11</v>
      </c>
      <c r="Y1057">
        <v>3</v>
      </c>
      <c r="Z1057">
        <v>3</v>
      </c>
      <c r="AA1057">
        <v>1</v>
      </c>
      <c r="AB1057">
        <v>10</v>
      </c>
      <c r="AC1057">
        <v>4</v>
      </c>
      <c r="AD1057">
        <v>3</v>
      </c>
      <c r="AE1057">
        <v>9</v>
      </c>
      <c r="AF1057">
        <v>6</v>
      </c>
      <c r="AG1057">
        <v>7</v>
      </c>
      <c r="AH1057">
        <v>6</v>
      </c>
      <c r="AI1057">
        <f t="shared" si="112"/>
        <v>0</v>
      </c>
      <c r="AJ1057" t="str">
        <f t="shared" si="113"/>
        <v>6-10 yrs</v>
      </c>
      <c r="AK1057" t="str">
        <f t="shared" si="114"/>
        <v>Overdue</v>
      </c>
      <c r="AL1057">
        <f t="shared" si="115"/>
        <v>3</v>
      </c>
      <c r="AM1057" t="str">
        <f t="shared" si="116"/>
        <v>High Risk</v>
      </c>
      <c r="AN1057" s="6">
        <f t="shared" si="117"/>
        <v>-0.93776174104475074</v>
      </c>
      <c r="AO1057" s="7">
        <f t="shared" si="118"/>
        <v>38628</v>
      </c>
    </row>
    <row r="1058" spans="1:41" x14ac:dyDescent="0.3">
      <c r="A1058" t="s">
        <v>1124</v>
      </c>
      <c r="B1058">
        <v>42</v>
      </c>
      <c r="C1058" t="s">
        <v>802</v>
      </c>
      <c r="D1058" t="s">
        <v>55</v>
      </c>
      <c r="E1058" t="s">
        <v>48</v>
      </c>
      <c r="F1058">
        <v>635</v>
      </c>
      <c r="G1058" t="s">
        <v>932</v>
      </c>
      <c r="H1058">
        <v>1</v>
      </c>
      <c r="I1058">
        <v>1</v>
      </c>
      <c r="J1058" t="s">
        <v>50</v>
      </c>
      <c r="K1058">
        <v>387</v>
      </c>
      <c r="L1058">
        <v>2</v>
      </c>
      <c r="M1058" t="s">
        <v>51</v>
      </c>
      <c r="N1058">
        <v>3</v>
      </c>
      <c r="O1058">
        <v>2</v>
      </c>
      <c r="P1058" t="s">
        <v>145</v>
      </c>
      <c r="Q1058">
        <v>3</v>
      </c>
      <c r="R1058" t="s">
        <v>113</v>
      </c>
      <c r="S1058">
        <v>40809</v>
      </c>
      <c r="T1058" t="s">
        <v>72</v>
      </c>
      <c r="U1058">
        <v>255.06</v>
      </c>
      <c r="V1058">
        <v>1</v>
      </c>
      <c r="W1058" t="s">
        <v>55</v>
      </c>
      <c r="X1058">
        <v>25</v>
      </c>
      <c r="Y1058">
        <v>4</v>
      </c>
      <c r="Z1058">
        <v>3</v>
      </c>
      <c r="AA1058">
        <v>0</v>
      </c>
      <c r="AB1058">
        <v>20</v>
      </c>
      <c r="AC1058">
        <v>3</v>
      </c>
      <c r="AD1058">
        <v>3</v>
      </c>
      <c r="AE1058">
        <v>20</v>
      </c>
      <c r="AF1058">
        <v>16</v>
      </c>
      <c r="AG1058">
        <v>11</v>
      </c>
      <c r="AH1058">
        <v>6</v>
      </c>
      <c r="AI1058">
        <f t="shared" si="112"/>
        <v>0</v>
      </c>
      <c r="AJ1058" t="str">
        <f t="shared" si="113"/>
        <v>10+ yrs</v>
      </c>
      <c r="AK1058" t="str">
        <f t="shared" si="114"/>
        <v>Overdue</v>
      </c>
      <c r="AL1058">
        <f t="shared" si="115"/>
        <v>1</v>
      </c>
      <c r="AM1058" t="str">
        <f t="shared" si="116"/>
        <v>Low Risk</v>
      </c>
      <c r="AN1058" s="6">
        <f t="shared" si="117"/>
        <v>-0.16814739116405433</v>
      </c>
      <c r="AO1058" s="7">
        <f t="shared" si="118"/>
        <v>489708</v>
      </c>
    </row>
    <row r="1059" spans="1:41" x14ac:dyDescent="0.3">
      <c r="A1059" t="s">
        <v>1125</v>
      </c>
      <c r="B1059">
        <v>42</v>
      </c>
      <c r="C1059" t="s">
        <v>802</v>
      </c>
      <c r="D1059" t="s">
        <v>55</v>
      </c>
      <c r="E1059" t="s">
        <v>62</v>
      </c>
      <c r="F1059">
        <v>555</v>
      </c>
      <c r="G1059" t="s">
        <v>932</v>
      </c>
      <c r="H1059">
        <v>26</v>
      </c>
      <c r="I1059">
        <v>3</v>
      </c>
      <c r="J1059" t="s">
        <v>63</v>
      </c>
      <c r="K1059">
        <v>404</v>
      </c>
      <c r="L1059">
        <v>3</v>
      </c>
      <c r="M1059" t="s">
        <v>59</v>
      </c>
      <c r="N1059">
        <v>3</v>
      </c>
      <c r="O1059">
        <v>4</v>
      </c>
      <c r="P1059" t="s">
        <v>145</v>
      </c>
      <c r="Q1059">
        <v>2</v>
      </c>
      <c r="R1059" t="s">
        <v>113</v>
      </c>
      <c r="S1059">
        <v>6287</v>
      </c>
      <c r="T1059" t="s">
        <v>54</v>
      </c>
      <c r="U1059">
        <v>39.29</v>
      </c>
      <c r="V1059">
        <v>5</v>
      </c>
      <c r="W1059" t="s">
        <v>55</v>
      </c>
      <c r="X1059">
        <v>14</v>
      </c>
      <c r="Y1059">
        <v>3</v>
      </c>
      <c r="Z1059">
        <v>4</v>
      </c>
      <c r="AA1059">
        <v>1</v>
      </c>
      <c r="AB1059">
        <v>23</v>
      </c>
      <c r="AC1059">
        <v>2</v>
      </c>
      <c r="AD1059">
        <v>4</v>
      </c>
      <c r="AE1059">
        <v>20</v>
      </c>
      <c r="AF1059">
        <v>4</v>
      </c>
      <c r="AG1059">
        <v>4</v>
      </c>
      <c r="AH1059">
        <v>8</v>
      </c>
      <c r="AI1059">
        <f t="shared" si="112"/>
        <v>0</v>
      </c>
      <c r="AJ1059" t="str">
        <f t="shared" si="113"/>
        <v>10+ yrs</v>
      </c>
      <c r="AK1059" t="str">
        <f t="shared" si="114"/>
        <v>Overdue</v>
      </c>
      <c r="AL1059">
        <f t="shared" si="115"/>
        <v>2</v>
      </c>
      <c r="AM1059" t="str">
        <f t="shared" si="116"/>
        <v>Medium Risk</v>
      </c>
      <c r="AN1059" s="6">
        <f t="shared" si="117"/>
        <v>-0.87184549114774701</v>
      </c>
      <c r="AO1059" s="7">
        <f t="shared" si="118"/>
        <v>75444</v>
      </c>
    </row>
    <row r="1060" spans="1:41" x14ac:dyDescent="0.3">
      <c r="A1060" t="s">
        <v>1126</v>
      </c>
      <c r="B1060">
        <v>42</v>
      </c>
      <c r="C1060" t="s">
        <v>802</v>
      </c>
      <c r="D1060" t="s">
        <v>55</v>
      </c>
      <c r="E1060" t="s">
        <v>48</v>
      </c>
      <c r="F1060">
        <v>810</v>
      </c>
      <c r="G1060" t="s">
        <v>735</v>
      </c>
      <c r="H1060">
        <v>23</v>
      </c>
      <c r="I1060">
        <v>5</v>
      </c>
      <c r="J1060" t="s">
        <v>50</v>
      </c>
      <c r="K1060">
        <v>468</v>
      </c>
      <c r="L1060">
        <v>1</v>
      </c>
      <c r="M1060" t="s">
        <v>59</v>
      </c>
      <c r="N1060">
        <v>3</v>
      </c>
      <c r="O1060">
        <v>4</v>
      </c>
      <c r="P1060" t="s">
        <v>257</v>
      </c>
      <c r="Q1060">
        <v>4</v>
      </c>
      <c r="R1060" t="s">
        <v>53</v>
      </c>
      <c r="S1060">
        <v>35387</v>
      </c>
      <c r="T1060" t="s">
        <v>72</v>
      </c>
      <c r="U1060">
        <v>221.17</v>
      </c>
      <c r="V1060">
        <v>2</v>
      </c>
      <c r="W1060" t="s">
        <v>55</v>
      </c>
      <c r="X1060">
        <v>14</v>
      </c>
      <c r="Y1060">
        <v>3</v>
      </c>
      <c r="Z1060">
        <v>2</v>
      </c>
      <c r="AA1060">
        <v>0</v>
      </c>
      <c r="AB1060">
        <v>16</v>
      </c>
      <c r="AC1060">
        <v>2</v>
      </c>
      <c r="AD1060">
        <v>3</v>
      </c>
      <c r="AE1060">
        <v>1</v>
      </c>
      <c r="AF1060">
        <v>0</v>
      </c>
      <c r="AG1060">
        <v>0</v>
      </c>
      <c r="AH1060">
        <v>0</v>
      </c>
      <c r="AI1060">
        <f t="shared" si="112"/>
        <v>0</v>
      </c>
      <c r="AJ1060" t="str">
        <f t="shared" si="113"/>
        <v>0-1 yr</v>
      </c>
      <c r="AK1060" t="str">
        <f t="shared" si="114"/>
        <v>Recent</v>
      </c>
      <c r="AL1060">
        <f t="shared" si="115"/>
        <v>0</v>
      </c>
      <c r="AM1060" t="str">
        <f t="shared" si="116"/>
        <v>Minimal Risk</v>
      </c>
      <c r="AN1060" s="6">
        <f t="shared" si="117"/>
        <v>-0.30152285466288808</v>
      </c>
      <c r="AO1060" s="7">
        <f t="shared" si="118"/>
        <v>424644</v>
      </c>
    </row>
    <row r="1061" spans="1:41" x14ac:dyDescent="0.3">
      <c r="A1061" t="s">
        <v>1127</v>
      </c>
      <c r="B1061">
        <v>42</v>
      </c>
      <c r="C1061" t="s">
        <v>802</v>
      </c>
      <c r="D1061" t="s">
        <v>55</v>
      </c>
      <c r="E1061" t="s">
        <v>48</v>
      </c>
      <c r="F1061">
        <v>544</v>
      </c>
      <c r="G1061" t="s">
        <v>406</v>
      </c>
      <c r="H1061">
        <v>2</v>
      </c>
      <c r="I1061">
        <v>1</v>
      </c>
      <c r="J1061" t="s">
        <v>77</v>
      </c>
      <c r="K1061">
        <v>470</v>
      </c>
      <c r="L1061">
        <v>3</v>
      </c>
      <c r="M1061" t="s">
        <v>51</v>
      </c>
      <c r="N1061">
        <v>3</v>
      </c>
      <c r="O1061">
        <v>1</v>
      </c>
      <c r="P1061" t="s">
        <v>80</v>
      </c>
      <c r="Q1061">
        <v>3</v>
      </c>
      <c r="R1061" t="s">
        <v>113</v>
      </c>
      <c r="S1061">
        <v>9512</v>
      </c>
      <c r="T1061" t="s">
        <v>54</v>
      </c>
      <c r="U1061">
        <v>59.45</v>
      </c>
      <c r="V1061">
        <v>0</v>
      </c>
      <c r="W1061" t="s">
        <v>47</v>
      </c>
      <c r="X1061">
        <v>11</v>
      </c>
      <c r="Y1061">
        <v>3</v>
      </c>
      <c r="Z1061">
        <v>3</v>
      </c>
      <c r="AA1061">
        <v>1</v>
      </c>
      <c r="AB1061">
        <v>4</v>
      </c>
      <c r="AC1061">
        <v>5</v>
      </c>
      <c r="AD1061">
        <v>3</v>
      </c>
      <c r="AE1061">
        <v>3</v>
      </c>
      <c r="AF1061">
        <v>2</v>
      </c>
      <c r="AG1061">
        <v>1</v>
      </c>
      <c r="AH1061">
        <v>0</v>
      </c>
      <c r="AI1061">
        <f t="shared" si="112"/>
        <v>0</v>
      </c>
      <c r="AJ1061" t="str">
        <f t="shared" si="113"/>
        <v>2-3 yrs</v>
      </c>
      <c r="AK1061" t="str">
        <f t="shared" si="114"/>
        <v>Recent</v>
      </c>
      <c r="AL1061">
        <f t="shared" si="115"/>
        <v>1</v>
      </c>
      <c r="AM1061" t="str">
        <f t="shared" si="116"/>
        <v>Low Risk</v>
      </c>
      <c r="AN1061" s="6">
        <f t="shared" si="117"/>
        <v>-0.8125494089870352</v>
      </c>
      <c r="AO1061" s="7">
        <f t="shared" si="118"/>
        <v>114144</v>
      </c>
    </row>
    <row r="1062" spans="1:41" x14ac:dyDescent="0.3">
      <c r="A1062" t="s">
        <v>1128</v>
      </c>
      <c r="B1062">
        <v>42</v>
      </c>
      <c r="C1062" t="s">
        <v>802</v>
      </c>
      <c r="D1062" t="s">
        <v>55</v>
      </c>
      <c r="E1062" t="s">
        <v>48</v>
      </c>
      <c r="F1062">
        <v>1332</v>
      </c>
      <c r="G1062" t="s">
        <v>735</v>
      </c>
      <c r="H1062">
        <v>2</v>
      </c>
      <c r="I1062">
        <v>4</v>
      </c>
      <c r="J1062" t="s">
        <v>82</v>
      </c>
      <c r="K1062">
        <v>477</v>
      </c>
      <c r="L1062">
        <v>1</v>
      </c>
      <c r="M1062" t="s">
        <v>51</v>
      </c>
      <c r="N1062">
        <v>2</v>
      </c>
      <c r="O1062">
        <v>2</v>
      </c>
      <c r="P1062" t="s">
        <v>168</v>
      </c>
      <c r="Q1062">
        <v>4</v>
      </c>
      <c r="R1062" t="s">
        <v>53</v>
      </c>
      <c r="S1062">
        <v>2342</v>
      </c>
      <c r="T1062" t="s">
        <v>54</v>
      </c>
      <c r="U1062">
        <v>14.64</v>
      </c>
      <c r="V1062">
        <v>3</v>
      </c>
      <c r="W1062" t="s">
        <v>55</v>
      </c>
      <c r="X1062">
        <v>23</v>
      </c>
      <c r="Y1062">
        <v>4</v>
      </c>
      <c r="Z1062">
        <v>2</v>
      </c>
      <c r="AA1062">
        <v>0</v>
      </c>
      <c r="AB1062">
        <v>14</v>
      </c>
      <c r="AC1062">
        <v>6</v>
      </c>
      <c r="AD1062">
        <v>3</v>
      </c>
      <c r="AE1062">
        <v>1</v>
      </c>
      <c r="AF1062">
        <v>0</v>
      </c>
      <c r="AG1062">
        <v>0</v>
      </c>
      <c r="AH1062">
        <v>0</v>
      </c>
      <c r="AI1062">
        <f t="shared" si="112"/>
        <v>0</v>
      </c>
      <c r="AJ1062" t="str">
        <f t="shared" si="113"/>
        <v>0-1 yr</v>
      </c>
      <c r="AK1062" t="str">
        <f t="shared" si="114"/>
        <v>Recent</v>
      </c>
      <c r="AL1062">
        <f t="shared" si="115"/>
        <v>0</v>
      </c>
      <c r="AM1062" t="str">
        <f t="shared" si="116"/>
        <v>Minimal Risk</v>
      </c>
      <c r="AN1062" s="6">
        <f t="shared" si="117"/>
        <v>-0.95139984110232301</v>
      </c>
      <c r="AO1062" s="7">
        <f t="shared" si="118"/>
        <v>28104</v>
      </c>
    </row>
    <row r="1063" spans="1:41" x14ac:dyDescent="0.3">
      <c r="A1063" t="s">
        <v>1129</v>
      </c>
      <c r="B1063">
        <v>42</v>
      </c>
      <c r="C1063" t="s">
        <v>802</v>
      </c>
      <c r="D1063" t="s">
        <v>55</v>
      </c>
      <c r="E1063" t="s">
        <v>48</v>
      </c>
      <c r="F1063">
        <v>201</v>
      </c>
      <c r="G1063" t="s">
        <v>735</v>
      </c>
      <c r="H1063">
        <v>1</v>
      </c>
      <c r="I1063">
        <v>4</v>
      </c>
      <c r="J1063" t="s">
        <v>50</v>
      </c>
      <c r="K1063">
        <v>517</v>
      </c>
      <c r="L1063">
        <v>2</v>
      </c>
      <c r="M1063" t="s">
        <v>59</v>
      </c>
      <c r="N1063">
        <v>3</v>
      </c>
      <c r="O1063">
        <v>1</v>
      </c>
      <c r="P1063" t="s">
        <v>52</v>
      </c>
      <c r="Q1063">
        <v>1</v>
      </c>
      <c r="R1063" t="s">
        <v>113</v>
      </c>
      <c r="S1063">
        <v>64076</v>
      </c>
      <c r="T1063" t="s">
        <v>64</v>
      </c>
      <c r="U1063">
        <v>400.48</v>
      </c>
      <c r="V1063">
        <v>3</v>
      </c>
      <c r="W1063" t="s">
        <v>55</v>
      </c>
      <c r="X1063">
        <v>16</v>
      </c>
      <c r="Y1063">
        <v>3</v>
      </c>
      <c r="Z1063">
        <v>2</v>
      </c>
      <c r="AA1063">
        <v>1</v>
      </c>
      <c r="AB1063">
        <v>8</v>
      </c>
      <c r="AC1063">
        <v>5</v>
      </c>
      <c r="AD1063">
        <v>3</v>
      </c>
      <c r="AE1063">
        <v>5</v>
      </c>
      <c r="AF1063">
        <v>2</v>
      </c>
      <c r="AG1063">
        <v>1</v>
      </c>
      <c r="AH1063">
        <v>2</v>
      </c>
      <c r="AI1063">
        <f t="shared" si="112"/>
        <v>0</v>
      </c>
      <c r="AJ1063" t="str">
        <f t="shared" si="113"/>
        <v>4-5 yrs</v>
      </c>
      <c r="AK1063" t="str">
        <f t="shared" si="114"/>
        <v>Recent</v>
      </c>
      <c r="AL1063">
        <f t="shared" si="115"/>
        <v>1</v>
      </c>
      <c r="AM1063" t="str">
        <f t="shared" si="116"/>
        <v>Low Risk</v>
      </c>
      <c r="AN1063" s="6">
        <f t="shared" si="117"/>
        <v>0.23888744355903999</v>
      </c>
      <c r="AO1063" s="7">
        <f t="shared" si="118"/>
        <v>768912</v>
      </c>
    </row>
    <row r="1064" spans="1:41" x14ac:dyDescent="0.3">
      <c r="A1064" t="s">
        <v>1130</v>
      </c>
      <c r="B1064">
        <v>42</v>
      </c>
      <c r="C1064" t="s">
        <v>802</v>
      </c>
      <c r="D1064" t="s">
        <v>55</v>
      </c>
      <c r="E1064" t="s">
        <v>62</v>
      </c>
      <c r="F1064">
        <v>532</v>
      </c>
      <c r="G1064" t="s">
        <v>735</v>
      </c>
      <c r="H1064">
        <v>29</v>
      </c>
      <c r="I1064">
        <v>2</v>
      </c>
      <c r="J1064" t="s">
        <v>50</v>
      </c>
      <c r="K1064">
        <v>547</v>
      </c>
      <c r="L1064">
        <v>1</v>
      </c>
      <c r="M1064" t="s">
        <v>59</v>
      </c>
      <c r="N1064">
        <v>3</v>
      </c>
      <c r="O1064">
        <v>2</v>
      </c>
      <c r="P1064" t="s">
        <v>67</v>
      </c>
      <c r="Q1064">
        <v>3</v>
      </c>
      <c r="R1064" t="s">
        <v>53</v>
      </c>
      <c r="S1064">
        <v>20216</v>
      </c>
      <c r="T1064" t="s">
        <v>54</v>
      </c>
      <c r="U1064">
        <v>126.35</v>
      </c>
      <c r="V1064">
        <v>2</v>
      </c>
      <c r="W1064" t="s">
        <v>55</v>
      </c>
      <c r="X1064">
        <v>11</v>
      </c>
      <c r="Y1064">
        <v>3</v>
      </c>
      <c r="Z1064">
        <v>2</v>
      </c>
      <c r="AA1064">
        <v>1</v>
      </c>
      <c r="AB1064">
        <v>19</v>
      </c>
      <c r="AC1064">
        <v>3</v>
      </c>
      <c r="AD1064">
        <v>3</v>
      </c>
      <c r="AE1064">
        <v>5</v>
      </c>
      <c r="AF1064">
        <v>4</v>
      </c>
      <c r="AG1064">
        <v>0</v>
      </c>
      <c r="AH1064">
        <v>4</v>
      </c>
      <c r="AI1064">
        <f t="shared" si="112"/>
        <v>0</v>
      </c>
      <c r="AJ1064" t="str">
        <f t="shared" si="113"/>
        <v>4-5 yrs</v>
      </c>
      <c r="AK1064" t="str">
        <f t="shared" si="114"/>
        <v>Recent</v>
      </c>
      <c r="AL1064">
        <f t="shared" si="115"/>
        <v>0</v>
      </c>
      <c r="AM1064" t="str">
        <f t="shared" si="116"/>
        <v>Minimal Risk</v>
      </c>
      <c r="AN1064" s="6">
        <f t="shared" si="117"/>
        <v>-0.59459434302153047</v>
      </c>
      <c r="AO1064" s="7">
        <f t="shared" si="118"/>
        <v>242592</v>
      </c>
    </row>
    <row r="1065" spans="1:41" x14ac:dyDescent="0.3">
      <c r="A1065" t="s">
        <v>1131</v>
      </c>
      <c r="B1065">
        <v>42</v>
      </c>
      <c r="C1065" t="s">
        <v>802</v>
      </c>
      <c r="D1065" t="s">
        <v>55</v>
      </c>
      <c r="E1065" t="s">
        <v>62</v>
      </c>
      <c r="F1065">
        <v>1368</v>
      </c>
      <c r="G1065" t="s">
        <v>735</v>
      </c>
      <c r="H1065">
        <v>28</v>
      </c>
      <c r="I1065">
        <v>4</v>
      </c>
      <c r="J1065" t="s">
        <v>77</v>
      </c>
      <c r="K1065">
        <v>551</v>
      </c>
      <c r="L1065">
        <v>4</v>
      </c>
      <c r="M1065" t="s">
        <v>59</v>
      </c>
      <c r="N1065">
        <v>2</v>
      </c>
      <c r="O1065">
        <v>2</v>
      </c>
      <c r="P1065" t="s">
        <v>168</v>
      </c>
      <c r="Q1065">
        <v>4</v>
      </c>
      <c r="R1065" t="s">
        <v>113</v>
      </c>
      <c r="S1065">
        <v>94070</v>
      </c>
      <c r="T1065" t="s">
        <v>70</v>
      </c>
      <c r="U1065">
        <v>587.94000000000005</v>
      </c>
      <c r="V1065">
        <v>0</v>
      </c>
      <c r="W1065" t="s">
        <v>55</v>
      </c>
      <c r="X1065">
        <v>11</v>
      </c>
      <c r="Y1065">
        <v>3</v>
      </c>
      <c r="Z1065">
        <v>4</v>
      </c>
      <c r="AA1065">
        <v>3</v>
      </c>
      <c r="AB1065">
        <v>7</v>
      </c>
      <c r="AC1065">
        <v>4</v>
      </c>
      <c r="AD1065">
        <v>4</v>
      </c>
      <c r="AE1065">
        <v>6</v>
      </c>
      <c r="AF1065">
        <v>5</v>
      </c>
      <c r="AG1065">
        <v>0</v>
      </c>
      <c r="AH1065">
        <v>4</v>
      </c>
      <c r="AI1065">
        <f t="shared" si="112"/>
        <v>0</v>
      </c>
      <c r="AJ1065" t="str">
        <f t="shared" si="113"/>
        <v>6-10 yrs</v>
      </c>
      <c r="AK1065" t="str">
        <f t="shared" si="114"/>
        <v>Recent</v>
      </c>
      <c r="AL1065">
        <f t="shared" si="115"/>
        <v>0</v>
      </c>
      <c r="AM1065" t="str">
        <f t="shared" si="116"/>
        <v>Minimal Risk</v>
      </c>
      <c r="AN1065" s="6">
        <f t="shared" si="117"/>
        <v>0.95209946520259459</v>
      </c>
      <c r="AO1065" s="7">
        <f t="shared" si="118"/>
        <v>1128840</v>
      </c>
    </row>
    <row r="1066" spans="1:41" x14ac:dyDescent="0.3">
      <c r="A1066" t="s">
        <v>1132</v>
      </c>
      <c r="B1066">
        <v>42</v>
      </c>
      <c r="C1066" t="s">
        <v>802</v>
      </c>
      <c r="D1066" t="s">
        <v>55</v>
      </c>
      <c r="E1066" t="s">
        <v>62</v>
      </c>
      <c r="F1066">
        <v>1474</v>
      </c>
      <c r="G1066" t="s">
        <v>735</v>
      </c>
      <c r="H1066">
        <v>5</v>
      </c>
      <c r="I1066">
        <v>2</v>
      </c>
      <c r="J1066" t="s">
        <v>82</v>
      </c>
      <c r="K1066">
        <v>591</v>
      </c>
      <c r="L1066">
        <v>2</v>
      </c>
      <c r="M1066" t="s">
        <v>51</v>
      </c>
      <c r="N1066">
        <v>3</v>
      </c>
      <c r="O1066">
        <v>1</v>
      </c>
      <c r="P1066" t="s">
        <v>52</v>
      </c>
      <c r="Q1066">
        <v>3</v>
      </c>
      <c r="R1066" t="s">
        <v>113</v>
      </c>
      <c r="S1066">
        <v>80767</v>
      </c>
      <c r="T1066" t="s">
        <v>64</v>
      </c>
      <c r="U1066">
        <v>504.79</v>
      </c>
      <c r="V1066">
        <v>4</v>
      </c>
      <c r="W1066" t="s">
        <v>55</v>
      </c>
      <c r="X1066">
        <v>17</v>
      </c>
      <c r="Y1066">
        <v>3</v>
      </c>
      <c r="Z1066">
        <v>4</v>
      </c>
      <c r="AA1066">
        <v>1</v>
      </c>
      <c r="AB1066">
        <v>8</v>
      </c>
      <c r="AC1066">
        <v>4</v>
      </c>
      <c r="AD1066">
        <v>3</v>
      </c>
      <c r="AE1066">
        <v>2</v>
      </c>
      <c r="AF1066">
        <v>2</v>
      </c>
      <c r="AG1066">
        <v>2</v>
      </c>
      <c r="AH1066">
        <v>0</v>
      </c>
      <c r="AI1066">
        <f t="shared" si="112"/>
        <v>0</v>
      </c>
      <c r="AJ1066" t="str">
        <f t="shared" si="113"/>
        <v>2-3 yrs</v>
      </c>
      <c r="AK1066" t="str">
        <f t="shared" si="114"/>
        <v>Recent</v>
      </c>
      <c r="AL1066">
        <f t="shared" si="115"/>
        <v>0</v>
      </c>
      <c r="AM1066" t="str">
        <f t="shared" si="116"/>
        <v>Minimal Risk</v>
      </c>
      <c r="AN1066" s="6">
        <f t="shared" si="117"/>
        <v>0.56160219355036178</v>
      </c>
      <c r="AO1066" s="7">
        <f t="shared" si="118"/>
        <v>969204</v>
      </c>
    </row>
    <row r="1067" spans="1:41" x14ac:dyDescent="0.3">
      <c r="A1067" t="s">
        <v>1133</v>
      </c>
      <c r="B1067">
        <v>42</v>
      </c>
      <c r="C1067" t="s">
        <v>802</v>
      </c>
      <c r="D1067" t="s">
        <v>55</v>
      </c>
      <c r="E1067" t="s">
        <v>48</v>
      </c>
      <c r="F1067">
        <v>319</v>
      </c>
      <c r="G1067" t="s">
        <v>735</v>
      </c>
      <c r="H1067">
        <v>24</v>
      </c>
      <c r="I1067">
        <v>3</v>
      </c>
      <c r="J1067" t="s">
        <v>58</v>
      </c>
      <c r="K1067">
        <v>605</v>
      </c>
      <c r="L1067">
        <v>4</v>
      </c>
      <c r="M1067" t="s">
        <v>51</v>
      </c>
      <c r="N1067">
        <v>3</v>
      </c>
      <c r="O1067">
        <v>3</v>
      </c>
      <c r="P1067" t="s">
        <v>120</v>
      </c>
      <c r="Q1067">
        <v>1</v>
      </c>
      <c r="R1067" t="s">
        <v>113</v>
      </c>
      <c r="S1067">
        <v>98829</v>
      </c>
      <c r="T1067" t="s">
        <v>70</v>
      </c>
      <c r="U1067">
        <v>617.67999999999995</v>
      </c>
      <c r="V1067">
        <v>1</v>
      </c>
      <c r="W1067" t="s">
        <v>47</v>
      </c>
      <c r="X1067">
        <v>21</v>
      </c>
      <c r="Y1067">
        <v>4</v>
      </c>
      <c r="Z1067">
        <v>4</v>
      </c>
      <c r="AA1067">
        <v>1</v>
      </c>
      <c r="AB1067">
        <v>10</v>
      </c>
      <c r="AC1067">
        <v>5</v>
      </c>
      <c r="AD1067">
        <v>2</v>
      </c>
      <c r="AE1067">
        <v>10</v>
      </c>
      <c r="AF1067">
        <v>9</v>
      </c>
      <c r="AG1067">
        <v>5</v>
      </c>
      <c r="AH1067">
        <v>8</v>
      </c>
      <c r="AI1067">
        <f t="shared" si="112"/>
        <v>0</v>
      </c>
      <c r="AJ1067" t="str">
        <f t="shared" si="113"/>
        <v>6-10 yrs</v>
      </c>
      <c r="AK1067" t="str">
        <f t="shared" si="114"/>
        <v>Overdue</v>
      </c>
      <c r="AL1067">
        <f t="shared" si="115"/>
        <v>4</v>
      </c>
      <c r="AM1067" t="str">
        <f t="shared" si="116"/>
        <v>High Risk</v>
      </c>
      <c r="AN1067" s="6">
        <f t="shared" si="117"/>
        <v>1.2311378528831771</v>
      </c>
      <c r="AO1067" s="7">
        <f t="shared" si="118"/>
        <v>1185948</v>
      </c>
    </row>
    <row r="1068" spans="1:41" x14ac:dyDescent="0.3">
      <c r="A1068" t="s">
        <v>1134</v>
      </c>
      <c r="B1068">
        <v>42</v>
      </c>
      <c r="C1068" t="s">
        <v>802</v>
      </c>
      <c r="D1068" t="s">
        <v>55</v>
      </c>
      <c r="E1068" t="s">
        <v>48</v>
      </c>
      <c r="F1068">
        <v>622</v>
      </c>
      <c r="G1068" t="s">
        <v>735</v>
      </c>
      <c r="H1068">
        <v>2</v>
      </c>
      <c r="I1068">
        <v>4</v>
      </c>
      <c r="J1068" t="s">
        <v>50</v>
      </c>
      <c r="K1068">
        <v>659</v>
      </c>
      <c r="L1068">
        <v>3</v>
      </c>
      <c r="M1068" t="s">
        <v>59</v>
      </c>
      <c r="N1068">
        <v>3</v>
      </c>
      <c r="O1068">
        <v>2</v>
      </c>
      <c r="P1068" t="s">
        <v>168</v>
      </c>
      <c r="Q1068">
        <v>4</v>
      </c>
      <c r="R1068" t="s">
        <v>113</v>
      </c>
      <c r="S1068">
        <v>27614</v>
      </c>
      <c r="T1068" t="s">
        <v>72</v>
      </c>
      <c r="U1068">
        <v>172.59</v>
      </c>
      <c r="V1068">
        <v>1</v>
      </c>
      <c r="W1068" t="s">
        <v>55</v>
      </c>
      <c r="X1068">
        <v>13</v>
      </c>
      <c r="Y1068">
        <v>3</v>
      </c>
      <c r="Z1068">
        <v>2</v>
      </c>
      <c r="AA1068">
        <v>2</v>
      </c>
      <c r="AB1068">
        <v>10</v>
      </c>
      <c r="AC1068">
        <v>4</v>
      </c>
      <c r="AD1068">
        <v>3</v>
      </c>
      <c r="AE1068">
        <v>10</v>
      </c>
      <c r="AF1068">
        <v>2</v>
      </c>
      <c r="AG1068">
        <v>2</v>
      </c>
      <c r="AH1068">
        <v>2</v>
      </c>
      <c r="AI1068">
        <f t="shared" si="112"/>
        <v>0</v>
      </c>
      <c r="AJ1068" t="str">
        <f t="shared" si="113"/>
        <v>6-10 yrs</v>
      </c>
      <c r="AK1068" t="str">
        <f t="shared" si="114"/>
        <v>Recent</v>
      </c>
      <c r="AL1068">
        <f t="shared" si="115"/>
        <v>0</v>
      </c>
      <c r="AM1068" t="str">
        <f t="shared" si="116"/>
        <v>Minimal Risk</v>
      </c>
      <c r="AN1068" s="6">
        <f t="shared" si="117"/>
        <v>-0.42696635875300898</v>
      </c>
      <c r="AO1068" s="7">
        <f t="shared" si="118"/>
        <v>331368</v>
      </c>
    </row>
    <row r="1069" spans="1:41" x14ac:dyDescent="0.3">
      <c r="A1069" t="s">
        <v>1135</v>
      </c>
      <c r="B1069">
        <v>42</v>
      </c>
      <c r="C1069" t="s">
        <v>802</v>
      </c>
      <c r="D1069" t="s">
        <v>47</v>
      </c>
      <c r="E1069" t="s">
        <v>62</v>
      </c>
      <c r="F1069">
        <v>933</v>
      </c>
      <c r="G1069" t="s">
        <v>735</v>
      </c>
      <c r="H1069">
        <v>19</v>
      </c>
      <c r="I1069">
        <v>3</v>
      </c>
      <c r="J1069" t="s">
        <v>58</v>
      </c>
      <c r="K1069">
        <v>752</v>
      </c>
      <c r="L1069">
        <v>3</v>
      </c>
      <c r="M1069" t="s">
        <v>51</v>
      </c>
      <c r="N1069">
        <v>4</v>
      </c>
      <c r="O1069">
        <v>1</v>
      </c>
      <c r="P1069" t="s">
        <v>67</v>
      </c>
      <c r="Q1069">
        <v>3</v>
      </c>
      <c r="R1069" t="s">
        <v>53</v>
      </c>
      <c r="S1069">
        <v>37258</v>
      </c>
      <c r="T1069" t="s">
        <v>72</v>
      </c>
      <c r="U1069">
        <v>232.86</v>
      </c>
      <c r="V1069">
        <v>6</v>
      </c>
      <c r="W1069" t="s">
        <v>47</v>
      </c>
      <c r="X1069">
        <v>12</v>
      </c>
      <c r="Y1069">
        <v>3</v>
      </c>
      <c r="Z1069">
        <v>4</v>
      </c>
      <c r="AA1069">
        <v>0</v>
      </c>
      <c r="AB1069">
        <v>7</v>
      </c>
      <c r="AC1069">
        <v>2</v>
      </c>
      <c r="AD1069">
        <v>3</v>
      </c>
      <c r="AE1069">
        <v>2</v>
      </c>
      <c r="AF1069">
        <v>2</v>
      </c>
      <c r="AG1069">
        <v>2</v>
      </c>
      <c r="AH1069">
        <v>2</v>
      </c>
      <c r="AI1069">
        <f t="shared" si="112"/>
        <v>1</v>
      </c>
      <c r="AJ1069" t="str">
        <f t="shared" si="113"/>
        <v>2-3 yrs</v>
      </c>
      <c r="AK1069" t="str">
        <f t="shared" si="114"/>
        <v>Recent</v>
      </c>
      <c r="AL1069">
        <f t="shared" si="115"/>
        <v>1</v>
      </c>
      <c r="AM1069" t="str">
        <f t="shared" si="116"/>
        <v>Low Risk</v>
      </c>
      <c r="AN1069" s="6">
        <f t="shared" si="117"/>
        <v>-0.25283913891453208</v>
      </c>
      <c r="AO1069" s="7">
        <f t="shared" si="118"/>
        <v>447096</v>
      </c>
    </row>
    <row r="1070" spans="1:41" x14ac:dyDescent="0.3">
      <c r="A1070" t="s">
        <v>1136</v>
      </c>
      <c r="B1070">
        <v>42</v>
      </c>
      <c r="C1070" t="s">
        <v>802</v>
      </c>
      <c r="D1070" t="s">
        <v>55</v>
      </c>
      <c r="E1070" t="s">
        <v>62</v>
      </c>
      <c r="F1070">
        <v>570</v>
      </c>
      <c r="G1070" t="s">
        <v>735</v>
      </c>
      <c r="H1070">
        <v>8</v>
      </c>
      <c r="I1070">
        <v>3</v>
      </c>
      <c r="J1070" t="s">
        <v>50</v>
      </c>
      <c r="K1070">
        <v>809</v>
      </c>
      <c r="L1070">
        <v>2</v>
      </c>
      <c r="M1070" t="s">
        <v>51</v>
      </c>
      <c r="N1070">
        <v>3</v>
      </c>
      <c r="O1070">
        <v>5</v>
      </c>
      <c r="P1070" t="s">
        <v>444</v>
      </c>
      <c r="Q1070">
        <v>4</v>
      </c>
      <c r="R1070" t="s">
        <v>53</v>
      </c>
      <c r="S1070">
        <v>94789</v>
      </c>
      <c r="T1070" t="s">
        <v>70</v>
      </c>
      <c r="U1070">
        <v>592.42999999999995</v>
      </c>
      <c r="V1070">
        <v>1</v>
      </c>
      <c r="W1070" t="s">
        <v>55</v>
      </c>
      <c r="X1070">
        <v>13</v>
      </c>
      <c r="Y1070">
        <v>3</v>
      </c>
      <c r="Z1070">
        <v>2</v>
      </c>
      <c r="AA1070">
        <v>1</v>
      </c>
      <c r="AB1070">
        <v>24</v>
      </c>
      <c r="AC1070">
        <v>4</v>
      </c>
      <c r="AD1070">
        <v>2</v>
      </c>
      <c r="AE1070">
        <v>24</v>
      </c>
      <c r="AF1070">
        <v>7</v>
      </c>
      <c r="AG1070">
        <v>14</v>
      </c>
      <c r="AH1070">
        <v>9</v>
      </c>
      <c r="AI1070">
        <f t="shared" si="112"/>
        <v>0</v>
      </c>
      <c r="AJ1070" t="str">
        <f t="shared" si="113"/>
        <v>10+ yrs</v>
      </c>
      <c r="AK1070" t="str">
        <f t="shared" si="114"/>
        <v>Overdue</v>
      </c>
      <c r="AL1070">
        <f t="shared" si="115"/>
        <v>2</v>
      </c>
      <c r="AM1070" t="str">
        <f t="shared" si="116"/>
        <v>Medium Risk</v>
      </c>
      <c r="AN1070" s="6">
        <f t="shared" si="117"/>
        <v>0.81593988837442721</v>
      </c>
      <c r="AO1070" s="7">
        <f t="shared" si="118"/>
        <v>1137468</v>
      </c>
    </row>
    <row r="1071" spans="1:41" x14ac:dyDescent="0.3">
      <c r="A1071" t="s">
        <v>1137</v>
      </c>
      <c r="B1071">
        <v>42</v>
      </c>
      <c r="C1071" t="s">
        <v>802</v>
      </c>
      <c r="D1071" t="s">
        <v>55</v>
      </c>
      <c r="E1071" t="s">
        <v>48</v>
      </c>
      <c r="F1071">
        <v>932</v>
      </c>
      <c r="G1071" t="s">
        <v>735</v>
      </c>
      <c r="H1071">
        <v>1</v>
      </c>
      <c r="I1071">
        <v>2</v>
      </c>
      <c r="J1071" t="s">
        <v>50</v>
      </c>
      <c r="K1071">
        <v>827</v>
      </c>
      <c r="L1071">
        <v>4</v>
      </c>
      <c r="M1071" t="s">
        <v>59</v>
      </c>
      <c r="N1071">
        <v>2</v>
      </c>
      <c r="O1071">
        <v>2</v>
      </c>
      <c r="P1071" t="s">
        <v>120</v>
      </c>
      <c r="Q1071">
        <v>4</v>
      </c>
      <c r="R1071" t="s">
        <v>113</v>
      </c>
      <c r="S1071">
        <v>43078</v>
      </c>
      <c r="T1071" t="s">
        <v>72</v>
      </c>
      <c r="U1071">
        <v>269.24</v>
      </c>
      <c r="V1071">
        <v>9</v>
      </c>
      <c r="W1071" t="s">
        <v>47</v>
      </c>
      <c r="X1071">
        <v>13</v>
      </c>
      <c r="Y1071">
        <v>3</v>
      </c>
      <c r="Z1071">
        <v>4</v>
      </c>
      <c r="AA1071">
        <v>1</v>
      </c>
      <c r="AB1071">
        <v>8</v>
      </c>
      <c r="AC1071">
        <v>4</v>
      </c>
      <c r="AD1071">
        <v>3</v>
      </c>
      <c r="AE1071">
        <v>4</v>
      </c>
      <c r="AF1071">
        <v>3</v>
      </c>
      <c r="AG1071">
        <v>0</v>
      </c>
      <c r="AH1071">
        <v>2</v>
      </c>
      <c r="AI1071">
        <f t="shared" si="112"/>
        <v>0</v>
      </c>
      <c r="AJ1071" t="str">
        <f t="shared" si="113"/>
        <v>4-5 yrs</v>
      </c>
      <c r="AK1071" t="str">
        <f t="shared" si="114"/>
        <v>Recent</v>
      </c>
      <c r="AL1071">
        <f t="shared" si="115"/>
        <v>1</v>
      </c>
      <c r="AM1071" t="str">
        <f t="shared" si="116"/>
        <v>Low Risk</v>
      </c>
      <c r="AN1071" s="6">
        <f t="shared" si="117"/>
        <v>-2.7482252916638823E-2</v>
      </c>
      <c r="AO1071" s="7">
        <f t="shared" si="118"/>
        <v>516936</v>
      </c>
    </row>
    <row r="1072" spans="1:41" x14ac:dyDescent="0.3">
      <c r="A1072" t="s">
        <v>1138</v>
      </c>
      <c r="B1072">
        <v>42</v>
      </c>
      <c r="C1072" t="s">
        <v>802</v>
      </c>
      <c r="D1072" t="s">
        <v>55</v>
      </c>
      <c r="E1072" t="s">
        <v>48</v>
      </c>
      <c r="F1072">
        <v>933</v>
      </c>
      <c r="G1072" t="s">
        <v>735</v>
      </c>
      <c r="H1072">
        <v>29</v>
      </c>
      <c r="I1072">
        <v>3</v>
      </c>
      <c r="J1072" t="s">
        <v>50</v>
      </c>
      <c r="K1072">
        <v>836</v>
      </c>
      <c r="L1072">
        <v>2</v>
      </c>
      <c r="M1072" t="s">
        <v>51</v>
      </c>
      <c r="N1072">
        <v>3</v>
      </c>
      <c r="O1072">
        <v>2</v>
      </c>
      <c r="P1072" t="s">
        <v>120</v>
      </c>
      <c r="Q1072">
        <v>2</v>
      </c>
      <c r="R1072" t="s">
        <v>113</v>
      </c>
      <c r="S1072">
        <v>84524</v>
      </c>
      <c r="T1072" t="s">
        <v>70</v>
      </c>
      <c r="U1072">
        <v>528.28</v>
      </c>
      <c r="V1072">
        <v>1</v>
      </c>
      <c r="W1072" t="s">
        <v>55</v>
      </c>
      <c r="X1072">
        <v>13</v>
      </c>
      <c r="Y1072">
        <v>3</v>
      </c>
      <c r="Z1072">
        <v>4</v>
      </c>
      <c r="AA1072">
        <v>1</v>
      </c>
      <c r="AB1072">
        <v>10</v>
      </c>
      <c r="AC1072">
        <v>3</v>
      </c>
      <c r="AD1072">
        <v>2</v>
      </c>
      <c r="AE1072">
        <v>9</v>
      </c>
      <c r="AF1072">
        <v>8</v>
      </c>
      <c r="AG1072">
        <v>7</v>
      </c>
      <c r="AH1072">
        <v>8</v>
      </c>
      <c r="AI1072">
        <f t="shared" si="112"/>
        <v>0</v>
      </c>
      <c r="AJ1072" t="str">
        <f t="shared" si="113"/>
        <v>6-10 yrs</v>
      </c>
      <c r="AK1072" t="str">
        <f t="shared" si="114"/>
        <v>Overdue</v>
      </c>
      <c r="AL1072">
        <f t="shared" si="115"/>
        <v>3</v>
      </c>
      <c r="AM1072" t="str">
        <f t="shared" si="116"/>
        <v>High Risk</v>
      </c>
      <c r="AN1072" s="6">
        <f t="shared" si="117"/>
        <v>0.90819188575314591</v>
      </c>
      <c r="AO1072" s="7">
        <f t="shared" si="118"/>
        <v>1014288</v>
      </c>
    </row>
    <row r="1073" spans="1:41" x14ac:dyDescent="0.3">
      <c r="A1073" t="s">
        <v>1139</v>
      </c>
      <c r="B1073">
        <v>42</v>
      </c>
      <c r="C1073" t="s">
        <v>802</v>
      </c>
      <c r="D1073" t="s">
        <v>55</v>
      </c>
      <c r="E1073" t="s">
        <v>62</v>
      </c>
      <c r="F1073">
        <v>1271</v>
      </c>
      <c r="G1073" t="s">
        <v>735</v>
      </c>
      <c r="H1073">
        <v>2</v>
      </c>
      <c r="I1073">
        <v>1</v>
      </c>
      <c r="J1073" t="s">
        <v>58</v>
      </c>
      <c r="K1073">
        <v>875</v>
      </c>
      <c r="L1073">
        <v>2</v>
      </c>
      <c r="M1073" t="s">
        <v>51</v>
      </c>
      <c r="N1073">
        <v>3</v>
      </c>
      <c r="O1073">
        <v>1</v>
      </c>
      <c r="P1073" t="s">
        <v>67</v>
      </c>
      <c r="Q1073">
        <v>4</v>
      </c>
      <c r="R1073" t="s">
        <v>53</v>
      </c>
      <c r="S1073">
        <v>97573</v>
      </c>
      <c r="T1073" t="s">
        <v>70</v>
      </c>
      <c r="U1073">
        <v>609.83000000000004</v>
      </c>
      <c r="V1073">
        <v>5</v>
      </c>
      <c r="W1073" t="s">
        <v>47</v>
      </c>
      <c r="X1073">
        <v>14</v>
      </c>
      <c r="Y1073">
        <v>3</v>
      </c>
      <c r="Z1073">
        <v>4</v>
      </c>
      <c r="AA1073">
        <v>0</v>
      </c>
      <c r="AB1073">
        <v>8</v>
      </c>
      <c r="AC1073">
        <v>2</v>
      </c>
      <c r="AD1073">
        <v>3</v>
      </c>
      <c r="AE1073">
        <v>2</v>
      </c>
      <c r="AF1073">
        <v>1</v>
      </c>
      <c r="AG1073">
        <v>2</v>
      </c>
      <c r="AH1073">
        <v>2</v>
      </c>
      <c r="AI1073">
        <f t="shared" si="112"/>
        <v>0</v>
      </c>
      <c r="AJ1073" t="str">
        <f t="shared" si="113"/>
        <v>2-3 yrs</v>
      </c>
      <c r="AK1073" t="str">
        <f t="shared" si="114"/>
        <v>Recent</v>
      </c>
      <c r="AL1073">
        <f t="shared" si="115"/>
        <v>1</v>
      </c>
      <c r="AM1073" t="str">
        <f t="shared" si="116"/>
        <v>Low Risk</v>
      </c>
      <c r="AN1073" s="6">
        <f t="shared" si="117"/>
        <v>0.95669994896914379</v>
      </c>
      <c r="AO1073" s="7">
        <f t="shared" si="118"/>
        <v>1170876</v>
      </c>
    </row>
    <row r="1074" spans="1:41" x14ac:dyDescent="0.3">
      <c r="A1074" t="s">
        <v>1140</v>
      </c>
      <c r="B1074">
        <v>42</v>
      </c>
      <c r="C1074" t="s">
        <v>802</v>
      </c>
      <c r="D1074" t="s">
        <v>55</v>
      </c>
      <c r="E1074" t="s">
        <v>48</v>
      </c>
      <c r="F1074">
        <v>1265</v>
      </c>
      <c r="G1074" t="s">
        <v>735</v>
      </c>
      <c r="H1074">
        <v>3</v>
      </c>
      <c r="I1074">
        <v>3</v>
      </c>
      <c r="J1074" t="s">
        <v>50</v>
      </c>
      <c r="K1074">
        <v>894</v>
      </c>
      <c r="L1074">
        <v>3</v>
      </c>
      <c r="M1074" t="s">
        <v>59</v>
      </c>
      <c r="N1074">
        <v>4</v>
      </c>
      <c r="O1074">
        <v>2</v>
      </c>
      <c r="P1074" t="s">
        <v>52</v>
      </c>
      <c r="Q1074">
        <v>4</v>
      </c>
      <c r="R1074" t="s">
        <v>113</v>
      </c>
      <c r="S1074">
        <v>13219</v>
      </c>
      <c r="T1074" t="s">
        <v>54</v>
      </c>
      <c r="U1074">
        <v>82.62</v>
      </c>
      <c r="V1074">
        <v>2</v>
      </c>
      <c r="W1074" t="s">
        <v>47</v>
      </c>
      <c r="X1074">
        <v>13</v>
      </c>
      <c r="Y1074">
        <v>3</v>
      </c>
      <c r="Z1074">
        <v>2</v>
      </c>
      <c r="AA1074">
        <v>1</v>
      </c>
      <c r="AB1074">
        <v>17</v>
      </c>
      <c r="AC1074">
        <v>1</v>
      </c>
      <c r="AD1074">
        <v>2</v>
      </c>
      <c r="AE1074">
        <v>5</v>
      </c>
      <c r="AF1074">
        <v>3</v>
      </c>
      <c r="AG1074">
        <v>1</v>
      </c>
      <c r="AH1074">
        <v>3</v>
      </c>
      <c r="AI1074">
        <f t="shared" si="112"/>
        <v>0</v>
      </c>
      <c r="AJ1074" t="str">
        <f t="shared" si="113"/>
        <v>4-5 yrs</v>
      </c>
      <c r="AK1074" t="str">
        <f t="shared" si="114"/>
        <v>Recent</v>
      </c>
      <c r="AL1074">
        <f t="shared" si="115"/>
        <v>2</v>
      </c>
      <c r="AM1074" t="str">
        <f t="shared" si="116"/>
        <v>Medium Risk</v>
      </c>
      <c r="AN1074" s="6">
        <f t="shared" si="117"/>
        <v>-0.7444151770334142</v>
      </c>
      <c r="AO1074" s="7">
        <f t="shared" si="118"/>
        <v>158628</v>
      </c>
    </row>
    <row r="1075" spans="1:41" x14ac:dyDescent="0.3">
      <c r="A1075" t="s">
        <v>1141</v>
      </c>
      <c r="B1075">
        <v>42</v>
      </c>
      <c r="C1075" t="s">
        <v>802</v>
      </c>
      <c r="D1075" t="s">
        <v>55</v>
      </c>
      <c r="E1075" t="s">
        <v>48</v>
      </c>
      <c r="F1075">
        <v>462</v>
      </c>
      <c r="G1075" t="s">
        <v>932</v>
      </c>
      <c r="H1075">
        <v>14</v>
      </c>
      <c r="I1075">
        <v>2</v>
      </c>
      <c r="J1075" t="s">
        <v>58</v>
      </c>
      <c r="K1075">
        <v>936</v>
      </c>
      <c r="L1075">
        <v>3</v>
      </c>
      <c r="M1075" t="s">
        <v>59</v>
      </c>
      <c r="N1075">
        <v>2</v>
      </c>
      <c r="O1075">
        <v>2</v>
      </c>
      <c r="P1075" t="s">
        <v>145</v>
      </c>
      <c r="Q1075">
        <v>3</v>
      </c>
      <c r="R1075" t="s">
        <v>53</v>
      </c>
      <c r="S1075">
        <v>1235</v>
      </c>
      <c r="T1075" t="s">
        <v>54</v>
      </c>
      <c r="U1075">
        <v>7.72</v>
      </c>
      <c r="V1075">
        <v>7</v>
      </c>
      <c r="W1075" t="s">
        <v>55</v>
      </c>
      <c r="X1075">
        <v>17</v>
      </c>
      <c r="Y1075">
        <v>3</v>
      </c>
      <c r="Z1075">
        <v>1</v>
      </c>
      <c r="AA1075">
        <v>0</v>
      </c>
      <c r="AB1075">
        <v>10</v>
      </c>
      <c r="AC1075">
        <v>6</v>
      </c>
      <c r="AD1075">
        <v>3</v>
      </c>
      <c r="AE1075">
        <v>5</v>
      </c>
      <c r="AF1075">
        <v>4</v>
      </c>
      <c r="AG1075">
        <v>0</v>
      </c>
      <c r="AH1075">
        <v>3</v>
      </c>
      <c r="AI1075">
        <f t="shared" si="112"/>
        <v>0</v>
      </c>
      <c r="AJ1075" t="str">
        <f t="shared" si="113"/>
        <v>4-5 yrs</v>
      </c>
      <c r="AK1075" t="str">
        <f t="shared" si="114"/>
        <v>Recent</v>
      </c>
      <c r="AL1075">
        <f t="shared" si="115"/>
        <v>0</v>
      </c>
      <c r="AM1075" t="str">
        <f t="shared" si="116"/>
        <v>Minimal Risk</v>
      </c>
      <c r="AN1075" s="6">
        <f t="shared" si="117"/>
        <v>-0.97482570090145815</v>
      </c>
      <c r="AO1075" s="7">
        <f t="shared" si="118"/>
        <v>14820</v>
      </c>
    </row>
    <row r="1076" spans="1:41" x14ac:dyDescent="0.3">
      <c r="A1076" t="s">
        <v>1142</v>
      </c>
      <c r="B1076">
        <v>42</v>
      </c>
      <c r="C1076" t="s">
        <v>802</v>
      </c>
      <c r="D1076" t="s">
        <v>55</v>
      </c>
      <c r="E1076" t="s">
        <v>48</v>
      </c>
      <c r="F1076">
        <v>265</v>
      </c>
      <c r="G1076" t="s">
        <v>932</v>
      </c>
      <c r="H1076">
        <v>5</v>
      </c>
      <c r="I1076">
        <v>2</v>
      </c>
      <c r="J1076" t="s">
        <v>63</v>
      </c>
      <c r="K1076">
        <v>1029</v>
      </c>
      <c r="L1076">
        <v>4</v>
      </c>
      <c r="M1076" t="s">
        <v>51</v>
      </c>
      <c r="N1076">
        <v>3</v>
      </c>
      <c r="O1076">
        <v>5</v>
      </c>
      <c r="P1076" t="s">
        <v>444</v>
      </c>
      <c r="Q1076">
        <v>3</v>
      </c>
      <c r="R1076" t="s">
        <v>113</v>
      </c>
      <c r="S1076">
        <v>43929</v>
      </c>
      <c r="T1076" t="s">
        <v>72</v>
      </c>
      <c r="U1076">
        <v>274.56</v>
      </c>
      <c r="V1076">
        <v>6</v>
      </c>
      <c r="W1076" t="s">
        <v>55</v>
      </c>
      <c r="X1076">
        <v>13</v>
      </c>
      <c r="Y1076">
        <v>3</v>
      </c>
      <c r="Z1076">
        <v>2</v>
      </c>
      <c r="AA1076">
        <v>0</v>
      </c>
      <c r="AB1076">
        <v>21</v>
      </c>
      <c r="AC1076">
        <v>3</v>
      </c>
      <c r="AD1076">
        <v>4</v>
      </c>
      <c r="AE1076">
        <v>1</v>
      </c>
      <c r="AF1076">
        <v>0</v>
      </c>
      <c r="AG1076">
        <v>0</v>
      </c>
      <c r="AH1076">
        <v>0</v>
      </c>
      <c r="AI1076">
        <f t="shared" si="112"/>
        <v>0</v>
      </c>
      <c r="AJ1076" t="str">
        <f t="shared" si="113"/>
        <v>0-1 yr</v>
      </c>
      <c r="AK1076" t="str">
        <f t="shared" si="114"/>
        <v>Recent</v>
      </c>
      <c r="AL1076">
        <f t="shared" si="115"/>
        <v>0</v>
      </c>
      <c r="AM1076" t="str">
        <f t="shared" si="116"/>
        <v>Minimal Risk</v>
      </c>
      <c r="AN1076" s="6">
        <f t="shared" si="117"/>
        <v>-0.1584210894048865</v>
      </c>
      <c r="AO1076" s="7">
        <f t="shared" si="118"/>
        <v>527148</v>
      </c>
    </row>
    <row r="1077" spans="1:41" x14ac:dyDescent="0.3">
      <c r="A1077" t="s">
        <v>1143</v>
      </c>
      <c r="B1077">
        <v>42</v>
      </c>
      <c r="C1077" t="s">
        <v>802</v>
      </c>
      <c r="D1077" t="s">
        <v>55</v>
      </c>
      <c r="E1077" t="s">
        <v>48</v>
      </c>
      <c r="F1077">
        <v>469</v>
      </c>
      <c r="G1077" t="s">
        <v>735</v>
      </c>
      <c r="H1077">
        <v>2</v>
      </c>
      <c r="I1077">
        <v>2</v>
      </c>
      <c r="J1077" t="s">
        <v>58</v>
      </c>
      <c r="K1077">
        <v>1109</v>
      </c>
      <c r="L1077">
        <v>4</v>
      </c>
      <c r="M1077" t="s">
        <v>51</v>
      </c>
      <c r="N1077">
        <v>3</v>
      </c>
      <c r="O1077">
        <v>4</v>
      </c>
      <c r="P1077" t="s">
        <v>444</v>
      </c>
      <c r="Q1077">
        <v>1</v>
      </c>
      <c r="R1077" t="s">
        <v>113</v>
      </c>
      <c r="S1077">
        <v>68444</v>
      </c>
      <c r="T1077" t="s">
        <v>64</v>
      </c>
      <c r="U1077">
        <v>427.78</v>
      </c>
      <c r="V1077">
        <v>0</v>
      </c>
      <c r="W1077" t="s">
        <v>55</v>
      </c>
      <c r="X1077">
        <v>17</v>
      </c>
      <c r="Y1077">
        <v>3</v>
      </c>
      <c r="Z1077">
        <v>4</v>
      </c>
      <c r="AA1077">
        <v>1</v>
      </c>
      <c r="AB1077">
        <v>23</v>
      </c>
      <c r="AC1077">
        <v>3</v>
      </c>
      <c r="AD1077">
        <v>3</v>
      </c>
      <c r="AE1077">
        <v>22</v>
      </c>
      <c r="AF1077">
        <v>6</v>
      </c>
      <c r="AG1077">
        <v>13</v>
      </c>
      <c r="AH1077">
        <v>7</v>
      </c>
      <c r="AI1077">
        <f t="shared" si="112"/>
        <v>0</v>
      </c>
      <c r="AJ1077" t="str">
        <f t="shared" si="113"/>
        <v>10+ yrs</v>
      </c>
      <c r="AK1077" t="str">
        <f t="shared" si="114"/>
        <v>Overdue</v>
      </c>
      <c r="AL1077">
        <f t="shared" si="115"/>
        <v>2</v>
      </c>
      <c r="AM1077" t="str">
        <f t="shared" si="116"/>
        <v>Medium Risk</v>
      </c>
      <c r="AN1077" s="6">
        <f t="shared" si="117"/>
        <v>0.31123009758410047</v>
      </c>
      <c r="AO1077" s="7">
        <f t="shared" si="118"/>
        <v>821328</v>
      </c>
    </row>
    <row r="1078" spans="1:41" x14ac:dyDescent="0.3">
      <c r="A1078" t="s">
        <v>1144</v>
      </c>
      <c r="B1078">
        <v>42</v>
      </c>
      <c r="C1078" t="s">
        <v>802</v>
      </c>
      <c r="D1078" t="s">
        <v>55</v>
      </c>
      <c r="E1078" t="s">
        <v>48</v>
      </c>
      <c r="F1078">
        <v>188</v>
      </c>
      <c r="G1078" t="s">
        <v>735</v>
      </c>
      <c r="H1078">
        <v>29</v>
      </c>
      <c r="I1078">
        <v>3</v>
      </c>
      <c r="J1078" t="s">
        <v>58</v>
      </c>
      <c r="K1078">
        <v>1148</v>
      </c>
      <c r="L1078">
        <v>2</v>
      </c>
      <c r="M1078" t="s">
        <v>51</v>
      </c>
      <c r="N1078">
        <v>1</v>
      </c>
      <c r="O1078">
        <v>2</v>
      </c>
      <c r="P1078" t="s">
        <v>52</v>
      </c>
      <c r="Q1078">
        <v>4</v>
      </c>
      <c r="R1078" t="s">
        <v>53</v>
      </c>
      <c r="S1078">
        <v>9567</v>
      </c>
      <c r="T1078" t="s">
        <v>54</v>
      </c>
      <c r="U1078">
        <v>59.79</v>
      </c>
      <c r="V1078">
        <v>4</v>
      </c>
      <c r="W1078" t="s">
        <v>55</v>
      </c>
      <c r="X1078">
        <v>19</v>
      </c>
      <c r="Y1078">
        <v>3</v>
      </c>
      <c r="Z1078">
        <v>1</v>
      </c>
      <c r="AA1078">
        <v>0</v>
      </c>
      <c r="AB1078">
        <v>16</v>
      </c>
      <c r="AC1078">
        <v>3</v>
      </c>
      <c r="AD1078">
        <v>3</v>
      </c>
      <c r="AE1078">
        <v>1</v>
      </c>
      <c r="AF1078">
        <v>0</v>
      </c>
      <c r="AG1078">
        <v>0</v>
      </c>
      <c r="AH1078">
        <v>0</v>
      </c>
      <c r="AI1078">
        <f t="shared" si="112"/>
        <v>0</v>
      </c>
      <c r="AJ1078" t="str">
        <f t="shared" si="113"/>
        <v>0-1 yr</v>
      </c>
      <c r="AK1078" t="str">
        <f t="shared" si="114"/>
        <v>Recent</v>
      </c>
      <c r="AL1078">
        <f t="shared" si="115"/>
        <v>0</v>
      </c>
      <c r="AM1078" t="str">
        <f t="shared" si="116"/>
        <v>Minimal Risk</v>
      </c>
      <c r="AN1078" s="6">
        <f t="shared" si="117"/>
        <v>-0.81502534221035439</v>
      </c>
      <c r="AO1078" s="7">
        <f t="shared" si="118"/>
        <v>114804</v>
      </c>
    </row>
    <row r="1079" spans="1:41" x14ac:dyDescent="0.3">
      <c r="A1079" t="s">
        <v>1145</v>
      </c>
      <c r="B1079">
        <v>42</v>
      </c>
      <c r="C1079" t="s">
        <v>802</v>
      </c>
      <c r="D1079" t="s">
        <v>47</v>
      </c>
      <c r="E1079" t="s">
        <v>62</v>
      </c>
      <c r="F1079">
        <v>481</v>
      </c>
      <c r="G1079" t="s">
        <v>932</v>
      </c>
      <c r="H1079">
        <v>12</v>
      </c>
      <c r="I1079">
        <v>3</v>
      </c>
      <c r="J1079" t="s">
        <v>50</v>
      </c>
      <c r="K1079">
        <v>1167</v>
      </c>
      <c r="L1079">
        <v>3</v>
      </c>
      <c r="M1079" t="s">
        <v>51</v>
      </c>
      <c r="N1079">
        <v>3</v>
      </c>
      <c r="O1079">
        <v>4</v>
      </c>
      <c r="P1079" t="s">
        <v>145</v>
      </c>
      <c r="Q1079">
        <v>1</v>
      </c>
      <c r="R1079" t="s">
        <v>53</v>
      </c>
      <c r="S1079">
        <v>71792</v>
      </c>
      <c r="T1079" t="s">
        <v>64</v>
      </c>
      <c r="U1079">
        <v>448.7</v>
      </c>
      <c r="V1079">
        <v>0</v>
      </c>
      <c r="W1079" t="s">
        <v>47</v>
      </c>
      <c r="X1079">
        <v>12</v>
      </c>
      <c r="Y1079">
        <v>3</v>
      </c>
      <c r="Z1079">
        <v>2</v>
      </c>
      <c r="AA1079">
        <v>0</v>
      </c>
      <c r="AB1079">
        <v>22</v>
      </c>
      <c r="AC1079">
        <v>2</v>
      </c>
      <c r="AD1079">
        <v>2</v>
      </c>
      <c r="AE1079">
        <v>21</v>
      </c>
      <c r="AF1079">
        <v>9</v>
      </c>
      <c r="AG1079">
        <v>13</v>
      </c>
      <c r="AH1079">
        <v>14</v>
      </c>
      <c r="AI1079">
        <f t="shared" si="112"/>
        <v>1</v>
      </c>
      <c r="AJ1079" t="str">
        <f t="shared" si="113"/>
        <v>10+ yrs</v>
      </c>
      <c r="AK1079" t="str">
        <f t="shared" si="114"/>
        <v>Overdue</v>
      </c>
      <c r="AL1079">
        <f t="shared" si="115"/>
        <v>4</v>
      </c>
      <c r="AM1079" t="str">
        <f t="shared" si="116"/>
        <v>High Risk</v>
      </c>
      <c r="AN1079" s="6">
        <f t="shared" si="117"/>
        <v>0.46341156346762258</v>
      </c>
      <c r="AO1079" s="7">
        <f t="shared" si="118"/>
        <v>861504</v>
      </c>
    </row>
    <row r="1080" spans="1:41" x14ac:dyDescent="0.3">
      <c r="A1080" t="s">
        <v>1146</v>
      </c>
      <c r="B1080">
        <v>42</v>
      </c>
      <c r="C1080" t="s">
        <v>802</v>
      </c>
      <c r="D1080" t="s">
        <v>55</v>
      </c>
      <c r="E1080" t="s">
        <v>48</v>
      </c>
      <c r="F1080">
        <v>647</v>
      </c>
      <c r="G1080" t="s">
        <v>932</v>
      </c>
      <c r="H1080">
        <v>4</v>
      </c>
      <c r="I1080">
        <v>4</v>
      </c>
      <c r="J1080" t="s">
        <v>63</v>
      </c>
      <c r="K1080">
        <v>1171</v>
      </c>
      <c r="L1080">
        <v>2</v>
      </c>
      <c r="M1080" t="s">
        <v>51</v>
      </c>
      <c r="N1080">
        <v>3</v>
      </c>
      <c r="O1080">
        <v>2</v>
      </c>
      <c r="P1080" t="s">
        <v>145</v>
      </c>
      <c r="Q1080">
        <v>1</v>
      </c>
      <c r="R1080" t="s">
        <v>53</v>
      </c>
      <c r="S1080">
        <v>66441</v>
      </c>
      <c r="T1080" t="s">
        <v>64</v>
      </c>
      <c r="U1080">
        <v>415.26</v>
      </c>
      <c r="V1080">
        <v>7</v>
      </c>
      <c r="W1080" t="s">
        <v>55</v>
      </c>
      <c r="X1080">
        <v>13</v>
      </c>
      <c r="Y1080">
        <v>3</v>
      </c>
      <c r="Z1080">
        <v>4</v>
      </c>
      <c r="AA1080">
        <v>0</v>
      </c>
      <c r="AB1080">
        <v>9</v>
      </c>
      <c r="AC1080">
        <v>3</v>
      </c>
      <c r="AD1080">
        <v>4</v>
      </c>
      <c r="AE1080">
        <v>6</v>
      </c>
      <c r="AF1080">
        <v>4</v>
      </c>
      <c r="AG1080">
        <v>1</v>
      </c>
      <c r="AH1080">
        <v>5</v>
      </c>
      <c r="AI1080">
        <f t="shared" si="112"/>
        <v>0</v>
      </c>
      <c r="AJ1080" t="str">
        <f t="shared" si="113"/>
        <v>6-10 yrs</v>
      </c>
      <c r="AK1080" t="str">
        <f t="shared" si="114"/>
        <v>Recent</v>
      </c>
      <c r="AL1080">
        <f t="shared" si="115"/>
        <v>1</v>
      </c>
      <c r="AM1080" t="str">
        <f t="shared" si="116"/>
        <v>Low Risk</v>
      </c>
      <c r="AN1080" s="6">
        <f t="shared" si="117"/>
        <v>0.35433652340584348</v>
      </c>
      <c r="AO1080" s="7">
        <f t="shared" si="118"/>
        <v>797292</v>
      </c>
    </row>
    <row r="1081" spans="1:41" x14ac:dyDescent="0.3">
      <c r="A1081" t="s">
        <v>1147</v>
      </c>
      <c r="B1081">
        <v>42</v>
      </c>
      <c r="C1081" t="s">
        <v>802</v>
      </c>
      <c r="D1081" t="s">
        <v>55</v>
      </c>
      <c r="E1081" t="s">
        <v>66</v>
      </c>
      <c r="F1081">
        <v>179</v>
      </c>
      <c r="G1081" t="s">
        <v>80</v>
      </c>
      <c r="H1081">
        <v>2</v>
      </c>
      <c r="I1081">
        <v>5</v>
      </c>
      <c r="J1081" t="s">
        <v>58</v>
      </c>
      <c r="K1081">
        <v>1231</v>
      </c>
      <c r="L1081">
        <v>4</v>
      </c>
      <c r="M1081" t="s">
        <v>51</v>
      </c>
      <c r="N1081">
        <v>4</v>
      </c>
      <c r="O1081">
        <v>2</v>
      </c>
      <c r="P1081" t="s">
        <v>80</v>
      </c>
      <c r="Q1081">
        <v>1</v>
      </c>
      <c r="R1081" t="s">
        <v>113</v>
      </c>
      <c r="S1081">
        <v>85555</v>
      </c>
      <c r="T1081" t="s">
        <v>70</v>
      </c>
      <c r="U1081">
        <v>534.72</v>
      </c>
      <c r="V1081">
        <v>7</v>
      </c>
      <c r="W1081" t="s">
        <v>55</v>
      </c>
      <c r="X1081">
        <v>16</v>
      </c>
      <c r="Y1081">
        <v>3</v>
      </c>
      <c r="Z1081">
        <v>1</v>
      </c>
      <c r="AA1081">
        <v>1</v>
      </c>
      <c r="AB1081">
        <v>10</v>
      </c>
      <c r="AC1081">
        <v>3</v>
      </c>
      <c r="AD1081">
        <v>4</v>
      </c>
      <c r="AE1081">
        <v>4</v>
      </c>
      <c r="AF1081">
        <v>3</v>
      </c>
      <c r="AG1081">
        <v>0</v>
      </c>
      <c r="AH1081">
        <v>3</v>
      </c>
      <c r="AI1081">
        <f t="shared" si="112"/>
        <v>0</v>
      </c>
      <c r="AJ1081" t="str">
        <f t="shared" si="113"/>
        <v>4-5 yrs</v>
      </c>
      <c r="AK1081" t="str">
        <f t="shared" si="114"/>
        <v>Recent</v>
      </c>
      <c r="AL1081">
        <f t="shared" si="115"/>
        <v>1</v>
      </c>
      <c r="AM1081" t="str">
        <f t="shared" si="116"/>
        <v>Low Risk</v>
      </c>
      <c r="AN1081" s="6">
        <f t="shared" si="117"/>
        <v>0.6860108614501893</v>
      </c>
      <c r="AO1081" s="7">
        <f t="shared" si="118"/>
        <v>1026660</v>
      </c>
    </row>
    <row r="1082" spans="1:41" x14ac:dyDescent="0.3">
      <c r="A1082" t="s">
        <v>1148</v>
      </c>
      <c r="B1082">
        <v>42</v>
      </c>
      <c r="C1082" t="s">
        <v>802</v>
      </c>
      <c r="D1082" t="s">
        <v>55</v>
      </c>
      <c r="E1082" t="s">
        <v>62</v>
      </c>
      <c r="F1082">
        <v>458</v>
      </c>
      <c r="G1082" t="s">
        <v>735</v>
      </c>
      <c r="H1082">
        <v>26</v>
      </c>
      <c r="I1082">
        <v>5</v>
      </c>
      <c r="J1082" t="s">
        <v>58</v>
      </c>
      <c r="K1082">
        <v>1242</v>
      </c>
      <c r="L1082">
        <v>1</v>
      </c>
      <c r="M1082" t="s">
        <v>59</v>
      </c>
      <c r="N1082">
        <v>3</v>
      </c>
      <c r="O1082">
        <v>3</v>
      </c>
      <c r="P1082" t="s">
        <v>257</v>
      </c>
      <c r="Q1082">
        <v>1</v>
      </c>
      <c r="R1082" t="s">
        <v>113</v>
      </c>
      <c r="S1082">
        <v>74698</v>
      </c>
      <c r="T1082" t="s">
        <v>64</v>
      </c>
      <c r="U1082">
        <v>466.86</v>
      </c>
      <c r="V1082">
        <v>3</v>
      </c>
      <c r="W1082" t="s">
        <v>47</v>
      </c>
      <c r="X1082">
        <v>17</v>
      </c>
      <c r="Y1082">
        <v>3</v>
      </c>
      <c r="Z1082">
        <v>3</v>
      </c>
      <c r="AA1082">
        <v>0</v>
      </c>
      <c r="AB1082">
        <v>20</v>
      </c>
      <c r="AC1082">
        <v>6</v>
      </c>
      <c r="AD1082">
        <v>3</v>
      </c>
      <c r="AE1082">
        <v>1</v>
      </c>
      <c r="AF1082">
        <v>0</v>
      </c>
      <c r="AG1082">
        <v>0</v>
      </c>
      <c r="AH1082">
        <v>0</v>
      </c>
      <c r="AI1082">
        <f t="shared" si="112"/>
        <v>0</v>
      </c>
      <c r="AJ1082" t="str">
        <f t="shared" si="113"/>
        <v>0-1 yr</v>
      </c>
      <c r="AK1082" t="str">
        <f t="shared" si="114"/>
        <v>Recent</v>
      </c>
      <c r="AL1082">
        <f t="shared" si="115"/>
        <v>2</v>
      </c>
      <c r="AM1082" t="str">
        <f t="shared" si="116"/>
        <v>Medium Risk</v>
      </c>
      <c r="AN1082" s="6">
        <f t="shared" si="117"/>
        <v>0.47440714958576841</v>
      </c>
      <c r="AO1082" s="7">
        <f t="shared" si="118"/>
        <v>896376</v>
      </c>
    </row>
    <row r="1083" spans="1:41" x14ac:dyDescent="0.3">
      <c r="A1083" t="s">
        <v>1149</v>
      </c>
      <c r="B1083">
        <v>42</v>
      </c>
      <c r="C1083" t="s">
        <v>802</v>
      </c>
      <c r="D1083" t="s">
        <v>55</v>
      </c>
      <c r="E1083" t="s">
        <v>48</v>
      </c>
      <c r="F1083">
        <v>603</v>
      </c>
      <c r="G1083" t="s">
        <v>735</v>
      </c>
      <c r="H1083">
        <v>7</v>
      </c>
      <c r="I1083">
        <v>4</v>
      </c>
      <c r="J1083" t="s">
        <v>58</v>
      </c>
      <c r="K1083">
        <v>1292</v>
      </c>
      <c r="L1083">
        <v>2</v>
      </c>
      <c r="M1083" t="s">
        <v>59</v>
      </c>
      <c r="N1083">
        <v>4</v>
      </c>
      <c r="O1083">
        <v>2</v>
      </c>
      <c r="P1083" t="s">
        <v>67</v>
      </c>
      <c r="Q1083">
        <v>2</v>
      </c>
      <c r="R1083" t="s">
        <v>113</v>
      </c>
      <c r="S1083">
        <v>6415</v>
      </c>
      <c r="T1083" t="s">
        <v>54</v>
      </c>
      <c r="U1083">
        <v>40.090000000000003</v>
      </c>
      <c r="V1083">
        <v>6</v>
      </c>
      <c r="W1083" t="s">
        <v>47</v>
      </c>
      <c r="X1083">
        <v>16</v>
      </c>
      <c r="Y1083">
        <v>3</v>
      </c>
      <c r="Z1083">
        <v>4</v>
      </c>
      <c r="AA1083">
        <v>0</v>
      </c>
      <c r="AB1083">
        <v>18</v>
      </c>
      <c r="AC1083">
        <v>2</v>
      </c>
      <c r="AD1083">
        <v>3</v>
      </c>
      <c r="AE1083">
        <v>1</v>
      </c>
      <c r="AF1083">
        <v>0</v>
      </c>
      <c r="AG1083">
        <v>0</v>
      </c>
      <c r="AH1083">
        <v>0</v>
      </c>
      <c r="AI1083">
        <f t="shared" si="112"/>
        <v>0</v>
      </c>
      <c r="AJ1083" t="str">
        <f t="shared" si="113"/>
        <v>0-1 yr</v>
      </c>
      <c r="AK1083" t="str">
        <f t="shared" si="114"/>
        <v>Recent</v>
      </c>
      <c r="AL1083">
        <f t="shared" si="115"/>
        <v>2</v>
      </c>
      <c r="AM1083" t="str">
        <f t="shared" si="116"/>
        <v>Medium Risk</v>
      </c>
      <c r="AN1083" s="6">
        <f t="shared" si="117"/>
        <v>-0.87135549616556773</v>
      </c>
      <c r="AO1083" s="7">
        <f t="shared" si="118"/>
        <v>76980</v>
      </c>
    </row>
    <row r="1084" spans="1:41" x14ac:dyDescent="0.3">
      <c r="A1084" t="s">
        <v>1150</v>
      </c>
      <c r="B1084">
        <v>42</v>
      </c>
      <c r="C1084" t="s">
        <v>802</v>
      </c>
      <c r="D1084" t="s">
        <v>55</v>
      </c>
      <c r="E1084" t="s">
        <v>66</v>
      </c>
      <c r="F1084">
        <v>495</v>
      </c>
      <c r="G1084" t="s">
        <v>735</v>
      </c>
      <c r="H1084">
        <v>2</v>
      </c>
      <c r="I1084">
        <v>1</v>
      </c>
      <c r="J1084" t="s">
        <v>50</v>
      </c>
      <c r="K1084">
        <v>1334</v>
      </c>
      <c r="L1084">
        <v>3</v>
      </c>
      <c r="M1084" t="s">
        <v>51</v>
      </c>
      <c r="N1084">
        <v>3</v>
      </c>
      <c r="O1084">
        <v>4</v>
      </c>
      <c r="P1084" t="s">
        <v>444</v>
      </c>
      <c r="Q1084">
        <v>3</v>
      </c>
      <c r="R1084" t="s">
        <v>113</v>
      </c>
      <c r="S1084">
        <v>37159</v>
      </c>
      <c r="T1084" t="s">
        <v>72</v>
      </c>
      <c r="U1084">
        <v>232.24</v>
      </c>
      <c r="V1084">
        <v>0</v>
      </c>
      <c r="W1084" t="s">
        <v>47</v>
      </c>
      <c r="X1084">
        <v>13</v>
      </c>
      <c r="Y1084">
        <v>3</v>
      </c>
      <c r="Z1084">
        <v>4</v>
      </c>
      <c r="AA1084">
        <v>0</v>
      </c>
      <c r="AB1084">
        <v>21</v>
      </c>
      <c r="AC1084">
        <v>3</v>
      </c>
      <c r="AD1084">
        <v>2</v>
      </c>
      <c r="AE1084">
        <v>20</v>
      </c>
      <c r="AF1084">
        <v>8</v>
      </c>
      <c r="AG1084">
        <v>2</v>
      </c>
      <c r="AH1084">
        <v>10</v>
      </c>
      <c r="AI1084">
        <f t="shared" si="112"/>
        <v>0</v>
      </c>
      <c r="AJ1084" t="str">
        <f t="shared" si="113"/>
        <v>10+ yrs</v>
      </c>
      <c r="AK1084" t="str">
        <f t="shared" si="114"/>
        <v>Recent</v>
      </c>
      <c r="AL1084">
        <f t="shared" si="115"/>
        <v>2</v>
      </c>
      <c r="AM1084" t="str">
        <f t="shared" si="116"/>
        <v>Medium Risk</v>
      </c>
      <c r="AN1084" s="6">
        <f t="shared" si="117"/>
        <v>-0.28811876576284862</v>
      </c>
      <c r="AO1084" s="7">
        <f t="shared" si="118"/>
        <v>445908</v>
      </c>
    </row>
    <row r="1085" spans="1:41" x14ac:dyDescent="0.3">
      <c r="A1085" t="s">
        <v>1151</v>
      </c>
      <c r="B1085">
        <v>42</v>
      </c>
      <c r="C1085" t="s">
        <v>802</v>
      </c>
      <c r="D1085" t="s">
        <v>55</v>
      </c>
      <c r="E1085" t="s">
        <v>48</v>
      </c>
      <c r="F1085">
        <v>1147</v>
      </c>
      <c r="G1085" t="s">
        <v>406</v>
      </c>
      <c r="H1085">
        <v>10</v>
      </c>
      <c r="I1085">
        <v>3</v>
      </c>
      <c r="J1085" t="s">
        <v>80</v>
      </c>
      <c r="K1085">
        <v>1408</v>
      </c>
      <c r="L1085">
        <v>3</v>
      </c>
      <c r="M1085" t="s">
        <v>59</v>
      </c>
      <c r="N1085">
        <v>3</v>
      </c>
      <c r="O1085">
        <v>4</v>
      </c>
      <c r="P1085" t="s">
        <v>444</v>
      </c>
      <c r="Q1085">
        <v>1</v>
      </c>
      <c r="R1085" t="s">
        <v>113</v>
      </c>
      <c r="S1085">
        <v>44925</v>
      </c>
      <c r="T1085" t="s">
        <v>72</v>
      </c>
      <c r="U1085">
        <v>280.77999999999997</v>
      </c>
      <c r="V1085">
        <v>0</v>
      </c>
      <c r="W1085" t="s">
        <v>55</v>
      </c>
      <c r="X1085">
        <v>14</v>
      </c>
      <c r="Y1085">
        <v>3</v>
      </c>
      <c r="Z1085">
        <v>3</v>
      </c>
      <c r="AA1085">
        <v>1</v>
      </c>
      <c r="AB1085">
        <v>21</v>
      </c>
      <c r="AC1085">
        <v>5</v>
      </c>
      <c r="AD1085">
        <v>3</v>
      </c>
      <c r="AE1085">
        <v>20</v>
      </c>
      <c r="AF1085">
        <v>7</v>
      </c>
      <c r="AG1085">
        <v>0</v>
      </c>
      <c r="AH1085">
        <v>9</v>
      </c>
      <c r="AI1085">
        <f t="shared" si="112"/>
        <v>0</v>
      </c>
      <c r="AJ1085" t="str">
        <f t="shared" si="113"/>
        <v>10+ yrs</v>
      </c>
      <c r="AK1085" t="str">
        <f t="shared" si="114"/>
        <v>Recent</v>
      </c>
      <c r="AL1085">
        <f t="shared" si="115"/>
        <v>1</v>
      </c>
      <c r="AM1085" t="str">
        <f t="shared" si="116"/>
        <v>Low Risk</v>
      </c>
      <c r="AN1085" s="6">
        <f t="shared" si="117"/>
        <v>-0.1393400132375999</v>
      </c>
      <c r="AO1085" s="7">
        <f t="shared" si="118"/>
        <v>539100</v>
      </c>
    </row>
    <row r="1086" spans="1:41" x14ac:dyDescent="0.3">
      <c r="A1086" t="s">
        <v>1152</v>
      </c>
      <c r="B1086">
        <v>42</v>
      </c>
      <c r="C1086" t="s">
        <v>802</v>
      </c>
      <c r="D1086" t="s">
        <v>55</v>
      </c>
      <c r="E1086" t="s">
        <v>62</v>
      </c>
      <c r="F1086">
        <v>748</v>
      </c>
      <c r="G1086" t="s">
        <v>735</v>
      </c>
      <c r="H1086">
        <v>9</v>
      </c>
      <c r="I1086">
        <v>2</v>
      </c>
      <c r="J1086" t="s">
        <v>58</v>
      </c>
      <c r="K1086">
        <v>1480</v>
      </c>
      <c r="L1086">
        <v>1</v>
      </c>
      <c r="M1086" t="s">
        <v>59</v>
      </c>
      <c r="N1086">
        <v>3</v>
      </c>
      <c r="O1086">
        <v>1</v>
      </c>
      <c r="P1086" t="s">
        <v>52</v>
      </c>
      <c r="Q1086">
        <v>4</v>
      </c>
      <c r="R1086" t="s">
        <v>53</v>
      </c>
      <c r="S1086">
        <v>6951</v>
      </c>
      <c r="T1086" t="s">
        <v>54</v>
      </c>
      <c r="U1086">
        <v>43.44</v>
      </c>
      <c r="V1086">
        <v>1</v>
      </c>
      <c r="W1086" t="s">
        <v>55</v>
      </c>
      <c r="X1086">
        <v>13</v>
      </c>
      <c r="Y1086">
        <v>3</v>
      </c>
      <c r="Z1086">
        <v>3</v>
      </c>
      <c r="AA1086">
        <v>0</v>
      </c>
      <c r="AB1086">
        <v>12</v>
      </c>
      <c r="AC1086">
        <v>3</v>
      </c>
      <c r="AD1086">
        <v>3</v>
      </c>
      <c r="AE1086">
        <v>12</v>
      </c>
      <c r="AF1086">
        <v>9</v>
      </c>
      <c r="AG1086">
        <v>5</v>
      </c>
      <c r="AH1086">
        <v>8</v>
      </c>
      <c r="AI1086">
        <f t="shared" si="112"/>
        <v>0</v>
      </c>
      <c r="AJ1086" t="str">
        <f t="shared" si="113"/>
        <v>10+ yrs</v>
      </c>
      <c r="AK1086" t="str">
        <f t="shared" si="114"/>
        <v>Overdue</v>
      </c>
      <c r="AL1086">
        <f t="shared" si="115"/>
        <v>1</v>
      </c>
      <c r="AM1086" t="str">
        <f t="shared" si="116"/>
        <v>Low Risk</v>
      </c>
      <c r="AN1086" s="6">
        <f t="shared" si="117"/>
        <v>-0.86560480335571999</v>
      </c>
      <c r="AO1086" s="7">
        <f t="shared" si="118"/>
        <v>83412</v>
      </c>
    </row>
    <row r="1087" spans="1:41" x14ac:dyDescent="0.3">
      <c r="A1087" t="s">
        <v>1153</v>
      </c>
      <c r="B1087">
        <v>42</v>
      </c>
      <c r="C1087" t="s">
        <v>802</v>
      </c>
      <c r="D1087" t="s">
        <v>55</v>
      </c>
      <c r="E1087" t="s">
        <v>48</v>
      </c>
      <c r="F1087">
        <v>1210</v>
      </c>
      <c r="G1087" t="s">
        <v>735</v>
      </c>
      <c r="H1087">
        <v>2</v>
      </c>
      <c r="I1087">
        <v>3</v>
      </c>
      <c r="J1087" t="s">
        <v>58</v>
      </c>
      <c r="K1087">
        <v>1542</v>
      </c>
      <c r="L1087">
        <v>3</v>
      </c>
      <c r="M1087" t="s">
        <v>51</v>
      </c>
      <c r="N1087">
        <v>2</v>
      </c>
      <c r="O1087">
        <v>1</v>
      </c>
      <c r="P1087" t="s">
        <v>52</v>
      </c>
      <c r="Q1087">
        <v>2</v>
      </c>
      <c r="R1087" t="s">
        <v>113</v>
      </c>
      <c r="S1087">
        <v>88388</v>
      </c>
      <c r="T1087" t="s">
        <v>70</v>
      </c>
      <c r="U1087">
        <v>552.41999999999996</v>
      </c>
      <c r="V1087">
        <v>4</v>
      </c>
      <c r="W1087" t="s">
        <v>55</v>
      </c>
      <c r="X1087">
        <v>14</v>
      </c>
      <c r="Y1087">
        <v>3</v>
      </c>
      <c r="Z1087">
        <v>2</v>
      </c>
      <c r="AA1087">
        <v>1</v>
      </c>
      <c r="AB1087">
        <v>4</v>
      </c>
      <c r="AC1087">
        <v>3</v>
      </c>
      <c r="AD1087">
        <v>3</v>
      </c>
      <c r="AE1087">
        <v>1</v>
      </c>
      <c r="AF1087">
        <v>0</v>
      </c>
      <c r="AG1087">
        <v>0</v>
      </c>
      <c r="AH1087">
        <v>0</v>
      </c>
      <c r="AI1087">
        <f t="shared" si="112"/>
        <v>0</v>
      </c>
      <c r="AJ1087" t="str">
        <f t="shared" si="113"/>
        <v>0-1 yr</v>
      </c>
      <c r="AK1087" t="str">
        <f t="shared" si="114"/>
        <v>Recent</v>
      </c>
      <c r="AL1087">
        <f t="shared" si="115"/>
        <v>1</v>
      </c>
      <c r="AM1087" t="str">
        <f t="shared" si="116"/>
        <v>Low Risk</v>
      </c>
      <c r="AN1087" s="6">
        <f t="shared" si="117"/>
        <v>0.70895160998340134</v>
      </c>
      <c r="AO1087" s="7">
        <f t="shared" si="118"/>
        <v>1060656</v>
      </c>
    </row>
    <row r="1088" spans="1:41" x14ac:dyDescent="0.3">
      <c r="A1088" t="s">
        <v>1154</v>
      </c>
      <c r="B1088">
        <v>42</v>
      </c>
      <c r="C1088" t="s">
        <v>802</v>
      </c>
      <c r="D1088" t="s">
        <v>55</v>
      </c>
      <c r="E1088" t="s">
        <v>62</v>
      </c>
      <c r="F1088">
        <v>288</v>
      </c>
      <c r="G1088" t="s">
        <v>735</v>
      </c>
      <c r="H1088">
        <v>2</v>
      </c>
      <c r="I1088">
        <v>3</v>
      </c>
      <c r="J1088" t="s">
        <v>50</v>
      </c>
      <c r="K1088">
        <v>1547</v>
      </c>
      <c r="L1088">
        <v>4</v>
      </c>
      <c r="M1088" t="s">
        <v>51</v>
      </c>
      <c r="N1088">
        <v>3</v>
      </c>
      <c r="O1088">
        <v>3</v>
      </c>
      <c r="P1088" t="s">
        <v>168</v>
      </c>
      <c r="Q1088">
        <v>4</v>
      </c>
      <c r="R1088" t="s">
        <v>113</v>
      </c>
      <c r="S1088">
        <v>9007</v>
      </c>
      <c r="T1088" t="s">
        <v>54</v>
      </c>
      <c r="U1088">
        <v>56.29</v>
      </c>
      <c r="V1088">
        <v>2</v>
      </c>
      <c r="W1088" t="s">
        <v>47</v>
      </c>
      <c r="X1088">
        <v>14</v>
      </c>
      <c r="Y1088">
        <v>3</v>
      </c>
      <c r="Z1088">
        <v>3</v>
      </c>
      <c r="AA1088">
        <v>1</v>
      </c>
      <c r="AB1088">
        <v>24</v>
      </c>
      <c r="AC1088">
        <v>3</v>
      </c>
      <c r="AD1088">
        <v>1</v>
      </c>
      <c r="AE1088">
        <v>20</v>
      </c>
      <c r="AF1088">
        <v>8</v>
      </c>
      <c r="AG1088">
        <v>13</v>
      </c>
      <c r="AH1088">
        <v>9</v>
      </c>
      <c r="AI1088">
        <f t="shared" si="112"/>
        <v>0</v>
      </c>
      <c r="AJ1088" t="str">
        <f t="shared" si="113"/>
        <v>10+ yrs</v>
      </c>
      <c r="AK1088" t="str">
        <f t="shared" si="114"/>
        <v>Overdue</v>
      </c>
      <c r="AL1088">
        <f t="shared" si="115"/>
        <v>3</v>
      </c>
      <c r="AM1088" t="str">
        <f t="shared" si="116"/>
        <v>High Risk</v>
      </c>
      <c r="AN1088" s="6">
        <f t="shared" si="117"/>
        <v>-0.81309067839821658</v>
      </c>
      <c r="AO1088" s="7">
        <f t="shared" si="118"/>
        <v>108084</v>
      </c>
    </row>
    <row r="1089" spans="1:41" x14ac:dyDescent="0.3">
      <c r="A1089" t="s">
        <v>1155</v>
      </c>
      <c r="B1089">
        <v>42</v>
      </c>
      <c r="C1089" t="s">
        <v>802</v>
      </c>
      <c r="D1089" t="s">
        <v>55</v>
      </c>
      <c r="E1089" t="s">
        <v>48</v>
      </c>
      <c r="F1089">
        <v>1059</v>
      </c>
      <c r="G1089" t="s">
        <v>735</v>
      </c>
      <c r="H1089">
        <v>9</v>
      </c>
      <c r="I1089">
        <v>2</v>
      </c>
      <c r="J1089" t="s">
        <v>82</v>
      </c>
      <c r="K1089">
        <v>1595</v>
      </c>
      <c r="L1089">
        <v>4</v>
      </c>
      <c r="M1089" t="s">
        <v>51</v>
      </c>
      <c r="N1089">
        <v>2</v>
      </c>
      <c r="O1089">
        <v>5</v>
      </c>
      <c r="P1089" t="s">
        <v>444</v>
      </c>
      <c r="Q1089">
        <v>4</v>
      </c>
      <c r="R1089" t="s">
        <v>53</v>
      </c>
      <c r="S1089">
        <v>42832</v>
      </c>
      <c r="T1089" t="s">
        <v>72</v>
      </c>
      <c r="U1089">
        <v>267.7</v>
      </c>
      <c r="V1089">
        <v>8</v>
      </c>
      <c r="W1089" t="s">
        <v>55</v>
      </c>
      <c r="X1089">
        <v>22</v>
      </c>
      <c r="Y1089">
        <v>4</v>
      </c>
      <c r="Z1089">
        <v>4</v>
      </c>
      <c r="AA1089">
        <v>0</v>
      </c>
      <c r="AB1089">
        <v>24</v>
      </c>
      <c r="AC1089">
        <v>2</v>
      </c>
      <c r="AD1089">
        <v>3</v>
      </c>
      <c r="AE1089">
        <v>1</v>
      </c>
      <c r="AF1089">
        <v>0</v>
      </c>
      <c r="AG1089">
        <v>0</v>
      </c>
      <c r="AH1089">
        <v>1</v>
      </c>
      <c r="AI1089">
        <f t="shared" si="112"/>
        <v>0</v>
      </c>
      <c r="AJ1089" t="str">
        <f t="shared" si="113"/>
        <v>0-1 yr</v>
      </c>
      <c r="AK1089" t="str">
        <f t="shared" si="114"/>
        <v>Recent</v>
      </c>
      <c r="AL1089">
        <f t="shared" si="115"/>
        <v>0</v>
      </c>
      <c r="AM1089" t="str">
        <f t="shared" si="116"/>
        <v>Minimal Risk</v>
      </c>
      <c r="AN1089" s="6">
        <f t="shared" si="117"/>
        <v>-0.17943709397869512</v>
      </c>
      <c r="AO1089" s="7">
        <f t="shared" si="118"/>
        <v>513984</v>
      </c>
    </row>
    <row r="1090" spans="1:41" x14ac:dyDescent="0.3">
      <c r="A1090" t="s">
        <v>1156</v>
      </c>
      <c r="B1090">
        <v>42</v>
      </c>
      <c r="C1090" t="s">
        <v>802</v>
      </c>
      <c r="D1090" t="s">
        <v>55</v>
      </c>
      <c r="E1090" t="s">
        <v>48</v>
      </c>
      <c r="F1090">
        <v>855</v>
      </c>
      <c r="G1090" t="s">
        <v>735</v>
      </c>
      <c r="H1090">
        <v>12</v>
      </c>
      <c r="I1090">
        <v>3</v>
      </c>
      <c r="J1090" t="s">
        <v>58</v>
      </c>
      <c r="K1090">
        <v>1768</v>
      </c>
      <c r="L1090">
        <v>2</v>
      </c>
      <c r="M1090" t="s">
        <v>51</v>
      </c>
      <c r="N1090">
        <v>3</v>
      </c>
      <c r="O1090">
        <v>1</v>
      </c>
      <c r="P1090" t="s">
        <v>52</v>
      </c>
      <c r="Q1090">
        <v>2</v>
      </c>
      <c r="R1090" t="s">
        <v>113</v>
      </c>
      <c r="S1090">
        <v>59596</v>
      </c>
      <c r="T1090" t="s">
        <v>64</v>
      </c>
      <c r="U1090">
        <v>372.48</v>
      </c>
      <c r="V1090">
        <v>8</v>
      </c>
      <c r="W1090" t="s">
        <v>55</v>
      </c>
      <c r="X1090">
        <v>22</v>
      </c>
      <c r="Y1090">
        <v>4</v>
      </c>
      <c r="Z1090">
        <v>2</v>
      </c>
      <c r="AA1090">
        <v>3</v>
      </c>
      <c r="AB1090">
        <v>7</v>
      </c>
      <c r="AC1090">
        <v>6</v>
      </c>
      <c r="AD1090">
        <v>2</v>
      </c>
      <c r="AE1090">
        <v>5</v>
      </c>
      <c r="AF1090">
        <v>3</v>
      </c>
      <c r="AG1090">
        <v>0</v>
      </c>
      <c r="AH1090">
        <v>4</v>
      </c>
      <c r="AI1090">
        <f t="shared" ref="AI1090:AI1153" si="119">IF(D1090="Yes",1,0)</f>
        <v>0</v>
      </c>
      <c r="AJ1090" t="str">
        <f t="shared" ref="AJ1090:AJ1153" si="120">IF(AE1090&lt;=1,"0-1 yr",IF(AE1090&lt;=3,"2-3 yrs",IF(AE1090&lt;=5,"4-5 yrs",IF(AE1090&lt;=10,"6-10 yrs","10+ yrs"))))</f>
        <v>4-5 yrs</v>
      </c>
      <c r="AK1090" t="str">
        <f t="shared" ref="AK1090:AK1153" si="121">IF(AG1090&gt;=3,"Overdue","Recent")</f>
        <v>Recent</v>
      </c>
      <c r="AL1090">
        <f t="shared" ref="AL1090:AL1153" si="122">IF(W1090="Yes",1,0)+IF(AD1090&lt;=2,1,0)+IF(Q1090&lt;=2,1,0)+IF(AG1090&gt;=3,1,0)</f>
        <v>2</v>
      </c>
      <c r="AM1090" t="str">
        <f t="shared" ref="AM1090:AM1153" si="123">IF(AL1090&gt;=3,"High Risk",IF(AL1090=2,"Medium Risk",IF(AL1090=1,"Low Risk","Minimal Risk")))</f>
        <v>Medium Risk</v>
      </c>
      <c r="AN1090" s="6">
        <f t="shared" ref="AN1090:AN1153" si="124">IFERROR((S1090-AVERAGEIF(P$2:P$1479,P1090,S$2:S$1479))/AVERAGEIF(P$2:P$1479,P1090,S$2:S$1479),0)</f>
        <v>0.1522681828819612</v>
      </c>
      <c r="AO1090" s="7">
        <f t="shared" ref="AO1090:AO1153" si="125">S1090*12</f>
        <v>715152</v>
      </c>
    </row>
    <row r="1091" spans="1:41" x14ac:dyDescent="0.3">
      <c r="A1091" t="s">
        <v>1157</v>
      </c>
      <c r="B1091">
        <v>42</v>
      </c>
      <c r="C1091" t="s">
        <v>802</v>
      </c>
      <c r="D1091" t="s">
        <v>55</v>
      </c>
      <c r="E1091" t="s">
        <v>48</v>
      </c>
      <c r="F1091">
        <v>1128</v>
      </c>
      <c r="G1091" t="s">
        <v>735</v>
      </c>
      <c r="H1091">
        <v>13</v>
      </c>
      <c r="I1091">
        <v>3</v>
      </c>
      <c r="J1091" t="s">
        <v>58</v>
      </c>
      <c r="K1091">
        <v>1803</v>
      </c>
      <c r="L1091">
        <v>2</v>
      </c>
      <c r="M1091" t="s">
        <v>51</v>
      </c>
      <c r="N1091">
        <v>4</v>
      </c>
      <c r="O1091">
        <v>2</v>
      </c>
      <c r="P1091" t="s">
        <v>168</v>
      </c>
      <c r="Q1091">
        <v>1</v>
      </c>
      <c r="R1091" t="s">
        <v>113</v>
      </c>
      <c r="S1091">
        <v>31523</v>
      </c>
      <c r="T1091" t="s">
        <v>72</v>
      </c>
      <c r="U1091">
        <v>197.02</v>
      </c>
      <c r="V1091">
        <v>5</v>
      </c>
      <c r="W1091" t="s">
        <v>55</v>
      </c>
      <c r="X1091">
        <v>18</v>
      </c>
      <c r="Y1091">
        <v>3</v>
      </c>
      <c r="Z1091">
        <v>3</v>
      </c>
      <c r="AA1091">
        <v>2</v>
      </c>
      <c r="AB1091">
        <v>10</v>
      </c>
      <c r="AC1091">
        <v>2</v>
      </c>
      <c r="AD1091">
        <v>2</v>
      </c>
      <c r="AE1091">
        <v>0</v>
      </c>
      <c r="AF1091">
        <v>0</v>
      </c>
      <c r="AG1091">
        <v>0</v>
      </c>
      <c r="AH1091">
        <v>0</v>
      </c>
      <c r="AI1091">
        <f t="shared" si="119"/>
        <v>0</v>
      </c>
      <c r="AJ1091" t="str">
        <f t="shared" si="120"/>
        <v>0-1 yr</v>
      </c>
      <c r="AK1091" t="str">
        <f t="shared" si="121"/>
        <v>Recent</v>
      </c>
      <c r="AL1091">
        <f t="shared" si="122"/>
        <v>2</v>
      </c>
      <c r="AM1091" t="str">
        <f t="shared" si="123"/>
        <v>Medium Risk</v>
      </c>
      <c r="AN1091" s="6">
        <f t="shared" si="124"/>
        <v>-0.34584850173720216</v>
      </c>
      <c r="AO1091" s="7">
        <f t="shared" si="125"/>
        <v>378276</v>
      </c>
    </row>
    <row r="1092" spans="1:41" x14ac:dyDescent="0.3">
      <c r="A1092" t="s">
        <v>1158</v>
      </c>
      <c r="B1092">
        <v>42</v>
      </c>
      <c r="C1092" t="s">
        <v>802</v>
      </c>
      <c r="D1092" t="s">
        <v>55</v>
      </c>
      <c r="E1092" t="s">
        <v>66</v>
      </c>
      <c r="F1092">
        <v>355</v>
      </c>
      <c r="G1092" t="s">
        <v>735</v>
      </c>
      <c r="H1092">
        <v>10</v>
      </c>
      <c r="I1092">
        <v>4</v>
      </c>
      <c r="J1092" t="s">
        <v>77</v>
      </c>
      <c r="K1092">
        <v>1854</v>
      </c>
      <c r="L1092">
        <v>3</v>
      </c>
      <c r="M1092" t="s">
        <v>51</v>
      </c>
      <c r="N1092">
        <v>3</v>
      </c>
      <c r="O1092">
        <v>1</v>
      </c>
      <c r="P1092" t="s">
        <v>67</v>
      </c>
      <c r="Q1092">
        <v>3</v>
      </c>
      <c r="R1092" t="s">
        <v>113</v>
      </c>
      <c r="S1092">
        <v>89861</v>
      </c>
      <c r="T1092" t="s">
        <v>70</v>
      </c>
      <c r="U1092">
        <v>561.63</v>
      </c>
      <c r="V1092">
        <v>3</v>
      </c>
      <c r="W1092" t="s">
        <v>55</v>
      </c>
      <c r="X1092">
        <v>22</v>
      </c>
      <c r="Y1092">
        <v>4</v>
      </c>
      <c r="Z1092">
        <v>2</v>
      </c>
      <c r="AA1092">
        <v>2</v>
      </c>
      <c r="AB1092">
        <v>10</v>
      </c>
      <c r="AC1092">
        <v>1</v>
      </c>
      <c r="AD1092">
        <v>2</v>
      </c>
      <c r="AE1092">
        <v>6</v>
      </c>
      <c r="AF1092">
        <v>3</v>
      </c>
      <c r="AG1092">
        <v>3</v>
      </c>
      <c r="AH1092">
        <v>3</v>
      </c>
      <c r="AI1092">
        <f t="shared" si="119"/>
        <v>0</v>
      </c>
      <c r="AJ1092" t="str">
        <f t="shared" si="120"/>
        <v>6-10 yrs</v>
      </c>
      <c r="AK1092" t="str">
        <f t="shared" si="121"/>
        <v>Overdue</v>
      </c>
      <c r="AL1092">
        <f t="shared" si="122"/>
        <v>2</v>
      </c>
      <c r="AM1092" t="str">
        <f t="shared" si="123"/>
        <v>Medium Risk</v>
      </c>
      <c r="AN1092" s="6">
        <f t="shared" si="124"/>
        <v>0.80204579252781227</v>
      </c>
      <c r="AO1092" s="7">
        <f t="shared" si="125"/>
        <v>1078332</v>
      </c>
    </row>
    <row r="1093" spans="1:41" x14ac:dyDescent="0.3">
      <c r="A1093" t="s">
        <v>1159</v>
      </c>
      <c r="B1093">
        <v>42</v>
      </c>
      <c r="C1093" t="s">
        <v>802</v>
      </c>
      <c r="D1093" t="s">
        <v>55</v>
      </c>
      <c r="E1093" t="s">
        <v>48</v>
      </c>
      <c r="F1093">
        <v>1142</v>
      </c>
      <c r="G1093" t="s">
        <v>735</v>
      </c>
      <c r="H1093">
        <v>8</v>
      </c>
      <c r="I1093">
        <v>3</v>
      </c>
      <c r="J1093" t="s">
        <v>50</v>
      </c>
      <c r="K1093">
        <v>1860</v>
      </c>
      <c r="L1093">
        <v>4</v>
      </c>
      <c r="M1093" t="s">
        <v>51</v>
      </c>
      <c r="N1093">
        <v>3</v>
      </c>
      <c r="O1093">
        <v>1</v>
      </c>
      <c r="P1093" t="s">
        <v>52</v>
      </c>
      <c r="Q1093">
        <v>3</v>
      </c>
      <c r="R1093" t="s">
        <v>53</v>
      </c>
      <c r="S1093">
        <v>87740</v>
      </c>
      <c r="T1093" t="s">
        <v>70</v>
      </c>
      <c r="U1093">
        <v>548.38</v>
      </c>
      <c r="V1093">
        <v>4</v>
      </c>
      <c r="W1093" t="s">
        <v>55</v>
      </c>
      <c r="X1093">
        <v>13</v>
      </c>
      <c r="Y1093">
        <v>3</v>
      </c>
      <c r="Z1093">
        <v>4</v>
      </c>
      <c r="AA1093">
        <v>0</v>
      </c>
      <c r="AB1093">
        <v>8</v>
      </c>
      <c r="AC1093">
        <v>3</v>
      </c>
      <c r="AD1093">
        <v>3</v>
      </c>
      <c r="AE1093">
        <v>0</v>
      </c>
      <c r="AF1093">
        <v>0</v>
      </c>
      <c r="AG1093">
        <v>0</v>
      </c>
      <c r="AH1093">
        <v>0</v>
      </c>
      <c r="AI1093">
        <f t="shared" si="119"/>
        <v>0</v>
      </c>
      <c r="AJ1093" t="str">
        <f t="shared" si="120"/>
        <v>0-1 yr</v>
      </c>
      <c r="AK1093" t="str">
        <f t="shared" si="121"/>
        <v>Recent</v>
      </c>
      <c r="AL1093">
        <f t="shared" si="122"/>
        <v>0</v>
      </c>
      <c r="AM1093" t="str">
        <f t="shared" si="123"/>
        <v>Minimal Risk</v>
      </c>
      <c r="AN1093" s="6">
        <f t="shared" si="124"/>
        <v>0.69642275263546671</v>
      </c>
      <c r="AO1093" s="7">
        <f t="shared" si="125"/>
        <v>1052880</v>
      </c>
    </row>
    <row r="1094" spans="1:41" x14ac:dyDescent="0.3">
      <c r="A1094" t="s">
        <v>1160</v>
      </c>
      <c r="B1094">
        <v>42</v>
      </c>
      <c r="C1094" t="s">
        <v>802</v>
      </c>
      <c r="D1094" t="s">
        <v>55</v>
      </c>
      <c r="E1094" t="s">
        <v>48</v>
      </c>
      <c r="F1094">
        <v>1396</v>
      </c>
      <c r="G1094" t="s">
        <v>735</v>
      </c>
      <c r="H1094">
        <v>6</v>
      </c>
      <c r="I1094">
        <v>3</v>
      </c>
      <c r="J1094" t="s">
        <v>58</v>
      </c>
      <c r="K1094">
        <v>1911</v>
      </c>
      <c r="L1094">
        <v>3</v>
      </c>
      <c r="M1094" t="s">
        <v>51</v>
      </c>
      <c r="N1094">
        <v>3</v>
      </c>
      <c r="O1094">
        <v>3</v>
      </c>
      <c r="P1094" t="s">
        <v>257</v>
      </c>
      <c r="Q1094">
        <v>1</v>
      </c>
      <c r="R1094" t="s">
        <v>113</v>
      </c>
      <c r="S1094">
        <v>16524</v>
      </c>
      <c r="T1094" t="s">
        <v>54</v>
      </c>
      <c r="U1094">
        <v>103.28</v>
      </c>
      <c r="V1094">
        <v>9</v>
      </c>
      <c r="W1094" t="s">
        <v>55</v>
      </c>
      <c r="X1094">
        <v>13</v>
      </c>
      <c r="Y1094">
        <v>3</v>
      </c>
      <c r="Z1094">
        <v>2</v>
      </c>
      <c r="AA1094">
        <v>1</v>
      </c>
      <c r="AB1094">
        <v>18</v>
      </c>
      <c r="AC1094">
        <v>3</v>
      </c>
      <c r="AD1094">
        <v>4</v>
      </c>
      <c r="AE1094">
        <v>13</v>
      </c>
      <c r="AF1094">
        <v>7</v>
      </c>
      <c r="AG1094">
        <v>5</v>
      </c>
      <c r="AH1094">
        <v>7</v>
      </c>
      <c r="AI1094">
        <f t="shared" si="119"/>
        <v>0</v>
      </c>
      <c r="AJ1094" t="str">
        <f t="shared" si="120"/>
        <v>10+ yrs</v>
      </c>
      <c r="AK1094" t="str">
        <f t="shared" si="121"/>
        <v>Overdue</v>
      </c>
      <c r="AL1094">
        <f t="shared" si="122"/>
        <v>2</v>
      </c>
      <c r="AM1094" t="str">
        <f t="shared" si="123"/>
        <v>Medium Risk</v>
      </c>
      <c r="AN1094" s="6">
        <f t="shared" si="124"/>
        <v>-0.67384530054679859</v>
      </c>
      <c r="AO1094" s="7">
        <f t="shared" si="125"/>
        <v>198288</v>
      </c>
    </row>
    <row r="1095" spans="1:41" x14ac:dyDescent="0.3">
      <c r="A1095" t="s">
        <v>1161</v>
      </c>
      <c r="B1095">
        <v>42</v>
      </c>
      <c r="C1095" t="s">
        <v>802</v>
      </c>
      <c r="D1095" t="s">
        <v>55</v>
      </c>
      <c r="E1095" t="s">
        <v>48</v>
      </c>
      <c r="F1095">
        <v>419</v>
      </c>
      <c r="G1095" t="s">
        <v>932</v>
      </c>
      <c r="H1095">
        <v>12</v>
      </c>
      <c r="I1095">
        <v>4</v>
      </c>
      <c r="J1095" t="s">
        <v>63</v>
      </c>
      <c r="K1095">
        <v>1943</v>
      </c>
      <c r="L1095">
        <v>2</v>
      </c>
      <c r="M1095" t="s">
        <v>51</v>
      </c>
      <c r="N1095">
        <v>3</v>
      </c>
      <c r="O1095">
        <v>2</v>
      </c>
      <c r="P1095" t="s">
        <v>145</v>
      </c>
      <c r="Q1095">
        <v>4</v>
      </c>
      <c r="R1095" t="s">
        <v>113</v>
      </c>
      <c r="S1095">
        <v>20282</v>
      </c>
      <c r="T1095" t="s">
        <v>54</v>
      </c>
      <c r="U1095">
        <v>126.76</v>
      </c>
      <c r="V1095">
        <v>3</v>
      </c>
      <c r="W1095" t="s">
        <v>47</v>
      </c>
      <c r="X1095">
        <v>12</v>
      </c>
      <c r="Y1095">
        <v>3</v>
      </c>
      <c r="Z1095">
        <v>3</v>
      </c>
      <c r="AA1095">
        <v>2</v>
      </c>
      <c r="AB1095">
        <v>14</v>
      </c>
      <c r="AC1095">
        <v>4</v>
      </c>
      <c r="AD1095">
        <v>3</v>
      </c>
      <c r="AE1095">
        <v>0</v>
      </c>
      <c r="AF1095">
        <v>0</v>
      </c>
      <c r="AG1095">
        <v>0</v>
      </c>
      <c r="AH1095">
        <v>0</v>
      </c>
      <c r="AI1095">
        <f t="shared" si="119"/>
        <v>0</v>
      </c>
      <c r="AJ1095" t="str">
        <f t="shared" si="120"/>
        <v>0-1 yr</v>
      </c>
      <c r="AK1095" t="str">
        <f t="shared" si="121"/>
        <v>Recent</v>
      </c>
      <c r="AL1095">
        <f t="shared" si="122"/>
        <v>1</v>
      </c>
      <c r="AM1095" t="str">
        <f t="shared" si="123"/>
        <v>Low Risk</v>
      </c>
      <c r="AN1095" s="6">
        <f t="shared" si="124"/>
        <v>-0.58657074144402832</v>
      </c>
      <c r="AO1095" s="7">
        <f t="shared" si="125"/>
        <v>243384</v>
      </c>
    </row>
    <row r="1096" spans="1:41" x14ac:dyDescent="0.3">
      <c r="A1096" t="s">
        <v>1162</v>
      </c>
      <c r="B1096">
        <v>42</v>
      </c>
      <c r="C1096" t="s">
        <v>802</v>
      </c>
      <c r="D1096" t="s">
        <v>55</v>
      </c>
      <c r="E1096" t="s">
        <v>66</v>
      </c>
      <c r="F1096">
        <v>335</v>
      </c>
      <c r="G1096" t="s">
        <v>735</v>
      </c>
      <c r="H1096">
        <v>23</v>
      </c>
      <c r="I1096">
        <v>2</v>
      </c>
      <c r="J1096" t="s">
        <v>50</v>
      </c>
      <c r="K1096">
        <v>1976</v>
      </c>
      <c r="L1096">
        <v>4</v>
      </c>
      <c r="M1096" t="s">
        <v>51</v>
      </c>
      <c r="N1096">
        <v>2</v>
      </c>
      <c r="O1096">
        <v>2</v>
      </c>
      <c r="P1096" t="s">
        <v>67</v>
      </c>
      <c r="Q1096">
        <v>3</v>
      </c>
      <c r="R1096" t="s">
        <v>53</v>
      </c>
      <c r="S1096">
        <v>24930</v>
      </c>
      <c r="T1096" t="s">
        <v>54</v>
      </c>
      <c r="U1096">
        <v>155.81</v>
      </c>
      <c r="V1096">
        <v>1</v>
      </c>
      <c r="W1096" t="s">
        <v>55</v>
      </c>
      <c r="X1096">
        <v>12</v>
      </c>
      <c r="Y1096">
        <v>3</v>
      </c>
      <c r="Z1096">
        <v>4</v>
      </c>
      <c r="AA1096">
        <v>0</v>
      </c>
      <c r="AB1096">
        <v>20</v>
      </c>
      <c r="AC1096">
        <v>2</v>
      </c>
      <c r="AD1096">
        <v>3</v>
      </c>
      <c r="AE1096">
        <v>20</v>
      </c>
      <c r="AF1096">
        <v>9</v>
      </c>
      <c r="AG1096">
        <v>3</v>
      </c>
      <c r="AH1096">
        <v>7</v>
      </c>
      <c r="AI1096">
        <f t="shared" si="119"/>
        <v>0</v>
      </c>
      <c r="AJ1096" t="str">
        <f t="shared" si="120"/>
        <v>10+ yrs</v>
      </c>
      <c r="AK1096" t="str">
        <f t="shared" si="121"/>
        <v>Overdue</v>
      </c>
      <c r="AL1096">
        <f t="shared" si="122"/>
        <v>1</v>
      </c>
      <c r="AM1096" t="str">
        <f t="shared" si="123"/>
        <v>Low Risk</v>
      </c>
      <c r="AN1096" s="6">
        <f t="shared" si="124"/>
        <v>-0.50006118774865227</v>
      </c>
      <c r="AO1096" s="7">
        <f t="shared" si="125"/>
        <v>299160</v>
      </c>
    </row>
    <row r="1097" spans="1:41" x14ac:dyDescent="0.3">
      <c r="A1097" t="s">
        <v>1163</v>
      </c>
      <c r="B1097">
        <v>42</v>
      </c>
      <c r="C1097" t="s">
        <v>802</v>
      </c>
      <c r="D1097" t="s">
        <v>55</v>
      </c>
      <c r="E1097" t="s">
        <v>48</v>
      </c>
      <c r="F1097">
        <v>557</v>
      </c>
      <c r="G1097" t="s">
        <v>735</v>
      </c>
      <c r="H1097">
        <v>18</v>
      </c>
      <c r="I1097">
        <v>4</v>
      </c>
      <c r="J1097" t="s">
        <v>50</v>
      </c>
      <c r="K1097">
        <v>1998</v>
      </c>
      <c r="L1097">
        <v>4</v>
      </c>
      <c r="M1097" t="s">
        <v>51</v>
      </c>
      <c r="N1097">
        <v>3</v>
      </c>
      <c r="O1097">
        <v>2</v>
      </c>
      <c r="P1097" t="s">
        <v>67</v>
      </c>
      <c r="Q1097">
        <v>1</v>
      </c>
      <c r="R1097" t="s">
        <v>113</v>
      </c>
      <c r="S1097">
        <v>1077</v>
      </c>
      <c r="T1097" t="s">
        <v>54</v>
      </c>
      <c r="U1097">
        <v>6.73</v>
      </c>
      <c r="V1097">
        <v>6</v>
      </c>
      <c r="W1097" t="s">
        <v>47</v>
      </c>
      <c r="X1097">
        <v>17</v>
      </c>
      <c r="Y1097">
        <v>3</v>
      </c>
      <c r="Z1097">
        <v>3</v>
      </c>
      <c r="AA1097">
        <v>1</v>
      </c>
      <c r="AB1097">
        <v>9</v>
      </c>
      <c r="AC1097">
        <v>3</v>
      </c>
      <c r="AD1097">
        <v>2</v>
      </c>
      <c r="AE1097">
        <v>4</v>
      </c>
      <c r="AF1097">
        <v>3</v>
      </c>
      <c r="AG1097">
        <v>1</v>
      </c>
      <c r="AH1097">
        <v>2</v>
      </c>
      <c r="AI1097">
        <f t="shared" si="119"/>
        <v>0</v>
      </c>
      <c r="AJ1097" t="str">
        <f t="shared" si="120"/>
        <v>4-5 yrs</v>
      </c>
      <c r="AK1097" t="str">
        <f t="shared" si="121"/>
        <v>Recent</v>
      </c>
      <c r="AL1097">
        <f t="shared" si="122"/>
        <v>3</v>
      </c>
      <c r="AM1097" t="str">
        <f t="shared" si="123"/>
        <v>High Risk</v>
      </c>
      <c r="AN1097" s="6">
        <f t="shared" si="124"/>
        <v>-0.97840216202187313</v>
      </c>
      <c r="AO1097" s="7">
        <f t="shared" si="125"/>
        <v>12924</v>
      </c>
    </row>
    <row r="1098" spans="1:41" x14ac:dyDescent="0.3">
      <c r="A1098" t="s">
        <v>1164</v>
      </c>
      <c r="B1098">
        <v>42</v>
      </c>
      <c r="C1098" t="s">
        <v>802</v>
      </c>
      <c r="D1098" t="s">
        <v>55</v>
      </c>
      <c r="E1098" t="s">
        <v>48</v>
      </c>
      <c r="F1098">
        <v>300</v>
      </c>
      <c r="G1098" t="s">
        <v>735</v>
      </c>
      <c r="H1098">
        <v>2</v>
      </c>
      <c r="I1098">
        <v>3</v>
      </c>
      <c r="J1098" t="s">
        <v>50</v>
      </c>
      <c r="K1098">
        <v>2031</v>
      </c>
      <c r="L1098">
        <v>1</v>
      </c>
      <c r="M1098" t="s">
        <v>51</v>
      </c>
      <c r="N1098">
        <v>3</v>
      </c>
      <c r="O1098">
        <v>5</v>
      </c>
      <c r="P1098" t="s">
        <v>444</v>
      </c>
      <c r="Q1098">
        <v>3</v>
      </c>
      <c r="R1098" t="s">
        <v>113</v>
      </c>
      <c r="S1098">
        <v>21611</v>
      </c>
      <c r="T1098" t="s">
        <v>54</v>
      </c>
      <c r="U1098">
        <v>135.07</v>
      </c>
      <c r="V1098">
        <v>5</v>
      </c>
      <c r="W1098" t="s">
        <v>55</v>
      </c>
      <c r="X1098">
        <v>11</v>
      </c>
      <c r="Y1098">
        <v>3</v>
      </c>
      <c r="Z1098">
        <v>1</v>
      </c>
      <c r="AA1098">
        <v>0</v>
      </c>
      <c r="AB1098">
        <v>24</v>
      </c>
      <c r="AC1098">
        <v>2</v>
      </c>
      <c r="AD1098">
        <v>2</v>
      </c>
      <c r="AE1098">
        <v>22</v>
      </c>
      <c r="AF1098">
        <v>6</v>
      </c>
      <c r="AG1098">
        <v>4</v>
      </c>
      <c r="AH1098">
        <v>14</v>
      </c>
      <c r="AI1098">
        <f t="shared" si="119"/>
        <v>0</v>
      </c>
      <c r="AJ1098" t="str">
        <f t="shared" si="120"/>
        <v>10+ yrs</v>
      </c>
      <c r="AK1098" t="str">
        <f t="shared" si="121"/>
        <v>Overdue</v>
      </c>
      <c r="AL1098">
        <f t="shared" si="122"/>
        <v>2</v>
      </c>
      <c r="AM1098" t="str">
        <f t="shared" si="123"/>
        <v>Medium Risk</v>
      </c>
      <c r="AN1098" s="6">
        <f t="shared" si="124"/>
        <v>-0.58598279412527032</v>
      </c>
      <c r="AO1098" s="7">
        <f t="shared" si="125"/>
        <v>259332</v>
      </c>
    </row>
    <row r="1099" spans="1:41" x14ac:dyDescent="0.3">
      <c r="A1099" t="s">
        <v>1165</v>
      </c>
      <c r="B1099">
        <v>43</v>
      </c>
      <c r="C1099" t="s">
        <v>802</v>
      </c>
      <c r="D1099" t="s">
        <v>55</v>
      </c>
      <c r="E1099" t="s">
        <v>48</v>
      </c>
      <c r="F1099">
        <v>1273</v>
      </c>
      <c r="G1099" t="s">
        <v>735</v>
      </c>
      <c r="H1099">
        <v>2</v>
      </c>
      <c r="I1099">
        <v>2</v>
      </c>
      <c r="J1099" t="s">
        <v>58</v>
      </c>
      <c r="K1099">
        <v>46</v>
      </c>
      <c r="L1099">
        <v>4</v>
      </c>
      <c r="M1099" t="s">
        <v>59</v>
      </c>
      <c r="N1099">
        <v>4</v>
      </c>
      <c r="O1099">
        <v>1</v>
      </c>
      <c r="P1099" t="s">
        <v>67</v>
      </c>
      <c r="Q1099">
        <v>3</v>
      </c>
      <c r="R1099" t="s">
        <v>113</v>
      </c>
      <c r="S1099">
        <v>17984</v>
      </c>
      <c r="T1099" t="s">
        <v>54</v>
      </c>
      <c r="U1099">
        <v>112.4</v>
      </c>
      <c r="V1099">
        <v>1</v>
      </c>
      <c r="W1099" t="s">
        <v>55</v>
      </c>
      <c r="X1099">
        <v>12</v>
      </c>
      <c r="Y1099">
        <v>3</v>
      </c>
      <c r="Z1099">
        <v>4</v>
      </c>
      <c r="AA1099">
        <v>2</v>
      </c>
      <c r="AB1099">
        <v>6</v>
      </c>
      <c r="AC1099">
        <v>3</v>
      </c>
      <c r="AD1099">
        <v>2</v>
      </c>
      <c r="AE1099">
        <v>5</v>
      </c>
      <c r="AF1099">
        <v>3</v>
      </c>
      <c r="AG1099">
        <v>1</v>
      </c>
      <c r="AH1099">
        <v>4</v>
      </c>
      <c r="AI1099">
        <f t="shared" si="119"/>
        <v>0</v>
      </c>
      <c r="AJ1099" t="str">
        <f t="shared" si="120"/>
        <v>4-5 yrs</v>
      </c>
      <c r="AK1099" t="str">
        <f t="shared" si="121"/>
        <v>Recent</v>
      </c>
      <c r="AL1099">
        <f t="shared" si="122"/>
        <v>1</v>
      </c>
      <c r="AM1099" t="str">
        <f t="shared" si="123"/>
        <v>Low Risk</v>
      </c>
      <c r="AN1099" s="6">
        <f t="shared" si="124"/>
        <v>-0.6393542078007125</v>
      </c>
      <c r="AO1099" s="7">
        <f t="shared" si="125"/>
        <v>215808</v>
      </c>
    </row>
    <row r="1100" spans="1:41" x14ac:dyDescent="0.3">
      <c r="A1100" t="s">
        <v>1166</v>
      </c>
      <c r="B1100">
        <v>43</v>
      </c>
      <c r="C1100" t="s">
        <v>802</v>
      </c>
      <c r="D1100" t="s">
        <v>55</v>
      </c>
      <c r="E1100" t="s">
        <v>62</v>
      </c>
      <c r="F1100">
        <v>394</v>
      </c>
      <c r="G1100" t="s">
        <v>932</v>
      </c>
      <c r="H1100">
        <v>26</v>
      </c>
      <c r="I1100">
        <v>2</v>
      </c>
      <c r="J1100" t="s">
        <v>50</v>
      </c>
      <c r="K1100">
        <v>158</v>
      </c>
      <c r="L1100">
        <v>3</v>
      </c>
      <c r="M1100" t="s">
        <v>51</v>
      </c>
      <c r="N1100">
        <v>3</v>
      </c>
      <c r="O1100">
        <v>4</v>
      </c>
      <c r="P1100" t="s">
        <v>444</v>
      </c>
      <c r="Q1100">
        <v>4</v>
      </c>
      <c r="R1100" t="s">
        <v>113</v>
      </c>
      <c r="S1100">
        <v>15060</v>
      </c>
      <c r="T1100" t="s">
        <v>54</v>
      </c>
      <c r="U1100">
        <v>94.12</v>
      </c>
      <c r="V1100">
        <v>1</v>
      </c>
      <c r="W1100" t="s">
        <v>47</v>
      </c>
      <c r="X1100">
        <v>12</v>
      </c>
      <c r="Y1100">
        <v>3</v>
      </c>
      <c r="Z1100">
        <v>4</v>
      </c>
      <c r="AA1100">
        <v>2</v>
      </c>
      <c r="AB1100">
        <v>25</v>
      </c>
      <c r="AC1100">
        <v>3</v>
      </c>
      <c r="AD1100">
        <v>4</v>
      </c>
      <c r="AE1100">
        <v>25</v>
      </c>
      <c r="AF1100">
        <v>12</v>
      </c>
      <c r="AG1100">
        <v>4</v>
      </c>
      <c r="AH1100">
        <v>12</v>
      </c>
      <c r="AI1100">
        <f t="shared" si="119"/>
        <v>0</v>
      </c>
      <c r="AJ1100" t="str">
        <f t="shared" si="120"/>
        <v>10+ yrs</v>
      </c>
      <c r="AK1100" t="str">
        <f t="shared" si="121"/>
        <v>Overdue</v>
      </c>
      <c r="AL1100">
        <f t="shared" si="122"/>
        <v>2</v>
      </c>
      <c r="AM1100" t="str">
        <f t="shared" si="123"/>
        <v>Medium Risk</v>
      </c>
      <c r="AN1100" s="6">
        <f t="shared" si="124"/>
        <v>-0.71148493265126889</v>
      </c>
      <c r="AO1100" s="7">
        <f t="shared" si="125"/>
        <v>180720</v>
      </c>
    </row>
    <row r="1101" spans="1:41" x14ac:dyDescent="0.3">
      <c r="A1101" t="s">
        <v>1167</v>
      </c>
      <c r="B1101">
        <v>43</v>
      </c>
      <c r="C1101" t="s">
        <v>802</v>
      </c>
      <c r="D1101" t="s">
        <v>55</v>
      </c>
      <c r="E1101" t="s">
        <v>62</v>
      </c>
      <c r="F1101">
        <v>957</v>
      </c>
      <c r="G1101" t="s">
        <v>735</v>
      </c>
      <c r="H1101">
        <v>28</v>
      </c>
      <c r="I1101">
        <v>3</v>
      </c>
      <c r="J1101" t="s">
        <v>58</v>
      </c>
      <c r="K1101">
        <v>171</v>
      </c>
      <c r="L1101">
        <v>2</v>
      </c>
      <c r="M1101" t="s">
        <v>59</v>
      </c>
      <c r="N1101">
        <v>4</v>
      </c>
      <c r="O1101">
        <v>1</v>
      </c>
      <c r="P1101" t="s">
        <v>67</v>
      </c>
      <c r="Q1101">
        <v>3</v>
      </c>
      <c r="R1101" t="s">
        <v>53</v>
      </c>
      <c r="S1101">
        <v>83985</v>
      </c>
      <c r="T1101" t="s">
        <v>70</v>
      </c>
      <c r="U1101">
        <v>524.91</v>
      </c>
      <c r="V1101">
        <v>4</v>
      </c>
      <c r="W1101" t="s">
        <v>55</v>
      </c>
      <c r="X1101">
        <v>12</v>
      </c>
      <c r="Y1101">
        <v>3</v>
      </c>
      <c r="Z1101">
        <v>4</v>
      </c>
      <c r="AA1101">
        <v>0</v>
      </c>
      <c r="AB1101">
        <v>18</v>
      </c>
      <c r="AC1101">
        <v>2</v>
      </c>
      <c r="AD1101">
        <v>3</v>
      </c>
      <c r="AE1101">
        <v>3</v>
      </c>
      <c r="AF1101">
        <v>2</v>
      </c>
      <c r="AG1101">
        <v>1</v>
      </c>
      <c r="AH1101">
        <v>2</v>
      </c>
      <c r="AI1101">
        <f t="shared" si="119"/>
        <v>0</v>
      </c>
      <c r="AJ1101" t="str">
        <f t="shared" si="120"/>
        <v>2-3 yrs</v>
      </c>
      <c r="AK1101" t="str">
        <f t="shared" si="121"/>
        <v>Recent</v>
      </c>
      <c r="AL1101">
        <f t="shared" si="122"/>
        <v>0</v>
      </c>
      <c r="AM1101" t="str">
        <f t="shared" si="123"/>
        <v>Minimal Risk</v>
      </c>
      <c r="AN1101" s="6">
        <f t="shared" si="124"/>
        <v>0.68421023453387253</v>
      </c>
      <c r="AO1101" s="7">
        <f t="shared" si="125"/>
        <v>1007820</v>
      </c>
    </row>
    <row r="1102" spans="1:41" x14ac:dyDescent="0.3">
      <c r="A1102" t="s">
        <v>1168</v>
      </c>
      <c r="B1102">
        <v>43</v>
      </c>
      <c r="C1102" t="s">
        <v>802</v>
      </c>
      <c r="D1102" t="s">
        <v>55</v>
      </c>
      <c r="E1102" t="s">
        <v>66</v>
      </c>
      <c r="F1102">
        <v>1344</v>
      </c>
      <c r="G1102" t="s">
        <v>735</v>
      </c>
      <c r="H1102">
        <v>7</v>
      </c>
      <c r="I1102">
        <v>3</v>
      </c>
      <c r="J1102" t="s">
        <v>58</v>
      </c>
      <c r="K1102">
        <v>262</v>
      </c>
      <c r="L1102">
        <v>4</v>
      </c>
      <c r="M1102" t="s">
        <v>51</v>
      </c>
      <c r="N1102">
        <v>4</v>
      </c>
      <c r="O1102">
        <v>1</v>
      </c>
      <c r="P1102" t="s">
        <v>67</v>
      </c>
      <c r="Q1102">
        <v>4</v>
      </c>
      <c r="R1102" t="s">
        <v>53</v>
      </c>
      <c r="S1102">
        <v>85056</v>
      </c>
      <c r="T1102" t="s">
        <v>70</v>
      </c>
      <c r="U1102">
        <v>531.6</v>
      </c>
      <c r="V1102">
        <v>4</v>
      </c>
      <c r="W1102" t="s">
        <v>55</v>
      </c>
      <c r="X1102">
        <v>14</v>
      </c>
      <c r="Y1102">
        <v>3</v>
      </c>
      <c r="Z1102">
        <v>4</v>
      </c>
      <c r="AA1102">
        <v>3</v>
      </c>
      <c r="AB1102">
        <v>7</v>
      </c>
      <c r="AC1102">
        <v>3</v>
      </c>
      <c r="AD1102">
        <v>4</v>
      </c>
      <c r="AE1102">
        <v>5</v>
      </c>
      <c r="AF1102">
        <v>4</v>
      </c>
      <c r="AG1102">
        <v>2</v>
      </c>
      <c r="AH1102">
        <v>2</v>
      </c>
      <c r="AI1102">
        <f t="shared" si="119"/>
        <v>0</v>
      </c>
      <c r="AJ1102" t="str">
        <f t="shared" si="120"/>
        <v>4-5 yrs</v>
      </c>
      <c r="AK1102" t="str">
        <f t="shared" si="121"/>
        <v>Recent</v>
      </c>
      <c r="AL1102">
        <f t="shared" si="122"/>
        <v>0</v>
      </c>
      <c r="AM1102" t="str">
        <f t="shared" si="123"/>
        <v>Minimal Risk</v>
      </c>
      <c r="AN1102" s="6">
        <f t="shared" si="124"/>
        <v>0.70568775029485098</v>
      </c>
      <c r="AO1102" s="7">
        <f t="shared" si="125"/>
        <v>1020672</v>
      </c>
    </row>
    <row r="1103" spans="1:41" x14ac:dyDescent="0.3">
      <c r="A1103" t="s">
        <v>1169</v>
      </c>
      <c r="B1103">
        <v>43</v>
      </c>
      <c r="C1103" t="s">
        <v>802</v>
      </c>
      <c r="D1103" t="s">
        <v>55</v>
      </c>
      <c r="E1103" t="s">
        <v>48</v>
      </c>
      <c r="F1103">
        <v>1034</v>
      </c>
      <c r="G1103" t="s">
        <v>932</v>
      </c>
      <c r="H1103">
        <v>16</v>
      </c>
      <c r="I1103">
        <v>3</v>
      </c>
      <c r="J1103" t="s">
        <v>63</v>
      </c>
      <c r="K1103">
        <v>327</v>
      </c>
      <c r="L1103">
        <v>4</v>
      </c>
      <c r="M1103" t="s">
        <v>59</v>
      </c>
      <c r="N1103">
        <v>3</v>
      </c>
      <c r="O1103">
        <v>4</v>
      </c>
      <c r="P1103" t="s">
        <v>444</v>
      </c>
      <c r="Q1103">
        <v>4</v>
      </c>
      <c r="R1103" t="s">
        <v>113</v>
      </c>
      <c r="S1103">
        <v>44303</v>
      </c>
      <c r="T1103" t="s">
        <v>72</v>
      </c>
      <c r="U1103">
        <v>276.89</v>
      </c>
      <c r="V1103">
        <v>5</v>
      </c>
      <c r="W1103" t="s">
        <v>47</v>
      </c>
      <c r="X1103">
        <v>22</v>
      </c>
      <c r="Y1103">
        <v>4</v>
      </c>
      <c r="Z1103">
        <v>3</v>
      </c>
      <c r="AA1103">
        <v>1</v>
      </c>
      <c r="AB1103">
        <v>22</v>
      </c>
      <c r="AC1103">
        <v>3</v>
      </c>
      <c r="AD1103">
        <v>3</v>
      </c>
      <c r="AE1103">
        <v>17</v>
      </c>
      <c r="AF1103">
        <v>13</v>
      </c>
      <c r="AG1103">
        <v>1</v>
      </c>
      <c r="AH1103">
        <v>9</v>
      </c>
      <c r="AI1103">
        <f t="shared" si="119"/>
        <v>0</v>
      </c>
      <c r="AJ1103" t="str">
        <f t="shared" si="120"/>
        <v>10+ yrs</v>
      </c>
      <c r="AK1103" t="str">
        <f t="shared" si="121"/>
        <v>Recent</v>
      </c>
      <c r="AL1103">
        <f t="shared" si="122"/>
        <v>1</v>
      </c>
      <c r="AM1103" t="str">
        <f t="shared" si="123"/>
        <v>Low Risk</v>
      </c>
      <c r="AN1103" s="6">
        <f t="shared" si="124"/>
        <v>-0.15125610698865638</v>
      </c>
      <c r="AO1103" s="7">
        <f t="shared" si="125"/>
        <v>531636</v>
      </c>
    </row>
    <row r="1104" spans="1:41" x14ac:dyDescent="0.3">
      <c r="A1104" t="s">
        <v>1170</v>
      </c>
      <c r="B1104">
        <v>43</v>
      </c>
      <c r="C1104" t="s">
        <v>802</v>
      </c>
      <c r="D1104" t="s">
        <v>55</v>
      </c>
      <c r="E1104" t="s">
        <v>62</v>
      </c>
      <c r="F1104">
        <v>185</v>
      </c>
      <c r="G1104" t="s">
        <v>735</v>
      </c>
      <c r="H1104">
        <v>10</v>
      </c>
      <c r="I1104">
        <v>4</v>
      </c>
      <c r="J1104" t="s">
        <v>50</v>
      </c>
      <c r="K1104">
        <v>430</v>
      </c>
      <c r="L1104">
        <v>3</v>
      </c>
      <c r="M1104" t="s">
        <v>59</v>
      </c>
      <c r="N1104">
        <v>3</v>
      </c>
      <c r="O1104">
        <v>1</v>
      </c>
      <c r="P1104" t="s">
        <v>52</v>
      </c>
      <c r="Q1104">
        <v>4</v>
      </c>
      <c r="R1104" t="s">
        <v>53</v>
      </c>
      <c r="S1104">
        <v>60207</v>
      </c>
      <c r="T1104" t="s">
        <v>64</v>
      </c>
      <c r="U1104">
        <v>376.29</v>
      </c>
      <c r="V1104">
        <v>0</v>
      </c>
      <c r="W1104" t="s">
        <v>55</v>
      </c>
      <c r="X1104">
        <v>19</v>
      </c>
      <c r="Y1104">
        <v>3</v>
      </c>
      <c r="Z1104">
        <v>1</v>
      </c>
      <c r="AA1104">
        <v>0</v>
      </c>
      <c r="AB1104">
        <v>9</v>
      </c>
      <c r="AC1104">
        <v>5</v>
      </c>
      <c r="AD1104">
        <v>3</v>
      </c>
      <c r="AE1104">
        <v>8</v>
      </c>
      <c r="AF1104">
        <v>7</v>
      </c>
      <c r="AG1104">
        <v>1</v>
      </c>
      <c r="AH1104">
        <v>7</v>
      </c>
      <c r="AI1104">
        <f t="shared" si="119"/>
        <v>0</v>
      </c>
      <c r="AJ1104" t="str">
        <f t="shared" si="120"/>
        <v>6-10 yrs</v>
      </c>
      <c r="AK1104" t="str">
        <f t="shared" si="121"/>
        <v>Recent</v>
      </c>
      <c r="AL1104">
        <f t="shared" si="122"/>
        <v>0</v>
      </c>
      <c r="AM1104" t="str">
        <f t="shared" si="123"/>
        <v>Minimal Risk</v>
      </c>
      <c r="AN1104" s="6">
        <f t="shared" si="124"/>
        <v>0.16408165794305388</v>
      </c>
      <c r="AO1104" s="7">
        <f t="shared" si="125"/>
        <v>722484</v>
      </c>
    </row>
    <row r="1105" spans="1:41" x14ac:dyDescent="0.3">
      <c r="A1105" t="s">
        <v>1171</v>
      </c>
      <c r="B1105">
        <v>43</v>
      </c>
      <c r="C1105" t="s">
        <v>802</v>
      </c>
      <c r="D1105" t="s">
        <v>55</v>
      </c>
      <c r="E1105" t="s">
        <v>62</v>
      </c>
      <c r="F1105">
        <v>559</v>
      </c>
      <c r="G1105" t="s">
        <v>735</v>
      </c>
      <c r="H1105">
        <v>10</v>
      </c>
      <c r="I1105">
        <v>4</v>
      </c>
      <c r="J1105" t="s">
        <v>50</v>
      </c>
      <c r="K1105">
        <v>448</v>
      </c>
      <c r="L1105">
        <v>3</v>
      </c>
      <c r="M1105" t="s">
        <v>59</v>
      </c>
      <c r="N1105">
        <v>2</v>
      </c>
      <c r="O1105">
        <v>2</v>
      </c>
      <c r="P1105" t="s">
        <v>52</v>
      </c>
      <c r="Q1105">
        <v>3</v>
      </c>
      <c r="R1105" t="s">
        <v>53</v>
      </c>
      <c r="S1105">
        <v>76046</v>
      </c>
      <c r="T1105" t="s">
        <v>64</v>
      </c>
      <c r="U1105">
        <v>475.29</v>
      </c>
      <c r="V1105">
        <v>1</v>
      </c>
      <c r="W1105" t="s">
        <v>55</v>
      </c>
      <c r="X1105">
        <v>11</v>
      </c>
      <c r="Y1105">
        <v>3</v>
      </c>
      <c r="Z1105">
        <v>2</v>
      </c>
      <c r="AA1105">
        <v>1</v>
      </c>
      <c r="AB1105">
        <v>9</v>
      </c>
      <c r="AC1105">
        <v>3</v>
      </c>
      <c r="AD1105">
        <v>4</v>
      </c>
      <c r="AE1105">
        <v>9</v>
      </c>
      <c r="AF1105">
        <v>7</v>
      </c>
      <c r="AG1105">
        <v>0</v>
      </c>
      <c r="AH1105">
        <v>0</v>
      </c>
      <c r="AI1105">
        <f t="shared" si="119"/>
        <v>0</v>
      </c>
      <c r="AJ1105" t="str">
        <f t="shared" si="120"/>
        <v>6-10 yrs</v>
      </c>
      <c r="AK1105" t="str">
        <f t="shared" si="121"/>
        <v>Recent</v>
      </c>
      <c r="AL1105">
        <f t="shared" si="122"/>
        <v>0</v>
      </c>
      <c r="AM1105" t="str">
        <f t="shared" si="123"/>
        <v>Minimal Risk</v>
      </c>
      <c r="AN1105" s="6">
        <f t="shared" si="124"/>
        <v>0.4703232806806098</v>
      </c>
      <c r="AO1105" s="7">
        <f t="shared" si="125"/>
        <v>912552</v>
      </c>
    </row>
    <row r="1106" spans="1:41" x14ac:dyDescent="0.3">
      <c r="A1106" t="s">
        <v>1172</v>
      </c>
      <c r="B1106">
        <v>43</v>
      </c>
      <c r="C1106" t="s">
        <v>802</v>
      </c>
      <c r="D1106" t="s">
        <v>55</v>
      </c>
      <c r="E1106" t="s">
        <v>48</v>
      </c>
      <c r="F1106">
        <v>1001</v>
      </c>
      <c r="G1106" t="s">
        <v>735</v>
      </c>
      <c r="H1106">
        <v>7</v>
      </c>
      <c r="I1106">
        <v>3</v>
      </c>
      <c r="J1106" t="s">
        <v>50</v>
      </c>
      <c r="K1106">
        <v>451</v>
      </c>
      <c r="L1106">
        <v>3</v>
      </c>
      <c r="M1106" t="s">
        <v>59</v>
      </c>
      <c r="N1106">
        <v>3</v>
      </c>
      <c r="O1106">
        <v>3</v>
      </c>
      <c r="P1106" t="s">
        <v>168</v>
      </c>
      <c r="Q1106">
        <v>1</v>
      </c>
      <c r="R1106" t="s">
        <v>113</v>
      </c>
      <c r="S1106">
        <v>30287</v>
      </c>
      <c r="T1106" t="s">
        <v>72</v>
      </c>
      <c r="U1106">
        <v>189.29</v>
      </c>
      <c r="V1106">
        <v>8</v>
      </c>
      <c r="W1106" t="s">
        <v>55</v>
      </c>
      <c r="X1106">
        <v>16</v>
      </c>
      <c r="Y1106">
        <v>3</v>
      </c>
      <c r="Z1106">
        <v>1</v>
      </c>
      <c r="AA1106">
        <v>1</v>
      </c>
      <c r="AB1106">
        <v>10</v>
      </c>
      <c r="AC1106">
        <v>1</v>
      </c>
      <c r="AD1106">
        <v>2</v>
      </c>
      <c r="AE1106">
        <v>1</v>
      </c>
      <c r="AF1106">
        <v>0</v>
      </c>
      <c r="AG1106">
        <v>0</v>
      </c>
      <c r="AH1106">
        <v>0</v>
      </c>
      <c r="AI1106">
        <f t="shared" si="119"/>
        <v>0</v>
      </c>
      <c r="AJ1106" t="str">
        <f t="shared" si="120"/>
        <v>0-1 yr</v>
      </c>
      <c r="AK1106" t="str">
        <f t="shared" si="121"/>
        <v>Recent</v>
      </c>
      <c r="AL1106">
        <f t="shared" si="122"/>
        <v>2</v>
      </c>
      <c r="AM1106" t="str">
        <f t="shared" si="123"/>
        <v>Medium Risk</v>
      </c>
      <c r="AN1106" s="6">
        <f t="shared" si="124"/>
        <v>-0.37149743273529306</v>
      </c>
      <c r="AO1106" s="7">
        <f t="shared" si="125"/>
        <v>363444</v>
      </c>
    </row>
    <row r="1107" spans="1:41" x14ac:dyDescent="0.3">
      <c r="A1107" t="s">
        <v>1173</v>
      </c>
      <c r="B1107">
        <v>43</v>
      </c>
      <c r="C1107" t="s">
        <v>802</v>
      </c>
      <c r="D1107" t="s">
        <v>55</v>
      </c>
      <c r="E1107" t="s">
        <v>48</v>
      </c>
      <c r="F1107">
        <v>982</v>
      </c>
      <c r="G1107" t="s">
        <v>735</v>
      </c>
      <c r="H1107">
        <v>12</v>
      </c>
      <c r="I1107">
        <v>3</v>
      </c>
      <c r="J1107" t="s">
        <v>50</v>
      </c>
      <c r="K1107">
        <v>520</v>
      </c>
      <c r="L1107">
        <v>1</v>
      </c>
      <c r="M1107" t="s">
        <v>51</v>
      </c>
      <c r="N1107">
        <v>2</v>
      </c>
      <c r="O1107">
        <v>4</v>
      </c>
      <c r="P1107" t="s">
        <v>257</v>
      </c>
      <c r="Q1107">
        <v>2</v>
      </c>
      <c r="R1107" t="s">
        <v>113</v>
      </c>
      <c r="S1107">
        <v>94709</v>
      </c>
      <c r="T1107" t="s">
        <v>70</v>
      </c>
      <c r="U1107">
        <v>591.92999999999995</v>
      </c>
      <c r="V1107">
        <v>1</v>
      </c>
      <c r="W1107" t="s">
        <v>55</v>
      </c>
      <c r="X1107">
        <v>11</v>
      </c>
      <c r="Y1107">
        <v>3</v>
      </c>
      <c r="Z1107">
        <v>3</v>
      </c>
      <c r="AA1107">
        <v>1</v>
      </c>
      <c r="AB1107">
        <v>25</v>
      </c>
      <c r="AC1107">
        <v>3</v>
      </c>
      <c r="AD1107">
        <v>3</v>
      </c>
      <c r="AE1107">
        <v>25</v>
      </c>
      <c r="AF1107">
        <v>10</v>
      </c>
      <c r="AG1107">
        <v>3</v>
      </c>
      <c r="AH1107">
        <v>9</v>
      </c>
      <c r="AI1107">
        <f t="shared" si="119"/>
        <v>0</v>
      </c>
      <c r="AJ1107" t="str">
        <f t="shared" si="120"/>
        <v>10+ yrs</v>
      </c>
      <c r="AK1107" t="str">
        <f t="shared" si="121"/>
        <v>Overdue</v>
      </c>
      <c r="AL1107">
        <f t="shared" si="122"/>
        <v>2</v>
      </c>
      <c r="AM1107" t="str">
        <f t="shared" si="123"/>
        <v>Medium Risk</v>
      </c>
      <c r="AN1107" s="6">
        <f t="shared" si="124"/>
        <v>0.86938909649680773</v>
      </c>
      <c r="AO1107" s="7">
        <f t="shared" si="125"/>
        <v>1136508</v>
      </c>
    </row>
    <row r="1108" spans="1:41" x14ac:dyDescent="0.3">
      <c r="A1108" t="s">
        <v>1174</v>
      </c>
      <c r="B1108">
        <v>43</v>
      </c>
      <c r="C1108" t="s">
        <v>802</v>
      </c>
      <c r="D1108" t="s">
        <v>55</v>
      </c>
      <c r="E1108" t="s">
        <v>62</v>
      </c>
      <c r="F1108">
        <v>313</v>
      </c>
      <c r="G1108" t="s">
        <v>735</v>
      </c>
      <c r="H1108">
        <v>21</v>
      </c>
      <c r="I1108">
        <v>3</v>
      </c>
      <c r="J1108" t="s">
        <v>58</v>
      </c>
      <c r="K1108">
        <v>525</v>
      </c>
      <c r="L1108">
        <v>4</v>
      </c>
      <c r="M1108" t="s">
        <v>51</v>
      </c>
      <c r="N1108">
        <v>3</v>
      </c>
      <c r="O1108">
        <v>1</v>
      </c>
      <c r="P1108" t="s">
        <v>52</v>
      </c>
      <c r="Q1108">
        <v>4</v>
      </c>
      <c r="R1108" t="s">
        <v>113</v>
      </c>
      <c r="S1108">
        <v>40711</v>
      </c>
      <c r="T1108" t="s">
        <v>72</v>
      </c>
      <c r="U1108">
        <v>254.44</v>
      </c>
      <c r="V1108">
        <v>7</v>
      </c>
      <c r="W1108" t="s">
        <v>55</v>
      </c>
      <c r="X1108">
        <v>20</v>
      </c>
      <c r="Y1108">
        <v>4</v>
      </c>
      <c r="Z1108">
        <v>1</v>
      </c>
      <c r="AA1108">
        <v>1</v>
      </c>
      <c r="AB1108">
        <v>8</v>
      </c>
      <c r="AC1108">
        <v>1</v>
      </c>
      <c r="AD1108">
        <v>3</v>
      </c>
      <c r="AE1108">
        <v>3</v>
      </c>
      <c r="AF1108">
        <v>2</v>
      </c>
      <c r="AG1108">
        <v>1</v>
      </c>
      <c r="AH1108">
        <v>2</v>
      </c>
      <c r="AI1108">
        <f t="shared" si="119"/>
        <v>0</v>
      </c>
      <c r="AJ1108" t="str">
        <f t="shared" si="120"/>
        <v>2-3 yrs</v>
      </c>
      <c r="AK1108" t="str">
        <f t="shared" si="121"/>
        <v>Recent</v>
      </c>
      <c r="AL1108">
        <f t="shared" si="122"/>
        <v>0</v>
      </c>
      <c r="AM1108" t="str">
        <f t="shared" si="123"/>
        <v>Minimal Risk</v>
      </c>
      <c r="AN1108" s="6">
        <f t="shared" si="124"/>
        <v>-0.21286680325344784</v>
      </c>
      <c r="AO1108" s="7">
        <f t="shared" si="125"/>
        <v>488532</v>
      </c>
    </row>
    <row r="1109" spans="1:41" x14ac:dyDescent="0.3">
      <c r="A1109" t="s">
        <v>1175</v>
      </c>
      <c r="B1109">
        <v>43</v>
      </c>
      <c r="C1109" t="s">
        <v>802</v>
      </c>
      <c r="D1109" t="s">
        <v>55</v>
      </c>
      <c r="E1109" t="s">
        <v>48</v>
      </c>
      <c r="F1109">
        <v>1473</v>
      </c>
      <c r="G1109" t="s">
        <v>735</v>
      </c>
      <c r="H1109">
        <v>8</v>
      </c>
      <c r="I1109">
        <v>4</v>
      </c>
      <c r="J1109" t="s">
        <v>82</v>
      </c>
      <c r="K1109">
        <v>526</v>
      </c>
      <c r="L1109">
        <v>3</v>
      </c>
      <c r="M1109" t="s">
        <v>59</v>
      </c>
      <c r="N1109">
        <v>3</v>
      </c>
      <c r="O1109">
        <v>2</v>
      </c>
      <c r="P1109" t="s">
        <v>168</v>
      </c>
      <c r="Q1109">
        <v>3</v>
      </c>
      <c r="R1109" t="s">
        <v>113</v>
      </c>
      <c r="S1109">
        <v>12954</v>
      </c>
      <c r="T1109" t="s">
        <v>54</v>
      </c>
      <c r="U1109">
        <v>80.959999999999994</v>
      </c>
      <c r="V1109">
        <v>4</v>
      </c>
      <c r="W1109" t="s">
        <v>47</v>
      </c>
      <c r="X1109">
        <v>14</v>
      </c>
      <c r="Y1109">
        <v>3</v>
      </c>
      <c r="Z1109">
        <v>4</v>
      </c>
      <c r="AA1109">
        <v>0</v>
      </c>
      <c r="AB1109">
        <v>8</v>
      </c>
      <c r="AC1109">
        <v>3</v>
      </c>
      <c r="AD1109">
        <v>3</v>
      </c>
      <c r="AE1109">
        <v>5</v>
      </c>
      <c r="AF1109">
        <v>2</v>
      </c>
      <c r="AG1109">
        <v>0</v>
      </c>
      <c r="AH1109">
        <v>2</v>
      </c>
      <c r="AI1109">
        <f t="shared" si="119"/>
        <v>0</v>
      </c>
      <c r="AJ1109" t="str">
        <f t="shared" si="120"/>
        <v>4-5 yrs</v>
      </c>
      <c r="AK1109" t="str">
        <f t="shared" si="121"/>
        <v>Recent</v>
      </c>
      <c r="AL1109">
        <f t="shared" si="122"/>
        <v>1</v>
      </c>
      <c r="AM1109" t="str">
        <f t="shared" si="123"/>
        <v>Low Risk</v>
      </c>
      <c r="AN1109" s="6">
        <f t="shared" si="124"/>
        <v>-0.73118426201515452</v>
      </c>
      <c r="AO1109" s="7">
        <f t="shared" si="125"/>
        <v>155448</v>
      </c>
    </row>
    <row r="1110" spans="1:41" x14ac:dyDescent="0.3">
      <c r="A1110" t="s">
        <v>1176</v>
      </c>
      <c r="B1110">
        <v>43</v>
      </c>
      <c r="C1110" t="s">
        <v>802</v>
      </c>
      <c r="D1110" t="s">
        <v>55</v>
      </c>
      <c r="E1110" t="s">
        <v>48</v>
      </c>
      <c r="F1110">
        <v>782</v>
      </c>
      <c r="G1110" t="s">
        <v>735</v>
      </c>
      <c r="H1110">
        <v>6</v>
      </c>
      <c r="I1110">
        <v>4</v>
      </c>
      <c r="J1110" t="s">
        <v>82</v>
      </c>
      <c r="K1110">
        <v>661</v>
      </c>
      <c r="L1110">
        <v>2</v>
      </c>
      <c r="M1110" t="s">
        <v>51</v>
      </c>
      <c r="N1110">
        <v>2</v>
      </c>
      <c r="O1110">
        <v>4</v>
      </c>
      <c r="P1110" t="s">
        <v>257</v>
      </c>
      <c r="Q1110">
        <v>4</v>
      </c>
      <c r="R1110" t="s">
        <v>113</v>
      </c>
      <c r="S1110">
        <v>74340</v>
      </c>
      <c r="T1110" t="s">
        <v>64</v>
      </c>
      <c r="U1110">
        <v>464.62</v>
      </c>
      <c r="V1110">
        <v>4</v>
      </c>
      <c r="W1110" t="s">
        <v>47</v>
      </c>
      <c r="X1110">
        <v>14</v>
      </c>
      <c r="Y1110">
        <v>3</v>
      </c>
      <c r="Z1110">
        <v>3</v>
      </c>
      <c r="AA1110">
        <v>1</v>
      </c>
      <c r="AB1110">
        <v>21</v>
      </c>
      <c r="AC1110">
        <v>3</v>
      </c>
      <c r="AD1110">
        <v>2</v>
      </c>
      <c r="AE1110">
        <v>1</v>
      </c>
      <c r="AF1110">
        <v>0</v>
      </c>
      <c r="AG1110">
        <v>0</v>
      </c>
      <c r="AH1110">
        <v>0</v>
      </c>
      <c r="AI1110">
        <f t="shared" si="119"/>
        <v>0</v>
      </c>
      <c r="AJ1110" t="str">
        <f t="shared" si="120"/>
        <v>0-1 yr</v>
      </c>
      <c r="AK1110" t="str">
        <f t="shared" si="121"/>
        <v>Recent</v>
      </c>
      <c r="AL1110">
        <f t="shared" si="122"/>
        <v>2</v>
      </c>
      <c r="AM1110" t="str">
        <f t="shared" si="123"/>
        <v>Medium Risk</v>
      </c>
      <c r="AN1110" s="6">
        <f t="shared" si="124"/>
        <v>0.46734085919577534</v>
      </c>
      <c r="AO1110" s="7">
        <f t="shared" si="125"/>
        <v>892080</v>
      </c>
    </row>
    <row r="1111" spans="1:41" x14ac:dyDescent="0.3">
      <c r="A1111" t="s">
        <v>1177</v>
      </c>
      <c r="B1111">
        <v>43</v>
      </c>
      <c r="C1111" t="s">
        <v>802</v>
      </c>
      <c r="D1111" t="s">
        <v>55</v>
      </c>
      <c r="E1111" t="s">
        <v>62</v>
      </c>
      <c r="F1111">
        <v>1001</v>
      </c>
      <c r="G1111" t="s">
        <v>735</v>
      </c>
      <c r="H1111">
        <v>9</v>
      </c>
      <c r="I1111">
        <v>5</v>
      </c>
      <c r="J1111" t="s">
        <v>58</v>
      </c>
      <c r="K1111">
        <v>663</v>
      </c>
      <c r="L1111">
        <v>4</v>
      </c>
      <c r="M1111" t="s">
        <v>51</v>
      </c>
      <c r="N1111">
        <v>3</v>
      </c>
      <c r="O1111">
        <v>2</v>
      </c>
      <c r="P1111" t="s">
        <v>52</v>
      </c>
      <c r="Q1111">
        <v>3</v>
      </c>
      <c r="R1111" t="s">
        <v>53</v>
      </c>
      <c r="S1111">
        <v>73101</v>
      </c>
      <c r="T1111" t="s">
        <v>64</v>
      </c>
      <c r="U1111">
        <v>456.88</v>
      </c>
      <c r="V1111">
        <v>3</v>
      </c>
      <c r="W1111" t="s">
        <v>47</v>
      </c>
      <c r="X1111">
        <v>13</v>
      </c>
      <c r="Y1111">
        <v>3</v>
      </c>
      <c r="Z1111">
        <v>2</v>
      </c>
      <c r="AA1111">
        <v>1</v>
      </c>
      <c r="AB1111">
        <v>10</v>
      </c>
      <c r="AC1111">
        <v>3</v>
      </c>
      <c r="AD1111">
        <v>3</v>
      </c>
      <c r="AE1111">
        <v>8</v>
      </c>
      <c r="AF1111">
        <v>7</v>
      </c>
      <c r="AG1111">
        <v>4</v>
      </c>
      <c r="AH1111">
        <v>7</v>
      </c>
      <c r="AI1111">
        <f t="shared" si="119"/>
        <v>0</v>
      </c>
      <c r="AJ1111" t="str">
        <f t="shared" si="120"/>
        <v>6-10 yrs</v>
      </c>
      <c r="AK1111" t="str">
        <f t="shared" si="121"/>
        <v>Overdue</v>
      </c>
      <c r="AL1111">
        <f t="shared" si="122"/>
        <v>2</v>
      </c>
      <c r="AM1111" t="str">
        <f t="shared" si="123"/>
        <v>Medium Risk</v>
      </c>
      <c r="AN1111" s="6">
        <f t="shared" si="124"/>
        <v>0.4133827175792712</v>
      </c>
      <c r="AO1111" s="7">
        <f t="shared" si="125"/>
        <v>877212</v>
      </c>
    </row>
    <row r="1112" spans="1:41" x14ac:dyDescent="0.3">
      <c r="A1112" t="s">
        <v>1178</v>
      </c>
      <c r="B1112">
        <v>43</v>
      </c>
      <c r="C1112" t="s">
        <v>802</v>
      </c>
      <c r="D1112" t="s">
        <v>55</v>
      </c>
      <c r="E1112" t="s">
        <v>62</v>
      </c>
      <c r="F1112">
        <v>775</v>
      </c>
      <c r="G1112" t="s">
        <v>932</v>
      </c>
      <c r="H1112">
        <v>15</v>
      </c>
      <c r="I1112">
        <v>3</v>
      </c>
      <c r="J1112" t="s">
        <v>50</v>
      </c>
      <c r="K1112">
        <v>754</v>
      </c>
      <c r="L1112">
        <v>4</v>
      </c>
      <c r="M1112" t="s">
        <v>51</v>
      </c>
      <c r="N1112">
        <v>2</v>
      </c>
      <c r="O1112">
        <v>2</v>
      </c>
      <c r="P1112" t="s">
        <v>145</v>
      </c>
      <c r="Q1112">
        <v>4</v>
      </c>
      <c r="R1112" t="s">
        <v>113</v>
      </c>
      <c r="S1112">
        <v>72520</v>
      </c>
      <c r="T1112" t="s">
        <v>64</v>
      </c>
      <c r="U1112">
        <v>453.25</v>
      </c>
      <c r="V1112">
        <v>3</v>
      </c>
      <c r="W1112" t="s">
        <v>55</v>
      </c>
      <c r="X1112">
        <v>18</v>
      </c>
      <c r="Y1112">
        <v>3</v>
      </c>
      <c r="Z1112">
        <v>3</v>
      </c>
      <c r="AA1112">
        <v>1</v>
      </c>
      <c r="AB1112">
        <v>7</v>
      </c>
      <c r="AC1112">
        <v>5</v>
      </c>
      <c r="AD1112">
        <v>3</v>
      </c>
      <c r="AE1112">
        <v>2</v>
      </c>
      <c r="AF1112">
        <v>2</v>
      </c>
      <c r="AG1112">
        <v>2</v>
      </c>
      <c r="AH1112">
        <v>2</v>
      </c>
      <c r="AI1112">
        <f t="shared" si="119"/>
        <v>0</v>
      </c>
      <c r="AJ1112" t="str">
        <f t="shared" si="120"/>
        <v>2-3 yrs</v>
      </c>
      <c r="AK1112" t="str">
        <f t="shared" si="121"/>
        <v>Recent</v>
      </c>
      <c r="AL1112">
        <f t="shared" si="122"/>
        <v>0</v>
      </c>
      <c r="AM1112" t="str">
        <f t="shared" si="123"/>
        <v>Minimal Risk</v>
      </c>
      <c r="AN1112" s="6">
        <f t="shared" si="124"/>
        <v>0.47825115030465776</v>
      </c>
      <c r="AO1112" s="7">
        <f t="shared" si="125"/>
        <v>870240</v>
      </c>
    </row>
    <row r="1113" spans="1:41" x14ac:dyDescent="0.3">
      <c r="A1113" t="s">
        <v>1179</v>
      </c>
      <c r="B1113">
        <v>43</v>
      </c>
      <c r="C1113" t="s">
        <v>802</v>
      </c>
      <c r="D1113" t="s">
        <v>55</v>
      </c>
      <c r="E1113" t="s">
        <v>48</v>
      </c>
      <c r="F1113">
        <v>589</v>
      </c>
      <c r="G1113" t="s">
        <v>735</v>
      </c>
      <c r="H1113">
        <v>14</v>
      </c>
      <c r="I1113">
        <v>2</v>
      </c>
      <c r="J1113" t="s">
        <v>50</v>
      </c>
      <c r="K1113">
        <v>843</v>
      </c>
      <c r="L1113">
        <v>2</v>
      </c>
      <c r="M1113" t="s">
        <v>51</v>
      </c>
      <c r="N1113">
        <v>3</v>
      </c>
      <c r="O1113">
        <v>4</v>
      </c>
      <c r="P1113" t="s">
        <v>257</v>
      </c>
      <c r="Q1113">
        <v>1</v>
      </c>
      <c r="R1113" t="s">
        <v>113</v>
      </c>
      <c r="S1113">
        <v>88062</v>
      </c>
      <c r="T1113" t="s">
        <v>70</v>
      </c>
      <c r="U1113">
        <v>550.39</v>
      </c>
      <c r="V1113">
        <v>6</v>
      </c>
      <c r="W1113" t="s">
        <v>55</v>
      </c>
      <c r="X1113">
        <v>24</v>
      </c>
      <c r="Y1113">
        <v>4</v>
      </c>
      <c r="Z1113">
        <v>3</v>
      </c>
      <c r="AA1113">
        <v>1</v>
      </c>
      <c r="AB1113">
        <v>22</v>
      </c>
      <c r="AC1113">
        <v>3</v>
      </c>
      <c r="AD1113">
        <v>3</v>
      </c>
      <c r="AE1113">
        <v>4</v>
      </c>
      <c r="AF1113">
        <v>1</v>
      </c>
      <c r="AG1113">
        <v>1</v>
      </c>
      <c r="AH1113">
        <v>0</v>
      </c>
      <c r="AI1113">
        <f t="shared" si="119"/>
        <v>0</v>
      </c>
      <c r="AJ1113" t="str">
        <f t="shared" si="120"/>
        <v>4-5 yrs</v>
      </c>
      <c r="AK1113" t="str">
        <f t="shared" si="121"/>
        <v>Recent</v>
      </c>
      <c r="AL1113">
        <f t="shared" si="122"/>
        <v>1</v>
      </c>
      <c r="AM1113" t="str">
        <f t="shared" si="123"/>
        <v>Low Risk</v>
      </c>
      <c r="AN1113" s="6">
        <f t="shared" si="124"/>
        <v>0.73818900649042729</v>
      </c>
      <c r="AO1113" s="7">
        <f t="shared" si="125"/>
        <v>1056744</v>
      </c>
    </row>
    <row r="1114" spans="1:41" x14ac:dyDescent="0.3">
      <c r="A1114" t="s">
        <v>1180</v>
      </c>
      <c r="B1114">
        <v>43</v>
      </c>
      <c r="C1114" t="s">
        <v>802</v>
      </c>
      <c r="D1114" t="s">
        <v>55</v>
      </c>
      <c r="E1114" t="s">
        <v>62</v>
      </c>
      <c r="F1114">
        <v>422</v>
      </c>
      <c r="G1114" t="s">
        <v>735</v>
      </c>
      <c r="H1114">
        <v>1</v>
      </c>
      <c r="I1114">
        <v>3</v>
      </c>
      <c r="J1114" t="s">
        <v>50</v>
      </c>
      <c r="K1114">
        <v>902</v>
      </c>
      <c r="L1114">
        <v>4</v>
      </c>
      <c r="M1114" t="s">
        <v>59</v>
      </c>
      <c r="N1114">
        <v>3</v>
      </c>
      <c r="O1114">
        <v>2</v>
      </c>
      <c r="P1114" t="s">
        <v>168</v>
      </c>
      <c r="Q1114">
        <v>4</v>
      </c>
      <c r="R1114" t="s">
        <v>113</v>
      </c>
      <c r="S1114">
        <v>19574</v>
      </c>
      <c r="T1114" t="s">
        <v>54</v>
      </c>
      <c r="U1114">
        <v>122.34</v>
      </c>
      <c r="V1114">
        <v>4</v>
      </c>
      <c r="W1114" t="s">
        <v>55</v>
      </c>
      <c r="X1114">
        <v>13</v>
      </c>
      <c r="Y1114">
        <v>3</v>
      </c>
      <c r="Z1114">
        <v>2</v>
      </c>
      <c r="AA1114">
        <v>1</v>
      </c>
      <c r="AB1114">
        <v>12</v>
      </c>
      <c r="AC1114">
        <v>2</v>
      </c>
      <c r="AD1114">
        <v>2</v>
      </c>
      <c r="AE1114">
        <v>5</v>
      </c>
      <c r="AF1114">
        <v>2</v>
      </c>
      <c r="AG1114">
        <v>2</v>
      </c>
      <c r="AH1114">
        <v>2</v>
      </c>
      <c r="AI1114">
        <f t="shared" si="119"/>
        <v>0</v>
      </c>
      <c r="AJ1114" t="str">
        <f t="shared" si="120"/>
        <v>4-5 yrs</v>
      </c>
      <c r="AK1114" t="str">
        <f t="shared" si="121"/>
        <v>Recent</v>
      </c>
      <c r="AL1114">
        <f t="shared" si="122"/>
        <v>1</v>
      </c>
      <c r="AM1114" t="str">
        <f t="shared" si="123"/>
        <v>Low Risk</v>
      </c>
      <c r="AN1114" s="6">
        <f t="shared" si="124"/>
        <v>-0.59380891961437665</v>
      </c>
      <c r="AO1114" s="7">
        <f t="shared" si="125"/>
        <v>234888</v>
      </c>
    </row>
    <row r="1115" spans="1:41" x14ac:dyDescent="0.3">
      <c r="A1115" t="s">
        <v>1181</v>
      </c>
      <c r="B1115">
        <v>43</v>
      </c>
      <c r="C1115" t="s">
        <v>802</v>
      </c>
      <c r="D1115" t="s">
        <v>55</v>
      </c>
      <c r="E1115" t="s">
        <v>48</v>
      </c>
      <c r="F1115">
        <v>177</v>
      </c>
      <c r="G1115" t="s">
        <v>735</v>
      </c>
      <c r="H1115">
        <v>8</v>
      </c>
      <c r="I1115">
        <v>3</v>
      </c>
      <c r="J1115" t="s">
        <v>50</v>
      </c>
      <c r="K1115">
        <v>920</v>
      </c>
      <c r="L1115">
        <v>1</v>
      </c>
      <c r="M1115" t="s">
        <v>59</v>
      </c>
      <c r="N1115">
        <v>3</v>
      </c>
      <c r="O1115">
        <v>2</v>
      </c>
      <c r="P1115" t="s">
        <v>120</v>
      </c>
      <c r="Q1115">
        <v>2</v>
      </c>
      <c r="R1115" t="s">
        <v>113</v>
      </c>
      <c r="S1115">
        <v>10184</v>
      </c>
      <c r="T1115" t="s">
        <v>54</v>
      </c>
      <c r="U1115">
        <v>63.65</v>
      </c>
      <c r="V1115">
        <v>4</v>
      </c>
      <c r="W1115" t="s">
        <v>55</v>
      </c>
      <c r="X1115">
        <v>21</v>
      </c>
      <c r="Y1115">
        <v>4</v>
      </c>
      <c r="Z1115">
        <v>3</v>
      </c>
      <c r="AA1115">
        <v>1</v>
      </c>
      <c r="AB1115">
        <v>4</v>
      </c>
      <c r="AC1115">
        <v>2</v>
      </c>
      <c r="AD1115">
        <v>4</v>
      </c>
      <c r="AE1115">
        <v>1</v>
      </c>
      <c r="AF1115">
        <v>0</v>
      </c>
      <c r="AG1115">
        <v>0</v>
      </c>
      <c r="AH1115">
        <v>0</v>
      </c>
      <c r="AI1115">
        <f t="shared" si="119"/>
        <v>0</v>
      </c>
      <c r="AJ1115" t="str">
        <f t="shared" si="120"/>
        <v>0-1 yr</v>
      </c>
      <c r="AK1115" t="str">
        <f t="shared" si="121"/>
        <v>Recent</v>
      </c>
      <c r="AL1115">
        <f t="shared" si="122"/>
        <v>1</v>
      </c>
      <c r="AM1115" t="str">
        <f t="shared" si="123"/>
        <v>Low Risk</v>
      </c>
      <c r="AN1115" s="6">
        <f t="shared" si="124"/>
        <v>-0.77008865926233927</v>
      </c>
      <c r="AO1115" s="7">
        <f t="shared" si="125"/>
        <v>122208</v>
      </c>
    </row>
    <row r="1116" spans="1:41" x14ac:dyDescent="0.3">
      <c r="A1116" t="s">
        <v>1182</v>
      </c>
      <c r="B1116">
        <v>43</v>
      </c>
      <c r="C1116" t="s">
        <v>802</v>
      </c>
      <c r="D1116" t="s">
        <v>55</v>
      </c>
      <c r="E1116" t="s">
        <v>48</v>
      </c>
      <c r="F1116">
        <v>415</v>
      </c>
      <c r="G1116" t="s">
        <v>932</v>
      </c>
      <c r="H1116">
        <v>25</v>
      </c>
      <c r="I1116">
        <v>3</v>
      </c>
      <c r="J1116" t="s">
        <v>58</v>
      </c>
      <c r="K1116">
        <v>1076</v>
      </c>
      <c r="L1116">
        <v>3</v>
      </c>
      <c r="M1116" t="s">
        <v>51</v>
      </c>
      <c r="N1116">
        <v>2</v>
      </c>
      <c r="O1116">
        <v>3</v>
      </c>
      <c r="P1116" t="s">
        <v>145</v>
      </c>
      <c r="Q1116">
        <v>4</v>
      </c>
      <c r="R1116" t="s">
        <v>113</v>
      </c>
      <c r="S1116">
        <v>20096</v>
      </c>
      <c r="T1116" t="s">
        <v>54</v>
      </c>
      <c r="U1116">
        <v>125.6</v>
      </c>
      <c r="V1116">
        <v>5</v>
      </c>
      <c r="W1116" t="s">
        <v>55</v>
      </c>
      <c r="X1116">
        <v>13</v>
      </c>
      <c r="Y1116">
        <v>3</v>
      </c>
      <c r="Z1116">
        <v>3</v>
      </c>
      <c r="AA1116">
        <v>1</v>
      </c>
      <c r="AB1116">
        <v>18</v>
      </c>
      <c r="AC1116">
        <v>5</v>
      </c>
      <c r="AD1116">
        <v>3</v>
      </c>
      <c r="AE1116">
        <v>1</v>
      </c>
      <c r="AF1116">
        <v>0</v>
      </c>
      <c r="AG1116">
        <v>0</v>
      </c>
      <c r="AH1116">
        <v>0</v>
      </c>
      <c r="AI1116">
        <f t="shared" si="119"/>
        <v>0</v>
      </c>
      <c r="AJ1116" t="str">
        <f t="shared" si="120"/>
        <v>0-1 yr</v>
      </c>
      <c r="AK1116" t="str">
        <f t="shared" si="121"/>
        <v>Recent</v>
      </c>
      <c r="AL1116">
        <f t="shared" si="122"/>
        <v>0</v>
      </c>
      <c r="AM1116" t="str">
        <f t="shared" si="123"/>
        <v>Minimal Risk</v>
      </c>
      <c r="AN1116" s="6">
        <f t="shared" si="124"/>
        <v>-0.5903621743446994</v>
      </c>
      <c r="AO1116" s="7">
        <f t="shared" si="125"/>
        <v>241152</v>
      </c>
    </row>
    <row r="1117" spans="1:41" x14ac:dyDescent="0.3">
      <c r="A1117" t="s">
        <v>1183</v>
      </c>
      <c r="B1117">
        <v>43</v>
      </c>
      <c r="C1117" t="s">
        <v>802</v>
      </c>
      <c r="D1117" t="s">
        <v>55</v>
      </c>
      <c r="E1117" t="s">
        <v>62</v>
      </c>
      <c r="F1117">
        <v>1082</v>
      </c>
      <c r="G1117" t="s">
        <v>735</v>
      </c>
      <c r="H1117">
        <v>27</v>
      </c>
      <c r="I1117">
        <v>3</v>
      </c>
      <c r="J1117" t="s">
        <v>50</v>
      </c>
      <c r="K1117">
        <v>1126</v>
      </c>
      <c r="L1117">
        <v>3</v>
      </c>
      <c r="M1117" t="s">
        <v>59</v>
      </c>
      <c r="N1117">
        <v>3</v>
      </c>
      <c r="O1117">
        <v>3</v>
      </c>
      <c r="P1117" t="s">
        <v>120</v>
      </c>
      <c r="Q1117">
        <v>1</v>
      </c>
      <c r="R1117" t="s">
        <v>113</v>
      </c>
      <c r="S1117">
        <v>68728</v>
      </c>
      <c r="T1117" t="s">
        <v>64</v>
      </c>
      <c r="U1117">
        <v>429.55</v>
      </c>
      <c r="V1117">
        <v>8</v>
      </c>
      <c r="W1117" t="s">
        <v>55</v>
      </c>
      <c r="X1117">
        <v>11</v>
      </c>
      <c r="Y1117">
        <v>3</v>
      </c>
      <c r="Z1117">
        <v>3</v>
      </c>
      <c r="AA1117">
        <v>1</v>
      </c>
      <c r="AB1117">
        <v>18</v>
      </c>
      <c r="AC1117">
        <v>1</v>
      </c>
      <c r="AD1117">
        <v>3</v>
      </c>
      <c r="AE1117">
        <v>8</v>
      </c>
      <c r="AF1117">
        <v>7</v>
      </c>
      <c r="AG1117">
        <v>0</v>
      </c>
      <c r="AH1117">
        <v>1</v>
      </c>
      <c r="AI1117">
        <f t="shared" si="119"/>
        <v>0</v>
      </c>
      <c r="AJ1117" t="str">
        <f t="shared" si="120"/>
        <v>6-10 yrs</v>
      </c>
      <c r="AK1117" t="str">
        <f t="shared" si="121"/>
        <v>Recent</v>
      </c>
      <c r="AL1117">
        <f t="shared" si="122"/>
        <v>1</v>
      </c>
      <c r="AM1117" t="str">
        <f t="shared" si="123"/>
        <v>Low Risk</v>
      </c>
      <c r="AN1117" s="6">
        <f t="shared" si="124"/>
        <v>0.5515854896129172</v>
      </c>
      <c r="AO1117" s="7">
        <f t="shared" si="125"/>
        <v>824736</v>
      </c>
    </row>
    <row r="1118" spans="1:41" x14ac:dyDescent="0.3">
      <c r="A1118" t="s">
        <v>1184</v>
      </c>
      <c r="B1118">
        <v>43</v>
      </c>
      <c r="C1118" t="s">
        <v>802</v>
      </c>
      <c r="D1118" t="s">
        <v>47</v>
      </c>
      <c r="E1118" t="s">
        <v>48</v>
      </c>
      <c r="F1118">
        <v>1372</v>
      </c>
      <c r="G1118" t="s">
        <v>932</v>
      </c>
      <c r="H1118">
        <v>9</v>
      </c>
      <c r="I1118">
        <v>3</v>
      </c>
      <c r="J1118" t="s">
        <v>63</v>
      </c>
      <c r="K1118">
        <v>1188</v>
      </c>
      <c r="L1118">
        <v>1</v>
      </c>
      <c r="M1118" t="s">
        <v>59</v>
      </c>
      <c r="N1118">
        <v>1</v>
      </c>
      <c r="O1118">
        <v>2</v>
      </c>
      <c r="P1118" t="s">
        <v>145</v>
      </c>
      <c r="Q1118">
        <v>3</v>
      </c>
      <c r="R1118" t="s">
        <v>53</v>
      </c>
      <c r="S1118">
        <v>35016</v>
      </c>
      <c r="T1118" t="s">
        <v>72</v>
      </c>
      <c r="U1118">
        <v>218.85</v>
      </c>
      <c r="V1118">
        <v>8</v>
      </c>
      <c r="W1118" t="s">
        <v>55</v>
      </c>
      <c r="X1118">
        <v>13</v>
      </c>
      <c r="Y1118">
        <v>3</v>
      </c>
      <c r="Z1118">
        <v>2</v>
      </c>
      <c r="AA1118">
        <v>0</v>
      </c>
      <c r="AB1118">
        <v>7</v>
      </c>
      <c r="AC1118">
        <v>2</v>
      </c>
      <c r="AD1118">
        <v>2</v>
      </c>
      <c r="AE1118">
        <v>4</v>
      </c>
      <c r="AF1118">
        <v>3</v>
      </c>
      <c r="AG1118">
        <v>1</v>
      </c>
      <c r="AH1118">
        <v>3</v>
      </c>
      <c r="AI1118">
        <f t="shared" si="119"/>
        <v>1</v>
      </c>
      <c r="AJ1118" t="str">
        <f t="shared" si="120"/>
        <v>4-5 yrs</v>
      </c>
      <c r="AK1118" t="str">
        <f t="shared" si="121"/>
        <v>Recent</v>
      </c>
      <c r="AL1118">
        <f t="shared" si="122"/>
        <v>1</v>
      </c>
      <c r="AM1118" t="str">
        <f t="shared" si="123"/>
        <v>Low Risk</v>
      </c>
      <c r="AN1118" s="6">
        <f t="shared" si="124"/>
        <v>-0.28623218037689058</v>
      </c>
      <c r="AO1118" s="7">
        <f t="shared" si="125"/>
        <v>420192</v>
      </c>
    </row>
    <row r="1119" spans="1:41" x14ac:dyDescent="0.3">
      <c r="A1119" t="s">
        <v>1185</v>
      </c>
      <c r="B1119">
        <v>43</v>
      </c>
      <c r="C1119" t="s">
        <v>802</v>
      </c>
      <c r="D1119" t="s">
        <v>55</v>
      </c>
      <c r="E1119" t="s">
        <v>48</v>
      </c>
      <c r="F1119">
        <v>920</v>
      </c>
      <c r="G1119" t="s">
        <v>735</v>
      </c>
      <c r="H1119">
        <v>3</v>
      </c>
      <c r="I1119">
        <v>3</v>
      </c>
      <c r="J1119" t="s">
        <v>50</v>
      </c>
      <c r="K1119">
        <v>1255</v>
      </c>
      <c r="L1119">
        <v>3</v>
      </c>
      <c r="M1119" t="s">
        <v>51</v>
      </c>
      <c r="N1119">
        <v>1</v>
      </c>
      <c r="O1119">
        <v>5</v>
      </c>
      <c r="P1119" t="s">
        <v>257</v>
      </c>
      <c r="Q1119">
        <v>4</v>
      </c>
      <c r="R1119" t="s">
        <v>113</v>
      </c>
      <c r="S1119">
        <v>12246</v>
      </c>
      <c r="T1119" t="s">
        <v>54</v>
      </c>
      <c r="U1119">
        <v>76.540000000000006</v>
      </c>
      <c r="V1119">
        <v>3</v>
      </c>
      <c r="W1119" t="s">
        <v>55</v>
      </c>
      <c r="X1119">
        <v>14</v>
      </c>
      <c r="Y1119">
        <v>3</v>
      </c>
      <c r="Z1119">
        <v>2</v>
      </c>
      <c r="AA1119">
        <v>1</v>
      </c>
      <c r="AB1119">
        <v>25</v>
      </c>
      <c r="AC1119">
        <v>2</v>
      </c>
      <c r="AD1119">
        <v>3</v>
      </c>
      <c r="AE1119">
        <v>8</v>
      </c>
      <c r="AF1119">
        <v>7</v>
      </c>
      <c r="AG1119">
        <v>0</v>
      </c>
      <c r="AH1119">
        <v>7</v>
      </c>
      <c r="AI1119">
        <f t="shared" si="119"/>
        <v>0</v>
      </c>
      <c r="AJ1119" t="str">
        <f t="shared" si="120"/>
        <v>6-10 yrs</v>
      </c>
      <c r="AK1119" t="str">
        <f t="shared" si="121"/>
        <v>Recent</v>
      </c>
      <c r="AL1119">
        <f t="shared" si="122"/>
        <v>0</v>
      </c>
      <c r="AM1119" t="str">
        <f t="shared" si="123"/>
        <v>Minimal Risk</v>
      </c>
      <c r="AN1119" s="6">
        <f t="shared" si="124"/>
        <v>-0.758285496883085</v>
      </c>
      <c r="AO1119" s="7">
        <f t="shared" si="125"/>
        <v>146952</v>
      </c>
    </row>
    <row r="1120" spans="1:41" x14ac:dyDescent="0.3">
      <c r="A1120" t="s">
        <v>1186</v>
      </c>
      <c r="B1120">
        <v>43</v>
      </c>
      <c r="C1120" t="s">
        <v>802</v>
      </c>
      <c r="D1120" t="s">
        <v>55</v>
      </c>
      <c r="E1120" t="s">
        <v>48</v>
      </c>
      <c r="F1120">
        <v>531</v>
      </c>
      <c r="G1120" t="s">
        <v>932</v>
      </c>
      <c r="H1120">
        <v>4</v>
      </c>
      <c r="I1120">
        <v>4</v>
      </c>
      <c r="J1120" t="s">
        <v>63</v>
      </c>
      <c r="K1120">
        <v>1293</v>
      </c>
      <c r="L1120">
        <v>4</v>
      </c>
      <c r="M1120" t="s">
        <v>59</v>
      </c>
      <c r="N1120">
        <v>2</v>
      </c>
      <c r="O1120">
        <v>3</v>
      </c>
      <c r="P1120" t="s">
        <v>145</v>
      </c>
      <c r="Q1120">
        <v>4</v>
      </c>
      <c r="R1120" t="s">
        <v>53</v>
      </c>
      <c r="S1120">
        <v>46558</v>
      </c>
      <c r="T1120" t="s">
        <v>72</v>
      </c>
      <c r="U1120">
        <v>290.99</v>
      </c>
      <c r="V1120">
        <v>3</v>
      </c>
      <c r="W1120" t="s">
        <v>55</v>
      </c>
      <c r="X1120">
        <v>14</v>
      </c>
      <c r="Y1120">
        <v>3</v>
      </c>
      <c r="Z1120">
        <v>4</v>
      </c>
      <c r="AA1120">
        <v>0</v>
      </c>
      <c r="AB1120">
        <v>23</v>
      </c>
      <c r="AC1120">
        <v>3</v>
      </c>
      <c r="AD1120">
        <v>4</v>
      </c>
      <c r="AE1120">
        <v>21</v>
      </c>
      <c r="AF1120">
        <v>7</v>
      </c>
      <c r="AG1120">
        <v>15</v>
      </c>
      <c r="AH1120">
        <v>17</v>
      </c>
      <c r="AI1120">
        <f t="shared" si="119"/>
        <v>0</v>
      </c>
      <c r="AJ1120" t="str">
        <f t="shared" si="120"/>
        <v>10+ yrs</v>
      </c>
      <c r="AK1120" t="str">
        <f t="shared" si="121"/>
        <v>Overdue</v>
      </c>
      <c r="AL1120">
        <f t="shared" si="122"/>
        <v>1</v>
      </c>
      <c r="AM1120" t="str">
        <f t="shared" si="123"/>
        <v>Low Risk</v>
      </c>
      <c r="AN1120" s="6">
        <f t="shared" si="124"/>
        <v>-5.0959500056753211E-2</v>
      </c>
      <c r="AO1120" s="7">
        <f t="shared" si="125"/>
        <v>558696</v>
      </c>
    </row>
    <row r="1121" spans="1:41" x14ac:dyDescent="0.3">
      <c r="A1121" t="s">
        <v>1187</v>
      </c>
      <c r="B1121">
        <v>43</v>
      </c>
      <c r="C1121" t="s">
        <v>802</v>
      </c>
      <c r="D1121" t="s">
        <v>55</v>
      </c>
      <c r="E1121" t="s">
        <v>48</v>
      </c>
      <c r="F1121">
        <v>930</v>
      </c>
      <c r="G1121" t="s">
        <v>735</v>
      </c>
      <c r="H1121">
        <v>6</v>
      </c>
      <c r="I1121">
        <v>3</v>
      </c>
      <c r="J1121" t="s">
        <v>58</v>
      </c>
      <c r="K1121">
        <v>1402</v>
      </c>
      <c r="L1121">
        <v>1</v>
      </c>
      <c r="M1121" t="s">
        <v>59</v>
      </c>
      <c r="N1121">
        <v>2</v>
      </c>
      <c r="O1121">
        <v>2</v>
      </c>
      <c r="P1121" t="s">
        <v>67</v>
      </c>
      <c r="Q1121">
        <v>3</v>
      </c>
      <c r="R1121" t="s">
        <v>53</v>
      </c>
      <c r="S1121">
        <v>19381</v>
      </c>
      <c r="T1121" t="s">
        <v>54</v>
      </c>
      <c r="U1121">
        <v>121.13</v>
      </c>
      <c r="V1121">
        <v>1</v>
      </c>
      <c r="W1121" t="s">
        <v>47</v>
      </c>
      <c r="X1121">
        <v>14</v>
      </c>
      <c r="Y1121">
        <v>3</v>
      </c>
      <c r="Z1121">
        <v>1</v>
      </c>
      <c r="AA1121">
        <v>0</v>
      </c>
      <c r="AB1121">
        <v>20</v>
      </c>
      <c r="AC1121">
        <v>3</v>
      </c>
      <c r="AD1121">
        <v>1</v>
      </c>
      <c r="AE1121">
        <v>20</v>
      </c>
      <c r="AF1121">
        <v>7</v>
      </c>
      <c r="AG1121">
        <v>1</v>
      </c>
      <c r="AH1121">
        <v>8</v>
      </c>
      <c r="AI1121">
        <f t="shared" si="119"/>
        <v>0</v>
      </c>
      <c r="AJ1121" t="str">
        <f t="shared" si="120"/>
        <v>10+ yrs</v>
      </c>
      <c r="AK1121" t="str">
        <f t="shared" si="121"/>
        <v>Recent</v>
      </c>
      <c r="AL1121">
        <f t="shared" si="122"/>
        <v>2</v>
      </c>
      <c r="AM1121" t="str">
        <f t="shared" si="123"/>
        <v>Medium Risk</v>
      </c>
      <c r="AN1121" s="6">
        <f t="shared" si="124"/>
        <v>-0.61133918490800754</v>
      </c>
      <c r="AO1121" s="7">
        <f t="shared" si="125"/>
        <v>232572</v>
      </c>
    </row>
    <row r="1122" spans="1:41" x14ac:dyDescent="0.3">
      <c r="A1122" t="s">
        <v>1188</v>
      </c>
      <c r="B1122">
        <v>43</v>
      </c>
      <c r="C1122" t="s">
        <v>802</v>
      </c>
      <c r="D1122" t="s">
        <v>55</v>
      </c>
      <c r="E1122" t="s">
        <v>48</v>
      </c>
      <c r="F1122">
        <v>990</v>
      </c>
      <c r="G1122" t="s">
        <v>735</v>
      </c>
      <c r="H1122">
        <v>27</v>
      </c>
      <c r="I1122">
        <v>3</v>
      </c>
      <c r="J1122" t="s">
        <v>77</v>
      </c>
      <c r="K1122">
        <v>1599</v>
      </c>
      <c r="L1122">
        <v>4</v>
      </c>
      <c r="M1122" t="s">
        <v>51</v>
      </c>
      <c r="N1122">
        <v>4</v>
      </c>
      <c r="O1122">
        <v>1</v>
      </c>
      <c r="P1122" t="s">
        <v>52</v>
      </c>
      <c r="Q1122">
        <v>2</v>
      </c>
      <c r="R1122" t="s">
        <v>113</v>
      </c>
      <c r="S1122">
        <v>37455</v>
      </c>
      <c r="T1122" t="s">
        <v>72</v>
      </c>
      <c r="U1122">
        <v>234.09</v>
      </c>
      <c r="V1122">
        <v>5</v>
      </c>
      <c r="W1122" t="s">
        <v>55</v>
      </c>
      <c r="X1122">
        <v>12</v>
      </c>
      <c r="Y1122">
        <v>3</v>
      </c>
      <c r="Z1122">
        <v>3</v>
      </c>
      <c r="AA1122">
        <v>1</v>
      </c>
      <c r="AB1122">
        <v>8</v>
      </c>
      <c r="AC1122">
        <v>0</v>
      </c>
      <c r="AD1122">
        <v>3</v>
      </c>
      <c r="AE1122">
        <v>6</v>
      </c>
      <c r="AF1122">
        <v>4</v>
      </c>
      <c r="AG1122">
        <v>0</v>
      </c>
      <c r="AH1122">
        <v>2</v>
      </c>
      <c r="AI1122">
        <f t="shared" si="119"/>
        <v>0</v>
      </c>
      <c r="AJ1122" t="str">
        <f t="shared" si="120"/>
        <v>6-10 yrs</v>
      </c>
      <c r="AK1122" t="str">
        <f t="shared" si="121"/>
        <v>Recent</v>
      </c>
      <c r="AL1122">
        <f t="shared" si="122"/>
        <v>1</v>
      </c>
      <c r="AM1122" t="str">
        <f t="shared" si="123"/>
        <v>Low Risk</v>
      </c>
      <c r="AN1122" s="6">
        <f t="shared" si="124"/>
        <v>-0.275820444495539</v>
      </c>
      <c r="AO1122" s="7">
        <f t="shared" si="125"/>
        <v>449460</v>
      </c>
    </row>
    <row r="1123" spans="1:41" x14ac:dyDescent="0.3">
      <c r="A1123" t="s">
        <v>1189</v>
      </c>
      <c r="B1123">
        <v>43</v>
      </c>
      <c r="C1123" t="s">
        <v>802</v>
      </c>
      <c r="D1123" t="s">
        <v>55</v>
      </c>
      <c r="E1123" t="s">
        <v>48</v>
      </c>
      <c r="F1123">
        <v>1291</v>
      </c>
      <c r="G1123" t="s">
        <v>735</v>
      </c>
      <c r="H1123">
        <v>15</v>
      </c>
      <c r="I1123">
        <v>2</v>
      </c>
      <c r="J1123" t="s">
        <v>50</v>
      </c>
      <c r="K1123">
        <v>1666</v>
      </c>
      <c r="L1123">
        <v>3</v>
      </c>
      <c r="M1123" t="s">
        <v>51</v>
      </c>
      <c r="N1123">
        <v>2</v>
      </c>
      <c r="O1123">
        <v>4</v>
      </c>
      <c r="P1123" t="s">
        <v>257</v>
      </c>
      <c r="Q1123">
        <v>3</v>
      </c>
      <c r="R1123" t="s">
        <v>113</v>
      </c>
      <c r="S1123">
        <v>93263</v>
      </c>
      <c r="T1123" t="s">
        <v>70</v>
      </c>
      <c r="U1123">
        <v>582.89</v>
      </c>
      <c r="V1123">
        <v>1</v>
      </c>
      <c r="W1123" t="s">
        <v>55</v>
      </c>
      <c r="X1123">
        <v>24</v>
      </c>
      <c r="Y1123">
        <v>4</v>
      </c>
      <c r="Z1123">
        <v>1</v>
      </c>
      <c r="AA1123">
        <v>1</v>
      </c>
      <c r="AB1123">
        <v>14</v>
      </c>
      <c r="AC1123">
        <v>3</v>
      </c>
      <c r="AD1123">
        <v>3</v>
      </c>
      <c r="AE1123">
        <v>14</v>
      </c>
      <c r="AF1123">
        <v>10</v>
      </c>
      <c r="AG1123">
        <v>6</v>
      </c>
      <c r="AH1123">
        <v>11</v>
      </c>
      <c r="AI1123">
        <f t="shared" si="119"/>
        <v>0</v>
      </c>
      <c r="AJ1123" t="str">
        <f t="shared" si="120"/>
        <v>10+ yrs</v>
      </c>
      <c r="AK1123" t="str">
        <f t="shared" si="121"/>
        <v>Overdue</v>
      </c>
      <c r="AL1123">
        <f t="shared" si="122"/>
        <v>1</v>
      </c>
      <c r="AM1123" t="str">
        <f t="shared" si="123"/>
        <v>Low Risk</v>
      </c>
      <c r="AN1123" s="6">
        <f t="shared" si="124"/>
        <v>0.84084759955845567</v>
      </c>
      <c r="AO1123" s="7">
        <f t="shared" si="125"/>
        <v>1119156</v>
      </c>
    </row>
    <row r="1124" spans="1:41" x14ac:dyDescent="0.3">
      <c r="A1124" t="s">
        <v>1190</v>
      </c>
      <c r="B1124">
        <v>43</v>
      </c>
      <c r="C1124" t="s">
        <v>802</v>
      </c>
      <c r="D1124" t="s">
        <v>55</v>
      </c>
      <c r="E1124" t="s">
        <v>48</v>
      </c>
      <c r="F1124">
        <v>1179</v>
      </c>
      <c r="G1124" t="s">
        <v>932</v>
      </c>
      <c r="H1124">
        <v>2</v>
      </c>
      <c r="I1124">
        <v>3</v>
      </c>
      <c r="J1124" t="s">
        <v>58</v>
      </c>
      <c r="K1124">
        <v>1706</v>
      </c>
      <c r="L1124">
        <v>4</v>
      </c>
      <c r="M1124" t="s">
        <v>51</v>
      </c>
      <c r="N1124">
        <v>3</v>
      </c>
      <c r="O1124">
        <v>2</v>
      </c>
      <c r="P1124" t="s">
        <v>145</v>
      </c>
      <c r="Q1124">
        <v>4</v>
      </c>
      <c r="R1124" t="s">
        <v>113</v>
      </c>
      <c r="S1124">
        <v>5018</v>
      </c>
      <c r="T1124" t="s">
        <v>54</v>
      </c>
      <c r="U1124">
        <v>31.36</v>
      </c>
      <c r="V1124">
        <v>1</v>
      </c>
      <c r="W1124" t="s">
        <v>47</v>
      </c>
      <c r="X1124">
        <v>17</v>
      </c>
      <c r="Y1124">
        <v>3</v>
      </c>
      <c r="Z1124">
        <v>1</v>
      </c>
      <c r="AA1124">
        <v>1</v>
      </c>
      <c r="AB1124">
        <v>10</v>
      </c>
      <c r="AC1124">
        <v>3</v>
      </c>
      <c r="AD1124">
        <v>3</v>
      </c>
      <c r="AE1124">
        <v>10</v>
      </c>
      <c r="AF1124">
        <v>9</v>
      </c>
      <c r="AG1124">
        <v>8</v>
      </c>
      <c r="AH1124">
        <v>8</v>
      </c>
      <c r="AI1124">
        <f t="shared" si="119"/>
        <v>0</v>
      </c>
      <c r="AJ1124" t="str">
        <f t="shared" si="120"/>
        <v>6-10 yrs</v>
      </c>
      <c r="AK1124" t="str">
        <f t="shared" si="121"/>
        <v>Overdue</v>
      </c>
      <c r="AL1124">
        <f t="shared" si="122"/>
        <v>2</v>
      </c>
      <c r="AM1124" t="str">
        <f t="shared" si="123"/>
        <v>Medium Risk</v>
      </c>
      <c r="AN1124" s="6">
        <f t="shared" si="124"/>
        <v>-0.89771284787329331</v>
      </c>
      <c r="AO1124" s="7">
        <f t="shared" si="125"/>
        <v>60216</v>
      </c>
    </row>
    <row r="1125" spans="1:41" x14ac:dyDescent="0.3">
      <c r="A1125" t="s">
        <v>1191</v>
      </c>
      <c r="B1125">
        <v>43</v>
      </c>
      <c r="C1125" t="s">
        <v>802</v>
      </c>
      <c r="D1125" t="s">
        <v>47</v>
      </c>
      <c r="E1125" t="s">
        <v>62</v>
      </c>
      <c r="F1125">
        <v>807</v>
      </c>
      <c r="G1125" t="s">
        <v>735</v>
      </c>
      <c r="H1125">
        <v>17</v>
      </c>
      <c r="I1125">
        <v>3</v>
      </c>
      <c r="J1125" t="s">
        <v>77</v>
      </c>
      <c r="K1125">
        <v>1767</v>
      </c>
      <c r="L1125">
        <v>3</v>
      </c>
      <c r="M1125" t="s">
        <v>51</v>
      </c>
      <c r="N1125">
        <v>2</v>
      </c>
      <c r="O1125">
        <v>1</v>
      </c>
      <c r="P1125" t="s">
        <v>67</v>
      </c>
      <c r="Q1125">
        <v>3</v>
      </c>
      <c r="R1125" t="s">
        <v>113</v>
      </c>
      <c r="S1125">
        <v>12302</v>
      </c>
      <c r="T1125" t="s">
        <v>54</v>
      </c>
      <c r="U1125">
        <v>76.89</v>
      </c>
      <c r="V1125">
        <v>9</v>
      </c>
      <c r="W1125" t="s">
        <v>47</v>
      </c>
      <c r="X1125">
        <v>16</v>
      </c>
      <c r="Y1125">
        <v>3</v>
      </c>
      <c r="Z1125">
        <v>4</v>
      </c>
      <c r="AA1125">
        <v>1</v>
      </c>
      <c r="AB1125">
        <v>6</v>
      </c>
      <c r="AC1125">
        <v>4</v>
      </c>
      <c r="AD1125">
        <v>3</v>
      </c>
      <c r="AE1125">
        <v>1</v>
      </c>
      <c r="AF1125">
        <v>0</v>
      </c>
      <c r="AG1125">
        <v>0</v>
      </c>
      <c r="AH1125">
        <v>0</v>
      </c>
      <c r="AI1125">
        <f t="shared" si="119"/>
        <v>1</v>
      </c>
      <c r="AJ1125" t="str">
        <f t="shared" si="120"/>
        <v>0-1 yr</v>
      </c>
      <c r="AK1125" t="str">
        <f t="shared" si="121"/>
        <v>Recent</v>
      </c>
      <c r="AL1125">
        <f t="shared" si="122"/>
        <v>1</v>
      </c>
      <c r="AM1125" t="str">
        <f t="shared" si="123"/>
        <v>Low Risk</v>
      </c>
      <c r="AN1125" s="6">
        <f t="shared" si="124"/>
        <v>-0.75329934744018934</v>
      </c>
      <c r="AO1125" s="7">
        <f t="shared" si="125"/>
        <v>147624</v>
      </c>
    </row>
    <row r="1126" spans="1:41" x14ac:dyDescent="0.3">
      <c r="A1126" t="s">
        <v>1192</v>
      </c>
      <c r="B1126">
        <v>43</v>
      </c>
      <c r="C1126" t="s">
        <v>802</v>
      </c>
      <c r="D1126" t="s">
        <v>55</v>
      </c>
      <c r="E1126" t="s">
        <v>48</v>
      </c>
      <c r="F1126">
        <v>244</v>
      </c>
      <c r="G1126" t="s">
        <v>406</v>
      </c>
      <c r="H1126">
        <v>2</v>
      </c>
      <c r="I1126">
        <v>3</v>
      </c>
      <c r="J1126" t="s">
        <v>50</v>
      </c>
      <c r="K1126">
        <v>1778</v>
      </c>
      <c r="L1126">
        <v>2</v>
      </c>
      <c r="M1126" t="s">
        <v>51</v>
      </c>
      <c r="N1126">
        <v>3</v>
      </c>
      <c r="O1126">
        <v>1</v>
      </c>
      <c r="P1126" t="s">
        <v>80</v>
      </c>
      <c r="Q1126">
        <v>4</v>
      </c>
      <c r="R1126" t="s">
        <v>53</v>
      </c>
      <c r="S1126">
        <v>68506</v>
      </c>
      <c r="T1126" t="s">
        <v>64</v>
      </c>
      <c r="U1126">
        <v>428.16</v>
      </c>
      <c r="V1126">
        <v>0</v>
      </c>
      <c r="W1126" t="s">
        <v>55</v>
      </c>
      <c r="X1126">
        <v>13</v>
      </c>
      <c r="Y1126">
        <v>3</v>
      </c>
      <c r="Z1126">
        <v>2</v>
      </c>
      <c r="AA1126">
        <v>0</v>
      </c>
      <c r="AB1126">
        <v>10</v>
      </c>
      <c r="AC1126">
        <v>5</v>
      </c>
      <c r="AD1126">
        <v>3</v>
      </c>
      <c r="AE1126">
        <v>9</v>
      </c>
      <c r="AF1126">
        <v>7</v>
      </c>
      <c r="AG1126">
        <v>1</v>
      </c>
      <c r="AH1126">
        <v>8</v>
      </c>
      <c r="AI1126">
        <f t="shared" si="119"/>
        <v>0</v>
      </c>
      <c r="AJ1126" t="str">
        <f t="shared" si="120"/>
        <v>6-10 yrs</v>
      </c>
      <c r="AK1126" t="str">
        <f t="shared" si="121"/>
        <v>Recent</v>
      </c>
      <c r="AL1126">
        <f t="shared" si="122"/>
        <v>0</v>
      </c>
      <c r="AM1126" t="str">
        <f t="shared" si="123"/>
        <v>Minimal Risk</v>
      </c>
      <c r="AN1126" s="6">
        <f t="shared" si="124"/>
        <v>0.35003050756246473</v>
      </c>
      <c r="AO1126" s="7">
        <f t="shared" si="125"/>
        <v>822072</v>
      </c>
    </row>
    <row r="1127" spans="1:41" x14ac:dyDescent="0.3">
      <c r="A1127" t="s">
        <v>1193</v>
      </c>
      <c r="B1127">
        <v>43</v>
      </c>
      <c r="C1127" t="s">
        <v>802</v>
      </c>
      <c r="D1127" t="s">
        <v>55</v>
      </c>
      <c r="E1127" t="s">
        <v>66</v>
      </c>
      <c r="F1127">
        <v>343</v>
      </c>
      <c r="G1127" t="s">
        <v>735</v>
      </c>
      <c r="H1127">
        <v>9</v>
      </c>
      <c r="I1127">
        <v>3</v>
      </c>
      <c r="J1127" t="s">
        <v>50</v>
      </c>
      <c r="K1127">
        <v>1813</v>
      </c>
      <c r="L1127">
        <v>1</v>
      </c>
      <c r="M1127" t="s">
        <v>51</v>
      </c>
      <c r="N1127">
        <v>3</v>
      </c>
      <c r="O1127">
        <v>1</v>
      </c>
      <c r="P1127" t="s">
        <v>67</v>
      </c>
      <c r="Q1127">
        <v>3</v>
      </c>
      <c r="R1127" t="s">
        <v>53</v>
      </c>
      <c r="S1127">
        <v>42157</v>
      </c>
      <c r="T1127" t="s">
        <v>72</v>
      </c>
      <c r="U1127">
        <v>263.48</v>
      </c>
      <c r="V1127">
        <v>4</v>
      </c>
      <c r="W1127" t="s">
        <v>55</v>
      </c>
      <c r="X1127">
        <v>13</v>
      </c>
      <c r="Y1127">
        <v>3</v>
      </c>
      <c r="Z1127">
        <v>3</v>
      </c>
      <c r="AA1127">
        <v>0</v>
      </c>
      <c r="AB1127">
        <v>7</v>
      </c>
      <c r="AC1127">
        <v>2</v>
      </c>
      <c r="AD1127">
        <v>2</v>
      </c>
      <c r="AE1127">
        <v>3</v>
      </c>
      <c r="AF1127">
        <v>2</v>
      </c>
      <c r="AG1127">
        <v>1</v>
      </c>
      <c r="AH1127">
        <v>2</v>
      </c>
      <c r="AI1127">
        <f t="shared" si="119"/>
        <v>0</v>
      </c>
      <c r="AJ1127" t="str">
        <f t="shared" si="120"/>
        <v>2-3 yrs</v>
      </c>
      <c r="AK1127" t="str">
        <f t="shared" si="121"/>
        <v>Recent</v>
      </c>
      <c r="AL1127">
        <f t="shared" si="122"/>
        <v>1</v>
      </c>
      <c r="AM1127" t="str">
        <f t="shared" si="123"/>
        <v>Low Risk</v>
      </c>
      <c r="AN1127" s="6">
        <f t="shared" si="124"/>
        <v>-0.15459604861291346</v>
      </c>
      <c r="AO1127" s="7">
        <f t="shared" si="125"/>
        <v>505884</v>
      </c>
    </row>
    <row r="1128" spans="1:41" x14ac:dyDescent="0.3">
      <c r="A1128" t="s">
        <v>1194</v>
      </c>
      <c r="B1128">
        <v>43</v>
      </c>
      <c r="C1128" t="s">
        <v>802</v>
      </c>
      <c r="D1128" t="s">
        <v>55</v>
      </c>
      <c r="E1128" t="s">
        <v>62</v>
      </c>
      <c r="F1128">
        <v>1422</v>
      </c>
      <c r="G1128" t="s">
        <v>932</v>
      </c>
      <c r="H1128">
        <v>2</v>
      </c>
      <c r="I1128">
        <v>4</v>
      </c>
      <c r="J1128" t="s">
        <v>50</v>
      </c>
      <c r="K1128">
        <v>1849</v>
      </c>
      <c r="L1128">
        <v>1</v>
      </c>
      <c r="M1128" t="s">
        <v>51</v>
      </c>
      <c r="N1128">
        <v>3</v>
      </c>
      <c r="O1128">
        <v>2</v>
      </c>
      <c r="P1128" t="s">
        <v>145</v>
      </c>
      <c r="Q1128">
        <v>4</v>
      </c>
      <c r="R1128" t="s">
        <v>113</v>
      </c>
      <c r="S1128">
        <v>55917</v>
      </c>
      <c r="T1128" t="s">
        <v>64</v>
      </c>
      <c r="U1128">
        <v>349.48</v>
      </c>
      <c r="V1128">
        <v>1</v>
      </c>
      <c r="W1128" t="s">
        <v>55</v>
      </c>
      <c r="X1128">
        <v>20</v>
      </c>
      <c r="Y1128">
        <v>4</v>
      </c>
      <c r="Z1128">
        <v>3</v>
      </c>
      <c r="AA1128">
        <v>1</v>
      </c>
      <c r="AB1128">
        <v>7</v>
      </c>
      <c r="AC1128">
        <v>5</v>
      </c>
      <c r="AD1128">
        <v>3</v>
      </c>
      <c r="AE1128">
        <v>7</v>
      </c>
      <c r="AF1128">
        <v>7</v>
      </c>
      <c r="AG1128">
        <v>7</v>
      </c>
      <c r="AH1128">
        <v>7</v>
      </c>
      <c r="AI1128">
        <f t="shared" si="119"/>
        <v>0</v>
      </c>
      <c r="AJ1128" t="str">
        <f t="shared" si="120"/>
        <v>6-10 yrs</v>
      </c>
      <c r="AK1128" t="str">
        <f t="shared" si="121"/>
        <v>Overdue</v>
      </c>
      <c r="AL1128">
        <f t="shared" si="122"/>
        <v>1</v>
      </c>
      <c r="AM1128" t="str">
        <f t="shared" si="123"/>
        <v>Low Risk</v>
      </c>
      <c r="AN1128" s="6">
        <f t="shared" si="124"/>
        <v>0.13981480380013167</v>
      </c>
      <c r="AO1128" s="7">
        <f t="shared" si="125"/>
        <v>671004</v>
      </c>
    </row>
    <row r="1129" spans="1:41" x14ac:dyDescent="0.3">
      <c r="A1129" t="s">
        <v>1195</v>
      </c>
      <c r="B1129">
        <v>43</v>
      </c>
      <c r="C1129" t="s">
        <v>802</v>
      </c>
      <c r="D1129" t="s">
        <v>55</v>
      </c>
      <c r="E1129" t="s">
        <v>48</v>
      </c>
      <c r="F1129">
        <v>823</v>
      </c>
      <c r="G1129" t="s">
        <v>735</v>
      </c>
      <c r="H1129">
        <v>6</v>
      </c>
      <c r="I1129">
        <v>3</v>
      </c>
      <c r="J1129" t="s">
        <v>58</v>
      </c>
      <c r="K1129">
        <v>1866</v>
      </c>
      <c r="L1129">
        <v>1</v>
      </c>
      <c r="M1129" t="s">
        <v>59</v>
      </c>
      <c r="N1129">
        <v>2</v>
      </c>
      <c r="O1129">
        <v>5</v>
      </c>
      <c r="P1129" t="s">
        <v>444</v>
      </c>
      <c r="Q1129">
        <v>3</v>
      </c>
      <c r="R1129" t="s">
        <v>113</v>
      </c>
      <c r="S1129">
        <v>93738</v>
      </c>
      <c r="T1129" t="s">
        <v>70</v>
      </c>
      <c r="U1129">
        <v>585.86</v>
      </c>
      <c r="V1129">
        <v>7</v>
      </c>
      <c r="W1129" t="s">
        <v>55</v>
      </c>
      <c r="X1129">
        <v>13</v>
      </c>
      <c r="Y1129">
        <v>3</v>
      </c>
      <c r="Z1129">
        <v>4</v>
      </c>
      <c r="AA1129">
        <v>0</v>
      </c>
      <c r="AB1129">
        <v>21</v>
      </c>
      <c r="AC1129">
        <v>2</v>
      </c>
      <c r="AD1129">
        <v>3</v>
      </c>
      <c r="AE1129">
        <v>16</v>
      </c>
      <c r="AF1129">
        <v>12</v>
      </c>
      <c r="AG1129">
        <v>6</v>
      </c>
      <c r="AH1129">
        <v>14</v>
      </c>
      <c r="AI1129">
        <f t="shared" si="119"/>
        <v>0</v>
      </c>
      <c r="AJ1129" t="str">
        <f t="shared" si="120"/>
        <v>10+ yrs</v>
      </c>
      <c r="AK1129" t="str">
        <f t="shared" si="121"/>
        <v>Overdue</v>
      </c>
      <c r="AL1129">
        <f t="shared" si="122"/>
        <v>1</v>
      </c>
      <c r="AM1129" t="str">
        <f t="shared" si="123"/>
        <v>Low Risk</v>
      </c>
      <c r="AN1129" s="6">
        <f t="shared" si="124"/>
        <v>0.79580513832240096</v>
      </c>
      <c r="AO1129" s="7">
        <f t="shared" si="125"/>
        <v>1124856</v>
      </c>
    </row>
    <row r="1130" spans="1:41" x14ac:dyDescent="0.3">
      <c r="A1130" t="s">
        <v>1196</v>
      </c>
      <c r="B1130">
        <v>43</v>
      </c>
      <c r="C1130" t="s">
        <v>802</v>
      </c>
      <c r="D1130" t="s">
        <v>55</v>
      </c>
      <c r="E1130" t="s">
        <v>48</v>
      </c>
      <c r="F1130">
        <v>574</v>
      </c>
      <c r="G1130" t="s">
        <v>735</v>
      </c>
      <c r="H1130">
        <v>11</v>
      </c>
      <c r="I1130">
        <v>3</v>
      </c>
      <c r="J1130" t="s">
        <v>50</v>
      </c>
      <c r="K1130">
        <v>1971</v>
      </c>
      <c r="L1130">
        <v>1</v>
      </c>
      <c r="M1130" t="s">
        <v>51</v>
      </c>
      <c r="N1130">
        <v>3</v>
      </c>
      <c r="O1130">
        <v>3</v>
      </c>
      <c r="P1130" t="s">
        <v>168</v>
      </c>
      <c r="Q1130">
        <v>3</v>
      </c>
      <c r="R1130" t="s">
        <v>113</v>
      </c>
      <c r="S1130">
        <v>97646</v>
      </c>
      <c r="T1130" t="s">
        <v>70</v>
      </c>
      <c r="U1130">
        <v>610.29</v>
      </c>
      <c r="V1130">
        <v>1</v>
      </c>
      <c r="W1130" t="s">
        <v>55</v>
      </c>
      <c r="X1130">
        <v>17</v>
      </c>
      <c r="Y1130">
        <v>3</v>
      </c>
      <c r="Z1130">
        <v>2</v>
      </c>
      <c r="AA1130">
        <v>1</v>
      </c>
      <c r="AB1130">
        <v>10</v>
      </c>
      <c r="AC1130">
        <v>1</v>
      </c>
      <c r="AD1130">
        <v>3</v>
      </c>
      <c r="AE1130">
        <v>10</v>
      </c>
      <c r="AF1130">
        <v>9</v>
      </c>
      <c r="AG1130">
        <v>0</v>
      </c>
      <c r="AH1130">
        <v>9</v>
      </c>
      <c r="AI1130">
        <f t="shared" si="119"/>
        <v>0</v>
      </c>
      <c r="AJ1130" t="str">
        <f t="shared" si="120"/>
        <v>6-10 yrs</v>
      </c>
      <c r="AK1130" t="str">
        <f t="shared" si="121"/>
        <v>Recent</v>
      </c>
      <c r="AL1130">
        <f t="shared" si="122"/>
        <v>0</v>
      </c>
      <c r="AM1130" t="str">
        <f t="shared" si="123"/>
        <v>Minimal Risk</v>
      </c>
      <c r="AN1130" s="6">
        <f t="shared" si="124"/>
        <v>1.02630705197377</v>
      </c>
      <c r="AO1130" s="7">
        <f t="shared" si="125"/>
        <v>1171752</v>
      </c>
    </row>
    <row r="1131" spans="1:41" x14ac:dyDescent="0.3">
      <c r="A1131" t="s">
        <v>1197</v>
      </c>
      <c r="B1131">
        <v>44</v>
      </c>
      <c r="C1131" t="s">
        <v>802</v>
      </c>
      <c r="D1131" t="s">
        <v>55</v>
      </c>
      <c r="E1131" t="s">
        <v>48</v>
      </c>
      <c r="F1131">
        <v>477</v>
      </c>
      <c r="G1131" t="s">
        <v>735</v>
      </c>
      <c r="H1131">
        <v>7</v>
      </c>
      <c r="I1131">
        <v>4</v>
      </c>
      <c r="J1131" t="s">
        <v>58</v>
      </c>
      <c r="K1131">
        <v>36</v>
      </c>
      <c r="L1131">
        <v>1</v>
      </c>
      <c r="M1131" t="s">
        <v>59</v>
      </c>
      <c r="N1131">
        <v>2</v>
      </c>
      <c r="O1131">
        <v>3</v>
      </c>
      <c r="P1131" t="s">
        <v>168</v>
      </c>
      <c r="Q1131">
        <v>4</v>
      </c>
      <c r="R1131" t="s">
        <v>113</v>
      </c>
      <c r="S1131">
        <v>84122</v>
      </c>
      <c r="T1131" t="s">
        <v>70</v>
      </c>
      <c r="U1131">
        <v>525.76</v>
      </c>
      <c r="V1131">
        <v>3</v>
      </c>
      <c r="W1131" t="s">
        <v>55</v>
      </c>
      <c r="X1131">
        <v>14</v>
      </c>
      <c r="Y1131">
        <v>3</v>
      </c>
      <c r="Z1131">
        <v>4</v>
      </c>
      <c r="AA1131">
        <v>1</v>
      </c>
      <c r="AB1131">
        <v>24</v>
      </c>
      <c r="AC1131">
        <v>4</v>
      </c>
      <c r="AD1131">
        <v>3</v>
      </c>
      <c r="AE1131">
        <v>22</v>
      </c>
      <c r="AF1131">
        <v>6</v>
      </c>
      <c r="AG1131">
        <v>5</v>
      </c>
      <c r="AH1131">
        <v>6</v>
      </c>
      <c r="AI1131">
        <f t="shared" si="119"/>
        <v>0</v>
      </c>
      <c r="AJ1131" t="str">
        <f t="shared" si="120"/>
        <v>10+ yrs</v>
      </c>
      <c r="AK1131" t="str">
        <f t="shared" si="121"/>
        <v>Overdue</v>
      </c>
      <c r="AL1131">
        <f t="shared" si="122"/>
        <v>1</v>
      </c>
      <c r="AM1131" t="str">
        <f t="shared" si="123"/>
        <v>Low Risk</v>
      </c>
      <c r="AN1131" s="6">
        <f t="shared" si="124"/>
        <v>0.74566292348009633</v>
      </c>
      <c r="AO1131" s="7">
        <f t="shared" si="125"/>
        <v>1009464</v>
      </c>
    </row>
    <row r="1132" spans="1:41" x14ac:dyDescent="0.3">
      <c r="A1132" t="s">
        <v>1198</v>
      </c>
      <c r="B1132">
        <v>44</v>
      </c>
      <c r="C1132" t="s">
        <v>802</v>
      </c>
      <c r="D1132" t="s">
        <v>55</v>
      </c>
      <c r="E1132" t="s">
        <v>48</v>
      </c>
      <c r="F1132">
        <v>1459</v>
      </c>
      <c r="G1132" t="s">
        <v>735</v>
      </c>
      <c r="H1132">
        <v>10</v>
      </c>
      <c r="I1132">
        <v>4</v>
      </c>
      <c r="J1132" t="s">
        <v>82</v>
      </c>
      <c r="K1132">
        <v>40</v>
      </c>
      <c r="L1132">
        <v>4</v>
      </c>
      <c r="M1132" t="s">
        <v>51</v>
      </c>
      <c r="N1132">
        <v>3</v>
      </c>
      <c r="O1132">
        <v>2</v>
      </c>
      <c r="P1132" t="s">
        <v>168</v>
      </c>
      <c r="Q1132">
        <v>4</v>
      </c>
      <c r="R1132" t="s">
        <v>113</v>
      </c>
      <c r="S1132">
        <v>25519</v>
      </c>
      <c r="T1132" t="s">
        <v>72</v>
      </c>
      <c r="U1132">
        <v>159.49</v>
      </c>
      <c r="V1132">
        <v>2</v>
      </c>
      <c r="W1132" t="s">
        <v>47</v>
      </c>
      <c r="X1132">
        <v>13</v>
      </c>
      <c r="Y1132">
        <v>3</v>
      </c>
      <c r="Z1132">
        <v>4</v>
      </c>
      <c r="AA1132">
        <v>0</v>
      </c>
      <c r="AB1132">
        <v>9</v>
      </c>
      <c r="AC1132">
        <v>5</v>
      </c>
      <c r="AD1132">
        <v>4</v>
      </c>
      <c r="AE1132">
        <v>4</v>
      </c>
      <c r="AF1132">
        <v>2</v>
      </c>
      <c r="AG1132">
        <v>1</v>
      </c>
      <c r="AH1132">
        <v>3</v>
      </c>
      <c r="AI1132">
        <f t="shared" si="119"/>
        <v>0</v>
      </c>
      <c r="AJ1132" t="str">
        <f t="shared" si="120"/>
        <v>4-5 yrs</v>
      </c>
      <c r="AK1132" t="str">
        <f t="shared" si="121"/>
        <v>Recent</v>
      </c>
      <c r="AL1132">
        <f t="shared" si="122"/>
        <v>1</v>
      </c>
      <c r="AM1132" t="str">
        <f t="shared" si="123"/>
        <v>Low Risk</v>
      </c>
      <c r="AN1132" s="6">
        <f t="shared" si="124"/>
        <v>-0.47044088176352705</v>
      </c>
      <c r="AO1132" s="7">
        <f t="shared" si="125"/>
        <v>306228</v>
      </c>
    </row>
    <row r="1133" spans="1:41" x14ac:dyDescent="0.3">
      <c r="A1133" t="s">
        <v>1199</v>
      </c>
      <c r="B1133">
        <v>44</v>
      </c>
      <c r="C1133" t="s">
        <v>802</v>
      </c>
      <c r="D1133" t="s">
        <v>55</v>
      </c>
      <c r="E1133" t="s">
        <v>48</v>
      </c>
      <c r="F1133">
        <v>1488</v>
      </c>
      <c r="G1133" t="s">
        <v>932</v>
      </c>
      <c r="H1133">
        <v>1</v>
      </c>
      <c r="I1133">
        <v>5</v>
      </c>
      <c r="J1133" t="s">
        <v>63</v>
      </c>
      <c r="K1133">
        <v>68</v>
      </c>
      <c r="L1133">
        <v>2</v>
      </c>
      <c r="M1133" t="s">
        <v>59</v>
      </c>
      <c r="N1133">
        <v>3</v>
      </c>
      <c r="O1133">
        <v>2</v>
      </c>
      <c r="P1133" t="s">
        <v>145</v>
      </c>
      <c r="Q1133">
        <v>1</v>
      </c>
      <c r="R1133" t="s">
        <v>113</v>
      </c>
      <c r="S1133">
        <v>97809</v>
      </c>
      <c r="T1133" t="s">
        <v>70</v>
      </c>
      <c r="U1133">
        <v>611.30999999999995</v>
      </c>
      <c r="V1133">
        <v>5</v>
      </c>
      <c r="W1133" t="s">
        <v>47</v>
      </c>
      <c r="X1133">
        <v>21</v>
      </c>
      <c r="Y1133">
        <v>4</v>
      </c>
      <c r="Z1133">
        <v>3</v>
      </c>
      <c r="AA1133">
        <v>1</v>
      </c>
      <c r="AB1133">
        <v>9</v>
      </c>
      <c r="AC1133">
        <v>2</v>
      </c>
      <c r="AD1133">
        <v>2</v>
      </c>
      <c r="AE1133">
        <v>4</v>
      </c>
      <c r="AF1133">
        <v>3</v>
      </c>
      <c r="AG1133">
        <v>1</v>
      </c>
      <c r="AH1133">
        <v>3</v>
      </c>
      <c r="AI1133">
        <f t="shared" si="119"/>
        <v>0</v>
      </c>
      <c r="AJ1133" t="str">
        <f t="shared" si="120"/>
        <v>4-5 yrs</v>
      </c>
      <c r="AK1133" t="str">
        <f t="shared" si="121"/>
        <v>Recent</v>
      </c>
      <c r="AL1133">
        <f t="shared" si="122"/>
        <v>3</v>
      </c>
      <c r="AM1133" t="str">
        <f t="shared" si="123"/>
        <v>High Risk</v>
      </c>
      <c r="AN1133" s="6">
        <f t="shared" si="124"/>
        <v>0.99374333646095248</v>
      </c>
      <c r="AO1133" s="7">
        <f t="shared" si="125"/>
        <v>1173708</v>
      </c>
    </row>
    <row r="1134" spans="1:41" x14ac:dyDescent="0.3">
      <c r="A1134" t="s">
        <v>1200</v>
      </c>
      <c r="B1134">
        <v>44</v>
      </c>
      <c r="C1134" t="s">
        <v>802</v>
      </c>
      <c r="D1134" t="s">
        <v>55</v>
      </c>
      <c r="E1134" t="s">
        <v>66</v>
      </c>
      <c r="F1134">
        <v>489</v>
      </c>
      <c r="G1134" t="s">
        <v>735</v>
      </c>
      <c r="H1134">
        <v>23</v>
      </c>
      <c r="I1134">
        <v>3</v>
      </c>
      <c r="J1134" t="s">
        <v>58</v>
      </c>
      <c r="K1134">
        <v>132</v>
      </c>
      <c r="L1134">
        <v>2</v>
      </c>
      <c r="M1134" t="s">
        <v>51</v>
      </c>
      <c r="N1134">
        <v>3</v>
      </c>
      <c r="O1134">
        <v>2</v>
      </c>
      <c r="P1134" t="s">
        <v>52</v>
      </c>
      <c r="Q1134">
        <v>2</v>
      </c>
      <c r="R1134" t="s">
        <v>113</v>
      </c>
      <c r="S1134">
        <v>88487</v>
      </c>
      <c r="T1134" t="s">
        <v>70</v>
      </c>
      <c r="U1134">
        <v>553.04</v>
      </c>
      <c r="V1134">
        <v>4</v>
      </c>
      <c r="W1134" t="s">
        <v>55</v>
      </c>
      <c r="X1134">
        <v>12</v>
      </c>
      <c r="Y1134">
        <v>3</v>
      </c>
      <c r="Z1134">
        <v>3</v>
      </c>
      <c r="AA1134">
        <v>1</v>
      </c>
      <c r="AB1134">
        <v>17</v>
      </c>
      <c r="AC1134">
        <v>3</v>
      </c>
      <c r="AD1134">
        <v>4</v>
      </c>
      <c r="AE1134">
        <v>3</v>
      </c>
      <c r="AF1134">
        <v>2</v>
      </c>
      <c r="AG1134">
        <v>1</v>
      </c>
      <c r="AH1134">
        <v>2</v>
      </c>
      <c r="AI1134">
        <f t="shared" si="119"/>
        <v>0</v>
      </c>
      <c r="AJ1134" t="str">
        <f t="shared" si="120"/>
        <v>2-3 yrs</v>
      </c>
      <c r="AK1134" t="str">
        <f t="shared" si="121"/>
        <v>Recent</v>
      </c>
      <c r="AL1134">
        <f t="shared" si="122"/>
        <v>1</v>
      </c>
      <c r="AM1134" t="str">
        <f t="shared" si="123"/>
        <v>Low Risk</v>
      </c>
      <c r="AN1134" s="6">
        <f t="shared" si="124"/>
        <v>0.71086574096711364</v>
      </c>
      <c r="AO1134" s="7">
        <f t="shared" si="125"/>
        <v>1061844</v>
      </c>
    </row>
    <row r="1135" spans="1:41" x14ac:dyDescent="0.3">
      <c r="A1135" t="s">
        <v>1201</v>
      </c>
      <c r="B1135">
        <v>44</v>
      </c>
      <c r="C1135" t="s">
        <v>802</v>
      </c>
      <c r="D1135" t="s">
        <v>47</v>
      </c>
      <c r="E1135" t="s">
        <v>62</v>
      </c>
      <c r="F1135">
        <v>920</v>
      </c>
      <c r="G1135" t="s">
        <v>735</v>
      </c>
      <c r="H1135">
        <v>24</v>
      </c>
      <c r="I1135">
        <v>3</v>
      </c>
      <c r="J1135" t="s">
        <v>50</v>
      </c>
      <c r="K1135">
        <v>392</v>
      </c>
      <c r="L1135">
        <v>4</v>
      </c>
      <c r="M1135" t="s">
        <v>51</v>
      </c>
      <c r="N1135">
        <v>3</v>
      </c>
      <c r="O1135">
        <v>1</v>
      </c>
      <c r="P1135" t="s">
        <v>52</v>
      </c>
      <c r="Q1135">
        <v>3</v>
      </c>
      <c r="R1135" t="s">
        <v>53</v>
      </c>
      <c r="S1135">
        <v>57819</v>
      </c>
      <c r="T1135" t="s">
        <v>64</v>
      </c>
      <c r="U1135">
        <v>361.37</v>
      </c>
      <c r="V1135">
        <v>3</v>
      </c>
      <c r="W1135" t="s">
        <v>47</v>
      </c>
      <c r="X1135">
        <v>22</v>
      </c>
      <c r="Y1135">
        <v>4</v>
      </c>
      <c r="Z1135">
        <v>4</v>
      </c>
      <c r="AA1135">
        <v>1</v>
      </c>
      <c r="AB1135">
        <v>19</v>
      </c>
      <c r="AC1135">
        <v>0</v>
      </c>
      <c r="AD1135">
        <v>1</v>
      </c>
      <c r="AE1135">
        <v>1</v>
      </c>
      <c r="AF1135">
        <v>0</v>
      </c>
      <c r="AG1135">
        <v>0</v>
      </c>
      <c r="AH1135">
        <v>0</v>
      </c>
      <c r="AI1135">
        <f t="shared" si="119"/>
        <v>1</v>
      </c>
      <c r="AJ1135" t="str">
        <f t="shared" si="120"/>
        <v>0-1 yr</v>
      </c>
      <c r="AK1135" t="str">
        <f t="shared" si="121"/>
        <v>Recent</v>
      </c>
      <c r="AL1135">
        <f t="shared" si="122"/>
        <v>2</v>
      </c>
      <c r="AM1135" t="str">
        <f t="shared" si="123"/>
        <v>Medium Risk</v>
      </c>
      <c r="AN1135" s="6">
        <f t="shared" si="124"/>
        <v>0.11791049845714671</v>
      </c>
      <c r="AO1135" s="7">
        <f t="shared" si="125"/>
        <v>693828</v>
      </c>
    </row>
    <row r="1136" spans="1:41" x14ac:dyDescent="0.3">
      <c r="A1136" t="s">
        <v>1202</v>
      </c>
      <c r="B1136">
        <v>44</v>
      </c>
      <c r="C1136" t="s">
        <v>802</v>
      </c>
      <c r="D1136" t="s">
        <v>55</v>
      </c>
      <c r="E1136" t="s">
        <v>48</v>
      </c>
      <c r="F1136">
        <v>1112</v>
      </c>
      <c r="G1136" t="s">
        <v>80</v>
      </c>
      <c r="H1136">
        <v>1</v>
      </c>
      <c r="I1136">
        <v>4</v>
      </c>
      <c r="J1136" t="s">
        <v>50</v>
      </c>
      <c r="K1136">
        <v>665</v>
      </c>
      <c r="L1136">
        <v>1</v>
      </c>
      <c r="M1136" t="s">
        <v>59</v>
      </c>
      <c r="N1136">
        <v>2</v>
      </c>
      <c r="O1136">
        <v>2</v>
      </c>
      <c r="P1136" t="s">
        <v>80</v>
      </c>
      <c r="Q1136">
        <v>3</v>
      </c>
      <c r="R1136" t="s">
        <v>53</v>
      </c>
      <c r="S1136">
        <v>81910</v>
      </c>
      <c r="T1136" t="s">
        <v>64</v>
      </c>
      <c r="U1136">
        <v>511.94</v>
      </c>
      <c r="V1136">
        <v>4</v>
      </c>
      <c r="W1136" t="s">
        <v>55</v>
      </c>
      <c r="X1136">
        <v>11</v>
      </c>
      <c r="Y1136">
        <v>3</v>
      </c>
      <c r="Z1136">
        <v>2</v>
      </c>
      <c r="AA1136">
        <v>0</v>
      </c>
      <c r="AB1136">
        <v>10</v>
      </c>
      <c r="AC1136">
        <v>1</v>
      </c>
      <c r="AD1136">
        <v>4</v>
      </c>
      <c r="AE1136">
        <v>2</v>
      </c>
      <c r="AF1136">
        <v>2</v>
      </c>
      <c r="AG1136">
        <v>0</v>
      </c>
      <c r="AH1136">
        <v>2</v>
      </c>
      <c r="AI1136">
        <f t="shared" si="119"/>
        <v>0</v>
      </c>
      <c r="AJ1136" t="str">
        <f t="shared" si="120"/>
        <v>2-3 yrs</v>
      </c>
      <c r="AK1136" t="str">
        <f t="shared" si="121"/>
        <v>Recent</v>
      </c>
      <c r="AL1136">
        <f t="shared" si="122"/>
        <v>0</v>
      </c>
      <c r="AM1136" t="str">
        <f t="shared" si="123"/>
        <v>Minimal Risk</v>
      </c>
      <c r="AN1136" s="6">
        <f t="shared" si="124"/>
        <v>0.61417976344322378</v>
      </c>
      <c r="AO1136" s="7">
        <f t="shared" si="125"/>
        <v>982920</v>
      </c>
    </row>
    <row r="1137" spans="1:41" x14ac:dyDescent="0.3">
      <c r="A1137" t="s">
        <v>1203</v>
      </c>
      <c r="B1137">
        <v>44</v>
      </c>
      <c r="C1137" t="s">
        <v>802</v>
      </c>
      <c r="D1137" t="s">
        <v>55</v>
      </c>
      <c r="E1137" t="s">
        <v>48</v>
      </c>
      <c r="F1137">
        <v>1315</v>
      </c>
      <c r="G1137" t="s">
        <v>735</v>
      </c>
      <c r="H1137">
        <v>3</v>
      </c>
      <c r="I1137">
        <v>4</v>
      </c>
      <c r="J1137" t="s">
        <v>82</v>
      </c>
      <c r="K1137">
        <v>671</v>
      </c>
      <c r="L1137">
        <v>4</v>
      </c>
      <c r="M1137" t="s">
        <v>51</v>
      </c>
      <c r="N1137">
        <v>3</v>
      </c>
      <c r="O1137">
        <v>5</v>
      </c>
      <c r="P1137" t="s">
        <v>444</v>
      </c>
      <c r="Q1137">
        <v>4</v>
      </c>
      <c r="R1137" t="s">
        <v>113</v>
      </c>
      <c r="S1137">
        <v>72324</v>
      </c>
      <c r="T1137" t="s">
        <v>64</v>
      </c>
      <c r="U1137">
        <v>452.02</v>
      </c>
      <c r="V1137">
        <v>4</v>
      </c>
      <c r="W1137" t="s">
        <v>47</v>
      </c>
      <c r="X1137">
        <v>12</v>
      </c>
      <c r="Y1137">
        <v>3</v>
      </c>
      <c r="Z1137">
        <v>1</v>
      </c>
      <c r="AA1137">
        <v>1</v>
      </c>
      <c r="AB1137">
        <v>26</v>
      </c>
      <c r="AC1137">
        <v>2</v>
      </c>
      <c r="AD1137">
        <v>4</v>
      </c>
      <c r="AE1137">
        <v>2</v>
      </c>
      <c r="AF1137">
        <v>2</v>
      </c>
      <c r="AG1137">
        <v>0</v>
      </c>
      <c r="AH1137">
        <v>1</v>
      </c>
      <c r="AI1137">
        <f t="shared" si="119"/>
        <v>0</v>
      </c>
      <c r="AJ1137" t="str">
        <f t="shared" si="120"/>
        <v>2-3 yrs</v>
      </c>
      <c r="AK1137" t="str">
        <f t="shared" si="121"/>
        <v>Recent</v>
      </c>
      <c r="AL1137">
        <f t="shared" si="122"/>
        <v>1</v>
      </c>
      <c r="AM1137" t="str">
        <f t="shared" si="123"/>
        <v>Low Risk</v>
      </c>
      <c r="AN1137" s="6">
        <f t="shared" si="124"/>
        <v>0.38556200072573904</v>
      </c>
      <c r="AO1137" s="7">
        <f t="shared" si="125"/>
        <v>867888</v>
      </c>
    </row>
    <row r="1138" spans="1:41" x14ac:dyDescent="0.3">
      <c r="A1138" t="s">
        <v>1204</v>
      </c>
      <c r="B1138">
        <v>44</v>
      </c>
      <c r="C1138" t="s">
        <v>802</v>
      </c>
      <c r="D1138" t="s">
        <v>55</v>
      </c>
      <c r="E1138" t="s">
        <v>66</v>
      </c>
      <c r="F1138">
        <v>381</v>
      </c>
      <c r="G1138" t="s">
        <v>735</v>
      </c>
      <c r="H1138">
        <v>24</v>
      </c>
      <c r="I1138">
        <v>3</v>
      </c>
      <c r="J1138" t="s">
        <v>58</v>
      </c>
      <c r="K1138">
        <v>744</v>
      </c>
      <c r="L1138">
        <v>1</v>
      </c>
      <c r="M1138" t="s">
        <v>51</v>
      </c>
      <c r="N1138">
        <v>1</v>
      </c>
      <c r="O1138">
        <v>1</v>
      </c>
      <c r="P1138" t="s">
        <v>52</v>
      </c>
      <c r="Q1138">
        <v>3</v>
      </c>
      <c r="R1138" t="s">
        <v>53</v>
      </c>
      <c r="S1138">
        <v>6408</v>
      </c>
      <c r="T1138" t="s">
        <v>54</v>
      </c>
      <c r="U1138">
        <v>40.049999999999997</v>
      </c>
      <c r="V1138">
        <v>2</v>
      </c>
      <c r="W1138" t="s">
        <v>55</v>
      </c>
      <c r="X1138">
        <v>14</v>
      </c>
      <c r="Y1138">
        <v>3</v>
      </c>
      <c r="Z1138">
        <v>3</v>
      </c>
      <c r="AA1138">
        <v>0</v>
      </c>
      <c r="AB1138">
        <v>9</v>
      </c>
      <c r="AC1138">
        <v>5</v>
      </c>
      <c r="AD1138">
        <v>3</v>
      </c>
      <c r="AE1138">
        <v>5</v>
      </c>
      <c r="AF1138">
        <v>2</v>
      </c>
      <c r="AG1138">
        <v>1</v>
      </c>
      <c r="AH1138">
        <v>4</v>
      </c>
      <c r="AI1138">
        <f t="shared" si="119"/>
        <v>0</v>
      </c>
      <c r="AJ1138" t="str">
        <f t="shared" si="120"/>
        <v>4-5 yrs</v>
      </c>
      <c r="AK1138" t="str">
        <f t="shared" si="121"/>
        <v>Recent</v>
      </c>
      <c r="AL1138">
        <f t="shared" si="122"/>
        <v>0</v>
      </c>
      <c r="AM1138" t="str">
        <f t="shared" si="123"/>
        <v>Minimal Risk</v>
      </c>
      <c r="AN1138" s="6">
        <f t="shared" si="124"/>
        <v>-0.8761035217815355</v>
      </c>
      <c r="AO1138" s="7">
        <f t="shared" si="125"/>
        <v>76896</v>
      </c>
    </row>
    <row r="1139" spans="1:41" x14ac:dyDescent="0.3">
      <c r="A1139" t="s">
        <v>1205</v>
      </c>
      <c r="B1139">
        <v>44</v>
      </c>
      <c r="C1139" t="s">
        <v>802</v>
      </c>
      <c r="D1139" t="s">
        <v>55</v>
      </c>
      <c r="E1139" t="s">
        <v>48</v>
      </c>
      <c r="F1139">
        <v>625</v>
      </c>
      <c r="G1139" t="s">
        <v>735</v>
      </c>
      <c r="H1139">
        <v>4</v>
      </c>
      <c r="I1139">
        <v>3</v>
      </c>
      <c r="J1139" t="s">
        <v>58</v>
      </c>
      <c r="K1139">
        <v>852</v>
      </c>
      <c r="L1139">
        <v>4</v>
      </c>
      <c r="M1139" t="s">
        <v>51</v>
      </c>
      <c r="N1139">
        <v>3</v>
      </c>
      <c r="O1139">
        <v>2</v>
      </c>
      <c r="P1139" t="s">
        <v>168</v>
      </c>
      <c r="Q1139">
        <v>2</v>
      </c>
      <c r="R1139" t="s">
        <v>53</v>
      </c>
      <c r="S1139">
        <v>60379</v>
      </c>
      <c r="T1139" t="s">
        <v>64</v>
      </c>
      <c r="U1139">
        <v>377.37</v>
      </c>
      <c r="V1139">
        <v>9</v>
      </c>
      <c r="W1139" t="s">
        <v>55</v>
      </c>
      <c r="X1139">
        <v>12</v>
      </c>
      <c r="Y1139">
        <v>3</v>
      </c>
      <c r="Z1139">
        <v>4</v>
      </c>
      <c r="AA1139">
        <v>0</v>
      </c>
      <c r="AB1139">
        <v>10</v>
      </c>
      <c r="AC1139">
        <v>2</v>
      </c>
      <c r="AD1139">
        <v>2</v>
      </c>
      <c r="AE1139">
        <v>5</v>
      </c>
      <c r="AF1139">
        <v>2</v>
      </c>
      <c r="AG1139">
        <v>2</v>
      </c>
      <c r="AH1139">
        <v>3</v>
      </c>
      <c r="AI1139">
        <f t="shared" si="119"/>
        <v>0</v>
      </c>
      <c r="AJ1139" t="str">
        <f t="shared" si="120"/>
        <v>4-5 yrs</v>
      </c>
      <c r="AK1139" t="str">
        <f t="shared" si="121"/>
        <v>Recent</v>
      </c>
      <c r="AL1139">
        <f t="shared" si="122"/>
        <v>2</v>
      </c>
      <c r="AM1139" t="str">
        <f t="shared" si="123"/>
        <v>Medium Risk</v>
      </c>
      <c r="AN1139" s="6">
        <f t="shared" si="124"/>
        <v>0.25295857988165688</v>
      </c>
      <c r="AO1139" s="7">
        <f t="shared" si="125"/>
        <v>724548</v>
      </c>
    </row>
    <row r="1140" spans="1:41" x14ac:dyDescent="0.3">
      <c r="A1140" t="s">
        <v>1206</v>
      </c>
      <c r="B1140">
        <v>44</v>
      </c>
      <c r="C1140" t="s">
        <v>802</v>
      </c>
      <c r="D1140" t="s">
        <v>55</v>
      </c>
      <c r="E1140" t="s">
        <v>48</v>
      </c>
      <c r="F1140">
        <v>986</v>
      </c>
      <c r="G1140" t="s">
        <v>735</v>
      </c>
      <c r="H1140">
        <v>8</v>
      </c>
      <c r="I1140">
        <v>4</v>
      </c>
      <c r="J1140" t="s">
        <v>50</v>
      </c>
      <c r="K1140">
        <v>874</v>
      </c>
      <c r="L1140">
        <v>1</v>
      </c>
      <c r="M1140" t="s">
        <v>51</v>
      </c>
      <c r="N1140">
        <v>4</v>
      </c>
      <c r="O1140">
        <v>1</v>
      </c>
      <c r="P1140" t="s">
        <v>52</v>
      </c>
      <c r="Q1140">
        <v>4</v>
      </c>
      <c r="R1140" t="s">
        <v>113</v>
      </c>
      <c r="S1140">
        <v>26053</v>
      </c>
      <c r="T1140" t="s">
        <v>72</v>
      </c>
      <c r="U1140">
        <v>162.83000000000001</v>
      </c>
      <c r="V1140">
        <v>2</v>
      </c>
      <c r="W1140" t="s">
        <v>47</v>
      </c>
      <c r="X1140">
        <v>24</v>
      </c>
      <c r="Y1140">
        <v>4</v>
      </c>
      <c r="Z1140">
        <v>3</v>
      </c>
      <c r="AA1140">
        <v>1</v>
      </c>
      <c r="AB1140">
        <v>10</v>
      </c>
      <c r="AC1140">
        <v>2</v>
      </c>
      <c r="AD1140">
        <v>2</v>
      </c>
      <c r="AE1140">
        <v>3</v>
      </c>
      <c r="AF1140">
        <v>2</v>
      </c>
      <c r="AG1140">
        <v>0</v>
      </c>
      <c r="AH1140">
        <v>2</v>
      </c>
      <c r="AI1140">
        <f t="shared" si="119"/>
        <v>0</v>
      </c>
      <c r="AJ1140" t="str">
        <f t="shared" si="120"/>
        <v>2-3 yrs</v>
      </c>
      <c r="AK1140" t="str">
        <f t="shared" si="121"/>
        <v>Recent</v>
      </c>
      <c r="AL1140">
        <f t="shared" si="122"/>
        <v>2</v>
      </c>
      <c r="AM1140" t="str">
        <f t="shared" si="123"/>
        <v>Medium Risk</v>
      </c>
      <c r="AN1140" s="6">
        <f t="shared" si="124"/>
        <v>-0.49627419678126494</v>
      </c>
      <c r="AO1140" s="7">
        <f t="shared" si="125"/>
        <v>312636</v>
      </c>
    </row>
    <row r="1141" spans="1:41" x14ac:dyDescent="0.3">
      <c r="A1141" t="s">
        <v>1207</v>
      </c>
      <c r="B1141">
        <v>44</v>
      </c>
      <c r="C1141" t="s">
        <v>802</v>
      </c>
      <c r="D1141" t="s">
        <v>55</v>
      </c>
      <c r="E1141" t="s">
        <v>48</v>
      </c>
      <c r="F1141">
        <v>661</v>
      </c>
      <c r="G1141" t="s">
        <v>735</v>
      </c>
      <c r="H1141">
        <v>9</v>
      </c>
      <c r="I1141">
        <v>2</v>
      </c>
      <c r="J1141" t="s">
        <v>50</v>
      </c>
      <c r="K1141">
        <v>913</v>
      </c>
      <c r="L1141">
        <v>2</v>
      </c>
      <c r="M1141" t="s">
        <v>51</v>
      </c>
      <c r="N1141">
        <v>3</v>
      </c>
      <c r="O1141">
        <v>1</v>
      </c>
      <c r="P1141" t="s">
        <v>67</v>
      </c>
      <c r="Q1141">
        <v>1</v>
      </c>
      <c r="R1141" t="s">
        <v>113</v>
      </c>
      <c r="S1141">
        <v>10446</v>
      </c>
      <c r="T1141" t="s">
        <v>54</v>
      </c>
      <c r="U1141">
        <v>65.290000000000006</v>
      </c>
      <c r="V1141">
        <v>1</v>
      </c>
      <c r="W1141" t="s">
        <v>47</v>
      </c>
      <c r="X1141">
        <v>13</v>
      </c>
      <c r="Y1141">
        <v>3</v>
      </c>
      <c r="Z1141">
        <v>4</v>
      </c>
      <c r="AA1141">
        <v>0</v>
      </c>
      <c r="AB1141">
        <v>8</v>
      </c>
      <c r="AC1141">
        <v>0</v>
      </c>
      <c r="AD1141">
        <v>3</v>
      </c>
      <c r="AE1141">
        <v>8</v>
      </c>
      <c r="AF1141">
        <v>7</v>
      </c>
      <c r="AG1141">
        <v>7</v>
      </c>
      <c r="AH1141">
        <v>1</v>
      </c>
      <c r="AI1141">
        <f t="shared" si="119"/>
        <v>0</v>
      </c>
      <c r="AJ1141" t="str">
        <f t="shared" si="120"/>
        <v>6-10 yrs</v>
      </c>
      <c r="AK1141" t="str">
        <f t="shared" si="121"/>
        <v>Overdue</v>
      </c>
      <c r="AL1141">
        <f t="shared" si="122"/>
        <v>3</v>
      </c>
      <c r="AM1141" t="str">
        <f t="shared" si="123"/>
        <v>High Risk</v>
      </c>
      <c r="AN1141" s="6">
        <f t="shared" si="124"/>
        <v>-0.79051901994474216</v>
      </c>
      <c r="AO1141" s="7">
        <f t="shared" si="125"/>
        <v>125352</v>
      </c>
    </row>
    <row r="1142" spans="1:41" x14ac:dyDescent="0.3">
      <c r="A1142" t="s">
        <v>1208</v>
      </c>
      <c r="B1142">
        <v>44</v>
      </c>
      <c r="C1142" t="s">
        <v>802</v>
      </c>
      <c r="D1142" t="s">
        <v>55</v>
      </c>
      <c r="E1142" t="s">
        <v>48</v>
      </c>
      <c r="F1142">
        <v>1448</v>
      </c>
      <c r="G1142" t="s">
        <v>932</v>
      </c>
      <c r="H1142">
        <v>28</v>
      </c>
      <c r="I1142">
        <v>3</v>
      </c>
      <c r="J1142" t="s">
        <v>58</v>
      </c>
      <c r="K1142">
        <v>1039</v>
      </c>
      <c r="L1142">
        <v>4</v>
      </c>
      <c r="M1142" t="s">
        <v>59</v>
      </c>
      <c r="N1142">
        <v>4</v>
      </c>
      <c r="O1142">
        <v>4</v>
      </c>
      <c r="P1142" t="s">
        <v>145</v>
      </c>
      <c r="Q1142">
        <v>4</v>
      </c>
      <c r="R1142" t="s">
        <v>113</v>
      </c>
      <c r="S1142">
        <v>1922</v>
      </c>
      <c r="T1142" t="s">
        <v>54</v>
      </c>
      <c r="U1142">
        <v>12.01</v>
      </c>
      <c r="V1142">
        <v>3</v>
      </c>
      <c r="W1142" t="s">
        <v>47</v>
      </c>
      <c r="X1142">
        <v>18</v>
      </c>
      <c r="Y1142">
        <v>3</v>
      </c>
      <c r="Z1142">
        <v>3</v>
      </c>
      <c r="AA1142">
        <v>1</v>
      </c>
      <c r="AB1142">
        <v>23</v>
      </c>
      <c r="AC1142">
        <v>2</v>
      </c>
      <c r="AD1142">
        <v>3</v>
      </c>
      <c r="AE1142">
        <v>12</v>
      </c>
      <c r="AF1142">
        <v>11</v>
      </c>
      <c r="AG1142">
        <v>11</v>
      </c>
      <c r="AH1142">
        <v>11</v>
      </c>
      <c r="AI1142">
        <f t="shared" si="119"/>
        <v>0</v>
      </c>
      <c r="AJ1142" t="str">
        <f t="shared" si="120"/>
        <v>10+ yrs</v>
      </c>
      <c r="AK1142" t="str">
        <f t="shared" si="121"/>
        <v>Overdue</v>
      </c>
      <c r="AL1142">
        <f t="shared" si="122"/>
        <v>2</v>
      </c>
      <c r="AM1142" t="str">
        <f t="shared" si="123"/>
        <v>Medium Risk</v>
      </c>
      <c r="AN1142" s="6">
        <f t="shared" si="124"/>
        <v>-0.96082186002639891</v>
      </c>
      <c r="AO1142" s="7">
        <f t="shared" si="125"/>
        <v>23064</v>
      </c>
    </row>
    <row r="1143" spans="1:41" x14ac:dyDescent="0.3">
      <c r="A1143" t="s">
        <v>1209</v>
      </c>
      <c r="B1143">
        <v>44</v>
      </c>
      <c r="C1143" t="s">
        <v>802</v>
      </c>
      <c r="D1143" t="s">
        <v>47</v>
      </c>
      <c r="E1143" t="s">
        <v>48</v>
      </c>
      <c r="F1143">
        <v>1376</v>
      </c>
      <c r="G1143" t="s">
        <v>80</v>
      </c>
      <c r="H1143">
        <v>1</v>
      </c>
      <c r="I1143">
        <v>2</v>
      </c>
      <c r="J1143" t="s">
        <v>58</v>
      </c>
      <c r="K1143">
        <v>1098</v>
      </c>
      <c r="L1143">
        <v>2</v>
      </c>
      <c r="M1143" t="s">
        <v>51</v>
      </c>
      <c r="N1143">
        <v>2</v>
      </c>
      <c r="O1143">
        <v>3</v>
      </c>
      <c r="P1143" t="s">
        <v>80</v>
      </c>
      <c r="Q1143">
        <v>1</v>
      </c>
      <c r="R1143" t="s">
        <v>113</v>
      </c>
      <c r="S1143">
        <v>99723</v>
      </c>
      <c r="T1143" t="s">
        <v>70</v>
      </c>
      <c r="U1143">
        <v>623.27</v>
      </c>
      <c r="V1143">
        <v>9</v>
      </c>
      <c r="W1143" t="s">
        <v>55</v>
      </c>
      <c r="X1143">
        <v>14</v>
      </c>
      <c r="Y1143">
        <v>3</v>
      </c>
      <c r="Z1143">
        <v>4</v>
      </c>
      <c r="AA1143">
        <v>1</v>
      </c>
      <c r="AB1143">
        <v>24</v>
      </c>
      <c r="AC1143">
        <v>1</v>
      </c>
      <c r="AD1143">
        <v>3</v>
      </c>
      <c r="AE1143">
        <v>20</v>
      </c>
      <c r="AF1143">
        <v>6</v>
      </c>
      <c r="AG1143">
        <v>3</v>
      </c>
      <c r="AH1143">
        <v>6</v>
      </c>
      <c r="AI1143">
        <f t="shared" si="119"/>
        <v>1</v>
      </c>
      <c r="AJ1143" t="str">
        <f t="shared" si="120"/>
        <v>10+ yrs</v>
      </c>
      <c r="AK1143" t="str">
        <f t="shared" si="121"/>
        <v>Overdue</v>
      </c>
      <c r="AL1143">
        <f t="shared" si="122"/>
        <v>2</v>
      </c>
      <c r="AM1143" t="str">
        <f t="shared" si="123"/>
        <v>Medium Risk</v>
      </c>
      <c r="AN1143" s="6">
        <f t="shared" si="124"/>
        <v>0.96521607312719571</v>
      </c>
      <c r="AO1143" s="7">
        <f t="shared" si="125"/>
        <v>1196676</v>
      </c>
    </row>
    <row r="1144" spans="1:41" x14ac:dyDescent="0.3">
      <c r="A1144" t="s">
        <v>1210</v>
      </c>
      <c r="B1144">
        <v>44</v>
      </c>
      <c r="C1144" t="s">
        <v>802</v>
      </c>
      <c r="D1144" t="s">
        <v>47</v>
      </c>
      <c r="E1144" t="s">
        <v>48</v>
      </c>
      <c r="F1144">
        <v>1097</v>
      </c>
      <c r="G1144" t="s">
        <v>735</v>
      </c>
      <c r="H1144">
        <v>10</v>
      </c>
      <c r="I1144">
        <v>4</v>
      </c>
      <c r="J1144" t="s">
        <v>50</v>
      </c>
      <c r="K1144">
        <v>1200</v>
      </c>
      <c r="L1144">
        <v>3</v>
      </c>
      <c r="M1144" t="s">
        <v>51</v>
      </c>
      <c r="N1144">
        <v>3</v>
      </c>
      <c r="O1144">
        <v>1</v>
      </c>
      <c r="P1144" t="s">
        <v>67</v>
      </c>
      <c r="Q1144">
        <v>3</v>
      </c>
      <c r="R1144" t="s">
        <v>53</v>
      </c>
      <c r="S1144">
        <v>52356</v>
      </c>
      <c r="T1144" t="s">
        <v>64</v>
      </c>
      <c r="U1144">
        <v>327.23</v>
      </c>
      <c r="V1144">
        <v>1</v>
      </c>
      <c r="W1144" t="s">
        <v>47</v>
      </c>
      <c r="X1144">
        <v>11</v>
      </c>
      <c r="Y1144">
        <v>3</v>
      </c>
      <c r="Z1144">
        <v>3</v>
      </c>
      <c r="AA1144">
        <v>0</v>
      </c>
      <c r="AB1144">
        <v>6</v>
      </c>
      <c r="AC1144">
        <v>4</v>
      </c>
      <c r="AD1144">
        <v>3</v>
      </c>
      <c r="AE1144">
        <v>6</v>
      </c>
      <c r="AF1144">
        <v>4</v>
      </c>
      <c r="AG1144">
        <v>0</v>
      </c>
      <c r="AH1144">
        <v>2</v>
      </c>
      <c r="AI1144">
        <f t="shared" si="119"/>
        <v>1</v>
      </c>
      <c r="AJ1144" t="str">
        <f t="shared" si="120"/>
        <v>6-10 yrs</v>
      </c>
      <c r="AK1144" t="str">
        <f t="shared" si="121"/>
        <v>Recent</v>
      </c>
      <c r="AL1144">
        <f t="shared" si="122"/>
        <v>1</v>
      </c>
      <c r="AM1144" t="str">
        <f t="shared" si="123"/>
        <v>Low Risk</v>
      </c>
      <c r="AN1144" s="6">
        <f t="shared" si="124"/>
        <v>4.9931666836404459E-2</v>
      </c>
      <c r="AO1144" s="7">
        <f t="shared" si="125"/>
        <v>628272</v>
      </c>
    </row>
    <row r="1145" spans="1:41" x14ac:dyDescent="0.3">
      <c r="A1145" t="s">
        <v>1211</v>
      </c>
      <c r="B1145">
        <v>44</v>
      </c>
      <c r="C1145" t="s">
        <v>802</v>
      </c>
      <c r="D1145" t="s">
        <v>55</v>
      </c>
      <c r="E1145" t="s">
        <v>66</v>
      </c>
      <c r="F1145">
        <v>111</v>
      </c>
      <c r="G1145" t="s">
        <v>735</v>
      </c>
      <c r="H1145">
        <v>17</v>
      </c>
      <c r="I1145">
        <v>3</v>
      </c>
      <c r="J1145" t="s">
        <v>50</v>
      </c>
      <c r="K1145">
        <v>1206</v>
      </c>
      <c r="L1145">
        <v>4</v>
      </c>
      <c r="M1145" t="s">
        <v>51</v>
      </c>
      <c r="N1145">
        <v>1</v>
      </c>
      <c r="O1145">
        <v>1</v>
      </c>
      <c r="P1145" t="s">
        <v>67</v>
      </c>
      <c r="Q1145">
        <v>3</v>
      </c>
      <c r="R1145" t="s">
        <v>53</v>
      </c>
      <c r="S1145">
        <v>11789</v>
      </c>
      <c r="T1145" t="s">
        <v>54</v>
      </c>
      <c r="U1145">
        <v>73.680000000000007</v>
      </c>
      <c r="V1145">
        <v>2</v>
      </c>
      <c r="W1145" t="s">
        <v>55</v>
      </c>
      <c r="X1145">
        <v>13</v>
      </c>
      <c r="Y1145">
        <v>3</v>
      </c>
      <c r="Z1145">
        <v>4</v>
      </c>
      <c r="AA1145">
        <v>0</v>
      </c>
      <c r="AB1145">
        <v>6</v>
      </c>
      <c r="AC1145">
        <v>3</v>
      </c>
      <c r="AD1145">
        <v>3</v>
      </c>
      <c r="AE1145">
        <v>0</v>
      </c>
      <c r="AF1145">
        <v>0</v>
      </c>
      <c r="AG1145">
        <v>0</v>
      </c>
      <c r="AH1145">
        <v>0</v>
      </c>
      <c r="AI1145">
        <f t="shared" si="119"/>
        <v>0</v>
      </c>
      <c r="AJ1145" t="str">
        <f t="shared" si="120"/>
        <v>0-1 yr</v>
      </c>
      <c r="AK1145" t="str">
        <f t="shared" si="121"/>
        <v>Recent</v>
      </c>
      <c r="AL1145">
        <f t="shared" si="122"/>
        <v>0</v>
      </c>
      <c r="AM1145" t="str">
        <f t="shared" si="123"/>
        <v>Minimal Risk</v>
      </c>
      <c r="AN1145" s="6">
        <f t="shared" si="124"/>
        <v>-0.76358689700637228</v>
      </c>
      <c r="AO1145" s="7">
        <f t="shared" si="125"/>
        <v>141468</v>
      </c>
    </row>
    <row r="1146" spans="1:41" x14ac:dyDescent="0.3">
      <c r="A1146" t="s">
        <v>1212</v>
      </c>
      <c r="B1146">
        <v>44</v>
      </c>
      <c r="C1146" t="s">
        <v>802</v>
      </c>
      <c r="D1146" t="s">
        <v>55</v>
      </c>
      <c r="E1146" t="s">
        <v>48</v>
      </c>
      <c r="F1146">
        <v>200</v>
      </c>
      <c r="G1146" t="s">
        <v>735</v>
      </c>
      <c r="H1146">
        <v>29</v>
      </c>
      <c r="I1146">
        <v>4</v>
      </c>
      <c r="J1146" t="s">
        <v>82</v>
      </c>
      <c r="K1146">
        <v>1225</v>
      </c>
      <c r="L1146">
        <v>4</v>
      </c>
      <c r="M1146" t="s">
        <v>51</v>
      </c>
      <c r="N1146">
        <v>3</v>
      </c>
      <c r="O1146">
        <v>2</v>
      </c>
      <c r="P1146" t="s">
        <v>67</v>
      </c>
      <c r="Q1146">
        <v>4</v>
      </c>
      <c r="R1146" t="s">
        <v>53</v>
      </c>
      <c r="S1146">
        <v>98720</v>
      </c>
      <c r="T1146" t="s">
        <v>70</v>
      </c>
      <c r="U1146">
        <v>617</v>
      </c>
      <c r="V1146">
        <v>1</v>
      </c>
      <c r="W1146" t="s">
        <v>55</v>
      </c>
      <c r="X1146">
        <v>25</v>
      </c>
      <c r="Y1146">
        <v>4</v>
      </c>
      <c r="Z1146">
        <v>2</v>
      </c>
      <c r="AA1146">
        <v>0</v>
      </c>
      <c r="AB1146">
        <v>20</v>
      </c>
      <c r="AC1146">
        <v>3</v>
      </c>
      <c r="AD1146">
        <v>3</v>
      </c>
      <c r="AE1146">
        <v>20</v>
      </c>
      <c r="AF1146">
        <v>11</v>
      </c>
      <c r="AG1146">
        <v>13</v>
      </c>
      <c r="AH1146">
        <v>17</v>
      </c>
      <c r="AI1146">
        <f t="shared" si="119"/>
        <v>0</v>
      </c>
      <c r="AJ1146" t="str">
        <f t="shared" si="120"/>
        <v>10+ yrs</v>
      </c>
      <c r="AK1146" t="str">
        <f t="shared" si="121"/>
        <v>Overdue</v>
      </c>
      <c r="AL1146">
        <f t="shared" si="122"/>
        <v>1</v>
      </c>
      <c r="AM1146" t="str">
        <f t="shared" si="123"/>
        <v>Low Risk</v>
      </c>
      <c r="AN1146" s="6">
        <f t="shared" si="124"/>
        <v>0.97970154614733451</v>
      </c>
      <c r="AO1146" s="7">
        <f t="shared" si="125"/>
        <v>1184640</v>
      </c>
    </row>
    <row r="1147" spans="1:41" x14ac:dyDescent="0.3">
      <c r="A1147" t="s">
        <v>1213</v>
      </c>
      <c r="B1147">
        <v>44</v>
      </c>
      <c r="C1147" t="s">
        <v>802</v>
      </c>
      <c r="D1147" t="s">
        <v>55</v>
      </c>
      <c r="E1147" t="s">
        <v>48</v>
      </c>
      <c r="F1147">
        <v>1117</v>
      </c>
      <c r="G1147" t="s">
        <v>735</v>
      </c>
      <c r="H1147">
        <v>2</v>
      </c>
      <c r="I1147">
        <v>1</v>
      </c>
      <c r="J1147" t="s">
        <v>50</v>
      </c>
      <c r="K1147">
        <v>1246</v>
      </c>
      <c r="L1147">
        <v>1</v>
      </c>
      <c r="M1147" t="s">
        <v>59</v>
      </c>
      <c r="N1147">
        <v>4</v>
      </c>
      <c r="O1147">
        <v>1</v>
      </c>
      <c r="P1147" t="s">
        <v>67</v>
      </c>
      <c r="Q1147">
        <v>4</v>
      </c>
      <c r="R1147" t="s">
        <v>113</v>
      </c>
      <c r="S1147">
        <v>67656</v>
      </c>
      <c r="T1147" t="s">
        <v>64</v>
      </c>
      <c r="U1147">
        <v>422.85</v>
      </c>
      <c r="V1147">
        <v>1</v>
      </c>
      <c r="W1147" t="s">
        <v>55</v>
      </c>
      <c r="X1147">
        <v>13</v>
      </c>
      <c r="Y1147">
        <v>3</v>
      </c>
      <c r="Z1147">
        <v>4</v>
      </c>
      <c r="AA1147">
        <v>1</v>
      </c>
      <c r="AB1147">
        <v>10</v>
      </c>
      <c r="AC1147">
        <v>5</v>
      </c>
      <c r="AD1147">
        <v>3</v>
      </c>
      <c r="AE1147">
        <v>10</v>
      </c>
      <c r="AF1147">
        <v>5</v>
      </c>
      <c r="AG1147">
        <v>7</v>
      </c>
      <c r="AH1147">
        <v>7</v>
      </c>
      <c r="AI1147">
        <f t="shared" si="119"/>
        <v>0</v>
      </c>
      <c r="AJ1147" t="str">
        <f t="shared" si="120"/>
        <v>6-10 yrs</v>
      </c>
      <c r="AK1147" t="str">
        <f t="shared" si="121"/>
        <v>Overdue</v>
      </c>
      <c r="AL1147">
        <f t="shared" si="122"/>
        <v>1</v>
      </c>
      <c r="AM1147" t="str">
        <f t="shared" si="123"/>
        <v>Low Risk</v>
      </c>
      <c r="AN1147" s="6">
        <f t="shared" si="124"/>
        <v>0.35675332056466841</v>
      </c>
      <c r="AO1147" s="7">
        <f t="shared" si="125"/>
        <v>811872</v>
      </c>
    </row>
    <row r="1148" spans="1:41" x14ac:dyDescent="0.3">
      <c r="A1148" t="s">
        <v>1214</v>
      </c>
      <c r="B1148">
        <v>44</v>
      </c>
      <c r="C1148" t="s">
        <v>802</v>
      </c>
      <c r="D1148" t="s">
        <v>55</v>
      </c>
      <c r="E1148" t="s">
        <v>48</v>
      </c>
      <c r="F1148">
        <v>1099</v>
      </c>
      <c r="G1148" t="s">
        <v>932</v>
      </c>
      <c r="H1148">
        <v>5</v>
      </c>
      <c r="I1148">
        <v>3</v>
      </c>
      <c r="J1148" t="s">
        <v>63</v>
      </c>
      <c r="K1148">
        <v>1267</v>
      </c>
      <c r="L1148">
        <v>2</v>
      </c>
      <c r="M1148" t="s">
        <v>51</v>
      </c>
      <c r="N1148">
        <v>3</v>
      </c>
      <c r="O1148">
        <v>5</v>
      </c>
      <c r="P1148" t="s">
        <v>444</v>
      </c>
      <c r="Q1148">
        <v>2</v>
      </c>
      <c r="R1148" t="s">
        <v>113</v>
      </c>
      <c r="S1148">
        <v>45028</v>
      </c>
      <c r="T1148" t="s">
        <v>72</v>
      </c>
      <c r="U1148">
        <v>281.42</v>
      </c>
      <c r="V1148">
        <v>7</v>
      </c>
      <c r="W1148" t="s">
        <v>55</v>
      </c>
      <c r="X1148">
        <v>11</v>
      </c>
      <c r="Y1148">
        <v>3</v>
      </c>
      <c r="Z1148">
        <v>3</v>
      </c>
      <c r="AA1148">
        <v>1</v>
      </c>
      <c r="AB1148">
        <v>26</v>
      </c>
      <c r="AC1148">
        <v>5</v>
      </c>
      <c r="AD1148">
        <v>3</v>
      </c>
      <c r="AE1148">
        <v>22</v>
      </c>
      <c r="AF1148">
        <v>9</v>
      </c>
      <c r="AG1148">
        <v>3</v>
      </c>
      <c r="AH1148">
        <v>10</v>
      </c>
      <c r="AI1148">
        <f t="shared" si="119"/>
        <v>0</v>
      </c>
      <c r="AJ1148" t="str">
        <f t="shared" si="120"/>
        <v>10+ yrs</v>
      </c>
      <c r="AK1148" t="str">
        <f t="shared" si="121"/>
        <v>Overdue</v>
      </c>
      <c r="AL1148">
        <f t="shared" si="122"/>
        <v>2</v>
      </c>
      <c r="AM1148" t="str">
        <f t="shared" si="123"/>
        <v>Medium Risk</v>
      </c>
      <c r="AN1148" s="6">
        <f t="shared" si="124"/>
        <v>-0.13736676941708731</v>
      </c>
      <c r="AO1148" s="7">
        <f t="shared" si="125"/>
        <v>540336</v>
      </c>
    </row>
    <row r="1149" spans="1:41" x14ac:dyDescent="0.3">
      <c r="A1149" t="s">
        <v>1215</v>
      </c>
      <c r="B1149">
        <v>44</v>
      </c>
      <c r="C1149" t="s">
        <v>802</v>
      </c>
      <c r="D1149" t="s">
        <v>55</v>
      </c>
      <c r="E1149" t="s">
        <v>48</v>
      </c>
      <c r="F1149">
        <v>1199</v>
      </c>
      <c r="G1149" t="s">
        <v>735</v>
      </c>
      <c r="H1149">
        <v>4</v>
      </c>
      <c r="I1149">
        <v>2</v>
      </c>
      <c r="J1149" t="s">
        <v>50</v>
      </c>
      <c r="K1149">
        <v>1288</v>
      </c>
      <c r="L1149">
        <v>3</v>
      </c>
      <c r="M1149" t="s">
        <v>51</v>
      </c>
      <c r="N1149">
        <v>4</v>
      </c>
      <c r="O1149">
        <v>5</v>
      </c>
      <c r="P1149" t="s">
        <v>444</v>
      </c>
      <c r="Q1149">
        <v>1</v>
      </c>
      <c r="R1149" t="s">
        <v>113</v>
      </c>
      <c r="S1149">
        <v>65484</v>
      </c>
      <c r="T1149" t="s">
        <v>64</v>
      </c>
      <c r="U1149">
        <v>409.28</v>
      </c>
      <c r="V1149">
        <v>1</v>
      </c>
      <c r="W1149" t="s">
        <v>55</v>
      </c>
      <c r="X1149">
        <v>14</v>
      </c>
      <c r="Y1149">
        <v>3</v>
      </c>
      <c r="Z1149">
        <v>4</v>
      </c>
      <c r="AA1149">
        <v>2</v>
      </c>
      <c r="AB1149">
        <v>26</v>
      </c>
      <c r="AC1149">
        <v>4</v>
      </c>
      <c r="AD1149">
        <v>2</v>
      </c>
      <c r="AE1149">
        <v>25</v>
      </c>
      <c r="AF1149">
        <v>9</v>
      </c>
      <c r="AG1149">
        <v>14</v>
      </c>
      <c r="AH1149">
        <v>13</v>
      </c>
      <c r="AI1149">
        <f t="shared" si="119"/>
        <v>0</v>
      </c>
      <c r="AJ1149" t="str">
        <f t="shared" si="120"/>
        <v>10+ yrs</v>
      </c>
      <c r="AK1149" t="str">
        <f t="shared" si="121"/>
        <v>Overdue</v>
      </c>
      <c r="AL1149">
        <f t="shared" si="122"/>
        <v>3</v>
      </c>
      <c r="AM1149" t="str">
        <f t="shared" si="123"/>
        <v>High Risk</v>
      </c>
      <c r="AN1149" s="6">
        <f t="shared" si="124"/>
        <v>0.25452328487810816</v>
      </c>
      <c r="AO1149" s="7">
        <f t="shared" si="125"/>
        <v>785808</v>
      </c>
    </row>
    <row r="1150" spans="1:41" x14ac:dyDescent="0.3">
      <c r="A1150" t="s">
        <v>1216</v>
      </c>
      <c r="B1150">
        <v>44</v>
      </c>
      <c r="C1150" t="s">
        <v>802</v>
      </c>
      <c r="D1150" t="s">
        <v>47</v>
      </c>
      <c r="E1150" t="s">
        <v>48</v>
      </c>
      <c r="F1150">
        <v>621</v>
      </c>
      <c r="G1150" t="s">
        <v>735</v>
      </c>
      <c r="H1150">
        <v>15</v>
      </c>
      <c r="I1150">
        <v>3</v>
      </c>
      <c r="J1150" t="s">
        <v>58</v>
      </c>
      <c r="K1150">
        <v>1295</v>
      </c>
      <c r="L1150">
        <v>1</v>
      </c>
      <c r="M1150" t="s">
        <v>59</v>
      </c>
      <c r="N1150">
        <v>3</v>
      </c>
      <c r="O1150">
        <v>3</v>
      </c>
      <c r="P1150" t="s">
        <v>168</v>
      </c>
      <c r="Q1150">
        <v>4</v>
      </c>
      <c r="R1150" t="s">
        <v>113</v>
      </c>
      <c r="S1150">
        <v>33154</v>
      </c>
      <c r="T1150" t="s">
        <v>72</v>
      </c>
      <c r="U1150">
        <v>207.21</v>
      </c>
      <c r="V1150">
        <v>1</v>
      </c>
      <c r="W1150" t="s">
        <v>55</v>
      </c>
      <c r="X1150">
        <v>11</v>
      </c>
      <c r="Y1150">
        <v>3</v>
      </c>
      <c r="Z1150">
        <v>4</v>
      </c>
      <c r="AA1150">
        <v>1</v>
      </c>
      <c r="AB1150">
        <v>10</v>
      </c>
      <c r="AC1150">
        <v>2</v>
      </c>
      <c r="AD1150">
        <v>3</v>
      </c>
      <c r="AE1150">
        <v>10</v>
      </c>
      <c r="AF1150">
        <v>7</v>
      </c>
      <c r="AG1150">
        <v>0</v>
      </c>
      <c r="AH1150">
        <v>5</v>
      </c>
      <c r="AI1150">
        <f t="shared" si="119"/>
        <v>1</v>
      </c>
      <c r="AJ1150" t="str">
        <f t="shared" si="120"/>
        <v>6-10 yrs</v>
      </c>
      <c r="AK1150" t="str">
        <f t="shared" si="121"/>
        <v>Recent</v>
      </c>
      <c r="AL1150">
        <f t="shared" si="122"/>
        <v>0</v>
      </c>
      <c r="AM1150" t="str">
        <f t="shared" si="123"/>
        <v>Minimal Risk</v>
      </c>
      <c r="AN1150" s="6">
        <f t="shared" si="124"/>
        <v>-0.3120027036321163</v>
      </c>
      <c r="AO1150" s="7">
        <f t="shared" si="125"/>
        <v>397848</v>
      </c>
    </row>
    <row r="1151" spans="1:41" x14ac:dyDescent="0.3">
      <c r="A1151" t="s">
        <v>1217</v>
      </c>
      <c r="B1151">
        <v>44</v>
      </c>
      <c r="C1151" t="s">
        <v>802</v>
      </c>
      <c r="D1151" t="s">
        <v>47</v>
      </c>
      <c r="E1151" t="s">
        <v>48</v>
      </c>
      <c r="F1151">
        <v>935</v>
      </c>
      <c r="G1151" t="s">
        <v>735</v>
      </c>
      <c r="H1151">
        <v>3</v>
      </c>
      <c r="I1151">
        <v>3</v>
      </c>
      <c r="J1151" t="s">
        <v>50</v>
      </c>
      <c r="K1151">
        <v>1333</v>
      </c>
      <c r="L1151">
        <v>1</v>
      </c>
      <c r="M1151" t="s">
        <v>51</v>
      </c>
      <c r="N1151">
        <v>3</v>
      </c>
      <c r="O1151">
        <v>1</v>
      </c>
      <c r="P1151" t="s">
        <v>52</v>
      </c>
      <c r="Q1151">
        <v>1</v>
      </c>
      <c r="R1151" t="s">
        <v>113</v>
      </c>
      <c r="S1151">
        <v>83870</v>
      </c>
      <c r="T1151" t="s">
        <v>70</v>
      </c>
      <c r="U1151">
        <v>524.19000000000005</v>
      </c>
      <c r="V1151">
        <v>4</v>
      </c>
      <c r="W1151" t="s">
        <v>55</v>
      </c>
      <c r="X1151">
        <v>12</v>
      </c>
      <c r="Y1151">
        <v>3</v>
      </c>
      <c r="Z1151">
        <v>3</v>
      </c>
      <c r="AA1151">
        <v>0</v>
      </c>
      <c r="AB1151">
        <v>10</v>
      </c>
      <c r="AC1151">
        <v>4</v>
      </c>
      <c r="AD1151">
        <v>4</v>
      </c>
      <c r="AE1151">
        <v>3</v>
      </c>
      <c r="AF1151">
        <v>2</v>
      </c>
      <c r="AG1151">
        <v>1</v>
      </c>
      <c r="AH1151">
        <v>2</v>
      </c>
      <c r="AI1151">
        <f t="shared" si="119"/>
        <v>1</v>
      </c>
      <c r="AJ1151" t="str">
        <f t="shared" si="120"/>
        <v>2-3 yrs</v>
      </c>
      <c r="AK1151" t="str">
        <f t="shared" si="121"/>
        <v>Recent</v>
      </c>
      <c r="AL1151">
        <f t="shared" si="122"/>
        <v>1</v>
      </c>
      <c r="AM1151" t="str">
        <f t="shared" si="123"/>
        <v>Low Risk</v>
      </c>
      <c r="AN1151" s="6">
        <f t="shared" si="124"/>
        <v>0.62159763236307952</v>
      </c>
      <c r="AO1151" s="7">
        <f t="shared" si="125"/>
        <v>1006440</v>
      </c>
    </row>
    <row r="1152" spans="1:41" x14ac:dyDescent="0.3">
      <c r="A1152" t="s">
        <v>1218</v>
      </c>
      <c r="B1152">
        <v>44</v>
      </c>
      <c r="C1152" t="s">
        <v>802</v>
      </c>
      <c r="D1152" t="s">
        <v>55</v>
      </c>
      <c r="E1152" t="s">
        <v>66</v>
      </c>
      <c r="F1152">
        <v>981</v>
      </c>
      <c r="G1152" t="s">
        <v>735</v>
      </c>
      <c r="H1152">
        <v>5</v>
      </c>
      <c r="I1152">
        <v>3</v>
      </c>
      <c r="J1152" t="s">
        <v>50</v>
      </c>
      <c r="K1152">
        <v>1471</v>
      </c>
      <c r="L1152">
        <v>3</v>
      </c>
      <c r="M1152" t="s">
        <v>51</v>
      </c>
      <c r="N1152">
        <v>2</v>
      </c>
      <c r="O1152">
        <v>1</v>
      </c>
      <c r="P1152" t="s">
        <v>52</v>
      </c>
      <c r="Q1152">
        <v>3</v>
      </c>
      <c r="R1152" t="s">
        <v>53</v>
      </c>
      <c r="S1152">
        <v>3336</v>
      </c>
      <c r="T1152" t="s">
        <v>54</v>
      </c>
      <c r="U1152">
        <v>20.85</v>
      </c>
      <c r="V1152">
        <v>3</v>
      </c>
      <c r="W1152" t="s">
        <v>55</v>
      </c>
      <c r="X1152">
        <v>14</v>
      </c>
      <c r="Y1152">
        <v>3</v>
      </c>
      <c r="Z1152">
        <v>4</v>
      </c>
      <c r="AA1152">
        <v>0</v>
      </c>
      <c r="AB1152">
        <v>7</v>
      </c>
      <c r="AC1152">
        <v>5</v>
      </c>
      <c r="AD1152">
        <v>3</v>
      </c>
      <c r="AE1152">
        <v>5</v>
      </c>
      <c r="AF1152">
        <v>2</v>
      </c>
      <c r="AG1152">
        <v>0</v>
      </c>
      <c r="AH1152">
        <v>3</v>
      </c>
      <c r="AI1152">
        <f t="shared" si="119"/>
        <v>0</v>
      </c>
      <c r="AJ1152" t="str">
        <f t="shared" si="120"/>
        <v>4-5 yrs</v>
      </c>
      <c r="AK1152" t="str">
        <f t="shared" si="121"/>
        <v>Recent</v>
      </c>
      <c r="AL1152">
        <f t="shared" si="122"/>
        <v>0</v>
      </c>
      <c r="AM1152" t="str">
        <f t="shared" si="123"/>
        <v>Minimal Risk</v>
      </c>
      <c r="AN1152" s="6">
        <f t="shared" si="124"/>
        <v>-0.93549958624581808</v>
      </c>
      <c r="AO1152" s="7">
        <f t="shared" si="125"/>
        <v>40032</v>
      </c>
    </row>
    <row r="1153" spans="1:41" x14ac:dyDescent="0.3">
      <c r="A1153" t="s">
        <v>1219</v>
      </c>
      <c r="B1153">
        <v>44</v>
      </c>
      <c r="C1153" t="s">
        <v>802</v>
      </c>
      <c r="D1153" t="s">
        <v>55</v>
      </c>
      <c r="E1153" t="s">
        <v>48</v>
      </c>
      <c r="F1153">
        <v>1467</v>
      </c>
      <c r="G1153" t="s">
        <v>735</v>
      </c>
      <c r="H1153">
        <v>20</v>
      </c>
      <c r="I1153">
        <v>3</v>
      </c>
      <c r="J1153" t="s">
        <v>50</v>
      </c>
      <c r="K1153">
        <v>1475</v>
      </c>
      <c r="L1153">
        <v>4</v>
      </c>
      <c r="M1153" t="s">
        <v>51</v>
      </c>
      <c r="N1153">
        <v>3</v>
      </c>
      <c r="O1153">
        <v>1</v>
      </c>
      <c r="P1153" t="s">
        <v>67</v>
      </c>
      <c r="Q1153">
        <v>2</v>
      </c>
      <c r="R1153" t="s">
        <v>53</v>
      </c>
      <c r="S1153">
        <v>68779</v>
      </c>
      <c r="T1153" t="s">
        <v>64</v>
      </c>
      <c r="U1153">
        <v>429.87</v>
      </c>
      <c r="V1153">
        <v>1</v>
      </c>
      <c r="W1153" t="s">
        <v>55</v>
      </c>
      <c r="X1153">
        <v>13</v>
      </c>
      <c r="Y1153">
        <v>3</v>
      </c>
      <c r="Z1153">
        <v>3</v>
      </c>
      <c r="AA1153">
        <v>0</v>
      </c>
      <c r="AB1153">
        <v>6</v>
      </c>
      <c r="AC1153">
        <v>3</v>
      </c>
      <c r="AD1153">
        <v>2</v>
      </c>
      <c r="AE1153">
        <v>5</v>
      </c>
      <c r="AF1153">
        <v>2</v>
      </c>
      <c r="AG1153">
        <v>1</v>
      </c>
      <c r="AH1153">
        <v>3</v>
      </c>
      <c r="AI1153">
        <f t="shared" si="119"/>
        <v>0</v>
      </c>
      <c r="AJ1153" t="str">
        <f t="shared" si="120"/>
        <v>4-5 yrs</v>
      </c>
      <c r="AK1153" t="str">
        <f t="shared" si="121"/>
        <v>Recent</v>
      </c>
      <c r="AL1153">
        <f t="shared" si="122"/>
        <v>2</v>
      </c>
      <c r="AM1153" t="str">
        <f t="shared" si="123"/>
        <v>Medium Risk</v>
      </c>
      <c r="AN1153" s="6">
        <f t="shared" si="124"/>
        <v>0.37927362887426586</v>
      </c>
      <c r="AO1153" s="7">
        <f t="shared" si="125"/>
        <v>825348</v>
      </c>
    </row>
    <row r="1154" spans="1:41" x14ac:dyDescent="0.3">
      <c r="A1154" t="s">
        <v>1220</v>
      </c>
      <c r="B1154">
        <v>44</v>
      </c>
      <c r="C1154" t="s">
        <v>802</v>
      </c>
      <c r="D1154" t="s">
        <v>55</v>
      </c>
      <c r="E1154" t="s">
        <v>62</v>
      </c>
      <c r="F1154">
        <v>383</v>
      </c>
      <c r="G1154" t="s">
        <v>932</v>
      </c>
      <c r="H1154">
        <v>1</v>
      </c>
      <c r="I1154">
        <v>5</v>
      </c>
      <c r="J1154" t="s">
        <v>63</v>
      </c>
      <c r="K1154">
        <v>1481</v>
      </c>
      <c r="L1154">
        <v>1</v>
      </c>
      <c r="M1154" t="s">
        <v>59</v>
      </c>
      <c r="N1154">
        <v>3</v>
      </c>
      <c r="O1154">
        <v>2</v>
      </c>
      <c r="P1154" t="s">
        <v>145</v>
      </c>
      <c r="Q1154">
        <v>3</v>
      </c>
      <c r="R1154" t="s">
        <v>113</v>
      </c>
      <c r="S1154">
        <v>20029</v>
      </c>
      <c r="T1154" t="s">
        <v>54</v>
      </c>
      <c r="U1154">
        <v>125.18</v>
      </c>
      <c r="V1154">
        <v>7</v>
      </c>
      <c r="W1154" t="s">
        <v>55</v>
      </c>
      <c r="X1154">
        <v>12</v>
      </c>
      <c r="Y1154">
        <v>3</v>
      </c>
      <c r="Z1154">
        <v>3</v>
      </c>
      <c r="AA1154">
        <v>1</v>
      </c>
      <c r="AB1154">
        <v>11</v>
      </c>
      <c r="AC1154">
        <v>4</v>
      </c>
      <c r="AD1154">
        <v>2</v>
      </c>
      <c r="AE1154">
        <v>1</v>
      </c>
      <c r="AF1154">
        <v>0</v>
      </c>
      <c r="AG1154">
        <v>0</v>
      </c>
      <c r="AH1154">
        <v>0</v>
      </c>
      <c r="AI1154">
        <f t="shared" ref="AI1154:AI1217" si="126">IF(D1154="Yes",1,0)</f>
        <v>0</v>
      </c>
      <c r="AJ1154" t="str">
        <f t="shared" ref="AJ1154:AJ1217" si="127">IF(AE1154&lt;=1,"0-1 yr",IF(AE1154&lt;=3,"2-3 yrs",IF(AE1154&lt;=5,"4-5 yrs",IF(AE1154&lt;=10,"6-10 yrs","10+ yrs"))))</f>
        <v>0-1 yr</v>
      </c>
      <c r="AK1154" t="str">
        <f t="shared" ref="AK1154:AK1217" si="128">IF(AG1154&gt;=3,"Overdue","Recent")</f>
        <v>Recent</v>
      </c>
      <c r="AL1154">
        <f t="shared" ref="AL1154:AL1217" si="129">IF(W1154="Yes",1,0)+IF(AD1154&lt;=2,1,0)+IF(Q1154&lt;=2,1,0)+IF(AG1154&gt;=3,1,0)</f>
        <v>1</v>
      </c>
      <c r="AM1154" t="str">
        <f t="shared" ref="AM1154:AM1217" si="130">IF(AL1154&gt;=3,"High Risk",IF(AL1154=2,"Medium Risk",IF(AL1154=1,"Low Risk","Minimal Risk")))</f>
        <v>Low Risk</v>
      </c>
      <c r="AN1154" s="6">
        <f t="shared" ref="AN1154:AN1217" si="131">IFERROR((S1154-AVERAGEIF(P$2:P$1479,P1154,S$2:S$1479))/AVERAGEIF(P$2:P$1479,P1154,S$2:S$1479),0)</f>
        <v>-0.59172790555085508</v>
      </c>
      <c r="AO1154" s="7">
        <f t="shared" ref="AO1154:AO1217" si="132">S1154*12</f>
        <v>240348</v>
      </c>
    </row>
    <row r="1155" spans="1:41" x14ac:dyDescent="0.3">
      <c r="A1155" t="s">
        <v>1221</v>
      </c>
      <c r="B1155">
        <v>44</v>
      </c>
      <c r="C1155" t="s">
        <v>802</v>
      </c>
      <c r="D1155" t="s">
        <v>55</v>
      </c>
      <c r="E1155" t="s">
        <v>62</v>
      </c>
      <c r="F1155">
        <v>1193</v>
      </c>
      <c r="G1155" t="s">
        <v>735</v>
      </c>
      <c r="H1155">
        <v>2</v>
      </c>
      <c r="I1155">
        <v>1</v>
      </c>
      <c r="J1155" t="s">
        <v>58</v>
      </c>
      <c r="K1155">
        <v>1496</v>
      </c>
      <c r="L1155">
        <v>2</v>
      </c>
      <c r="M1155" t="s">
        <v>51</v>
      </c>
      <c r="N1155">
        <v>3</v>
      </c>
      <c r="O1155">
        <v>3</v>
      </c>
      <c r="P1155" t="s">
        <v>120</v>
      </c>
      <c r="Q1155">
        <v>3</v>
      </c>
      <c r="R1155" t="s">
        <v>53</v>
      </c>
      <c r="S1155">
        <v>60201</v>
      </c>
      <c r="T1155" t="s">
        <v>64</v>
      </c>
      <c r="U1155">
        <v>376.26</v>
      </c>
      <c r="V1155">
        <v>5</v>
      </c>
      <c r="W1155" t="s">
        <v>47</v>
      </c>
      <c r="X1155">
        <v>18</v>
      </c>
      <c r="Y1155">
        <v>3</v>
      </c>
      <c r="Z1155">
        <v>2</v>
      </c>
      <c r="AA1155">
        <v>0</v>
      </c>
      <c r="AB1155">
        <v>16</v>
      </c>
      <c r="AC1155">
        <v>2</v>
      </c>
      <c r="AD1155">
        <v>2</v>
      </c>
      <c r="AE1155">
        <v>2</v>
      </c>
      <c r="AF1155">
        <v>2</v>
      </c>
      <c r="AG1155">
        <v>2</v>
      </c>
      <c r="AH1155">
        <v>2</v>
      </c>
      <c r="AI1155">
        <f t="shared" si="126"/>
        <v>0</v>
      </c>
      <c r="AJ1155" t="str">
        <f t="shared" si="127"/>
        <v>2-3 yrs</v>
      </c>
      <c r="AK1155" t="str">
        <f t="shared" si="128"/>
        <v>Recent</v>
      </c>
      <c r="AL1155">
        <f t="shared" si="129"/>
        <v>2</v>
      </c>
      <c r="AM1155" t="str">
        <f t="shared" si="130"/>
        <v>Medium Risk</v>
      </c>
      <c r="AN1155" s="6">
        <f t="shared" si="131"/>
        <v>0.35908215080007028</v>
      </c>
      <c r="AO1155" s="7">
        <f t="shared" si="132"/>
        <v>722412</v>
      </c>
    </row>
    <row r="1156" spans="1:41" x14ac:dyDescent="0.3">
      <c r="A1156" t="s">
        <v>1222</v>
      </c>
      <c r="B1156">
        <v>44</v>
      </c>
      <c r="C1156" t="s">
        <v>802</v>
      </c>
      <c r="D1156" t="s">
        <v>55</v>
      </c>
      <c r="E1156" t="s">
        <v>48</v>
      </c>
      <c r="F1156">
        <v>136</v>
      </c>
      <c r="G1156" t="s">
        <v>735</v>
      </c>
      <c r="H1156">
        <v>28</v>
      </c>
      <c r="I1156">
        <v>3</v>
      </c>
      <c r="J1156" t="s">
        <v>50</v>
      </c>
      <c r="K1156">
        <v>1523</v>
      </c>
      <c r="L1156">
        <v>4</v>
      </c>
      <c r="M1156" t="s">
        <v>51</v>
      </c>
      <c r="N1156">
        <v>3</v>
      </c>
      <c r="O1156">
        <v>4</v>
      </c>
      <c r="P1156" t="s">
        <v>257</v>
      </c>
      <c r="Q1156">
        <v>1</v>
      </c>
      <c r="R1156" t="s">
        <v>113</v>
      </c>
      <c r="S1156">
        <v>33265</v>
      </c>
      <c r="T1156" t="s">
        <v>72</v>
      </c>
      <c r="U1156">
        <v>207.91</v>
      </c>
      <c r="V1156">
        <v>3</v>
      </c>
      <c r="W1156" t="s">
        <v>55</v>
      </c>
      <c r="X1156">
        <v>13</v>
      </c>
      <c r="Y1156">
        <v>3</v>
      </c>
      <c r="Z1156">
        <v>3</v>
      </c>
      <c r="AA1156">
        <v>1</v>
      </c>
      <c r="AB1156">
        <v>24</v>
      </c>
      <c r="AC1156">
        <v>1</v>
      </c>
      <c r="AD1156">
        <v>4</v>
      </c>
      <c r="AE1156">
        <v>20</v>
      </c>
      <c r="AF1156">
        <v>6</v>
      </c>
      <c r="AG1156">
        <v>14</v>
      </c>
      <c r="AH1156">
        <v>17</v>
      </c>
      <c r="AI1156">
        <f t="shared" si="126"/>
        <v>0</v>
      </c>
      <c r="AJ1156" t="str">
        <f t="shared" si="127"/>
        <v>10+ yrs</v>
      </c>
      <c r="AK1156" t="str">
        <f t="shared" si="128"/>
        <v>Overdue</v>
      </c>
      <c r="AL1156">
        <f t="shared" si="129"/>
        <v>2</v>
      </c>
      <c r="AM1156" t="str">
        <f t="shared" si="130"/>
        <v>Medium Risk</v>
      </c>
      <c r="AN1156" s="6">
        <f t="shared" si="131"/>
        <v>-0.34340740272871312</v>
      </c>
      <c r="AO1156" s="7">
        <f t="shared" si="132"/>
        <v>399180</v>
      </c>
    </row>
    <row r="1157" spans="1:41" x14ac:dyDescent="0.3">
      <c r="A1157" t="s">
        <v>1223</v>
      </c>
      <c r="B1157">
        <v>44</v>
      </c>
      <c r="C1157" t="s">
        <v>802</v>
      </c>
      <c r="D1157" t="s">
        <v>55</v>
      </c>
      <c r="E1157" t="s">
        <v>48</v>
      </c>
      <c r="F1157">
        <v>1313</v>
      </c>
      <c r="G1157" t="s">
        <v>735</v>
      </c>
      <c r="H1157">
        <v>7</v>
      </c>
      <c r="I1157">
        <v>3</v>
      </c>
      <c r="J1157" t="s">
        <v>58</v>
      </c>
      <c r="K1157">
        <v>1608</v>
      </c>
      <c r="L1157">
        <v>2</v>
      </c>
      <c r="M1157" t="s">
        <v>59</v>
      </c>
      <c r="N1157">
        <v>3</v>
      </c>
      <c r="O1157">
        <v>5</v>
      </c>
      <c r="P1157" t="s">
        <v>257</v>
      </c>
      <c r="Q1157">
        <v>4</v>
      </c>
      <c r="R1157" t="s">
        <v>113</v>
      </c>
      <c r="S1157">
        <v>44872</v>
      </c>
      <c r="T1157" t="s">
        <v>72</v>
      </c>
      <c r="U1157">
        <v>280.45</v>
      </c>
      <c r="V1157">
        <v>0</v>
      </c>
      <c r="W1157" t="s">
        <v>47</v>
      </c>
      <c r="X1157">
        <v>14</v>
      </c>
      <c r="Y1157">
        <v>3</v>
      </c>
      <c r="Z1157">
        <v>4</v>
      </c>
      <c r="AA1157">
        <v>1</v>
      </c>
      <c r="AB1157">
        <v>23</v>
      </c>
      <c r="AC1157">
        <v>4</v>
      </c>
      <c r="AD1157">
        <v>2</v>
      </c>
      <c r="AE1157">
        <v>22</v>
      </c>
      <c r="AF1157">
        <v>7</v>
      </c>
      <c r="AG1157">
        <v>1</v>
      </c>
      <c r="AH1157">
        <v>10</v>
      </c>
      <c r="AI1157">
        <f t="shared" si="126"/>
        <v>0</v>
      </c>
      <c r="AJ1157" t="str">
        <f t="shared" si="127"/>
        <v>10+ yrs</v>
      </c>
      <c r="AK1157" t="str">
        <f t="shared" si="128"/>
        <v>Recent</v>
      </c>
      <c r="AL1157">
        <f t="shared" si="129"/>
        <v>2</v>
      </c>
      <c r="AM1157" t="str">
        <f t="shared" si="130"/>
        <v>Medium Risk</v>
      </c>
      <c r="AN1157" s="6">
        <f t="shared" si="131"/>
        <v>-0.1143056358106964</v>
      </c>
      <c r="AO1157" s="7">
        <f t="shared" si="132"/>
        <v>538464</v>
      </c>
    </row>
    <row r="1158" spans="1:41" x14ac:dyDescent="0.3">
      <c r="A1158" t="s">
        <v>1224</v>
      </c>
      <c r="B1158">
        <v>44</v>
      </c>
      <c r="C1158" t="s">
        <v>802</v>
      </c>
      <c r="D1158" t="s">
        <v>55</v>
      </c>
      <c r="E1158" t="s">
        <v>62</v>
      </c>
      <c r="F1158">
        <v>602</v>
      </c>
      <c r="G1158" t="s">
        <v>80</v>
      </c>
      <c r="H1158">
        <v>1</v>
      </c>
      <c r="I1158">
        <v>5</v>
      </c>
      <c r="J1158" t="s">
        <v>80</v>
      </c>
      <c r="K1158">
        <v>1642</v>
      </c>
      <c r="L1158">
        <v>1</v>
      </c>
      <c r="M1158" t="s">
        <v>51</v>
      </c>
      <c r="N1158">
        <v>3</v>
      </c>
      <c r="O1158">
        <v>2</v>
      </c>
      <c r="P1158" t="s">
        <v>80</v>
      </c>
      <c r="Q1158">
        <v>4</v>
      </c>
      <c r="R1158" t="s">
        <v>113</v>
      </c>
      <c r="S1158">
        <v>47197</v>
      </c>
      <c r="T1158" t="s">
        <v>72</v>
      </c>
      <c r="U1158">
        <v>294.98</v>
      </c>
      <c r="V1158">
        <v>4</v>
      </c>
      <c r="W1158" t="s">
        <v>47</v>
      </c>
      <c r="X1158">
        <v>11</v>
      </c>
      <c r="Y1158">
        <v>3</v>
      </c>
      <c r="Z1158">
        <v>3</v>
      </c>
      <c r="AA1158">
        <v>0</v>
      </c>
      <c r="AB1158">
        <v>14</v>
      </c>
      <c r="AC1158">
        <v>3</v>
      </c>
      <c r="AD1158">
        <v>3</v>
      </c>
      <c r="AE1158">
        <v>10</v>
      </c>
      <c r="AF1158">
        <v>7</v>
      </c>
      <c r="AG1158">
        <v>0</v>
      </c>
      <c r="AH1158">
        <v>2</v>
      </c>
      <c r="AI1158">
        <f t="shared" si="126"/>
        <v>0</v>
      </c>
      <c r="AJ1158" t="str">
        <f t="shared" si="127"/>
        <v>6-10 yrs</v>
      </c>
      <c r="AK1158" t="str">
        <f t="shared" si="128"/>
        <v>Recent</v>
      </c>
      <c r="AL1158">
        <f t="shared" si="129"/>
        <v>1</v>
      </c>
      <c r="AM1158" t="str">
        <f t="shared" si="130"/>
        <v>Low Risk</v>
      </c>
      <c r="AN1158" s="6">
        <f t="shared" si="131"/>
        <v>-6.9900594613236097E-2</v>
      </c>
      <c r="AO1158" s="7">
        <f t="shared" si="132"/>
        <v>566364</v>
      </c>
    </row>
    <row r="1159" spans="1:41" x14ac:dyDescent="0.3">
      <c r="A1159" t="s">
        <v>1225</v>
      </c>
      <c r="B1159">
        <v>44</v>
      </c>
      <c r="C1159" t="s">
        <v>802</v>
      </c>
      <c r="D1159" t="s">
        <v>55</v>
      </c>
      <c r="E1159" t="s">
        <v>48</v>
      </c>
      <c r="F1159">
        <v>528</v>
      </c>
      <c r="G1159" t="s">
        <v>80</v>
      </c>
      <c r="H1159">
        <v>1</v>
      </c>
      <c r="I1159">
        <v>3</v>
      </c>
      <c r="J1159" t="s">
        <v>50</v>
      </c>
      <c r="K1159">
        <v>1683</v>
      </c>
      <c r="L1159">
        <v>3</v>
      </c>
      <c r="M1159" t="s">
        <v>59</v>
      </c>
      <c r="N1159">
        <v>3</v>
      </c>
      <c r="O1159">
        <v>1</v>
      </c>
      <c r="P1159" t="s">
        <v>80</v>
      </c>
      <c r="Q1159">
        <v>4</v>
      </c>
      <c r="R1159" t="s">
        <v>113</v>
      </c>
      <c r="S1159">
        <v>56180</v>
      </c>
      <c r="T1159" t="s">
        <v>64</v>
      </c>
      <c r="U1159">
        <v>351.12</v>
      </c>
      <c r="V1159">
        <v>4</v>
      </c>
      <c r="W1159" t="s">
        <v>47</v>
      </c>
      <c r="X1159">
        <v>18</v>
      </c>
      <c r="Y1159">
        <v>3</v>
      </c>
      <c r="Z1159">
        <v>1</v>
      </c>
      <c r="AA1159">
        <v>3</v>
      </c>
      <c r="AB1159">
        <v>8</v>
      </c>
      <c r="AC1159">
        <v>2</v>
      </c>
      <c r="AD1159">
        <v>3</v>
      </c>
      <c r="AE1159">
        <v>2</v>
      </c>
      <c r="AF1159">
        <v>2</v>
      </c>
      <c r="AG1159">
        <v>2</v>
      </c>
      <c r="AH1159">
        <v>2</v>
      </c>
      <c r="AI1159">
        <f t="shared" si="126"/>
        <v>0</v>
      </c>
      <c r="AJ1159" t="str">
        <f t="shared" si="127"/>
        <v>2-3 yrs</v>
      </c>
      <c r="AK1159" t="str">
        <f t="shared" si="128"/>
        <v>Recent</v>
      </c>
      <c r="AL1159">
        <f t="shared" si="129"/>
        <v>1</v>
      </c>
      <c r="AM1159" t="str">
        <f t="shared" si="130"/>
        <v>Low Risk</v>
      </c>
      <c r="AN1159" s="6">
        <f t="shared" si="131"/>
        <v>0.10712512648321706</v>
      </c>
      <c r="AO1159" s="7">
        <f t="shared" si="132"/>
        <v>674160</v>
      </c>
    </row>
    <row r="1160" spans="1:41" x14ac:dyDescent="0.3">
      <c r="A1160" t="s">
        <v>1226</v>
      </c>
      <c r="B1160">
        <v>44</v>
      </c>
      <c r="C1160" t="s">
        <v>802</v>
      </c>
      <c r="D1160" t="s">
        <v>55</v>
      </c>
      <c r="E1160" t="s">
        <v>48</v>
      </c>
      <c r="F1160">
        <v>921</v>
      </c>
      <c r="G1160" t="s">
        <v>735</v>
      </c>
      <c r="H1160">
        <v>2</v>
      </c>
      <c r="I1160">
        <v>3</v>
      </c>
      <c r="J1160" t="s">
        <v>50</v>
      </c>
      <c r="K1160">
        <v>1703</v>
      </c>
      <c r="L1160">
        <v>3</v>
      </c>
      <c r="M1160" t="s">
        <v>59</v>
      </c>
      <c r="N1160">
        <v>4</v>
      </c>
      <c r="O1160">
        <v>3</v>
      </c>
      <c r="P1160" t="s">
        <v>168</v>
      </c>
      <c r="Q1160">
        <v>4</v>
      </c>
      <c r="R1160" t="s">
        <v>113</v>
      </c>
      <c r="S1160">
        <v>24710</v>
      </c>
      <c r="T1160" t="s">
        <v>54</v>
      </c>
      <c r="U1160">
        <v>154.44</v>
      </c>
      <c r="V1160">
        <v>1</v>
      </c>
      <c r="W1160" t="s">
        <v>47</v>
      </c>
      <c r="X1160">
        <v>19</v>
      </c>
      <c r="Y1160">
        <v>3</v>
      </c>
      <c r="Z1160">
        <v>2</v>
      </c>
      <c r="AA1160">
        <v>1</v>
      </c>
      <c r="AB1160">
        <v>9</v>
      </c>
      <c r="AC1160">
        <v>2</v>
      </c>
      <c r="AD1160">
        <v>3</v>
      </c>
      <c r="AE1160">
        <v>8</v>
      </c>
      <c r="AF1160">
        <v>7</v>
      </c>
      <c r="AG1160">
        <v>6</v>
      </c>
      <c r="AH1160">
        <v>7</v>
      </c>
      <c r="AI1160">
        <f t="shared" si="126"/>
        <v>0</v>
      </c>
      <c r="AJ1160" t="str">
        <f t="shared" si="127"/>
        <v>6-10 yrs</v>
      </c>
      <c r="AK1160" t="str">
        <f t="shared" si="128"/>
        <v>Overdue</v>
      </c>
      <c r="AL1160">
        <f t="shared" si="129"/>
        <v>2</v>
      </c>
      <c r="AM1160" t="str">
        <f t="shared" si="130"/>
        <v>Medium Risk</v>
      </c>
      <c r="AN1160" s="6">
        <f t="shared" si="131"/>
        <v>-0.48722889566114475</v>
      </c>
      <c r="AO1160" s="7">
        <f t="shared" si="132"/>
        <v>296520</v>
      </c>
    </row>
    <row r="1161" spans="1:41" x14ac:dyDescent="0.3">
      <c r="A1161" t="s">
        <v>1227</v>
      </c>
      <c r="B1161">
        <v>44</v>
      </c>
      <c r="C1161" t="s">
        <v>802</v>
      </c>
      <c r="D1161" t="s">
        <v>47</v>
      </c>
      <c r="E1161" t="s">
        <v>62</v>
      </c>
      <c r="F1161">
        <v>429</v>
      </c>
      <c r="G1161" t="s">
        <v>735</v>
      </c>
      <c r="H1161">
        <v>1</v>
      </c>
      <c r="I1161">
        <v>2</v>
      </c>
      <c r="J1161" t="s">
        <v>58</v>
      </c>
      <c r="K1161">
        <v>1792</v>
      </c>
      <c r="L1161">
        <v>3</v>
      </c>
      <c r="M1161" t="s">
        <v>51</v>
      </c>
      <c r="N1161">
        <v>3</v>
      </c>
      <c r="O1161">
        <v>1</v>
      </c>
      <c r="P1161" t="s">
        <v>67</v>
      </c>
      <c r="Q1161">
        <v>2</v>
      </c>
      <c r="R1161" t="s">
        <v>53</v>
      </c>
      <c r="S1161">
        <v>30486</v>
      </c>
      <c r="T1161" t="s">
        <v>72</v>
      </c>
      <c r="U1161">
        <v>190.54</v>
      </c>
      <c r="V1161">
        <v>1</v>
      </c>
      <c r="W1161" t="s">
        <v>47</v>
      </c>
      <c r="X1161">
        <v>12</v>
      </c>
      <c r="Y1161">
        <v>3</v>
      </c>
      <c r="Z1161">
        <v>3</v>
      </c>
      <c r="AA1161">
        <v>3</v>
      </c>
      <c r="AB1161">
        <v>6</v>
      </c>
      <c r="AC1161">
        <v>2</v>
      </c>
      <c r="AD1161">
        <v>2</v>
      </c>
      <c r="AE1161">
        <v>5</v>
      </c>
      <c r="AF1161">
        <v>3</v>
      </c>
      <c r="AG1161">
        <v>2</v>
      </c>
      <c r="AH1161">
        <v>3</v>
      </c>
      <c r="AI1161">
        <f t="shared" si="126"/>
        <v>1</v>
      </c>
      <c r="AJ1161" t="str">
        <f t="shared" si="127"/>
        <v>4-5 yrs</v>
      </c>
      <c r="AK1161" t="str">
        <f t="shared" si="128"/>
        <v>Recent</v>
      </c>
      <c r="AL1161">
        <f t="shared" si="129"/>
        <v>3</v>
      </c>
      <c r="AM1161" t="str">
        <f t="shared" si="130"/>
        <v>High Risk</v>
      </c>
      <c r="AN1161" s="6">
        <f t="shared" si="131"/>
        <v>-0.38864281466929052</v>
      </c>
      <c r="AO1161" s="7">
        <f t="shared" si="132"/>
        <v>365832</v>
      </c>
    </row>
    <row r="1162" spans="1:41" x14ac:dyDescent="0.3">
      <c r="A1162" t="s">
        <v>1228</v>
      </c>
      <c r="B1162">
        <v>44</v>
      </c>
      <c r="C1162" t="s">
        <v>802</v>
      </c>
      <c r="D1162" t="s">
        <v>55</v>
      </c>
      <c r="E1162" t="s">
        <v>48</v>
      </c>
      <c r="F1162">
        <v>170</v>
      </c>
      <c r="G1162" t="s">
        <v>735</v>
      </c>
      <c r="H1162">
        <v>1</v>
      </c>
      <c r="I1162">
        <v>4</v>
      </c>
      <c r="J1162" t="s">
        <v>50</v>
      </c>
      <c r="K1162">
        <v>1903</v>
      </c>
      <c r="L1162">
        <v>2</v>
      </c>
      <c r="M1162" t="s">
        <v>51</v>
      </c>
      <c r="N1162">
        <v>4</v>
      </c>
      <c r="O1162">
        <v>2</v>
      </c>
      <c r="P1162" t="s">
        <v>168</v>
      </c>
      <c r="Q1162">
        <v>1</v>
      </c>
      <c r="R1162" t="s">
        <v>113</v>
      </c>
      <c r="S1162">
        <v>72907</v>
      </c>
      <c r="T1162" t="s">
        <v>64</v>
      </c>
      <c r="U1162">
        <v>455.67</v>
      </c>
      <c r="V1162">
        <v>2</v>
      </c>
      <c r="W1162" t="s">
        <v>55</v>
      </c>
      <c r="X1162">
        <v>15</v>
      </c>
      <c r="Y1162">
        <v>3</v>
      </c>
      <c r="Z1162">
        <v>4</v>
      </c>
      <c r="AA1162">
        <v>1</v>
      </c>
      <c r="AB1162">
        <v>10</v>
      </c>
      <c r="AC1162">
        <v>5</v>
      </c>
      <c r="AD1162">
        <v>3</v>
      </c>
      <c r="AE1162">
        <v>2</v>
      </c>
      <c r="AF1162">
        <v>0</v>
      </c>
      <c r="AG1162">
        <v>2</v>
      </c>
      <c r="AH1162">
        <v>2</v>
      </c>
      <c r="AI1162">
        <f t="shared" si="126"/>
        <v>0</v>
      </c>
      <c r="AJ1162" t="str">
        <f t="shared" si="127"/>
        <v>2-3 yrs</v>
      </c>
      <c r="AK1162" t="str">
        <f t="shared" si="128"/>
        <v>Recent</v>
      </c>
      <c r="AL1162">
        <f t="shared" si="129"/>
        <v>1</v>
      </c>
      <c r="AM1162" t="str">
        <f t="shared" si="130"/>
        <v>Low Risk</v>
      </c>
      <c r="AN1162" s="6">
        <f t="shared" si="131"/>
        <v>0.5129341523283254</v>
      </c>
      <c r="AO1162" s="7">
        <f t="shared" si="132"/>
        <v>874884</v>
      </c>
    </row>
    <row r="1163" spans="1:41" x14ac:dyDescent="0.3">
      <c r="A1163" t="s">
        <v>1229</v>
      </c>
      <c r="B1163">
        <v>44</v>
      </c>
      <c r="C1163" t="s">
        <v>802</v>
      </c>
      <c r="D1163" t="s">
        <v>55</v>
      </c>
      <c r="E1163" t="s">
        <v>48</v>
      </c>
      <c r="F1163">
        <v>1037</v>
      </c>
      <c r="G1163" t="s">
        <v>735</v>
      </c>
      <c r="H1163">
        <v>1</v>
      </c>
      <c r="I1163">
        <v>3</v>
      </c>
      <c r="J1163" t="s">
        <v>58</v>
      </c>
      <c r="K1163">
        <v>2020</v>
      </c>
      <c r="L1163">
        <v>2</v>
      </c>
      <c r="M1163" t="s">
        <v>51</v>
      </c>
      <c r="N1163">
        <v>3</v>
      </c>
      <c r="O1163">
        <v>1</v>
      </c>
      <c r="P1163" t="s">
        <v>67</v>
      </c>
      <c r="Q1163">
        <v>4</v>
      </c>
      <c r="R1163" t="s">
        <v>53</v>
      </c>
      <c r="S1163">
        <v>72895</v>
      </c>
      <c r="T1163" t="s">
        <v>64</v>
      </c>
      <c r="U1163">
        <v>455.59</v>
      </c>
      <c r="V1163">
        <v>6</v>
      </c>
      <c r="W1163" t="s">
        <v>47</v>
      </c>
      <c r="X1163">
        <v>12</v>
      </c>
      <c r="Y1163">
        <v>3</v>
      </c>
      <c r="Z1163">
        <v>3</v>
      </c>
      <c r="AA1163">
        <v>0</v>
      </c>
      <c r="AB1163">
        <v>6</v>
      </c>
      <c r="AC1163">
        <v>2</v>
      </c>
      <c r="AD1163">
        <v>3</v>
      </c>
      <c r="AE1163">
        <v>4</v>
      </c>
      <c r="AF1163">
        <v>3</v>
      </c>
      <c r="AG1163">
        <v>1</v>
      </c>
      <c r="AH1163">
        <v>2</v>
      </c>
      <c r="AI1163">
        <f t="shared" si="126"/>
        <v>0</v>
      </c>
      <c r="AJ1163" t="str">
        <f t="shared" si="127"/>
        <v>4-5 yrs</v>
      </c>
      <c r="AK1163" t="str">
        <f t="shared" si="128"/>
        <v>Recent</v>
      </c>
      <c r="AL1163">
        <f t="shared" si="129"/>
        <v>1</v>
      </c>
      <c r="AM1163" t="str">
        <f t="shared" si="130"/>
        <v>Low Risk</v>
      </c>
      <c r="AN1163" s="6">
        <f t="shared" si="131"/>
        <v>0.46181466983802627</v>
      </c>
      <c r="AO1163" s="7">
        <f t="shared" si="132"/>
        <v>874740</v>
      </c>
    </row>
    <row r="1164" spans="1:41" x14ac:dyDescent="0.3">
      <c r="A1164" t="s">
        <v>1230</v>
      </c>
      <c r="B1164">
        <v>45</v>
      </c>
      <c r="C1164" t="s">
        <v>802</v>
      </c>
      <c r="D1164" t="s">
        <v>55</v>
      </c>
      <c r="E1164" t="s">
        <v>48</v>
      </c>
      <c r="F1164">
        <v>1339</v>
      </c>
      <c r="G1164" t="s">
        <v>735</v>
      </c>
      <c r="H1164">
        <v>7</v>
      </c>
      <c r="I1164">
        <v>3</v>
      </c>
      <c r="J1164" t="s">
        <v>50</v>
      </c>
      <c r="K1164">
        <v>86</v>
      </c>
      <c r="L1164">
        <v>2</v>
      </c>
      <c r="M1164" t="s">
        <v>51</v>
      </c>
      <c r="N1164">
        <v>3</v>
      </c>
      <c r="O1164">
        <v>3</v>
      </c>
      <c r="P1164" t="s">
        <v>67</v>
      </c>
      <c r="Q1164">
        <v>1</v>
      </c>
      <c r="R1164" t="s">
        <v>113</v>
      </c>
      <c r="S1164">
        <v>65435</v>
      </c>
      <c r="T1164" t="s">
        <v>64</v>
      </c>
      <c r="U1164">
        <v>408.97</v>
      </c>
      <c r="V1164">
        <v>2</v>
      </c>
      <c r="W1164" t="s">
        <v>55</v>
      </c>
      <c r="X1164">
        <v>17</v>
      </c>
      <c r="Y1164">
        <v>3</v>
      </c>
      <c r="Z1164">
        <v>3</v>
      </c>
      <c r="AA1164">
        <v>1</v>
      </c>
      <c r="AB1164">
        <v>25</v>
      </c>
      <c r="AC1164">
        <v>2</v>
      </c>
      <c r="AD1164">
        <v>3</v>
      </c>
      <c r="AE1164">
        <v>1</v>
      </c>
      <c r="AF1164">
        <v>0</v>
      </c>
      <c r="AG1164">
        <v>0</v>
      </c>
      <c r="AH1164">
        <v>0</v>
      </c>
      <c r="AI1164">
        <f t="shared" si="126"/>
        <v>0</v>
      </c>
      <c r="AJ1164" t="str">
        <f t="shared" si="127"/>
        <v>0-1 yr</v>
      </c>
      <c r="AK1164" t="str">
        <f t="shared" si="128"/>
        <v>Recent</v>
      </c>
      <c r="AL1164">
        <f t="shared" si="129"/>
        <v>1</v>
      </c>
      <c r="AM1164" t="str">
        <f t="shared" si="130"/>
        <v>Low Risk</v>
      </c>
      <c r="AN1164" s="6">
        <f t="shared" si="131"/>
        <v>0.31221404651692503</v>
      </c>
      <c r="AO1164" s="7">
        <f t="shared" si="132"/>
        <v>785220</v>
      </c>
    </row>
    <row r="1165" spans="1:41" x14ac:dyDescent="0.3">
      <c r="A1165" t="s">
        <v>1231</v>
      </c>
      <c r="B1165">
        <v>45</v>
      </c>
      <c r="C1165" t="s">
        <v>802</v>
      </c>
      <c r="D1165" t="s">
        <v>55</v>
      </c>
      <c r="E1165" t="s">
        <v>48</v>
      </c>
      <c r="F1165">
        <v>193</v>
      </c>
      <c r="G1165" t="s">
        <v>735</v>
      </c>
      <c r="H1165">
        <v>6</v>
      </c>
      <c r="I1165">
        <v>4</v>
      </c>
      <c r="J1165" t="s">
        <v>82</v>
      </c>
      <c r="K1165">
        <v>101</v>
      </c>
      <c r="L1165">
        <v>4</v>
      </c>
      <c r="M1165" t="s">
        <v>51</v>
      </c>
      <c r="N1165">
        <v>3</v>
      </c>
      <c r="O1165">
        <v>3</v>
      </c>
      <c r="P1165" t="s">
        <v>257</v>
      </c>
      <c r="Q1165">
        <v>1</v>
      </c>
      <c r="R1165" t="s">
        <v>113</v>
      </c>
      <c r="S1165">
        <v>41631</v>
      </c>
      <c r="T1165" t="s">
        <v>72</v>
      </c>
      <c r="U1165">
        <v>260.19</v>
      </c>
      <c r="V1165">
        <v>4</v>
      </c>
      <c r="W1165" t="s">
        <v>47</v>
      </c>
      <c r="X1165">
        <v>14</v>
      </c>
      <c r="Y1165">
        <v>3</v>
      </c>
      <c r="Z1165">
        <v>2</v>
      </c>
      <c r="AA1165">
        <v>0</v>
      </c>
      <c r="AB1165">
        <v>17</v>
      </c>
      <c r="AC1165">
        <v>3</v>
      </c>
      <c r="AD1165">
        <v>4</v>
      </c>
      <c r="AE1165">
        <v>0</v>
      </c>
      <c r="AF1165">
        <v>0</v>
      </c>
      <c r="AG1165">
        <v>0</v>
      </c>
      <c r="AH1165">
        <v>0</v>
      </c>
      <c r="AI1165">
        <f t="shared" si="126"/>
        <v>0</v>
      </c>
      <c r="AJ1165" t="str">
        <f t="shared" si="127"/>
        <v>0-1 yr</v>
      </c>
      <c r="AK1165" t="str">
        <f t="shared" si="128"/>
        <v>Recent</v>
      </c>
      <c r="AL1165">
        <f t="shared" si="129"/>
        <v>2</v>
      </c>
      <c r="AM1165" t="str">
        <f t="shared" si="130"/>
        <v>Medium Risk</v>
      </c>
      <c r="AN1165" s="6">
        <f t="shared" si="131"/>
        <v>-0.17827727590557813</v>
      </c>
      <c r="AO1165" s="7">
        <f t="shared" si="132"/>
        <v>499572</v>
      </c>
    </row>
    <row r="1166" spans="1:41" x14ac:dyDescent="0.3">
      <c r="A1166" t="s">
        <v>1232</v>
      </c>
      <c r="B1166">
        <v>45</v>
      </c>
      <c r="C1166" t="s">
        <v>802</v>
      </c>
      <c r="D1166" t="s">
        <v>55</v>
      </c>
      <c r="E1166" t="s">
        <v>48</v>
      </c>
      <c r="F1166">
        <v>1316</v>
      </c>
      <c r="G1166" t="s">
        <v>735</v>
      </c>
      <c r="H1166">
        <v>29</v>
      </c>
      <c r="I1166">
        <v>3</v>
      </c>
      <c r="J1166" t="s">
        <v>58</v>
      </c>
      <c r="K1166">
        <v>192</v>
      </c>
      <c r="L1166">
        <v>3</v>
      </c>
      <c r="M1166" t="s">
        <v>51</v>
      </c>
      <c r="N1166">
        <v>3</v>
      </c>
      <c r="O1166">
        <v>1</v>
      </c>
      <c r="P1166" t="s">
        <v>67</v>
      </c>
      <c r="Q1166">
        <v>4</v>
      </c>
      <c r="R1166" t="s">
        <v>53</v>
      </c>
      <c r="S1166">
        <v>21103</v>
      </c>
      <c r="T1166" t="s">
        <v>54</v>
      </c>
      <c r="U1166">
        <v>131.88999999999999</v>
      </c>
      <c r="V1166">
        <v>5</v>
      </c>
      <c r="W1166" t="s">
        <v>55</v>
      </c>
      <c r="X1166">
        <v>13</v>
      </c>
      <c r="Y1166">
        <v>3</v>
      </c>
      <c r="Z1166">
        <v>2</v>
      </c>
      <c r="AA1166">
        <v>0</v>
      </c>
      <c r="AB1166">
        <v>9</v>
      </c>
      <c r="AC1166">
        <v>2</v>
      </c>
      <c r="AD1166">
        <v>2</v>
      </c>
      <c r="AE1166">
        <v>6</v>
      </c>
      <c r="AF1166">
        <v>5</v>
      </c>
      <c r="AG1166">
        <v>0</v>
      </c>
      <c r="AH1166">
        <v>5</v>
      </c>
      <c r="AI1166">
        <f t="shared" si="126"/>
        <v>0</v>
      </c>
      <c r="AJ1166" t="str">
        <f t="shared" si="127"/>
        <v>6-10 yrs</v>
      </c>
      <c r="AK1166" t="str">
        <f t="shared" si="128"/>
        <v>Recent</v>
      </c>
      <c r="AL1166">
        <f t="shared" si="129"/>
        <v>1</v>
      </c>
      <c r="AM1166" t="str">
        <f t="shared" si="130"/>
        <v>Low Risk</v>
      </c>
      <c r="AN1166" s="6">
        <f t="shared" si="131"/>
        <v>-0.57680670858643435</v>
      </c>
      <c r="AO1166" s="7">
        <f t="shared" si="132"/>
        <v>253236</v>
      </c>
    </row>
    <row r="1167" spans="1:41" x14ac:dyDescent="0.3">
      <c r="A1167" t="s">
        <v>1233</v>
      </c>
      <c r="B1167">
        <v>45</v>
      </c>
      <c r="C1167" t="s">
        <v>802</v>
      </c>
      <c r="D1167" t="s">
        <v>55</v>
      </c>
      <c r="E1167" t="s">
        <v>48</v>
      </c>
      <c r="F1167">
        <v>194</v>
      </c>
      <c r="G1167" t="s">
        <v>735</v>
      </c>
      <c r="H1167">
        <v>9</v>
      </c>
      <c r="I1167">
        <v>3</v>
      </c>
      <c r="J1167" t="s">
        <v>50</v>
      </c>
      <c r="K1167">
        <v>206</v>
      </c>
      <c r="L1167">
        <v>2</v>
      </c>
      <c r="M1167" t="s">
        <v>51</v>
      </c>
      <c r="N1167">
        <v>3</v>
      </c>
      <c r="O1167">
        <v>2</v>
      </c>
      <c r="P1167" t="s">
        <v>52</v>
      </c>
      <c r="Q1167">
        <v>2</v>
      </c>
      <c r="R1167" t="s">
        <v>113</v>
      </c>
      <c r="S1167">
        <v>65772</v>
      </c>
      <c r="T1167" t="s">
        <v>64</v>
      </c>
      <c r="U1167">
        <v>411.08</v>
      </c>
      <c r="V1167">
        <v>8</v>
      </c>
      <c r="W1167" t="s">
        <v>55</v>
      </c>
      <c r="X1167">
        <v>18</v>
      </c>
      <c r="Y1167">
        <v>3</v>
      </c>
      <c r="Z1167">
        <v>3</v>
      </c>
      <c r="AA1167">
        <v>1</v>
      </c>
      <c r="AB1167">
        <v>20</v>
      </c>
      <c r="AC1167">
        <v>2</v>
      </c>
      <c r="AD1167">
        <v>1</v>
      </c>
      <c r="AE1167">
        <v>17</v>
      </c>
      <c r="AF1167">
        <v>9</v>
      </c>
      <c r="AG1167">
        <v>0</v>
      </c>
      <c r="AH1167">
        <v>15</v>
      </c>
      <c r="AI1167">
        <f t="shared" si="126"/>
        <v>0</v>
      </c>
      <c r="AJ1167" t="str">
        <f t="shared" si="127"/>
        <v>10+ yrs</v>
      </c>
      <c r="AK1167" t="str">
        <f t="shared" si="128"/>
        <v>Recent</v>
      </c>
      <c r="AL1167">
        <f t="shared" si="129"/>
        <v>2</v>
      </c>
      <c r="AM1167" t="str">
        <f t="shared" si="130"/>
        <v>Medium Risk</v>
      </c>
      <c r="AN1167" s="6">
        <f t="shared" si="131"/>
        <v>0.27167902081536266</v>
      </c>
      <c r="AO1167" s="7">
        <f t="shared" si="132"/>
        <v>789264</v>
      </c>
    </row>
    <row r="1168" spans="1:41" x14ac:dyDescent="0.3">
      <c r="A1168" t="s">
        <v>1234</v>
      </c>
      <c r="B1168">
        <v>45</v>
      </c>
      <c r="C1168" t="s">
        <v>802</v>
      </c>
      <c r="D1168" t="s">
        <v>55</v>
      </c>
      <c r="E1168" t="s">
        <v>48</v>
      </c>
      <c r="F1168">
        <v>1268</v>
      </c>
      <c r="G1168" t="s">
        <v>932</v>
      </c>
      <c r="H1168">
        <v>4</v>
      </c>
      <c r="I1168">
        <v>2</v>
      </c>
      <c r="J1168" t="s">
        <v>50</v>
      </c>
      <c r="K1168">
        <v>240</v>
      </c>
      <c r="L1168">
        <v>3</v>
      </c>
      <c r="M1168" t="s">
        <v>59</v>
      </c>
      <c r="N1168">
        <v>3</v>
      </c>
      <c r="O1168">
        <v>2</v>
      </c>
      <c r="P1168" t="s">
        <v>145</v>
      </c>
      <c r="Q1168">
        <v>1</v>
      </c>
      <c r="R1168" t="s">
        <v>113</v>
      </c>
      <c r="S1168">
        <v>15382</v>
      </c>
      <c r="T1168" t="s">
        <v>54</v>
      </c>
      <c r="U1168">
        <v>96.14</v>
      </c>
      <c r="V1168">
        <v>4</v>
      </c>
      <c r="W1168" t="s">
        <v>47</v>
      </c>
      <c r="X1168">
        <v>11</v>
      </c>
      <c r="Y1168">
        <v>3</v>
      </c>
      <c r="Z1168">
        <v>1</v>
      </c>
      <c r="AA1168">
        <v>1</v>
      </c>
      <c r="AB1168">
        <v>9</v>
      </c>
      <c r="AC1168">
        <v>3</v>
      </c>
      <c r="AD1168">
        <v>4</v>
      </c>
      <c r="AE1168">
        <v>5</v>
      </c>
      <c r="AF1168">
        <v>4</v>
      </c>
      <c r="AG1168">
        <v>0</v>
      </c>
      <c r="AH1168">
        <v>3</v>
      </c>
      <c r="AI1168">
        <f t="shared" si="126"/>
        <v>0</v>
      </c>
      <c r="AJ1168" t="str">
        <f t="shared" si="127"/>
        <v>4-5 yrs</v>
      </c>
      <c r="AK1168" t="str">
        <f t="shared" si="128"/>
        <v>Recent</v>
      </c>
      <c r="AL1168">
        <f t="shared" si="129"/>
        <v>2</v>
      </c>
      <c r="AM1168" t="str">
        <f t="shared" si="130"/>
        <v>Medium Risk</v>
      </c>
      <c r="AN1168" s="6">
        <f t="shared" si="131"/>
        <v>-0.68645257592407272</v>
      </c>
      <c r="AO1168" s="7">
        <f t="shared" si="132"/>
        <v>184584</v>
      </c>
    </row>
    <row r="1169" spans="1:41" x14ac:dyDescent="0.3">
      <c r="A1169" t="s">
        <v>1235</v>
      </c>
      <c r="B1169">
        <v>45</v>
      </c>
      <c r="C1169" t="s">
        <v>802</v>
      </c>
      <c r="D1169" t="s">
        <v>55</v>
      </c>
      <c r="E1169" t="s">
        <v>66</v>
      </c>
      <c r="F1169">
        <v>1195</v>
      </c>
      <c r="G1169" t="s">
        <v>735</v>
      </c>
      <c r="H1169">
        <v>2</v>
      </c>
      <c r="I1169">
        <v>2</v>
      </c>
      <c r="J1169" t="s">
        <v>58</v>
      </c>
      <c r="K1169">
        <v>264</v>
      </c>
      <c r="L1169">
        <v>1</v>
      </c>
      <c r="M1169" t="s">
        <v>51</v>
      </c>
      <c r="N1169">
        <v>2</v>
      </c>
      <c r="O1169">
        <v>4</v>
      </c>
      <c r="P1169" t="s">
        <v>444</v>
      </c>
      <c r="Q1169">
        <v>4</v>
      </c>
      <c r="R1169" t="s">
        <v>113</v>
      </c>
      <c r="S1169">
        <v>85291</v>
      </c>
      <c r="T1169" t="s">
        <v>70</v>
      </c>
      <c r="U1169">
        <v>533.07000000000005</v>
      </c>
      <c r="V1169">
        <v>9</v>
      </c>
      <c r="W1169" t="s">
        <v>55</v>
      </c>
      <c r="X1169">
        <v>23</v>
      </c>
      <c r="Y1169">
        <v>4</v>
      </c>
      <c r="Z1169">
        <v>4</v>
      </c>
      <c r="AA1169">
        <v>1</v>
      </c>
      <c r="AB1169">
        <v>22</v>
      </c>
      <c r="AC1169">
        <v>1</v>
      </c>
      <c r="AD1169">
        <v>3</v>
      </c>
      <c r="AE1169">
        <v>20</v>
      </c>
      <c r="AF1169">
        <v>8</v>
      </c>
      <c r="AG1169">
        <v>11</v>
      </c>
      <c r="AH1169">
        <v>8</v>
      </c>
      <c r="AI1169">
        <f t="shared" si="126"/>
        <v>0</v>
      </c>
      <c r="AJ1169" t="str">
        <f t="shared" si="127"/>
        <v>10+ yrs</v>
      </c>
      <c r="AK1169" t="str">
        <f t="shared" si="128"/>
        <v>Overdue</v>
      </c>
      <c r="AL1169">
        <f t="shared" si="129"/>
        <v>1</v>
      </c>
      <c r="AM1169" t="str">
        <f t="shared" si="130"/>
        <v>Low Risk</v>
      </c>
      <c r="AN1169" s="6">
        <f t="shared" si="131"/>
        <v>0.63397998733337491</v>
      </c>
      <c r="AO1169" s="7">
        <f t="shared" si="132"/>
        <v>1023492</v>
      </c>
    </row>
    <row r="1170" spans="1:41" x14ac:dyDescent="0.3">
      <c r="A1170" t="s">
        <v>1236</v>
      </c>
      <c r="B1170">
        <v>45</v>
      </c>
      <c r="C1170" t="s">
        <v>802</v>
      </c>
      <c r="D1170" t="s">
        <v>55</v>
      </c>
      <c r="E1170" t="s">
        <v>66</v>
      </c>
      <c r="F1170">
        <v>1052</v>
      </c>
      <c r="G1170" t="s">
        <v>932</v>
      </c>
      <c r="H1170">
        <v>6</v>
      </c>
      <c r="I1170">
        <v>3</v>
      </c>
      <c r="J1170" t="s">
        <v>58</v>
      </c>
      <c r="K1170">
        <v>302</v>
      </c>
      <c r="L1170">
        <v>4</v>
      </c>
      <c r="M1170" t="s">
        <v>59</v>
      </c>
      <c r="N1170">
        <v>2</v>
      </c>
      <c r="O1170">
        <v>3</v>
      </c>
      <c r="P1170" t="s">
        <v>145</v>
      </c>
      <c r="Q1170">
        <v>4</v>
      </c>
      <c r="R1170" t="s">
        <v>53</v>
      </c>
      <c r="S1170">
        <v>4756</v>
      </c>
      <c r="T1170" t="s">
        <v>54</v>
      </c>
      <c r="U1170">
        <v>29.72</v>
      </c>
      <c r="V1170">
        <v>6</v>
      </c>
      <c r="W1170" t="s">
        <v>55</v>
      </c>
      <c r="X1170">
        <v>12</v>
      </c>
      <c r="Y1170">
        <v>3</v>
      </c>
      <c r="Z1170">
        <v>4</v>
      </c>
      <c r="AA1170">
        <v>0</v>
      </c>
      <c r="AB1170">
        <v>23</v>
      </c>
      <c r="AC1170">
        <v>2</v>
      </c>
      <c r="AD1170">
        <v>3</v>
      </c>
      <c r="AE1170">
        <v>19</v>
      </c>
      <c r="AF1170">
        <v>7</v>
      </c>
      <c r="AG1170">
        <v>12</v>
      </c>
      <c r="AH1170">
        <v>8</v>
      </c>
      <c r="AI1170">
        <f t="shared" si="126"/>
        <v>0</v>
      </c>
      <c r="AJ1170" t="str">
        <f t="shared" si="127"/>
        <v>10+ yrs</v>
      </c>
      <c r="AK1170" t="str">
        <f t="shared" si="128"/>
        <v>Overdue</v>
      </c>
      <c r="AL1170">
        <f t="shared" si="129"/>
        <v>1</v>
      </c>
      <c r="AM1170" t="str">
        <f t="shared" si="130"/>
        <v>Low Risk</v>
      </c>
      <c r="AN1170" s="6">
        <f t="shared" si="131"/>
        <v>-0.9030534684107977</v>
      </c>
      <c r="AO1170" s="7">
        <f t="shared" si="132"/>
        <v>57072</v>
      </c>
    </row>
    <row r="1171" spans="1:41" x14ac:dyDescent="0.3">
      <c r="A1171" t="s">
        <v>1237</v>
      </c>
      <c r="B1171">
        <v>45</v>
      </c>
      <c r="C1171" t="s">
        <v>802</v>
      </c>
      <c r="D1171" t="s">
        <v>55</v>
      </c>
      <c r="E1171" t="s">
        <v>48</v>
      </c>
      <c r="F1171">
        <v>252</v>
      </c>
      <c r="G1171" t="s">
        <v>735</v>
      </c>
      <c r="H1171">
        <v>1</v>
      </c>
      <c r="I1171">
        <v>3</v>
      </c>
      <c r="J1171" t="s">
        <v>82</v>
      </c>
      <c r="K1171">
        <v>336</v>
      </c>
      <c r="L1171">
        <v>3</v>
      </c>
      <c r="M1171" t="s">
        <v>51</v>
      </c>
      <c r="N1171">
        <v>4</v>
      </c>
      <c r="O1171">
        <v>5</v>
      </c>
      <c r="P1171" t="s">
        <v>444</v>
      </c>
      <c r="Q1171">
        <v>4</v>
      </c>
      <c r="R1171" t="s">
        <v>113</v>
      </c>
      <c r="S1171">
        <v>21609</v>
      </c>
      <c r="T1171" t="s">
        <v>54</v>
      </c>
      <c r="U1171">
        <v>135.06</v>
      </c>
      <c r="V1171">
        <v>0</v>
      </c>
      <c r="W1171" t="s">
        <v>55</v>
      </c>
      <c r="X1171">
        <v>11</v>
      </c>
      <c r="Y1171">
        <v>3</v>
      </c>
      <c r="Z1171">
        <v>3</v>
      </c>
      <c r="AA1171">
        <v>1</v>
      </c>
      <c r="AB1171">
        <v>25</v>
      </c>
      <c r="AC1171">
        <v>2</v>
      </c>
      <c r="AD1171">
        <v>3</v>
      </c>
      <c r="AE1171">
        <v>24</v>
      </c>
      <c r="AF1171">
        <v>0</v>
      </c>
      <c r="AG1171">
        <v>1</v>
      </c>
      <c r="AH1171">
        <v>7</v>
      </c>
      <c r="AI1171">
        <f t="shared" si="126"/>
        <v>0</v>
      </c>
      <c r="AJ1171" t="str">
        <f t="shared" si="127"/>
        <v>10+ yrs</v>
      </c>
      <c r="AK1171" t="str">
        <f t="shared" si="128"/>
        <v>Recent</v>
      </c>
      <c r="AL1171">
        <f t="shared" si="129"/>
        <v>0</v>
      </c>
      <c r="AM1171" t="str">
        <f t="shared" si="130"/>
        <v>Minimal Risk</v>
      </c>
      <c r="AN1171" s="6">
        <f t="shared" si="131"/>
        <v>-0.5860211095392609</v>
      </c>
      <c r="AO1171" s="7">
        <f t="shared" si="132"/>
        <v>259308</v>
      </c>
    </row>
    <row r="1172" spans="1:41" x14ac:dyDescent="0.3">
      <c r="A1172" t="s">
        <v>1238</v>
      </c>
      <c r="B1172">
        <v>45</v>
      </c>
      <c r="C1172" t="s">
        <v>802</v>
      </c>
      <c r="D1172" t="s">
        <v>55</v>
      </c>
      <c r="E1172" t="s">
        <v>62</v>
      </c>
      <c r="F1172">
        <v>1199</v>
      </c>
      <c r="G1172" t="s">
        <v>735</v>
      </c>
      <c r="H1172">
        <v>7</v>
      </c>
      <c r="I1172">
        <v>4</v>
      </c>
      <c r="J1172" t="s">
        <v>50</v>
      </c>
      <c r="K1172">
        <v>341</v>
      </c>
      <c r="L1172">
        <v>1</v>
      </c>
      <c r="M1172" t="s">
        <v>51</v>
      </c>
      <c r="N1172">
        <v>4</v>
      </c>
      <c r="O1172">
        <v>2</v>
      </c>
      <c r="P1172" t="s">
        <v>120</v>
      </c>
      <c r="Q1172">
        <v>3</v>
      </c>
      <c r="R1172" t="s">
        <v>113</v>
      </c>
      <c r="S1172">
        <v>17478</v>
      </c>
      <c r="T1172" t="s">
        <v>54</v>
      </c>
      <c r="U1172">
        <v>109.24</v>
      </c>
      <c r="V1172">
        <v>4</v>
      </c>
      <c r="W1172" t="s">
        <v>55</v>
      </c>
      <c r="X1172">
        <v>17</v>
      </c>
      <c r="Y1172">
        <v>3</v>
      </c>
      <c r="Z1172">
        <v>4</v>
      </c>
      <c r="AA1172">
        <v>1</v>
      </c>
      <c r="AB1172">
        <v>9</v>
      </c>
      <c r="AC1172">
        <v>1</v>
      </c>
      <c r="AD1172">
        <v>3</v>
      </c>
      <c r="AE1172">
        <v>3</v>
      </c>
      <c r="AF1172">
        <v>2</v>
      </c>
      <c r="AG1172">
        <v>0</v>
      </c>
      <c r="AH1172">
        <v>2</v>
      </c>
      <c r="AI1172">
        <f t="shared" si="126"/>
        <v>0</v>
      </c>
      <c r="AJ1172" t="str">
        <f t="shared" si="127"/>
        <v>2-3 yrs</v>
      </c>
      <c r="AK1172" t="str">
        <f t="shared" si="128"/>
        <v>Recent</v>
      </c>
      <c r="AL1172">
        <f t="shared" si="129"/>
        <v>0</v>
      </c>
      <c r="AM1172" t="str">
        <f t="shared" si="130"/>
        <v>Minimal Risk</v>
      </c>
      <c r="AN1172" s="6">
        <f t="shared" si="131"/>
        <v>-0.60542120842372005</v>
      </c>
      <c r="AO1172" s="7">
        <f t="shared" si="132"/>
        <v>209736</v>
      </c>
    </row>
    <row r="1173" spans="1:41" x14ac:dyDescent="0.3">
      <c r="A1173" t="s">
        <v>1239</v>
      </c>
      <c r="B1173">
        <v>45</v>
      </c>
      <c r="C1173" t="s">
        <v>802</v>
      </c>
      <c r="D1173" t="s">
        <v>55</v>
      </c>
      <c r="E1173" t="s">
        <v>48</v>
      </c>
      <c r="F1173">
        <v>1385</v>
      </c>
      <c r="G1173" t="s">
        <v>735</v>
      </c>
      <c r="H1173">
        <v>20</v>
      </c>
      <c r="I1173">
        <v>2</v>
      </c>
      <c r="J1173" t="s">
        <v>58</v>
      </c>
      <c r="K1173">
        <v>372</v>
      </c>
      <c r="L1173">
        <v>3</v>
      </c>
      <c r="M1173" t="s">
        <v>51</v>
      </c>
      <c r="N1173">
        <v>3</v>
      </c>
      <c r="O1173">
        <v>4</v>
      </c>
      <c r="P1173" t="s">
        <v>168</v>
      </c>
      <c r="Q1173">
        <v>4</v>
      </c>
      <c r="R1173" t="s">
        <v>113</v>
      </c>
      <c r="S1173">
        <v>40666</v>
      </c>
      <c r="T1173" t="s">
        <v>72</v>
      </c>
      <c r="U1173">
        <v>254.16</v>
      </c>
      <c r="V1173">
        <v>0</v>
      </c>
      <c r="W1173" t="s">
        <v>47</v>
      </c>
      <c r="X1173">
        <v>14</v>
      </c>
      <c r="Y1173">
        <v>3</v>
      </c>
      <c r="Z1173">
        <v>2</v>
      </c>
      <c r="AA1173">
        <v>0</v>
      </c>
      <c r="AB1173">
        <v>21</v>
      </c>
      <c r="AC1173">
        <v>2</v>
      </c>
      <c r="AD1173">
        <v>3</v>
      </c>
      <c r="AE1173">
        <v>20</v>
      </c>
      <c r="AF1173">
        <v>7</v>
      </c>
      <c r="AG1173">
        <v>4</v>
      </c>
      <c r="AH1173">
        <v>10</v>
      </c>
      <c r="AI1173">
        <f t="shared" si="126"/>
        <v>0</v>
      </c>
      <c r="AJ1173" t="str">
        <f t="shared" si="127"/>
        <v>10+ yrs</v>
      </c>
      <c r="AK1173" t="str">
        <f t="shared" si="128"/>
        <v>Overdue</v>
      </c>
      <c r="AL1173">
        <f t="shared" si="129"/>
        <v>2</v>
      </c>
      <c r="AM1173" t="str">
        <f t="shared" si="130"/>
        <v>Medium Risk</v>
      </c>
      <c r="AN1173" s="6">
        <f t="shared" si="131"/>
        <v>-0.1561169676631369</v>
      </c>
      <c r="AO1173" s="7">
        <f t="shared" si="132"/>
        <v>487992</v>
      </c>
    </row>
    <row r="1174" spans="1:41" x14ac:dyDescent="0.3">
      <c r="A1174" t="s">
        <v>1240</v>
      </c>
      <c r="B1174">
        <v>45</v>
      </c>
      <c r="C1174" t="s">
        <v>802</v>
      </c>
      <c r="D1174" t="s">
        <v>55</v>
      </c>
      <c r="E1174" t="s">
        <v>62</v>
      </c>
      <c r="F1174">
        <v>1249</v>
      </c>
      <c r="G1174" t="s">
        <v>735</v>
      </c>
      <c r="H1174">
        <v>7</v>
      </c>
      <c r="I1174">
        <v>3</v>
      </c>
      <c r="J1174" t="s">
        <v>50</v>
      </c>
      <c r="K1174">
        <v>425</v>
      </c>
      <c r="L1174">
        <v>1</v>
      </c>
      <c r="M1174" t="s">
        <v>51</v>
      </c>
      <c r="N1174">
        <v>3</v>
      </c>
      <c r="O1174">
        <v>3</v>
      </c>
      <c r="P1174" t="s">
        <v>52</v>
      </c>
      <c r="Q1174">
        <v>1</v>
      </c>
      <c r="R1174" t="s">
        <v>53</v>
      </c>
      <c r="S1174">
        <v>76683</v>
      </c>
      <c r="T1174" t="s">
        <v>64</v>
      </c>
      <c r="U1174">
        <v>479.27</v>
      </c>
      <c r="V1174">
        <v>1</v>
      </c>
      <c r="W1174" t="s">
        <v>55</v>
      </c>
      <c r="X1174">
        <v>18</v>
      </c>
      <c r="Y1174">
        <v>3</v>
      </c>
      <c r="Z1174">
        <v>1</v>
      </c>
      <c r="AA1174">
        <v>1</v>
      </c>
      <c r="AB1174">
        <v>24</v>
      </c>
      <c r="AC1174">
        <v>2</v>
      </c>
      <c r="AD1174">
        <v>3</v>
      </c>
      <c r="AE1174">
        <v>24</v>
      </c>
      <c r="AF1174">
        <v>9</v>
      </c>
      <c r="AG1174">
        <v>9</v>
      </c>
      <c r="AH1174">
        <v>11</v>
      </c>
      <c r="AI1174">
        <f t="shared" si="126"/>
        <v>0</v>
      </c>
      <c r="AJ1174" t="str">
        <f t="shared" si="127"/>
        <v>10+ yrs</v>
      </c>
      <c r="AK1174" t="str">
        <f t="shared" si="128"/>
        <v>Overdue</v>
      </c>
      <c r="AL1174">
        <f t="shared" si="129"/>
        <v>2</v>
      </c>
      <c r="AM1174" t="str">
        <f t="shared" si="130"/>
        <v>Medium Risk</v>
      </c>
      <c r="AN1174" s="6">
        <f t="shared" si="131"/>
        <v>0.48263945680813192</v>
      </c>
      <c r="AO1174" s="7">
        <f t="shared" si="132"/>
        <v>920196</v>
      </c>
    </row>
    <row r="1175" spans="1:41" x14ac:dyDescent="0.3">
      <c r="A1175" t="s">
        <v>1241</v>
      </c>
      <c r="B1175">
        <v>45</v>
      </c>
      <c r="C1175" t="s">
        <v>802</v>
      </c>
      <c r="D1175" t="s">
        <v>55</v>
      </c>
      <c r="E1175" t="s">
        <v>48</v>
      </c>
      <c r="F1175">
        <v>549</v>
      </c>
      <c r="G1175" t="s">
        <v>735</v>
      </c>
      <c r="H1175">
        <v>8</v>
      </c>
      <c r="I1175">
        <v>4</v>
      </c>
      <c r="J1175" t="s">
        <v>82</v>
      </c>
      <c r="K1175">
        <v>452</v>
      </c>
      <c r="L1175">
        <v>4</v>
      </c>
      <c r="M1175" t="s">
        <v>51</v>
      </c>
      <c r="N1175">
        <v>3</v>
      </c>
      <c r="O1175">
        <v>2</v>
      </c>
      <c r="P1175" t="s">
        <v>67</v>
      </c>
      <c r="Q1175">
        <v>4</v>
      </c>
      <c r="R1175" t="s">
        <v>113</v>
      </c>
      <c r="S1175">
        <v>72315</v>
      </c>
      <c r="T1175" t="s">
        <v>64</v>
      </c>
      <c r="U1175">
        <v>451.97</v>
      </c>
      <c r="V1175">
        <v>9</v>
      </c>
      <c r="W1175" t="s">
        <v>55</v>
      </c>
      <c r="X1175">
        <v>14</v>
      </c>
      <c r="Y1175">
        <v>3</v>
      </c>
      <c r="Z1175">
        <v>1</v>
      </c>
      <c r="AA1175">
        <v>2</v>
      </c>
      <c r="AB1175">
        <v>12</v>
      </c>
      <c r="AC1175">
        <v>3</v>
      </c>
      <c r="AD1175">
        <v>3</v>
      </c>
      <c r="AE1175">
        <v>10</v>
      </c>
      <c r="AF1175">
        <v>9</v>
      </c>
      <c r="AG1175">
        <v>9</v>
      </c>
      <c r="AH1175">
        <v>8</v>
      </c>
      <c r="AI1175">
        <f t="shared" si="126"/>
        <v>0</v>
      </c>
      <c r="AJ1175" t="str">
        <f t="shared" si="127"/>
        <v>6-10 yrs</v>
      </c>
      <c r="AK1175" t="str">
        <f t="shared" si="128"/>
        <v>Overdue</v>
      </c>
      <c r="AL1175">
        <f t="shared" si="129"/>
        <v>1</v>
      </c>
      <c r="AM1175" t="str">
        <f t="shared" si="130"/>
        <v>Low Risk</v>
      </c>
      <c r="AN1175" s="6">
        <f t="shared" si="131"/>
        <v>0.45018352218035351</v>
      </c>
      <c r="AO1175" s="7">
        <f t="shared" si="132"/>
        <v>867780</v>
      </c>
    </row>
    <row r="1176" spans="1:41" x14ac:dyDescent="0.3">
      <c r="A1176" t="s">
        <v>1242</v>
      </c>
      <c r="B1176">
        <v>45</v>
      </c>
      <c r="C1176" t="s">
        <v>802</v>
      </c>
      <c r="D1176" t="s">
        <v>55</v>
      </c>
      <c r="E1176" t="s">
        <v>48</v>
      </c>
      <c r="F1176">
        <v>192</v>
      </c>
      <c r="G1176" t="s">
        <v>735</v>
      </c>
      <c r="H1176">
        <v>10</v>
      </c>
      <c r="I1176">
        <v>2</v>
      </c>
      <c r="J1176" t="s">
        <v>50</v>
      </c>
      <c r="K1176">
        <v>544</v>
      </c>
      <c r="L1176">
        <v>1</v>
      </c>
      <c r="M1176" t="s">
        <v>51</v>
      </c>
      <c r="N1176">
        <v>3</v>
      </c>
      <c r="O1176">
        <v>1</v>
      </c>
      <c r="P1176" t="s">
        <v>67</v>
      </c>
      <c r="Q1176">
        <v>4</v>
      </c>
      <c r="R1176" t="s">
        <v>113</v>
      </c>
      <c r="S1176">
        <v>78834</v>
      </c>
      <c r="T1176" t="s">
        <v>64</v>
      </c>
      <c r="U1176">
        <v>492.71</v>
      </c>
      <c r="V1176">
        <v>3</v>
      </c>
      <c r="W1176" t="s">
        <v>55</v>
      </c>
      <c r="X1176">
        <v>21</v>
      </c>
      <c r="Y1176">
        <v>4</v>
      </c>
      <c r="Z1176">
        <v>4</v>
      </c>
      <c r="AA1176">
        <v>2</v>
      </c>
      <c r="AB1176">
        <v>8</v>
      </c>
      <c r="AC1176">
        <v>3</v>
      </c>
      <c r="AD1176">
        <v>2</v>
      </c>
      <c r="AE1176">
        <v>2</v>
      </c>
      <c r="AF1176">
        <v>2</v>
      </c>
      <c r="AG1176">
        <v>0</v>
      </c>
      <c r="AH1176">
        <v>2</v>
      </c>
      <c r="AI1176">
        <f t="shared" si="126"/>
        <v>0</v>
      </c>
      <c r="AJ1176" t="str">
        <f t="shared" si="127"/>
        <v>2-3 yrs</v>
      </c>
      <c r="AK1176" t="str">
        <f t="shared" si="128"/>
        <v>Recent</v>
      </c>
      <c r="AL1176">
        <f t="shared" si="129"/>
        <v>1</v>
      </c>
      <c r="AM1176" t="str">
        <f t="shared" si="130"/>
        <v>Low Risk</v>
      </c>
      <c r="AN1176" s="6">
        <f t="shared" si="131"/>
        <v>0.58091361111202366</v>
      </c>
      <c r="AO1176" s="7">
        <f t="shared" si="132"/>
        <v>946008</v>
      </c>
    </row>
    <row r="1177" spans="1:41" x14ac:dyDescent="0.3">
      <c r="A1177" t="s">
        <v>1243</v>
      </c>
      <c r="B1177">
        <v>45</v>
      </c>
      <c r="C1177" t="s">
        <v>802</v>
      </c>
      <c r="D1177" t="s">
        <v>55</v>
      </c>
      <c r="E1177" t="s">
        <v>48</v>
      </c>
      <c r="F1177">
        <v>561</v>
      </c>
      <c r="G1177" t="s">
        <v>932</v>
      </c>
      <c r="H1177">
        <v>2</v>
      </c>
      <c r="I1177">
        <v>3</v>
      </c>
      <c r="J1177" t="s">
        <v>82</v>
      </c>
      <c r="K1177">
        <v>606</v>
      </c>
      <c r="L1177">
        <v>4</v>
      </c>
      <c r="M1177" t="s">
        <v>51</v>
      </c>
      <c r="N1177">
        <v>3</v>
      </c>
      <c r="O1177">
        <v>2</v>
      </c>
      <c r="P1177" t="s">
        <v>145</v>
      </c>
      <c r="Q1177">
        <v>2</v>
      </c>
      <c r="R1177" t="s">
        <v>113</v>
      </c>
      <c r="S1177">
        <v>15153</v>
      </c>
      <c r="T1177" t="s">
        <v>54</v>
      </c>
      <c r="U1177">
        <v>94.71</v>
      </c>
      <c r="V1177">
        <v>0</v>
      </c>
      <c r="W1177" t="s">
        <v>55</v>
      </c>
      <c r="X1177">
        <v>19</v>
      </c>
      <c r="Y1177">
        <v>3</v>
      </c>
      <c r="Z1177">
        <v>2</v>
      </c>
      <c r="AA1177">
        <v>1</v>
      </c>
      <c r="AB1177">
        <v>9</v>
      </c>
      <c r="AC1177">
        <v>3</v>
      </c>
      <c r="AD1177">
        <v>4</v>
      </c>
      <c r="AE1177">
        <v>8</v>
      </c>
      <c r="AF1177">
        <v>7</v>
      </c>
      <c r="AG1177">
        <v>3</v>
      </c>
      <c r="AH1177">
        <v>7</v>
      </c>
      <c r="AI1177">
        <f t="shared" si="126"/>
        <v>0</v>
      </c>
      <c r="AJ1177" t="str">
        <f t="shared" si="127"/>
        <v>6-10 yrs</v>
      </c>
      <c r="AK1177" t="str">
        <f t="shared" si="128"/>
        <v>Overdue</v>
      </c>
      <c r="AL1177">
        <f t="shared" si="129"/>
        <v>2</v>
      </c>
      <c r="AM1177" t="str">
        <f t="shared" si="130"/>
        <v>Medium Risk</v>
      </c>
      <c r="AN1177" s="6">
        <f t="shared" si="131"/>
        <v>-0.69112052288242587</v>
      </c>
      <c r="AO1177" s="7">
        <f t="shared" si="132"/>
        <v>181836</v>
      </c>
    </row>
    <row r="1178" spans="1:41" x14ac:dyDescent="0.3">
      <c r="A1178" t="s">
        <v>1244</v>
      </c>
      <c r="B1178">
        <v>45</v>
      </c>
      <c r="C1178" t="s">
        <v>802</v>
      </c>
      <c r="D1178" t="s">
        <v>47</v>
      </c>
      <c r="E1178" t="s">
        <v>62</v>
      </c>
      <c r="F1178">
        <v>306</v>
      </c>
      <c r="G1178" t="s">
        <v>932</v>
      </c>
      <c r="H1178">
        <v>26</v>
      </c>
      <c r="I1178">
        <v>4</v>
      </c>
      <c r="J1178" t="s">
        <v>50</v>
      </c>
      <c r="K1178">
        <v>684</v>
      </c>
      <c r="L1178">
        <v>1</v>
      </c>
      <c r="M1178" t="s">
        <v>59</v>
      </c>
      <c r="N1178">
        <v>3</v>
      </c>
      <c r="O1178">
        <v>2</v>
      </c>
      <c r="P1178" t="s">
        <v>145</v>
      </c>
      <c r="Q1178">
        <v>1</v>
      </c>
      <c r="R1178" t="s">
        <v>113</v>
      </c>
      <c r="S1178">
        <v>77325</v>
      </c>
      <c r="T1178" t="s">
        <v>64</v>
      </c>
      <c r="U1178">
        <v>483.28</v>
      </c>
      <c r="V1178">
        <v>2</v>
      </c>
      <c r="W1178" t="s">
        <v>55</v>
      </c>
      <c r="X1178">
        <v>14</v>
      </c>
      <c r="Y1178">
        <v>3</v>
      </c>
      <c r="Z1178">
        <v>4</v>
      </c>
      <c r="AA1178">
        <v>2</v>
      </c>
      <c r="AB1178">
        <v>5</v>
      </c>
      <c r="AC1178">
        <v>4</v>
      </c>
      <c r="AD1178">
        <v>3</v>
      </c>
      <c r="AE1178">
        <v>1</v>
      </c>
      <c r="AF1178">
        <v>1</v>
      </c>
      <c r="AG1178">
        <v>0</v>
      </c>
      <c r="AH1178">
        <v>0</v>
      </c>
      <c r="AI1178">
        <f t="shared" si="126"/>
        <v>1</v>
      </c>
      <c r="AJ1178" t="str">
        <f t="shared" si="127"/>
        <v>0-1 yr</v>
      </c>
      <c r="AK1178" t="str">
        <f t="shared" si="128"/>
        <v>Recent</v>
      </c>
      <c r="AL1178">
        <f t="shared" si="129"/>
        <v>1</v>
      </c>
      <c r="AM1178" t="str">
        <f t="shared" si="130"/>
        <v>Low Risk</v>
      </c>
      <c r="AN1178" s="6">
        <f t="shared" si="131"/>
        <v>0.57619650023866054</v>
      </c>
      <c r="AO1178" s="7">
        <f t="shared" si="132"/>
        <v>927900</v>
      </c>
    </row>
    <row r="1179" spans="1:41" x14ac:dyDescent="0.3">
      <c r="A1179" t="s">
        <v>1245</v>
      </c>
      <c r="B1179">
        <v>45</v>
      </c>
      <c r="C1179" t="s">
        <v>802</v>
      </c>
      <c r="D1179" t="s">
        <v>55</v>
      </c>
      <c r="E1179" t="s">
        <v>48</v>
      </c>
      <c r="F1179">
        <v>954</v>
      </c>
      <c r="G1179" t="s">
        <v>932</v>
      </c>
      <c r="H1179">
        <v>2</v>
      </c>
      <c r="I1179">
        <v>2</v>
      </c>
      <c r="J1179" t="s">
        <v>77</v>
      </c>
      <c r="K1179">
        <v>783</v>
      </c>
      <c r="L1179">
        <v>2</v>
      </c>
      <c r="M1179" t="s">
        <v>51</v>
      </c>
      <c r="N1179">
        <v>1</v>
      </c>
      <c r="O1179">
        <v>2</v>
      </c>
      <c r="P1179" t="s">
        <v>60</v>
      </c>
      <c r="Q1179">
        <v>3</v>
      </c>
      <c r="R1179" t="s">
        <v>53</v>
      </c>
      <c r="S1179">
        <v>13999</v>
      </c>
      <c r="T1179" t="s">
        <v>54</v>
      </c>
      <c r="U1179">
        <v>87.49</v>
      </c>
      <c r="V1179">
        <v>0</v>
      </c>
      <c r="W1179" t="s">
        <v>55</v>
      </c>
      <c r="X1179">
        <v>13</v>
      </c>
      <c r="Y1179">
        <v>3</v>
      </c>
      <c r="Z1179">
        <v>1</v>
      </c>
      <c r="AA1179">
        <v>0</v>
      </c>
      <c r="AB1179">
        <v>9</v>
      </c>
      <c r="AC1179">
        <v>3</v>
      </c>
      <c r="AD1179">
        <v>3</v>
      </c>
      <c r="AE1179">
        <v>8</v>
      </c>
      <c r="AF1179">
        <v>7</v>
      </c>
      <c r="AG1179">
        <v>3</v>
      </c>
      <c r="AH1179">
        <v>1</v>
      </c>
      <c r="AI1179">
        <f t="shared" si="126"/>
        <v>0</v>
      </c>
      <c r="AJ1179" t="str">
        <f t="shared" si="127"/>
        <v>6-10 yrs</v>
      </c>
      <c r="AK1179" t="str">
        <f t="shared" si="128"/>
        <v>Overdue</v>
      </c>
      <c r="AL1179">
        <f t="shared" si="129"/>
        <v>1</v>
      </c>
      <c r="AM1179" t="str">
        <f t="shared" si="130"/>
        <v>Low Risk</v>
      </c>
      <c r="AN1179" s="6">
        <f t="shared" si="131"/>
        <v>-0.71619888831797451</v>
      </c>
      <c r="AO1179" s="7">
        <f t="shared" si="132"/>
        <v>167988</v>
      </c>
    </row>
    <row r="1180" spans="1:41" x14ac:dyDescent="0.3">
      <c r="A1180" t="s">
        <v>1246</v>
      </c>
      <c r="B1180">
        <v>45</v>
      </c>
      <c r="C1180" t="s">
        <v>802</v>
      </c>
      <c r="D1180" t="s">
        <v>55</v>
      </c>
      <c r="E1180" t="s">
        <v>48</v>
      </c>
      <c r="F1180">
        <v>252</v>
      </c>
      <c r="G1180" t="s">
        <v>735</v>
      </c>
      <c r="H1180">
        <v>2</v>
      </c>
      <c r="I1180">
        <v>3</v>
      </c>
      <c r="J1180" t="s">
        <v>50</v>
      </c>
      <c r="K1180">
        <v>834</v>
      </c>
      <c r="L1180">
        <v>2</v>
      </c>
      <c r="M1180" t="s">
        <v>59</v>
      </c>
      <c r="N1180">
        <v>2</v>
      </c>
      <c r="O1180">
        <v>1</v>
      </c>
      <c r="P1180" t="s">
        <v>67</v>
      </c>
      <c r="Q1180">
        <v>3</v>
      </c>
      <c r="R1180" t="s">
        <v>53</v>
      </c>
      <c r="S1180">
        <v>56318</v>
      </c>
      <c r="T1180" t="s">
        <v>64</v>
      </c>
      <c r="U1180">
        <v>351.99</v>
      </c>
      <c r="V1180">
        <v>1</v>
      </c>
      <c r="W1180" t="s">
        <v>55</v>
      </c>
      <c r="X1180">
        <v>14</v>
      </c>
      <c r="Y1180">
        <v>3</v>
      </c>
      <c r="Z1180">
        <v>4</v>
      </c>
      <c r="AA1180">
        <v>0</v>
      </c>
      <c r="AB1180">
        <v>1</v>
      </c>
      <c r="AC1180">
        <v>3</v>
      </c>
      <c r="AD1180">
        <v>3</v>
      </c>
      <c r="AE1180">
        <v>1</v>
      </c>
      <c r="AF1180">
        <v>0</v>
      </c>
      <c r="AG1180">
        <v>0</v>
      </c>
      <c r="AH1180">
        <v>0</v>
      </c>
      <c r="AI1180">
        <f t="shared" si="126"/>
        <v>0</v>
      </c>
      <c r="AJ1180" t="str">
        <f t="shared" si="127"/>
        <v>0-1 yr</v>
      </c>
      <c r="AK1180" t="str">
        <f t="shared" si="128"/>
        <v>Recent</v>
      </c>
      <c r="AL1180">
        <f t="shared" si="129"/>
        <v>0</v>
      </c>
      <c r="AM1180" t="str">
        <f t="shared" si="130"/>
        <v>Minimal Risk</v>
      </c>
      <c r="AN1180" s="6">
        <f t="shared" si="131"/>
        <v>0.12938443756002418</v>
      </c>
      <c r="AO1180" s="7">
        <f t="shared" si="132"/>
        <v>675816</v>
      </c>
    </row>
    <row r="1181" spans="1:41" x14ac:dyDescent="0.3">
      <c r="A1181" t="s">
        <v>1247</v>
      </c>
      <c r="B1181">
        <v>45</v>
      </c>
      <c r="C1181" t="s">
        <v>802</v>
      </c>
      <c r="D1181" t="s">
        <v>55</v>
      </c>
      <c r="E1181" t="s">
        <v>48</v>
      </c>
      <c r="F1181">
        <v>930</v>
      </c>
      <c r="G1181" t="s">
        <v>932</v>
      </c>
      <c r="H1181">
        <v>9</v>
      </c>
      <c r="I1181">
        <v>3</v>
      </c>
      <c r="J1181" t="s">
        <v>63</v>
      </c>
      <c r="K1181">
        <v>864</v>
      </c>
      <c r="L1181">
        <v>4</v>
      </c>
      <c r="M1181" t="s">
        <v>51</v>
      </c>
      <c r="N1181">
        <v>3</v>
      </c>
      <c r="O1181">
        <v>3</v>
      </c>
      <c r="P1181" t="s">
        <v>145</v>
      </c>
      <c r="Q1181">
        <v>1</v>
      </c>
      <c r="R1181" t="s">
        <v>113</v>
      </c>
      <c r="S1181">
        <v>1814</v>
      </c>
      <c r="T1181" t="s">
        <v>54</v>
      </c>
      <c r="U1181">
        <v>11.34</v>
      </c>
      <c r="V1181">
        <v>4</v>
      </c>
      <c r="W1181" t="s">
        <v>47</v>
      </c>
      <c r="X1181">
        <v>12</v>
      </c>
      <c r="Y1181">
        <v>3</v>
      </c>
      <c r="Z1181">
        <v>3</v>
      </c>
      <c r="AA1181">
        <v>1</v>
      </c>
      <c r="AB1181">
        <v>18</v>
      </c>
      <c r="AC1181">
        <v>2</v>
      </c>
      <c r="AD1181">
        <v>3</v>
      </c>
      <c r="AE1181">
        <v>5</v>
      </c>
      <c r="AF1181">
        <v>4</v>
      </c>
      <c r="AG1181">
        <v>0</v>
      </c>
      <c r="AH1181">
        <v>2</v>
      </c>
      <c r="AI1181">
        <f t="shared" si="126"/>
        <v>0</v>
      </c>
      <c r="AJ1181" t="str">
        <f t="shared" si="127"/>
        <v>4-5 yrs</v>
      </c>
      <c r="AK1181" t="str">
        <f t="shared" si="128"/>
        <v>Recent</v>
      </c>
      <c r="AL1181">
        <f t="shared" si="129"/>
        <v>2</v>
      </c>
      <c r="AM1181" t="str">
        <f t="shared" si="130"/>
        <v>Medium Risk</v>
      </c>
      <c r="AN1181" s="6">
        <f t="shared" si="131"/>
        <v>-0.96302333719453048</v>
      </c>
      <c r="AO1181" s="7">
        <f t="shared" si="132"/>
        <v>21768</v>
      </c>
    </row>
    <row r="1182" spans="1:41" x14ac:dyDescent="0.3">
      <c r="A1182" t="s">
        <v>1248</v>
      </c>
      <c r="B1182">
        <v>45</v>
      </c>
      <c r="C1182" t="s">
        <v>802</v>
      </c>
      <c r="D1182" t="s">
        <v>55</v>
      </c>
      <c r="E1182" t="s">
        <v>66</v>
      </c>
      <c r="F1182">
        <v>805</v>
      </c>
      <c r="G1182" t="s">
        <v>735</v>
      </c>
      <c r="H1182">
        <v>4</v>
      </c>
      <c r="I1182">
        <v>2</v>
      </c>
      <c r="J1182" t="s">
        <v>50</v>
      </c>
      <c r="K1182">
        <v>972</v>
      </c>
      <c r="L1182">
        <v>3</v>
      </c>
      <c r="M1182" t="s">
        <v>51</v>
      </c>
      <c r="N1182">
        <v>3</v>
      </c>
      <c r="O1182">
        <v>2</v>
      </c>
      <c r="P1182" t="s">
        <v>52</v>
      </c>
      <c r="Q1182">
        <v>2</v>
      </c>
      <c r="R1182" t="s">
        <v>113</v>
      </c>
      <c r="S1182">
        <v>77077</v>
      </c>
      <c r="T1182" t="s">
        <v>64</v>
      </c>
      <c r="U1182">
        <v>481.73</v>
      </c>
      <c r="V1182">
        <v>1</v>
      </c>
      <c r="W1182" t="s">
        <v>55</v>
      </c>
      <c r="X1182">
        <v>12</v>
      </c>
      <c r="Y1182">
        <v>3</v>
      </c>
      <c r="Z1182">
        <v>2</v>
      </c>
      <c r="AA1182">
        <v>0</v>
      </c>
      <c r="AB1182">
        <v>9</v>
      </c>
      <c r="AC1182">
        <v>5</v>
      </c>
      <c r="AD1182">
        <v>2</v>
      </c>
      <c r="AE1182">
        <v>9</v>
      </c>
      <c r="AF1182">
        <v>7</v>
      </c>
      <c r="AG1182">
        <v>0</v>
      </c>
      <c r="AH1182">
        <v>8</v>
      </c>
      <c r="AI1182">
        <f t="shared" si="126"/>
        <v>0</v>
      </c>
      <c r="AJ1182" t="str">
        <f t="shared" si="127"/>
        <v>6-10 yrs</v>
      </c>
      <c r="AK1182" t="str">
        <f t="shared" si="128"/>
        <v>Recent</v>
      </c>
      <c r="AL1182">
        <f t="shared" si="129"/>
        <v>2</v>
      </c>
      <c r="AM1182" t="str">
        <f t="shared" si="130"/>
        <v>Medium Risk</v>
      </c>
      <c r="AN1182" s="6">
        <f t="shared" si="131"/>
        <v>0.49025731143017859</v>
      </c>
      <c r="AO1182" s="7">
        <f t="shared" si="132"/>
        <v>924924</v>
      </c>
    </row>
    <row r="1183" spans="1:41" x14ac:dyDescent="0.3">
      <c r="A1183" t="s">
        <v>1249</v>
      </c>
      <c r="B1183">
        <v>45</v>
      </c>
      <c r="C1183" t="s">
        <v>802</v>
      </c>
      <c r="D1183" t="s">
        <v>55</v>
      </c>
      <c r="E1183" t="s">
        <v>48</v>
      </c>
      <c r="F1183">
        <v>974</v>
      </c>
      <c r="G1183" t="s">
        <v>735</v>
      </c>
      <c r="H1183">
        <v>1</v>
      </c>
      <c r="I1183">
        <v>4</v>
      </c>
      <c r="J1183" t="s">
        <v>58</v>
      </c>
      <c r="K1183">
        <v>996</v>
      </c>
      <c r="L1183">
        <v>4</v>
      </c>
      <c r="M1183" t="s">
        <v>59</v>
      </c>
      <c r="N1183">
        <v>3</v>
      </c>
      <c r="O1183">
        <v>1</v>
      </c>
      <c r="P1183" t="s">
        <v>52</v>
      </c>
      <c r="Q1183">
        <v>4</v>
      </c>
      <c r="R1183" t="s">
        <v>113</v>
      </c>
      <c r="S1183">
        <v>91474</v>
      </c>
      <c r="T1183" t="s">
        <v>70</v>
      </c>
      <c r="U1183">
        <v>571.71</v>
      </c>
      <c r="V1183">
        <v>3</v>
      </c>
      <c r="W1183" t="s">
        <v>55</v>
      </c>
      <c r="X1183">
        <v>14</v>
      </c>
      <c r="Y1183">
        <v>3</v>
      </c>
      <c r="Z1183">
        <v>4</v>
      </c>
      <c r="AA1183">
        <v>2</v>
      </c>
      <c r="AB1183">
        <v>8</v>
      </c>
      <c r="AC1183">
        <v>2</v>
      </c>
      <c r="AD1183">
        <v>3</v>
      </c>
      <c r="AE1183">
        <v>5</v>
      </c>
      <c r="AF1183">
        <v>3</v>
      </c>
      <c r="AG1183">
        <v>0</v>
      </c>
      <c r="AH1183">
        <v>2</v>
      </c>
      <c r="AI1183">
        <f t="shared" si="126"/>
        <v>0</v>
      </c>
      <c r="AJ1183" t="str">
        <f t="shared" si="127"/>
        <v>4-5 yrs</v>
      </c>
      <c r="AK1183" t="str">
        <f t="shared" si="128"/>
        <v>Recent</v>
      </c>
      <c r="AL1183">
        <f t="shared" si="129"/>
        <v>0</v>
      </c>
      <c r="AM1183" t="str">
        <f t="shared" si="130"/>
        <v>Minimal Risk</v>
      </c>
      <c r="AN1183" s="6">
        <f t="shared" si="131"/>
        <v>0.76861835963729985</v>
      </c>
      <c r="AO1183" s="7">
        <f t="shared" si="132"/>
        <v>1097688</v>
      </c>
    </row>
    <row r="1184" spans="1:41" x14ac:dyDescent="0.3">
      <c r="A1184" t="s">
        <v>1250</v>
      </c>
      <c r="B1184">
        <v>45</v>
      </c>
      <c r="C1184" t="s">
        <v>802</v>
      </c>
      <c r="D1184" t="s">
        <v>55</v>
      </c>
      <c r="E1184" t="s">
        <v>66</v>
      </c>
      <c r="F1184">
        <v>248</v>
      </c>
      <c r="G1184" t="s">
        <v>735</v>
      </c>
      <c r="H1184">
        <v>23</v>
      </c>
      <c r="I1184">
        <v>2</v>
      </c>
      <c r="J1184" t="s">
        <v>50</v>
      </c>
      <c r="K1184">
        <v>1002</v>
      </c>
      <c r="L1184">
        <v>4</v>
      </c>
      <c r="M1184" t="s">
        <v>51</v>
      </c>
      <c r="N1184">
        <v>3</v>
      </c>
      <c r="O1184">
        <v>2</v>
      </c>
      <c r="P1184" t="s">
        <v>52</v>
      </c>
      <c r="Q1184">
        <v>1</v>
      </c>
      <c r="R1184" t="s">
        <v>113</v>
      </c>
      <c r="S1184">
        <v>3443</v>
      </c>
      <c r="T1184" t="s">
        <v>54</v>
      </c>
      <c r="U1184">
        <v>21.52</v>
      </c>
      <c r="V1184">
        <v>1</v>
      </c>
      <c r="W1184" t="s">
        <v>47</v>
      </c>
      <c r="X1184">
        <v>15</v>
      </c>
      <c r="Y1184">
        <v>3</v>
      </c>
      <c r="Z1184">
        <v>3</v>
      </c>
      <c r="AA1184">
        <v>1</v>
      </c>
      <c r="AB1184">
        <v>9</v>
      </c>
      <c r="AC1184">
        <v>2</v>
      </c>
      <c r="AD1184">
        <v>3</v>
      </c>
      <c r="AE1184">
        <v>9</v>
      </c>
      <c r="AF1184">
        <v>8</v>
      </c>
      <c r="AG1184">
        <v>0</v>
      </c>
      <c r="AH1184">
        <v>8</v>
      </c>
      <c r="AI1184">
        <f t="shared" si="126"/>
        <v>0</v>
      </c>
      <c r="AJ1184" t="str">
        <f t="shared" si="127"/>
        <v>6-10 yrs</v>
      </c>
      <c r="AK1184" t="str">
        <f t="shared" si="128"/>
        <v>Recent</v>
      </c>
      <c r="AL1184">
        <f t="shared" si="129"/>
        <v>2</v>
      </c>
      <c r="AM1184" t="str">
        <f t="shared" si="130"/>
        <v>Medium Risk</v>
      </c>
      <c r="AN1184" s="6">
        <f t="shared" si="131"/>
        <v>-0.9334307780108968</v>
      </c>
      <c r="AO1184" s="7">
        <f t="shared" si="132"/>
        <v>41316</v>
      </c>
    </row>
    <row r="1185" spans="1:41" x14ac:dyDescent="0.3">
      <c r="A1185" t="s">
        <v>1251</v>
      </c>
      <c r="B1185">
        <v>45</v>
      </c>
      <c r="C1185" t="s">
        <v>802</v>
      </c>
      <c r="D1185" t="s">
        <v>55</v>
      </c>
      <c r="E1185" t="s">
        <v>48</v>
      </c>
      <c r="F1185">
        <v>1234</v>
      </c>
      <c r="G1185" t="s">
        <v>932</v>
      </c>
      <c r="H1185">
        <v>11</v>
      </c>
      <c r="I1185">
        <v>2</v>
      </c>
      <c r="J1185" t="s">
        <v>50</v>
      </c>
      <c r="K1185">
        <v>1045</v>
      </c>
      <c r="L1185">
        <v>4</v>
      </c>
      <c r="M1185" t="s">
        <v>59</v>
      </c>
      <c r="N1185">
        <v>3</v>
      </c>
      <c r="O1185">
        <v>4</v>
      </c>
      <c r="P1185" t="s">
        <v>444</v>
      </c>
      <c r="Q1185">
        <v>4</v>
      </c>
      <c r="R1185" t="s">
        <v>113</v>
      </c>
      <c r="S1185">
        <v>76993</v>
      </c>
      <c r="T1185" t="s">
        <v>64</v>
      </c>
      <c r="U1185">
        <v>481.21</v>
      </c>
      <c r="V1185">
        <v>3</v>
      </c>
      <c r="W1185" t="s">
        <v>55</v>
      </c>
      <c r="X1185">
        <v>13</v>
      </c>
      <c r="Y1185">
        <v>3</v>
      </c>
      <c r="Z1185">
        <v>2</v>
      </c>
      <c r="AA1185">
        <v>1</v>
      </c>
      <c r="AB1185">
        <v>26</v>
      </c>
      <c r="AC1185">
        <v>4</v>
      </c>
      <c r="AD1185">
        <v>4</v>
      </c>
      <c r="AE1185">
        <v>9</v>
      </c>
      <c r="AF1185">
        <v>3</v>
      </c>
      <c r="AG1185">
        <v>1</v>
      </c>
      <c r="AH1185">
        <v>1</v>
      </c>
      <c r="AI1185">
        <f t="shared" si="126"/>
        <v>0</v>
      </c>
      <c r="AJ1185" t="str">
        <f t="shared" si="127"/>
        <v>6-10 yrs</v>
      </c>
      <c r="AK1185" t="str">
        <f t="shared" si="128"/>
        <v>Recent</v>
      </c>
      <c r="AL1185">
        <f t="shared" si="129"/>
        <v>0</v>
      </c>
      <c r="AM1185" t="str">
        <f t="shared" si="130"/>
        <v>Minimal Risk</v>
      </c>
      <c r="AN1185" s="6">
        <f t="shared" si="131"/>
        <v>0.4750093346866438</v>
      </c>
      <c r="AO1185" s="7">
        <f t="shared" si="132"/>
        <v>923916</v>
      </c>
    </row>
    <row r="1186" spans="1:41" x14ac:dyDescent="0.3">
      <c r="A1186" t="s">
        <v>1252</v>
      </c>
      <c r="B1186">
        <v>45</v>
      </c>
      <c r="C1186" t="s">
        <v>802</v>
      </c>
      <c r="D1186" t="s">
        <v>55</v>
      </c>
      <c r="E1186" t="s">
        <v>48</v>
      </c>
      <c r="F1186">
        <v>788</v>
      </c>
      <c r="G1186" t="s">
        <v>80</v>
      </c>
      <c r="H1186">
        <v>24</v>
      </c>
      <c r="I1186">
        <v>4</v>
      </c>
      <c r="J1186" t="s">
        <v>58</v>
      </c>
      <c r="K1186">
        <v>1049</v>
      </c>
      <c r="L1186">
        <v>2</v>
      </c>
      <c r="M1186" t="s">
        <v>51</v>
      </c>
      <c r="N1186">
        <v>3</v>
      </c>
      <c r="O1186">
        <v>1</v>
      </c>
      <c r="P1186" t="s">
        <v>80</v>
      </c>
      <c r="Q1186">
        <v>2</v>
      </c>
      <c r="R1186" t="s">
        <v>53</v>
      </c>
      <c r="S1186">
        <v>76916</v>
      </c>
      <c r="T1186" t="s">
        <v>64</v>
      </c>
      <c r="U1186">
        <v>480.72</v>
      </c>
      <c r="V1186">
        <v>1</v>
      </c>
      <c r="W1186" t="s">
        <v>55</v>
      </c>
      <c r="X1186">
        <v>16</v>
      </c>
      <c r="Y1186">
        <v>3</v>
      </c>
      <c r="Z1186">
        <v>1</v>
      </c>
      <c r="AA1186">
        <v>0</v>
      </c>
      <c r="AB1186">
        <v>6</v>
      </c>
      <c r="AC1186">
        <v>3</v>
      </c>
      <c r="AD1186">
        <v>3</v>
      </c>
      <c r="AE1186">
        <v>6</v>
      </c>
      <c r="AF1186">
        <v>3</v>
      </c>
      <c r="AG1186">
        <v>0</v>
      </c>
      <c r="AH1186">
        <v>4</v>
      </c>
      <c r="AI1186">
        <f t="shared" si="126"/>
        <v>0</v>
      </c>
      <c r="AJ1186" t="str">
        <f t="shared" si="127"/>
        <v>6-10 yrs</v>
      </c>
      <c r="AK1186" t="str">
        <f t="shared" si="128"/>
        <v>Recent</v>
      </c>
      <c r="AL1186">
        <f t="shared" si="129"/>
        <v>1</v>
      </c>
      <c r="AM1186" t="str">
        <f t="shared" si="130"/>
        <v>Low Risk</v>
      </c>
      <c r="AN1186" s="6">
        <f t="shared" si="131"/>
        <v>0.51576426181173241</v>
      </c>
      <c r="AO1186" s="7">
        <f t="shared" si="132"/>
        <v>922992</v>
      </c>
    </row>
    <row r="1187" spans="1:41" x14ac:dyDescent="0.3">
      <c r="A1187" t="s">
        <v>1253</v>
      </c>
      <c r="B1187">
        <v>45</v>
      </c>
      <c r="C1187" t="s">
        <v>802</v>
      </c>
      <c r="D1187" t="s">
        <v>55</v>
      </c>
      <c r="E1187" t="s">
        <v>66</v>
      </c>
      <c r="F1187">
        <v>1050</v>
      </c>
      <c r="G1187" t="s">
        <v>932</v>
      </c>
      <c r="H1187">
        <v>9</v>
      </c>
      <c r="I1187">
        <v>4</v>
      </c>
      <c r="J1187" t="s">
        <v>50</v>
      </c>
      <c r="K1187">
        <v>1117</v>
      </c>
      <c r="L1187">
        <v>2</v>
      </c>
      <c r="M1187" t="s">
        <v>59</v>
      </c>
      <c r="N1187">
        <v>2</v>
      </c>
      <c r="O1187">
        <v>2</v>
      </c>
      <c r="P1187" t="s">
        <v>145</v>
      </c>
      <c r="Q1187">
        <v>3</v>
      </c>
      <c r="R1187" t="s">
        <v>113</v>
      </c>
      <c r="S1187">
        <v>74319</v>
      </c>
      <c r="T1187" t="s">
        <v>64</v>
      </c>
      <c r="U1187">
        <v>464.49</v>
      </c>
      <c r="V1187">
        <v>1</v>
      </c>
      <c r="W1187" t="s">
        <v>55</v>
      </c>
      <c r="X1187">
        <v>13</v>
      </c>
      <c r="Y1187">
        <v>3</v>
      </c>
      <c r="Z1187">
        <v>4</v>
      </c>
      <c r="AA1187">
        <v>1</v>
      </c>
      <c r="AB1187">
        <v>15</v>
      </c>
      <c r="AC1187">
        <v>2</v>
      </c>
      <c r="AD1187">
        <v>3</v>
      </c>
      <c r="AE1187">
        <v>15</v>
      </c>
      <c r="AF1187">
        <v>10</v>
      </c>
      <c r="AG1187">
        <v>4</v>
      </c>
      <c r="AH1187">
        <v>12</v>
      </c>
      <c r="AI1187">
        <f t="shared" si="126"/>
        <v>0</v>
      </c>
      <c r="AJ1187" t="str">
        <f t="shared" si="127"/>
        <v>10+ yrs</v>
      </c>
      <c r="AK1187" t="str">
        <f t="shared" si="128"/>
        <v>Overdue</v>
      </c>
      <c r="AL1187">
        <f t="shared" si="129"/>
        <v>1</v>
      </c>
      <c r="AM1187" t="str">
        <f t="shared" si="130"/>
        <v>Low Risk</v>
      </c>
      <c r="AN1187" s="6">
        <f t="shared" si="131"/>
        <v>0.51492205239233124</v>
      </c>
      <c r="AO1187" s="7">
        <f t="shared" si="132"/>
        <v>891828</v>
      </c>
    </row>
    <row r="1188" spans="1:41" x14ac:dyDescent="0.3">
      <c r="A1188" t="s">
        <v>1254</v>
      </c>
      <c r="B1188">
        <v>45</v>
      </c>
      <c r="C1188" t="s">
        <v>802</v>
      </c>
      <c r="D1188" t="s">
        <v>55</v>
      </c>
      <c r="E1188" t="s">
        <v>48</v>
      </c>
      <c r="F1188">
        <v>1457</v>
      </c>
      <c r="G1188" t="s">
        <v>735</v>
      </c>
      <c r="H1188">
        <v>7</v>
      </c>
      <c r="I1188">
        <v>3</v>
      </c>
      <c r="J1188" t="s">
        <v>58</v>
      </c>
      <c r="K1188">
        <v>1195</v>
      </c>
      <c r="L1188">
        <v>1</v>
      </c>
      <c r="M1188" t="s">
        <v>59</v>
      </c>
      <c r="N1188">
        <v>3</v>
      </c>
      <c r="O1188">
        <v>1</v>
      </c>
      <c r="P1188" t="s">
        <v>67</v>
      </c>
      <c r="Q1188">
        <v>3</v>
      </c>
      <c r="R1188" t="s">
        <v>113</v>
      </c>
      <c r="S1188">
        <v>18368</v>
      </c>
      <c r="T1188" t="s">
        <v>54</v>
      </c>
      <c r="U1188">
        <v>114.8</v>
      </c>
      <c r="V1188">
        <v>4</v>
      </c>
      <c r="W1188" t="s">
        <v>47</v>
      </c>
      <c r="X1188">
        <v>19</v>
      </c>
      <c r="Y1188">
        <v>3</v>
      </c>
      <c r="Z1188">
        <v>3</v>
      </c>
      <c r="AA1188">
        <v>1</v>
      </c>
      <c r="AB1188">
        <v>7</v>
      </c>
      <c r="AC1188">
        <v>2</v>
      </c>
      <c r="AD1188">
        <v>2</v>
      </c>
      <c r="AE1188">
        <v>3</v>
      </c>
      <c r="AF1188">
        <v>2</v>
      </c>
      <c r="AG1188">
        <v>0</v>
      </c>
      <c r="AH1188">
        <v>2</v>
      </c>
      <c r="AI1188">
        <f t="shared" si="126"/>
        <v>0</v>
      </c>
      <c r="AJ1188" t="str">
        <f t="shared" si="127"/>
        <v>2-3 yrs</v>
      </c>
      <c r="AK1188" t="str">
        <f t="shared" si="128"/>
        <v>Recent</v>
      </c>
      <c r="AL1188">
        <f t="shared" si="129"/>
        <v>2</v>
      </c>
      <c r="AM1188" t="str">
        <f t="shared" si="130"/>
        <v>Medium Risk</v>
      </c>
      <c r="AN1188" s="6">
        <f t="shared" si="131"/>
        <v>-0.63165358590321874</v>
      </c>
      <c r="AO1188" s="7">
        <f t="shared" si="132"/>
        <v>220416</v>
      </c>
    </row>
    <row r="1189" spans="1:41" x14ac:dyDescent="0.3">
      <c r="A1189" t="s">
        <v>1255</v>
      </c>
      <c r="B1189">
        <v>45</v>
      </c>
      <c r="C1189" t="s">
        <v>802</v>
      </c>
      <c r="D1189" t="s">
        <v>47</v>
      </c>
      <c r="E1189" t="s">
        <v>48</v>
      </c>
      <c r="F1189">
        <v>1449</v>
      </c>
      <c r="G1189" t="s">
        <v>932</v>
      </c>
      <c r="H1189">
        <v>2</v>
      </c>
      <c r="I1189">
        <v>3</v>
      </c>
      <c r="J1189" t="s">
        <v>63</v>
      </c>
      <c r="K1189">
        <v>1277</v>
      </c>
      <c r="L1189">
        <v>1</v>
      </c>
      <c r="M1189" t="s">
        <v>59</v>
      </c>
      <c r="N1189">
        <v>1</v>
      </c>
      <c r="O1189">
        <v>5</v>
      </c>
      <c r="P1189" t="s">
        <v>444</v>
      </c>
      <c r="Q1189">
        <v>2</v>
      </c>
      <c r="R1189" t="s">
        <v>53</v>
      </c>
      <c r="S1189">
        <v>16328</v>
      </c>
      <c r="T1189" t="s">
        <v>54</v>
      </c>
      <c r="U1189">
        <v>102.05</v>
      </c>
      <c r="V1189">
        <v>2</v>
      </c>
      <c r="W1189" t="s">
        <v>47</v>
      </c>
      <c r="X1189">
        <v>16</v>
      </c>
      <c r="Y1189">
        <v>3</v>
      </c>
      <c r="Z1189">
        <v>1</v>
      </c>
      <c r="AA1189">
        <v>0</v>
      </c>
      <c r="AB1189">
        <v>26</v>
      </c>
      <c r="AC1189">
        <v>2</v>
      </c>
      <c r="AD1189">
        <v>3</v>
      </c>
      <c r="AE1189">
        <v>24</v>
      </c>
      <c r="AF1189">
        <v>10</v>
      </c>
      <c r="AG1189">
        <v>1</v>
      </c>
      <c r="AH1189">
        <v>11</v>
      </c>
      <c r="AI1189">
        <f t="shared" si="126"/>
        <v>1</v>
      </c>
      <c r="AJ1189" t="str">
        <f t="shared" si="127"/>
        <v>10+ yrs</v>
      </c>
      <c r="AK1189" t="str">
        <f t="shared" si="128"/>
        <v>Recent</v>
      </c>
      <c r="AL1189">
        <f t="shared" si="129"/>
        <v>2</v>
      </c>
      <c r="AM1189" t="str">
        <f t="shared" si="130"/>
        <v>Medium Risk</v>
      </c>
      <c r="AN1189" s="6">
        <f t="shared" si="131"/>
        <v>-0.68719296018126952</v>
      </c>
      <c r="AO1189" s="7">
        <f t="shared" si="132"/>
        <v>195936</v>
      </c>
    </row>
    <row r="1190" spans="1:41" x14ac:dyDescent="0.3">
      <c r="A1190" t="s">
        <v>1256</v>
      </c>
      <c r="B1190">
        <v>45</v>
      </c>
      <c r="C1190" t="s">
        <v>802</v>
      </c>
      <c r="D1190" t="s">
        <v>55</v>
      </c>
      <c r="E1190" t="s">
        <v>62</v>
      </c>
      <c r="F1190">
        <v>364</v>
      </c>
      <c r="G1190" t="s">
        <v>735</v>
      </c>
      <c r="H1190">
        <v>25</v>
      </c>
      <c r="I1190">
        <v>3</v>
      </c>
      <c r="J1190" t="s">
        <v>58</v>
      </c>
      <c r="K1190">
        <v>1306</v>
      </c>
      <c r="L1190">
        <v>2</v>
      </c>
      <c r="M1190" t="s">
        <v>59</v>
      </c>
      <c r="N1190">
        <v>3</v>
      </c>
      <c r="O1190">
        <v>5</v>
      </c>
      <c r="P1190" t="s">
        <v>444</v>
      </c>
      <c r="Q1190">
        <v>2</v>
      </c>
      <c r="R1190" t="s">
        <v>53</v>
      </c>
      <c r="S1190">
        <v>57942</v>
      </c>
      <c r="T1190" t="s">
        <v>64</v>
      </c>
      <c r="U1190">
        <v>362.14</v>
      </c>
      <c r="V1190">
        <v>3</v>
      </c>
      <c r="W1190" t="s">
        <v>55</v>
      </c>
      <c r="X1190">
        <v>22</v>
      </c>
      <c r="Y1190">
        <v>4</v>
      </c>
      <c r="Z1190">
        <v>3</v>
      </c>
      <c r="AA1190">
        <v>0</v>
      </c>
      <c r="AB1190">
        <v>22</v>
      </c>
      <c r="AC1190">
        <v>4</v>
      </c>
      <c r="AD1190">
        <v>3</v>
      </c>
      <c r="AE1190">
        <v>0</v>
      </c>
      <c r="AF1190">
        <v>0</v>
      </c>
      <c r="AG1190">
        <v>0</v>
      </c>
      <c r="AH1190">
        <v>0</v>
      </c>
      <c r="AI1190">
        <f t="shared" si="126"/>
        <v>0</v>
      </c>
      <c r="AJ1190" t="str">
        <f t="shared" si="127"/>
        <v>0-1 yr</v>
      </c>
      <c r="AK1190" t="str">
        <f t="shared" si="128"/>
        <v>Recent</v>
      </c>
      <c r="AL1190">
        <f t="shared" si="129"/>
        <v>1</v>
      </c>
      <c r="AM1190" t="str">
        <f t="shared" si="130"/>
        <v>Low Risk</v>
      </c>
      <c r="AN1190" s="6">
        <f t="shared" si="131"/>
        <v>0.11003585871979939</v>
      </c>
      <c r="AO1190" s="7">
        <f t="shared" si="132"/>
        <v>695304</v>
      </c>
    </row>
    <row r="1191" spans="1:41" x14ac:dyDescent="0.3">
      <c r="A1191" t="s">
        <v>1257</v>
      </c>
      <c r="B1191">
        <v>45</v>
      </c>
      <c r="C1191" t="s">
        <v>802</v>
      </c>
      <c r="D1191" t="s">
        <v>55</v>
      </c>
      <c r="E1191" t="s">
        <v>48</v>
      </c>
      <c r="F1191">
        <v>1038</v>
      </c>
      <c r="G1191" t="s">
        <v>735</v>
      </c>
      <c r="H1191">
        <v>20</v>
      </c>
      <c r="I1191">
        <v>3</v>
      </c>
      <c r="J1191" t="s">
        <v>58</v>
      </c>
      <c r="K1191">
        <v>1460</v>
      </c>
      <c r="L1191">
        <v>2</v>
      </c>
      <c r="M1191" t="s">
        <v>51</v>
      </c>
      <c r="N1191">
        <v>1</v>
      </c>
      <c r="O1191">
        <v>3</v>
      </c>
      <c r="P1191" t="s">
        <v>168</v>
      </c>
      <c r="Q1191">
        <v>1</v>
      </c>
      <c r="R1191" t="s">
        <v>113</v>
      </c>
      <c r="S1191">
        <v>92751</v>
      </c>
      <c r="T1191" t="s">
        <v>70</v>
      </c>
      <c r="U1191">
        <v>579.69000000000005</v>
      </c>
      <c r="V1191">
        <v>2</v>
      </c>
      <c r="W1191" t="s">
        <v>47</v>
      </c>
      <c r="X1191">
        <v>18</v>
      </c>
      <c r="Y1191">
        <v>3</v>
      </c>
      <c r="Z1191">
        <v>2</v>
      </c>
      <c r="AA1191">
        <v>1</v>
      </c>
      <c r="AB1191">
        <v>24</v>
      </c>
      <c r="AC1191">
        <v>2</v>
      </c>
      <c r="AD1191">
        <v>3</v>
      </c>
      <c r="AE1191">
        <v>7</v>
      </c>
      <c r="AF1191">
        <v>7</v>
      </c>
      <c r="AG1191">
        <v>0</v>
      </c>
      <c r="AH1191">
        <v>7</v>
      </c>
      <c r="AI1191">
        <f t="shared" si="126"/>
        <v>0</v>
      </c>
      <c r="AJ1191" t="str">
        <f t="shared" si="127"/>
        <v>6-10 yrs</v>
      </c>
      <c r="AK1191" t="str">
        <f t="shared" si="128"/>
        <v>Recent</v>
      </c>
      <c r="AL1191">
        <f t="shared" si="129"/>
        <v>2</v>
      </c>
      <c r="AM1191" t="str">
        <f t="shared" si="130"/>
        <v>Medium Risk</v>
      </c>
      <c r="AN1191" s="6">
        <f t="shared" si="131"/>
        <v>0.92472815453391999</v>
      </c>
      <c r="AO1191" s="7">
        <f t="shared" si="132"/>
        <v>1113012</v>
      </c>
    </row>
    <row r="1192" spans="1:41" x14ac:dyDescent="0.3">
      <c r="A1192" t="s">
        <v>1258</v>
      </c>
      <c r="B1192">
        <v>45</v>
      </c>
      <c r="C1192" t="s">
        <v>802</v>
      </c>
      <c r="D1192" t="s">
        <v>55</v>
      </c>
      <c r="E1192" t="s">
        <v>48</v>
      </c>
      <c r="F1192">
        <v>1448</v>
      </c>
      <c r="G1192" t="s">
        <v>735</v>
      </c>
      <c r="H1192">
        <v>29</v>
      </c>
      <c r="I1192">
        <v>3</v>
      </c>
      <c r="J1192" t="s">
        <v>77</v>
      </c>
      <c r="K1192">
        <v>1465</v>
      </c>
      <c r="L1192">
        <v>2</v>
      </c>
      <c r="M1192" t="s">
        <v>51</v>
      </c>
      <c r="N1192">
        <v>3</v>
      </c>
      <c r="O1192">
        <v>3</v>
      </c>
      <c r="P1192" t="s">
        <v>120</v>
      </c>
      <c r="Q1192">
        <v>4</v>
      </c>
      <c r="R1192" t="s">
        <v>113</v>
      </c>
      <c r="S1192">
        <v>28306</v>
      </c>
      <c r="T1192" t="s">
        <v>72</v>
      </c>
      <c r="U1192">
        <v>176.91</v>
      </c>
      <c r="V1192">
        <v>4</v>
      </c>
      <c r="W1192" t="s">
        <v>47</v>
      </c>
      <c r="X1192">
        <v>18</v>
      </c>
      <c r="Y1192">
        <v>3</v>
      </c>
      <c r="Z1192">
        <v>4</v>
      </c>
      <c r="AA1192">
        <v>2</v>
      </c>
      <c r="AB1192">
        <v>10</v>
      </c>
      <c r="AC1192">
        <v>4</v>
      </c>
      <c r="AD1192">
        <v>4</v>
      </c>
      <c r="AE1192">
        <v>3</v>
      </c>
      <c r="AF1192">
        <v>1</v>
      </c>
      <c r="AG1192">
        <v>1</v>
      </c>
      <c r="AH1192">
        <v>2</v>
      </c>
      <c r="AI1192">
        <f t="shared" si="126"/>
        <v>0</v>
      </c>
      <c r="AJ1192" t="str">
        <f t="shared" si="127"/>
        <v>2-3 yrs</v>
      </c>
      <c r="AK1192" t="str">
        <f t="shared" si="128"/>
        <v>Recent</v>
      </c>
      <c r="AL1192">
        <f t="shared" si="129"/>
        <v>1</v>
      </c>
      <c r="AM1192" t="str">
        <f t="shared" si="130"/>
        <v>Low Risk</v>
      </c>
      <c r="AN1192" s="6">
        <f t="shared" si="131"/>
        <v>-0.3609710908365843</v>
      </c>
      <c r="AO1192" s="7">
        <f t="shared" si="132"/>
        <v>339672</v>
      </c>
    </row>
    <row r="1193" spans="1:41" x14ac:dyDescent="0.3">
      <c r="A1193" t="s">
        <v>1259</v>
      </c>
      <c r="B1193">
        <v>45</v>
      </c>
      <c r="C1193" t="s">
        <v>802</v>
      </c>
      <c r="D1193" t="s">
        <v>55</v>
      </c>
      <c r="E1193" t="s">
        <v>48</v>
      </c>
      <c r="F1193">
        <v>950</v>
      </c>
      <c r="G1193" t="s">
        <v>735</v>
      </c>
      <c r="H1193">
        <v>28</v>
      </c>
      <c r="I1193">
        <v>3</v>
      </c>
      <c r="J1193" t="s">
        <v>77</v>
      </c>
      <c r="K1193">
        <v>1546</v>
      </c>
      <c r="L1193">
        <v>4</v>
      </c>
      <c r="M1193" t="s">
        <v>51</v>
      </c>
      <c r="N1193">
        <v>3</v>
      </c>
      <c r="O1193">
        <v>1</v>
      </c>
      <c r="P1193" t="s">
        <v>67</v>
      </c>
      <c r="Q1193">
        <v>4</v>
      </c>
      <c r="R1193" t="s">
        <v>113</v>
      </c>
      <c r="S1193">
        <v>86451</v>
      </c>
      <c r="T1193" t="s">
        <v>70</v>
      </c>
      <c r="U1193">
        <v>540.32000000000005</v>
      </c>
      <c r="V1193">
        <v>4</v>
      </c>
      <c r="W1193" t="s">
        <v>55</v>
      </c>
      <c r="X1193">
        <v>20</v>
      </c>
      <c r="Y1193">
        <v>4</v>
      </c>
      <c r="Z1193">
        <v>4</v>
      </c>
      <c r="AA1193">
        <v>1</v>
      </c>
      <c r="AB1193">
        <v>8</v>
      </c>
      <c r="AC1193">
        <v>3</v>
      </c>
      <c r="AD1193">
        <v>3</v>
      </c>
      <c r="AE1193">
        <v>5</v>
      </c>
      <c r="AF1193">
        <v>4</v>
      </c>
      <c r="AG1193">
        <v>0</v>
      </c>
      <c r="AH1193">
        <v>3</v>
      </c>
      <c r="AI1193">
        <f t="shared" si="126"/>
        <v>0</v>
      </c>
      <c r="AJ1193" t="str">
        <f t="shared" si="127"/>
        <v>4-5 yrs</v>
      </c>
      <c r="AK1193" t="str">
        <f t="shared" si="128"/>
        <v>Recent</v>
      </c>
      <c r="AL1193">
        <f t="shared" si="129"/>
        <v>0</v>
      </c>
      <c r="AM1193" t="str">
        <f t="shared" si="130"/>
        <v>Minimal Risk</v>
      </c>
      <c r="AN1193" s="6">
        <f t="shared" si="131"/>
        <v>0.7336626657818397</v>
      </c>
      <c r="AO1193" s="7">
        <f t="shared" si="132"/>
        <v>1037412</v>
      </c>
    </row>
    <row r="1194" spans="1:41" x14ac:dyDescent="0.3">
      <c r="A1194" t="s">
        <v>1260</v>
      </c>
      <c r="B1194">
        <v>45</v>
      </c>
      <c r="C1194" t="s">
        <v>802</v>
      </c>
      <c r="D1194" t="s">
        <v>55</v>
      </c>
      <c r="E1194" t="s">
        <v>48</v>
      </c>
      <c r="F1194">
        <v>538</v>
      </c>
      <c r="G1194" t="s">
        <v>735</v>
      </c>
      <c r="H1194">
        <v>1</v>
      </c>
      <c r="I1194">
        <v>4</v>
      </c>
      <c r="J1194" t="s">
        <v>77</v>
      </c>
      <c r="K1194">
        <v>1553</v>
      </c>
      <c r="L1194">
        <v>1</v>
      </c>
      <c r="M1194" t="s">
        <v>51</v>
      </c>
      <c r="N1194">
        <v>3</v>
      </c>
      <c r="O1194">
        <v>3</v>
      </c>
      <c r="P1194" t="s">
        <v>168</v>
      </c>
      <c r="Q1194">
        <v>2</v>
      </c>
      <c r="R1194" t="s">
        <v>113</v>
      </c>
      <c r="S1194">
        <v>40915</v>
      </c>
      <c r="T1194" t="s">
        <v>72</v>
      </c>
      <c r="U1194">
        <v>255.72</v>
      </c>
      <c r="V1194">
        <v>1</v>
      </c>
      <c r="W1194" t="s">
        <v>55</v>
      </c>
      <c r="X1194">
        <v>12</v>
      </c>
      <c r="Y1194">
        <v>3</v>
      </c>
      <c r="Z1194">
        <v>1</v>
      </c>
      <c r="AA1194">
        <v>3</v>
      </c>
      <c r="AB1194">
        <v>10</v>
      </c>
      <c r="AC1194">
        <v>4</v>
      </c>
      <c r="AD1194">
        <v>3</v>
      </c>
      <c r="AE1194">
        <v>10</v>
      </c>
      <c r="AF1194">
        <v>8</v>
      </c>
      <c r="AG1194">
        <v>7</v>
      </c>
      <c r="AH1194">
        <v>7</v>
      </c>
      <c r="AI1194">
        <f t="shared" si="126"/>
        <v>0</v>
      </c>
      <c r="AJ1194" t="str">
        <f t="shared" si="127"/>
        <v>6-10 yrs</v>
      </c>
      <c r="AK1194" t="str">
        <f t="shared" si="128"/>
        <v>Overdue</v>
      </c>
      <c r="AL1194">
        <f t="shared" si="129"/>
        <v>2</v>
      </c>
      <c r="AM1194" t="str">
        <f t="shared" si="130"/>
        <v>Medium Risk</v>
      </c>
      <c r="AN1194" s="6">
        <f t="shared" si="131"/>
        <v>-0.15094982865138556</v>
      </c>
      <c r="AO1194" s="7">
        <f t="shared" si="132"/>
        <v>490980</v>
      </c>
    </row>
    <row r="1195" spans="1:41" x14ac:dyDescent="0.3">
      <c r="A1195" t="s">
        <v>1261</v>
      </c>
      <c r="B1195">
        <v>45</v>
      </c>
      <c r="C1195" t="s">
        <v>802</v>
      </c>
      <c r="D1195" t="s">
        <v>55</v>
      </c>
      <c r="E1195" t="s">
        <v>48</v>
      </c>
      <c r="F1195">
        <v>1015</v>
      </c>
      <c r="G1195" t="s">
        <v>735</v>
      </c>
      <c r="H1195">
        <v>5</v>
      </c>
      <c r="I1195">
        <v>5</v>
      </c>
      <c r="J1195" t="s">
        <v>58</v>
      </c>
      <c r="K1195">
        <v>1611</v>
      </c>
      <c r="L1195">
        <v>3</v>
      </c>
      <c r="M1195" t="s">
        <v>59</v>
      </c>
      <c r="N1195">
        <v>1</v>
      </c>
      <c r="O1195">
        <v>2</v>
      </c>
      <c r="P1195" t="s">
        <v>52</v>
      </c>
      <c r="Q1195">
        <v>1</v>
      </c>
      <c r="R1195" t="s">
        <v>53</v>
      </c>
      <c r="S1195">
        <v>38219</v>
      </c>
      <c r="T1195" t="s">
        <v>72</v>
      </c>
      <c r="U1195">
        <v>238.87</v>
      </c>
      <c r="V1195">
        <v>1</v>
      </c>
      <c r="W1195" t="s">
        <v>47</v>
      </c>
      <c r="X1195">
        <v>14</v>
      </c>
      <c r="Y1195">
        <v>3</v>
      </c>
      <c r="Z1195">
        <v>1</v>
      </c>
      <c r="AA1195">
        <v>0</v>
      </c>
      <c r="AB1195">
        <v>10</v>
      </c>
      <c r="AC1195">
        <v>3</v>
      </c>
      <c r="AD1195">
        <v>3</v>
      </c>
      <c r="AE1195">
        <v>10</v>
      </c>
      <c r="AF1195">
        <v>7</v>
      </c>
      <c r="AG1195">
        <v>1</v>
      </c>
      <c r="AH1195">
        <v>4</v>
      </c>
      <c r="AI1195">
        <f t="shared" si="126"/>
        <v>0</v>
      </c>
      <c r="AJ1195" t="str">
        <f t="shared" si="127"/>
        <v>6-10 yrs</v>
      </c>
      <c r="AK1195" t="str">
        <f t="shared" si="128"/>
        <v>Recent</v>
      </c>
      <c r="AL1195">
        <f t="shared" si="129"/>
        <v>2</v>
      </c>
      <c r="AM1195" t="str">
        <f t="shared" si="130"/>
        <v>Medium Risk</v>
      </c>
      <c r="AN1195" s="6">
        <f t="shared" si="131"/>
        <v>-0.2610487670050729</v>
      </c>
      <c r="AO1195" s="7">
        <f t="shared" si="132"/>
        <v>458628</v>
      </c>
    </row>
    <row r="1196" spans="1:41" x14ac:dyDescent="0.3">
      <c r="A1196" t="s">
        <v>1262</v>
      </c>
      <c r="B1196">
        <v>45</v>
      </c>
      <c r="C1196" t="s">
        <v>802</v>
      </c>
      <c r="D1196" t="s">
        <v>55</v>
      </c>
      <c r="E1196" t="s">
        <v>66</v>
      </c>
      <c r="F1196">
        <v>336</v>
      </c>
      <c r="G1196" t="s">
        <v>932</v>
      </c>
      <c r="H1196">
        <v>26</v>
      </c>
      <c r="I1196">
        <v>3</v>
      </c>
      <c r="J1196" t="s">
        <v>63</v>
      </c>
      <c r="K1196">
        <v>1612</v>
      </c>
      <c r="L1196">
        <v>1</v>
      </c>
      <c r="M1196" t="s">
        <v>51</v>
      </c>
      <c r="N1196">
        <v>2</v>
      </c>
      <c r="O1196">
        <v>2</v>
      </c>
      <c r="P1196" t="s">
        <v>145</v>
      </c>
      <c r="Q1196">
        <v>1</v>
      </c>
      <c r="R1196" t="s">
        <v>113</v>
      </c>
      <c r="S1196">
        <v>81879</v>
      </c>
      <c r="T1196" t="s">
        <v>64</v>
      </c>
      <c r="U1196">
        <v>511.74</v>
      </c>
      <c r="V1196">
        <v>1</v>
      </c>
      <c r="W1196" t="s">
        <v>55</v>
      </c>
      <c r="X1196">
        <v>15</v>
      </c>
      <c r="Y1196">
        <v>3</v>
      </c>
      <c r="Z1196">
        <v>1</v>
      </c>
      <c r="AA1196">
        <v>1</v>
      </c>
      <c r="AB1196">
        <v>10</v>
      </c>
      <c r="AC1196">
        <v>2</v>
      </c>
      <c r="AD1196">
        <v>3</v>
      </c>
      <c r="AE1196">
        <v>10</v>
      </c>
      <c r="AF1196">
        <v>7</v>
      </c>
      <c r="AG1196">
        <v>4</v>
      </c>
      <c r="AH1196">
        <v>5</v>
      </c>
      <c r="AI1196">
        <f t="shared" si="126"/>
        <v>0</v>
      </c>
      <c r="AJ1196" t="str">
        <f t="shared" si="127"/>
        <v>6-10 yrs</v>
      </c>
      <c r="AK1196" t="str">
        <f t="shared" si="128"/>
        <v>Overdue</v>
      </c>
      <c r="AL1196">
        <f t="shared" si="129"/>
        <v>2</v>
      </c>
      <c r="AM1196" t="str">
        <f t="shared" si="130"/>
        <v>Medium Risk</v>
      </c>
      <c r="AN1196" s="6">
        <f t="shared" si="131"/>
        <v>0.66902545416154269</v>
      </c>
      <c r="AO1196" s="7">
        <f t="shared" si="132"/>
        <v>982548</v>
      </c>
    </row>
    <row r="1197" spans="1:41" x14ac:dyDescent="0.3">
      <c r="A1197" t="s">
        <v>1263</v>
      </c>
      <c r="B1197">
        <v>45</v>
      </c>
      <c r="C1197" t="s">
        <v>802</v>
      </c>
      <c r="D1197" t="s">
        <v>55</v>
      </c>
      <c r="E1197" t="s">
        <v>48</v>
      </c>
      <c r="F1197">
        <v>1329</v>
      </c>
      <c r="G1197" t="s">
        <v>735</v>
      </c>
      <c r="H1197">
        <v>2</v>
      </c>
      <c r="I1197">
        <v>2</v>
      </c>
      <c r="J1197" t="s">
        <v>82</v>
      </c>
      <c r="K1197">
        <v>1635</v>
      </c>
      <c r="L1197">
        <v>4</v>
      </c>
      <c r="M1197" t="s">
        <v>59</v>
      </c>
      <c r="N1197">
        <v>2</v>
      </c>
      <c r="O1197">
        <v>2</v>
      </c>
      <c r="P1197" t="s">
        <v>120</v>
      </c>
      <c r="Q1197">
        <v>4</v>
      </c>
      <c r="R1197" t="s">
        <v>113</v>
      </c>
      <c r="S1197">
        <v>65644</v>
      </c>
      <c r="T1197" t="s">
        <v>64</v>
      </c>
      <c r="U1197">
        <v>410.28</v>
      </c>
      <c r="V1197">
        <v>1</v>
      </c>
      <c r="W1197" t="s">
        <v>55</v>
      </c>
      <c r="X1197">
        <v>19</v>
      </c>
      <c r="Y1197">
        <v>3</v>
      </c>
      <c r="Z1197">
        <v>1</v>
      </c>
      <c r="AA1197">
        <v>2</v>
      </c>
      <c r="AB1197">
        <v>10</v>
      </c>
      <c r="AC1197">
        <v>3</v>
      </c>
      <c r="AD1197">
        <v>3</v>
      </c>
      <c r="AE1197">
        <v>10</v>
      </c>
      <c r="AF1197">
        <v>7</v>
      </c>
      <c r="AG1197">
        <v>3</v>
      </c>
      <c r="AH1197">
        <v>9</v>
      </c>
      <c r="AI1197">
        <f t="shared" si="126"/>
        <v>0</v>
      </c>
      <c r="AJ1197" t="str">
        <f t="shared" si="127"/>
        <v>6-10 yrs</v>
      </c>
      <c r="AK1197" t="str">
        <f t="shared" si="128"/>
        <v>Overdue</v>
      </c>
      <c r="AL1197">
        <f t="shared" si="129"/>
        <v>1</v>
      </c>
      <c r="AM1197" t="str">
        <f t="shared" si="130"/>
        <v>Low Risk</v>
      </c>
      <c r="AN1197" s="6">
        <f t="shared" si="131"/>
        <v>0.4819619060666735</v>
      </c>
      <c r="AO1197" s="7">
        <f t="shared" si="132"/>
        <v>787728</v>
      </c>
    </row>
    <row r="1198" spans="1:41" x14ac:dyDescent="0.3">
      <c r="A1198" t="s">
        <v>1264</v>
      </c>
      <c r="B1198">
        <v>45</v>
      </c>
      <c r="C1198" t="s">
        <v>802</v>
      </c>
      <c r="D1198" t="s">
        <v>55</v>
      </c>
      <c r="E1198" t="s">
        <v>66</v>
      </c>
      <c r="F1198">
        <v>1238</v>
      </c>
      <c r="G1198" t="s">
        <v>735</v>
      </c>
      <c r="H1198">
        <v>1</v>
      </c>
      <c r="I1198">
        <v>1</v>
      </c>
      <c r="J1198" t="s">
        <v>50</v>
      </c>
      <c r="K1198">
        <v>1712</v>
      </c>
      <c r="L1198">
        <v>3</v>
      </c>
      <c r="M1198" t="s">
        <v>51</v>
      </c>
      <c r="N1198">
        <v>2</v>
      </c>
      <c r="O1198">
        <v>3</v>
      </c>
      <c r="P1198" t="s">
        <v>168</v>
      </c>
      <c r="Q1198">
        <v>3</v>
      </c>
      <c r="R1198" t="s">
        <v>113</v>
      </c>
      <c r="S1198">
        <v>61279</v>
      </c>
      <c r="T1198" t="s">
        <v>64</v>
      </c>
      <c r="U1198">
        <v>382.99</v>
      </c>
      <c r="V1198">
        <v>3</v>
      </c>
      <c r="W1198" t="s">
        <v>55</v>
      </c>
      <c r="X1198">
        <v>23</v>
      </c>
      <c r="Y1198">
        <v>4</v>
      </c>
      <c r="Z1198">
        <v>4</v>
      </c>
      <c r="AA1198">
        <v>1</v>
      </c>
      <c r="AB1198">
        <v>25</v>
      </c>
      <c r="AC1198">
        <v>3</v>
      </c>
      <c r="AD1198">
        <v>2</v>
      </c>
      <c r="AE1198">
        <v>23</v>
      </c>
      <c r="AF1198">
        <v>15</v>
      </c>
      <c r="AG1198">
        <v>14</v>
      </c>
      <c r="AH1198">
        <v>4</v>
      </c>
      <c r="AI1198">
        <f t="shared" si="126"/>
        <v>0</v>
      </c>
      <c r="AJ1198" t="str">
        <f t="shared" si="127"/>
        <v>10+ yrs</v>
      </c>
      <c r="AK1198" t="str">
        <f t="shared" si="128"/>
        <v>Overdue</v>
      </c>
      <c r="AL1198">
        <f t="shared" si="129"/>
        <v>2</v>
      </c>
      <c r="AM1198" t="str">
        <f t="shared" si="130"/>
        <v>Medium Risk</v>
      </c>
      <c r="AN1198" s="6">
        <f t="shared" si="131"/>
        <v>0.27163498594822788</v>
      </c>
      <c r="AO1198" s="7">
        <f t="shared" si="132"/>
        <v>735348</v>
      </c>
    </row>
    <row r="1199" spans="1:41" x14ac:dyDescent="0.3">
      <c r="A1199" t="s">
        <v>1265</v>
      </c>
      <c r="B1199">
        <v>45</v>
      </c>
      <c r="C1199" t="s">
        <v>802</v>
      </c>
      <c r="D1199" t="s">
        <v>55</v>
      </c>
      <c r="E1199" t="s">
        <v>48</v>
      </c>
      <c r="F1199">
        <v>1005</v>
      </c>
      <c r="G1199" t="s">
        <v>735</v>
      </c>
      <c r="H1199">
        <v>28</v>
      </c>
      <c r="I1199">
        <v>2</v>
      </c>
      <c r="J1199" t="s">
        <v>77</v>
      </c>
      <c r="K1199">
        <v>1719</v>
      </c>
      <c r="L1199">
        <v>4</v>
      </c>
      <c r="M1199" t="s">
        <v>59</v>
      </c>
      <c r="N1199">
        <v>2</v>
      </c>
      <c r="O1199">
        <v>4</v>
      </c>
      <c r="P1199" t="s">
        <v>257</v>
      </c>
      <c r="Q1199">
        <v>2</v>
      </c>
      <c r="R1199" t="s">
        <v>53</v>
      </c>
      <c r="S1199">
        <v>54028</v>
      </c>
      <c r="T1199" t="s">
        <v>64</v>
      </c>
      <c r="U1199">
        <v>337.68</v>
      </c>
      <c r="V1199">
        <v>1</v>
      </c>
      <c r="W1199" t="s">
        <v>55</v>
      </c>
      <c r="X1199">
        <v>11</v>
      </c>
      <c r="Y1199">
        <v>3</v>
      </c>
      <c r="Z1199">
        <v>3</v>
      </c>
      <c r="AA1199">
        <v>0</v>
      </c>
      <c r="AB1199">
        <v>21</v>
      </c>
      <c r="AC1199">
        <v>2</v>
      </c>
      <c r="AD1199">
        <v>3</v>
      </c>
      <c r="AE1199">
        <v>21</v>
      </c>
      <c r="AF1199">
        <v>6</v>
      </c>
      <c r="AG1199">
        <v>8</v>
      </c>
      <c r="AH1199">
        <v>6</v>
      </c>
      <c r="AI1199">
        <f t="shared" si="126"/>
        <v>0</v>
      </c>
      <c r="AJ1199" t="str">
        <f t="shared" si="127"/>
        <v>10+ yrs</v>
      </c>
      <c r="AK1199" t="str">
        <f t="shared" si="128"/>
        <v>Overdue</v>
      </c>
      <c r="AL1199">
        <f t="shared" si="129"/>
        <v>2</v>
      </c>
      <c r="AM1199" t="str">
        <f t="shared" si="130"/>
        <v>Medium Risk</v>
      </c>
      <c r="AN1199" s="6">
        <f t="shared" si="131"/>
        <v>6.6417701649574237E-2</v>
      </c>
      <c r="AO1199" s="7">
        <f t="shared" si="132"/>
        <v>648336</v>
      </c>
    </row>
    <row r="1200" spans="1:41" x14ac:dyDescent="0.3">
      <c r="A1200" t="s">
        <v>1266</v>
      </c>
      <c r="B1200">
        <v>45</v>
      </c>
      <c r="C1200" t="s">
        <v>802</v>
      </c>
      <c r="D1200" t="s">
        <v>55</v>
      </c>
      <c r="E1200" t="s">
        <v>48</v>
      </c>
      <c r="F1200">
        <v>176</v>
      </c>
      <c r="G1200" t="s">
        <v>80</v>
      </c>
      <c r="H1200">
        <v>4</v>
      </c>
      <c r="I1200">
        <v>3</v>
      </c>
      <c r="J1200" t="s">
        <v>50</v>
      </c>
      <c r="K1200">
        <v>1744</v>
      </c>
      <c r="L1200">
        <v>3</v>
      </c>
      <c r="M1200" t="s">
        <v>59</v>
      </c>
      <c r="N1200">
        <v>1</v>
      </c>
      <c r="O1200">
        <v>3</v>
      </c>
      <c r="P1200" t="s">
        <v>80</v>
      </c>
      <c r="Q1200">
        <v>3</v>
      </c>
      <c r="R1200" t="s">
        <v>113</v>
      </c>
      <c r="S1200">
        <v>1126</v>
      </c>
      <c r="T1200" t="s">
        <v>54</v>
      </c>
      <c r="U1200">
        <v>7.04</v>
      </c>
      <c r="V1200">
        <v>4</v>
      </c>
      <c r="W1200" t="s">
        <v>55</v>
      </c>
      <c r="X1200">
        <v>21</v>
      </c>
      <c r="Y1200">
        <v>4</v>
      </c>
      <c r="Z1200">
        <v>3</v>
      </c>
      <c r="AA1200">
        <v>2</v>
      </c>
      <c r="AB1200">
        <v>9</v>
      </c>
      <c r="AC1200">
        <v>2</v>
      </c>
      <c r="AD1200">
        <v>4</v>
      </c>
      <c r="AE1200">
        <v>5</v>
      </c>
      <c r="AF1200">
        <v>0</v>
      </c>
      <c r="AG1200">
        <v>0</v>
      </c>
      <c r="AH1200">
        <v>3</v>
      </c>
      <c r="AI1200">
        <f t="shared" si="126"/>
        <v>0</v>
      </c>
      <c r="AJ1200" t="str">
        <f t="shared" si="127"/>
        <v>4-5 yrs</v>
      </c>
      <c r="AK1200" t="str">
        <f t="shared" si="128"/>
        <v>Recent</v>
      </c>
      <c r="AL1200">
        <f t="shared" si="129"/>
        <v>0</v>
      </c>
      <c r="AM1200" t="str">
        <f t="shared" si="130"/>
        <v>Minimal Risk</v>
      </c>
      <c r="AN1200" s="6">
        <f t="shared" si="131"/>
        <v>-0.97781020127411711</v>
      </c>
      <c r="AO1200" s="7">
        <f t="shared" si="132"/>
        <v>13512</v>
      </c>
    </row>
    <row r="1201" spans="1:41" x14ac:dyDescent="0.3">
      <c r="A1201" t="s">
        <v>1267</v>
      </c>
      <c r="B1201">
        <v>45</v>
      </c>
      <c r="C1201" t="s">
        <v>802</v>
      </c>
      <c r="D1201" t="s">
        <v>55</v>
      </c>
      <c r="E1201" t="s">
        <v>66</v>
      </c>
      <c r="F1201">
        <v>589</v>
      </c>
      <c r="G1201" t="s">
        <v>932</v>
      </c>
      <c r="H1201">
        <v>2</v>
      </c>
      <c r="I1201">
        <v>4</v>
      </c>
      <c r="J1201" t="s">
        <v>50</v>
      </c>
      <c r="K1201">
        <v>1845</v>
      </c>
      <c r="L1201">
        <v>3</v>
      </c>
      <c r="M1201" t="s">
        <v>59</v>
      </c>
      <c r="N1201">
        <v>3</v>
      </c>
      <c r="O1201">
        <v>2</v>
      </c>
      <c r="P1201" t="s">
        <v>145</v>
      </c>
      <c r="Q1201">
        <v>3</v>
      </c>
      <c r="R1201" t="s">
        <v>113</v>
      </c>
      <c r="S1201">
        <v>53329</v>
      </c>
      <c r="T1201" t="s">
        <v>64</v>
      </c>
      <c r="U1201">
        <v>333.31</v>
      </c>
      <c r="V1201">
        <v>4</v>
      </c>
      <c r="W1201" t="s">
        <v>55</v>
      </c>
      <c r="X1201">
        <v>22</v>
      </c>
      <c r="Y1201">
        <v>4</v>
      </c>
      <c r="Z1201">
        <v>2</v>
      </c>
      <c r="AA1201">
        <v>2</v>
      </c>
      <c r="AB1201">
        <v>10</v>
      </c>
      <c r="AC1201">
        <v>3</v>
      </c>
      <c r="AD1201">
        <v>4</v>
      </c>
      <c r="AE1201">
        <v>8</v>
      </c>
      <c r="AF1201">
        <v>7</v>
      </c>
      <c r="AG1201">
        <v>5</v>
      </c>
      <c r="AH1201">
        <v>7</v>
      </c>
      <c r="AI1201">
        <f t="shared" si="126"/>
        <v>0</v>
      </c>
      <c r="AJ1201" t="str">
        <f t="shared" si="127"/>
        <v>6-10 yrs</v>
      </c>
      <c r="AK1201" t="str">
        <f t="shared" si="128"/>
        <v>Overdue</v>
      </c>
      <c r="AL1201">
        <f t="shared" si="129"/>
        <v>1</v>
      </c>
      <c r="AM1201" t="str">
        <f t="shared" si="130"/>
        <v>Low Risk</v>
      </c>
      <c r="AN1201" s="6">
        <f t="shared" si="131"/>
        <v>8.7060887956385752E-2</v>
      </c>
      <c r="AO1201" s="7">
        <f t="shared" si="132"/>
        <v>639948</v>
      </c>
    </row>
    <row r="1202" spans="1:41" x14ac:dyDescent="0.3">
      <c r="A1202" t="s">
        <v>1268</v>
      </c>
      <c r="B1202">
        <v>45</v>
      </c>
      <c r="C1202" t="s">
        <v>802</v>
      </c>
      <c r="D1202" t="s">
        <v>55</v>
      </c>
      <c r="E1202" t="s">
        <v>48</v>
      </c>
      <c r="F1202">
        <v>556</v>
      </c>
      <c r="G1202" t="s">
        <v>735</v>
      </c>
      <c r="H1202">
        <v>25</v>
      </c>
      <c r="I1202">
        <v>2</v>
      </c>
      <c r="J1202" t="s">
        <v>50</v>
      </c>
      <c r="K1202">
        <v>1888</v>
      </c>
      <c r="L1202">
        <v>2</v>
      </c>
      <c r="M1202" t="s">
        <v>59</v>
      </c>
      <c r="N1202">
        <v>2</v>
      </c>
      <c r="O1202">
        <v>2</v>
      </c>
      <c r="P1202" t="s">
        <v>120</v>
      </c>
      <c r="Q1202">
        <v>4</v>
      </c>
      <c r="R1202" t="s">
        <v>113</v>
      </c>
      <c r="S1202">
        <v>28632</v>
      </c>
      <c r="T1202" t="s">
        <v>72</v>
      </c>
      <c r="U1202">
        <v>178.95</v>
      </c>
      <c r="V1202">
        <v>0</v>
      </c>
      <c r="W1202" t="s">
        <v>55</v>
      </c>
      <c r="X1202">
        <v>13</v>
      </c>
      <c r="Y1202">
        <v>3</v>
      </c>
      <c r="Z1202">
        <v>4</v>
      </c>
      <c r="AA1202">
        <v>2</v>
      </c>
      <c r="AB1202">
        <v>10</v>
      </c>
      <c r="AC1202">
        <v>2</v>
      </c>
      <c r="AD1202">
        <v>2</v>
      </c>
      <c r="AE1202">
        <v>9</v>
      </c>
      <c r="AF1202">
        <v>8</v>
      </c>
      <c r="AG1202">
        <v>3</v>
      </c>
      <c r="AH1202">
        <v>8</v>
      </c>
      <c r="AI1202">
        <f t="shared" si="126"/>
        <v>0</v>
      </c>
      <c r="AJ1202" t="str">
        <f t="shared" si="127"/>
        <v>6-10 yrs</v>
      </c>
      <c r="AK1202" t="str">
        <f t="shared" si="128"/>
        <v>Overdue</v>
      </c>
      <c r="AL1202">
        <f t="shared" si="129"/>
        <v>2</v>
      </c>
      <c r="AM1202" t="str">
        <f t="shared" si="130"/>
        <v>Medium Risk</v>
      </c>
      <c r="AN1202" s="6">
        <f t="shared" si="131"/>
        <v>-0.35361139945004882</v>
      </c>
      <c r="AO1202" s="7">
        <f t="shared" si="132"/>
        <v>343584</v>
      </c>
    </row>
    <row r="1203" spans="1:41" x14ac:dyDescent="0.3">
      <c r="A1203" t="s">
        <v>1269</v>
      </c>
      <c r="B1203">
        <v>45</v>
      </c>
      <c r="C1203" t="s">
        <v>802</v>
      </c>
      <c r="D1203" t="s">
        <v>55</v>
      </c>
      <c r="E1203" t="s">
        <v>62</v>
      </c>
      <c r="F1203">
        <v>1297</v>
      </c>
      <c r="G1203" t="s">
        <v>735</v>
      </c>
      <c r="H1203">
        <v>1</v>
      </c>
      <c r="I1203">
        <v>4</v>
      </c>
      <c r="J1203" t="s">
        <v>58</v>
      </c>
      <c r="K1203">
        <v>1922</v>
      </c>
      <c r="L1203">
        <v>2</v>
      </c>
      <c r="M1203" t="s">
        <v>51</v>
      </c>
      <c r="N1203">
        <v>3</v>
      </c>
      <c r="O1203">
        <v>2</v>
      </c>
      <c r="P1203" t="s">
        <v>168</v>
      </c>
      <c r="Q1203">
        <v>3</v>
      </c>
      <c r="R1203" t="s">
        <v>53</v>
      </c>
      <c r="S1203">
        <v>66310</v>
      </c>
      <c r="T1203" t="s">
        <v>64</v>
      </c>
      <c r="U1203">
        <v>414.44</v>
      </c>
      <c r="V1203">
        <v>4</v>
      </c>
      <c r="W1203" t="s">
        <v>55</v>
      </c>
      <c r="X1203">
        <v>12</v>
      </c>
      <c r="Y1203">
        <v>3</v>
      </c>
      <c r="Z1203">
        <v>3</v>
      </c>
      <c r="AA1203">
        <v>0</v>
      </c>
      <c r="AB1203">
        <v>12</v>
      </c>
      <c r="AC1203">
        <v>3</v>
      </c>
      <c r="AD1203">
        <v>3</v>
      </c>
      <c r="AE1203">
        <v>4</v>
      </c>
      <c r="AF1203">
        <v>2</v>
      </c>
      <c r="AG1203">
        <v>0</v>
      </c>
      <c r="AH1203">
        <v>3</v>
      </c>
      <c r="AI1203">
        <f t="shared" si="126"/>
        <v>0</v>
      </c>
      <c r="AJ1203" t="str">
        <f t="shared" si="127"/>
        <v>4-5 yrs</v>
      </c>
      <c r="AK1203" t="str">
        <f t="shared" si="128"/>
        <v>Recent</v>
      </c>
      <c r="AL1203">
        <f t="shared" si="129"/>
        <v>0</v>
      </c>
      <c r="AM1203" t="str">
        <f t="shared" si="130"/>
        <v>Minimal Risk</v>
      </c>
      <c r="AN1203" s="6">
        <f t="shared" si="131"/>
        <v>0.37603609586035985</v>
      </c>
      <c r="AO1203" s="7">
        <f t="shared" si="132"/>
        <v>795720</v>
      </c>
    </row>
    <row r="1204" spans="1:41" x14ac:dyDescent="0.3">
      <c r="A1204" t="s">
        <v>1270</v>
      </c>
      <c r="B1204">
        <v>45</v>
      </c>
      <c r="C1204" t="s">
        <v>802</v>
      </c>
      <c r="D1204" t="s">
        <v>55</v>
      </c>
      <c r="E1204" t="s">
        <v>48</v>
      </c>
      <c r="F1204">
        <v>374</v>
      </c>
      <c r="G1204" t="s">
        <v>932</v>
      </c>
      <c r="H1204">
        <v>20</v>
      </c>
      <c r="I1204">
        <v>3</v>
      </c>
      <c r="J1204" t="s">
        <v>50</v>
      </c>
      <c r="K1204">
        <v>2046</v>
      </c>
      <c r="L1204">
        <v>4</v>
      </c>
      <c r="M1204" t="s">
        <v>59</v>
      </c>
      <c r="N1204">
        <v>3</v>
      </c>
      <c r="O1204">
        <v>2</v>
      </c>
      <c r="P1204" t="s">
        <v>145</v>
      </c>
      <c r="Q1204">
        <v>3</v>
      </c>
      <c r="R1204" t="s">
        <v>53</v>
      </c>
      <c r="S1204">
        <v>56176</v>
      </c>
      <c r="T1204" t="s">
        <v>64</v>
      </c>
      <c r="U1204">
        <v>351.1</v>
      </c>
      <c r="V1204">
        <v>8</v>
      </c>
      <c r="W1204" t="s">
        <v>55</v>
      </c>
      <c r="X1204">
        <v>15</v>
      </c>
      <c r="Y1204">
        <v>3</v>
      </c>
      <c r="Z1204">
        <v>3</v>
      </c>
      <c r="AA1204">
        <v>0</v>
      </c>
      <c r="AB1204">
        <v>8</v>
      </c>
      <c r="AC1204">
        <v>3</v>
      </c>
      <c r="AD1204">
        <v>3</v>
      </c>
      <c r="AE1204">
        <v>5</v>
      </c>
      <c r="AF1204">
        <v>3</v>
      </c>
      <c r="AG1204">
        <v>0</v>
      </c>
      <c r="AH1204">
        <v>1</v>
      </c>
      <c r="AI1204">
        <f t="shared" si="126"/>
        <v>0</v>
      </c>
      <c r="AJ1204" t="str">
        <f t="shared" si="127"/>
        <v>4-5 yrs</v>
      </c>
      <c r="AK1204" t="str">
        <f t="shared" si="128"/>
        <v>Recent</v>
      </c>
      <c r="AL1204">
        <f t="shared" si="129"/>
        <v>0</v>
      </c>
      <c r="AM1204" t="str">
        <f t="shared" si="130"/>
        <v>Minimal Risk</v>
      </c>
      <c r="AN1204" s="6">
        <f t="shared" si="131"/>
        <v>0.14509427219407689</v>
      </c>
      <c r="AO1204" s="7">
        <f t="shared" si="132"/>
        <v>674112</v>
      </c>
    </row>
    <row r="1205" spans="1:41" x14ac:dyDescent="0.3">
      <c r="A1205" t="s">
        <v>1271</v>
      </c>
      <c r="B1205">
        <v>46</v>
      </c>
      <c r="C1205" t="s">
        <v>1272</v>
      </c>
      <c r="D1205" t="s">
        <v>55</v>
      </c>
      <c r="E1205" t="s">
        <v>48</v>
      </c>
      <c r="F1205">
        <v>705</v>
      </c>
      <c r="G1205" t="s">
        <v>932</v>
      </c>
      <c r="H1205">
        <v>2</v>
      </c>
      <c r="I1205">
        <v>4</v>
      </c>
      <c r="J1205" t="s">
        <v>63</v>
      </c>
      <c r="K1205">
        <v>38</v>
      </c>
      <c r="L1205">
        <v>2</v>
      </c>
      <c r="M1205" t="s">
        <v>59</v>
      </c>
      <c r="N1205">
        <v>3</v>
      </c>
      <c r="O1205">
        <v>5</v>
      </c>
      <c r="P1205" t="s">
        <v>444</v>
      </c>
      <c r="Q1205">
        <v>1</v>
      </c>
      <c r="R1205" t="s">
        <v>53</v>
      </c>
      <c r="S1205">
        <v>87066</v>
      </c>
      <c r="T1205" t="s">
        <v>70</v>
      </c>
      <c r="U1205">
        <v>544.16</v>
      </c>
      <c r="V1205">
        <v>3</v>
      </c>
      <c r="W1205" t="s">
        <v>55</v>
      </c>
      <c r="X1205">
        <v>12</v>
      </c>
      <c r="Y1205">
        <v>3</v>
      </c>
      <c r="Z1205">
        <v>4</v>
      </c>
      <c r="AA1205">
        <v>0</v>
      </c>
      <c r="AB1205">
        <v>22</v>
      </c>
      <c r="AC1205">
        <v>2</v>
      </c>
      <c r="AD1205">
        <v>2</v>
      </c>
      <c r="AE1205">
        <v>2</v>
      </c>
      <c r="AF1205">
        <v>2</v>
      </c>
      <c r="AG1205">
        <v>2</v>
      </c>
      <c r="AH1205">
        <v>2</v>
      </c>
      <c r="AI1205">
        <f t="shared" si="126"/>
        <v>0</v>
      </c>
      <c r="AJ1205" t="str">
        <f t="shared" si="127"/>
        <v>2-3 yrs</v>
      </c>
      <c r="AK1205" t="str">
        <f t="shared" si="128"/>
        <v>Recent</v>
      </c>
      <c r="AL1205">
        <f t="shared" si="129"/>
        <v>2</v>
      </c>
      <c r="AM1205" t="str">
        <f t="shared" si="130"/>
        <v>Medium Risk</v>
      </c>
      <c r="AN1205" s="6">
        <f t="shared" si="131"/>
        <v>0.667984917249975</v>
      </c>
      <c r="AO1205" s="7">
        <f t="shared" si="132"/>
        <v>1044792</v>
      </c>
    </row>
    <row r="1206" spans="1:41" x14ac:dyDescent="0.3">
      <c r="A1206" t="s">
        <v>1273</v>
      </c>
      <c r="B1206">
        <v>46</v>
      </c>
      <c r="C1206" t="s">
        <v>1272</v>
      </c>
      <c r="D1206" t="s">
        <v>55</v>
      </c>
      <c r="E1206" t="s">
        <v>62</v>
      </c>
      <c r="F1206">
        <v>1211</v>
      </c>
      <c r="G1206" t="s">
        <v>932</v>
      </c>
      <c r="H1206">
        <v>5</v>
      </c>
      <c r="I1206">
        <v>4</v>
      </c>
      <c r="J1206" t="s">
        <v>63</v>
      </c>
      <c r="K1206">
        <v>62</v>
      </c>
      <c r="L1206">
        <v>1</v>
      </c>
      <c r="M1206" t="s">
        <v>51</v>
      </c>
      <c r="N1206">
        <v>3</v>
      </c>
      <c r="O1206">
        <v>2</v>
      </c>
      <c r="P1206" t="s">
        <v>145</v>
      </c>
      <c r="Q1206">
        <v>4</v>
      </c>
      <c r="R1206" t="s">
        <v>53</v>
      </c>
      <c r="S1206">
        <v>45327</v>
      </c>
      <c r="T1206" t="s">
        <v>72</v>
      </c>
      <c r="U1206">
        <v>283.29000000000002</v>
      </c>
      <c r="V1206">
        <v>4</v>
      </c>
      <c r="W1206" t="s">
        <v>47</v>
      </c>
      <c r="X1206">
        <v>21</v>
      </c>
      <c r="Y1206">
        <v>4</v>
      </c>
      <c r="Z1206">
        <v>3</v>
      </c>
      <c r="AA1206">
        <v>0</v>
      </c>
      <c r="AB1206">
        <v>14</v>
      </c>
      <c r="AC1206">
        <v>4</v>
      </c>
      <c r="AD1206">
        <v>3</v>
      </c>
      <c r="AE1206">
        <v>9</v>
      </c>
      <c r="AF1206">
        <v>6</v>
      </c>
      <c r="AG1206">
        <v>0</v>
      </c>
      <c r="AH1206">
        <v>8</v>
      </c>
      <c r="AI1206">
        <f t="shared" si="126"/>
        <v>0</v>
      </c>
      <c r="AJ1206" t="str">
        <f t="shared" si="127"/>
        <v>6-10 yrs</v>
      </c>
      <c r="AK1206" t="str">
        <f t="shared" si="128"/>
        <v>Recent</v>
      </c>
      <c r="AL1206">
        <f t="shared" si="129"/>
        <v>1</v>
      </c>
      <c r="AM1206" t="str">
        <f t="shared" si="130"/>
        <v>Low Risk</v>
      </c>
      <c r="AN1206" s="6">
        <f t="shared" si="131"/>
        <v>-7.6052262963882747E-2</v>
      </c>
      <c r="AO1206" s="7">
        <f t="shared" si="132"/>
        <v>543924</v>
      </c>
    </row>
    <row r="1207" spans="1:41" x14ac:dyDescent="0.3">
      <c r="A1207" t="s">
        <v>1274</v>
      </c>
      <c r="B1207">
        <v>46</v>
      </c>
      <c r="C1207" t="s">
        <v>1272</v>
      </c>
      <c r="D1207" t="s">
        <v>55</v>
      </c>
      <c r="E1207" t="s">
        <v>48</v>
      </c>
      <c r="F1207">
        <v>945</v>
      </c>
      <c r="G1207" t="s">
        <v>80</v>
      </c>
      <c r="H1207">
        <v>5</v>
      </c>
      <c r="I1207">
        <v>2</v>
      </c>
      <c r="J1207" t="s">
        <v>58</v>
      </c>
      <c r="K1207">
        <v>103</v>
      </c>
      <c r="L1207">
        <v>2</v>
      </c>
      <c r="M1207" t="s">
        <v>51</v>
      </c>
      <c r="N1207">
        <v>3</v>
      </c>
      <c r="O1207">
        <v>2</v>
      </c>
      <c r="P1207" t="s">
        <v>80</v>
      </c>
      <c r="Q1207">
        <v>2</v>
      </c>
      <c r="R1207" t="s">
        <v>113</v>
      </c>
      <c r="S1207">
        <v>69904</v>
      </c>
      <c r="T1207" t="s">
        <v>64</v>
      </c>
      <c r="U1207">
        <v>436.9</v>
      </c>
      <c r="V1207">
        <v>8</v>
      </c>
      <c r="W1207" t="s">
        <v>47</v>
      </c>
      <c r="X1207">
        <v>22</v>
      </c>
      <c r="Y1207">
        <v>4</v>
      </c>
      <c r="Z1207">
        <v>4</v>
      </c>
      <c r="AA1207">
        <v>1</v>
      </c>
      <c r="AB1207">
        <v>16</v>
      </c>
      <c r="AC1207">
        <v>2</v>
      </c>
      <c r="AD1207">
        <v>3</v>
      </c>
      <c r="AE1207">
        <v>4</v>
      </c>
      <c r="AF1207">
        <v>2</v>
      </c>
      <c r="AG1207">
        <v>0</v>
      </c>
      <c r="AH1207">
        <v>2</v>
      </c>
      <c r="AI1207">
        <f t="shared" si="126"/>
        <v>0</v>
      </c>
      <c r="AJ1207" t="str">
        <f t="shared" si="127"/>
        <v>4-5 yrs</v>
      </c>
      <c r="AK1207" t="str">
        <f t="shared" si="128"/>
        <v>Recent</v>
      </c>
      <c r="AL1207">
        <f t="shared" si="129"/>
        <v>2</v>
      </c>
      <c r="AM1207" t="str">
        <f t="shared" si="130"/>
        <v>Medium Risk</v>
      </c>
      <c r="AN1207" s="6">
        <f t="shared" si="131"/>
        <v>0.37758054185978651</v>
      </c>
      <c r="AO1207" s="7">
        <f t="shared" si="132"/>
        <v>838848</v>
      </c>
    </row>
    <row r="1208" spans="1:41" x14ac:dyDescent="0.3">
      <c r="A1208" t="s">
        <v>1275</v>
      </c>
      <c r="B1208">
        <v>46</v>
      </c>
      <c r="C1208" t="s">
        <v>1272</v>
      </c>
      <c r="D1208" t="s">
        <v>47</v>
      </c>
      <c r="E1208" t="s">
        <v>48</v>
      </c>
      <c r="F1208">
        <v>669</v>
      </c>
      <c r="G1208" t="s">
        <v>932</v>
      </c>
      <c r="H1208">
        <v>9</v>
      </c>
      <c r="I1208">
        <v>2</v>
      </c>
      <c r="J1208" t="s">
        <v>58</v>
      </c>
      <c r="K1208">
        <v>118</v>
      </c>
      <c r="L1208">
        <v>3</v>
      </c>
      <c r="M1208" t="s">
        <v>51</v>
      </c>
      <c r="N1208">
        <v>2</v>
      </c>
      <c r="O1208">
        <v>3</v>
      </c>
      <c r="P1208" t="s">
        <v>145</v>
      </c>
      <c r="Q1208">
        <v>4</v>
      </c>
      <c r="R1208" t="s">
        <v>53</v>
      </c>
      <c r="S1208">
        <v>4797</v>
      </c>
      <c r="T1208" t="s">
        <v>54</v>
      </c>
      <c r="U1208">
        <v>29.98</v>
      </c>
      <c r="V1208">
        <v>1</v>
      </c>
      <c r="W1208" t="s">
        <v>55</v>
      </c>
      <c r="X1208">
        <v>16</v>
      </c>
      <c r="Y1208">
        <v>3</v>
      </c>
      <c r="Z1208">
        <v>4</v>
      </c>
      <c r="AA1208">
        <v>0</v>
      </c>
      <c r="AB1208">
        <v>9</v>
      </c>
      <c r="AC1208">
        <v>3</v>
      </c>
      <c r="AD1208">
        <v>3</v>
      </c>
      <c r="AE1208">
        <v>9</v>
      </c>
      <c r="AF1208">
        <v>8</v>
      </c>
      <c r="AG1208">
        <v>4</v>
      </c>
      <c r="AH1208">
        <v>7</v>
      </c>
      <c r="AI1208">
        <f t="shared" si="126"/>
        <v>1</v>
      </c>
      <c r="AJ1208" t="str">
        <f t="shared" si="127"/>
        <v>6-10 yrs</v>
      </c>
      <c r="AK1208" t="str">
        <f t="shared" si="128"/>
        <v>Overdue</v>
      </c>
      <c r="AL1208">
        <f t="shared" si="129"/>
        <v>1</v>
      </c>
      <c r="AM1208" t="str">
        <f t="shared" si="130"/>
        <v>Low Risk</v>
      </c>
      <c r="AN1208" s="6">
        <f t="shared" si="131"/>
        <v>-0.90221772244882181</v>
      </c>
      <c r="AO1208" s="7">
        <f t="shared" si="132"/>
        <v>57564</v>
      </c>
    </row>
    <row r="1209" spans="1:41" x14ac:dyDescent="0.3">
      <c r="A1209" t="s">
        <v>1276</v>
      </c>
      <c r="B1209">
        <v>46</v>
      </c>
      <c r="C1209" t="s">
        <v>1272</v>
      </c>
      <c r="D1209" t="s">
        <v>55</v>
      </c>
      <c r="E1209" t="s">
        <v>62</v>
      </c>
      <c r="F1209">
        <v>638</v>
      </c>
      <c r="G1209" t="s">
        <v>735</v>
      </c>
      <c r="H1209">
        <v>1</v>
      </c>
      <c r="I1209">
        <v>3</v>
      </c>
      <c r="J1209" t="s">
        <v>58</v>
      </c>
      <c r="K1209">
        <v>124</v>
      </c>
      <c r="L1209">
        <v>3</v>
      </c>
      <c r="M1209" t="s">
        <v>51</v>
      </c>
      <c r="N1209">
        <v>2</v>
      </c>
      <c r="O1209">
        <v>3</v>
      </c>
      <c r="P1209" t="s">
        <v>168</v>
      </c>
      <c r="Q1209">
        <v>1</v>
      </c>
      <c r="R1209" t="s">
        <v>113</v>
      </c>
      <c r="S1209">
        <v>48882</v>
      </c>
      <c r="T1209" t="s">
        <v>72</v>
      </c>
      <c r="U1209">
        <v>305.51</v>
      </c>
      <c r="V1209">
        <v>2</v>
      </c>
      <c r="W1209" t="s">
        <v>47</v>
      </c>
      <c r="X1209">
        <v>13</v>
      </c>
      <c r="Y1209">
        <v>3</v>
      </c>
      <c r="Z1209">
        <v>3</v>
      </c>
      <c r="AA1209">
        <v>1</v>
      </c>
      <c r="AB1209">
        <v>21</v>
      </c>
      <c r="AC1209">
        <v>5</v>
      </c>
      <c r="AD1209">
        <v>2</v>
      </c>
      <c r="AE1209">
        <v>10</v>
      </c>
      <c r="AF1209">
        <v>9</v>
      </c>
      <c r="AG1209">
        <v>9</v>
      </c>
      <c r="AH1209">
        <v>9</v>
      </c>
      <c r="AI1209">
        <f t="shared" si="126"/>
        <v>0</v>
      </c>
      <c r="AJ1209" t="str">
        <f t="shared" si="127"/>
        <v>6-10 yrs</v>
      </c>
      <c r="AK1209" t="str">
        <f t="shared" si="128"/>
        <v>Overdue</v>
      </c>
      <c r="AL1209">
        <f t="shared" si="129"/>
        <v>4</v>
      </c>
      <c r="AM1209" t="str">
        <f t="shared" si="130"/>
        <v>High Risk</v>
      </c>
      <c r="AN1209" s="6">
        <f t="shared" si="131"/>
        <v>1.4377868162360268E-2</v>
      </c>
      <c r="AO1209" s="7">
        <f t="shared" si="132"/>
        <v>586584</v>
      </c>
    </row>
    <row r="1210" spans="1:41" x14ac:dyDescent="0.3">
      <c r="A1210" t="s">
        <v>1277</v>
      </c>
      <c r="B1210">
        <v>46</v>
      </c>
      <c r="C1210" t="s">
        <v>1272</v>
      </c>
      <c r="D1210" t="s">
        <v>55</v>
      </c>
      <c r="E1210" t="s">
        <v>48</v>
      </c>
      <c r="F1210">
        <v>526</v>
      </c>
      <c r="G1210" t="s">
        <v>932</v>
      </c>
      <c r="H1210">
        <v>1</v>
      </c>
      <c r="I1210">
        <v>2</v>
      </c>
      <c r="J1210" t="s">
        <v>63</v>
      </c>
      <c r="K1210">
        <v>244</v>
      </c>
      <c r="L1210">
        <v>2</v>
      </c>
      <c r="M1210" t="s">
        <v>59</v>
      </c>
      <c r="N1210">
        <v>3</v>
      </c>
      <c r="O1210">
        <v>3</v>
      </c>
      <c r="P1210" t="s">
        <v>145</v>
      </c>
      <c r="Q1210">
        <v>1</v>
      </c>
      <c r="R1210" t="s">
        <v>113</v>
      </c>
      <c r="S1210">
        <v>14718</v>
      </c>
      <c r="T1210" t="s">
        <v>54</v>
      </c>
      <c r="U1210">
        <v>91.99</v>
      </c>
      <c r="V1210">
        <v>1</v>
      </c>
      <c r="W1210" t="s">
        <v>55</v>
      </c>
      <c r="X1210">
        <v>25</v>
      </c>
      <c r="Y1210">
        <v>4</v>
      </c>
      <c r="Z1210">
        <v>3</v>
      </c>
      <c r="AA1210">
        <v>3</v>
      </c>
      <c r="AB1210">
        <v>24</v>
      </c>
      <c r="AC1210">
        <v>2</v>
      </c>
      <c r="AD1210">
        <v>3</v>
      </c>
      <c r="AE1210">
        <v>24</v>
      </c>
      <c r="AF1210">
        <v>13</v>
      </c>
      <c r="AG1210">
        <v>15</v>
      </c>
      <c r="AH1210">
        <v>7</v>
      </c>
      <c r="AI1210">
        <f t="shared" si="126"/>
        <v>0</v>
      </c>
      <c r="AJ1210" t="str">
        <f t="shared" si="127"/>
        <v>10+ yrs</v>
      </c>
      <c r="AK1210" t="str">
        <f t="shared" si="128"/>
        <v>Overdue</v>
      </c>
      <c r="AL1210">
        <f t="shared" si="129"/>
        <v>2</v>
      </c>
      <c r="AM1210" t="str">
        <f t="shared" si="130"/>
        <v>Medium Risk</v>
      </c>
      <c r="AN1210" s="6">
        <f t="shared" si="131"/>
        <v>-0.69998758369851144</v>
      </c>
      <c r="AO1210" s="7">
        <f t="shared" si="132"/>
        <v>176616</v>
      </c>
    </row>
    <row r="1211" spans="1:41" x14ac:dyDescent="0.3">
      <c r="A1211" t="s">
        <v>1278</v>
      </c>
      <c r="B1211">
        <v>46</v>
      </c>
      <c r="C1211" t="s">
        <v>1272</v>
      </c>
      <c r="D1211" t="s">
        <v>55</v>
      </c>
      <c r="E1211" t="s">
        <v>48</v>
      </c>
      <c r="F1211">
        <v>644</v>
      </c>
      <c r="G1211" t="s">
        <v>735</v>
      </c>
      <c r="H1211">
        <v>1</v>
      </c>
      <c r="I1211">
        <v>4</v>
      </c>
      <c r="J1211" t="s">
        <v>58</v>
      </c>
      <c r="K1211">
        <v>288</v>
      </c>
      <c r="L1211">
        <v>4</v>
      </c>
      <c r="M1211" t="s">
        <v>51</v>
      </c>
      <c r="N1211">
        <v>3</v>
      </c>
      <c r="O1211">
        <v>3</v>
      </c>
      <c r="P1211" t="s">
        <v>168</v>
      </c>
      <c r="Q1211">
        <v>1</v>
      </c>
      <c r="R1211" t="s">
        <v>113</v>
      </c>
      <c r="S1211">
        <v>35560</v>
      </c>
      <c r="T1211" t="s">
        <v>72</v>
      </c>
      <c r="U1211">
        <v>222.25</v>
      </c>
      <c r="V1211">
        <v>7</v>
      </c>
      <c r="W1211" t="s">
        <v>55</v>
      </c>
      <c r="X1211">
        <v>16</v>
      </c>
      <c r="Y1211">
        <v>3</v>
      </c>
      <c r="Z1211">
        <v>3</v>
      </c>
      <c r="AA1211">
        <v>1</v>
      </c>
      <c r="AB1211">
        <v>17</v>
      </c>
      <c r="AC1211">
        <v>3</v>
      </c>
      <c r="AD1211">
        <v>3</v>
      </c>
      <c r="AE1211">
        <v>4</v>
      </c>
      <c r="AF1211">
        <v>2</v>
      </c>
      <c r="AG1211">
        <v>0</v>
      </c>
      <c r="AH1211">
        <v>2</v>
      </c>
      <c r="AI1211">
        <f t="shared" si="126"/>
        <v>0</v>
      </c>
      <c r="AJ1211" t="str">
        <f t="shared" si="127"/>
        <v>4-5 yrs</v>
      </c>
      <c r="AK1211" t="str">
        <f t="shared" si="128"/>
        <v>Recent</v>
      </c>
      <c r="AL1211">
        <f t="shared" si="129"/>
        <v>1</v>
      </c>
      <c r="AM1211" t="str">
        <f t="shared" si="130"/>
        <v>Low Risk</v>
      </c>
      <c r="AN1211" s="6">
        <f t="shared" si="131"/>
        <v>-0.26207444474748309</v>
      </c>
      <c r="AO1211" s="7">
        <f t="shared" si="132"/>
        <v>426720</v>
      </c>
    </row>
    <row r="1212" spans="1:41" x14ac:dyDescent="0.3">
      <c r="A1212" t="s">
        <v>1279</v>
      </c>
      <c r="B1212">
        <v>46</v>
      </c>
      <c r="C1212" t="s">
        <v>1272</v>
      </c>
      <c r="D1212" t="s">
        <v>55</v>
      </c>
      <c r="E1212" t="s">
        <v>48</v>
      </c>
      <c r="F1212">
        <v>488</v>
      </c>
      <c r="G1212" t="s">
        <v>932</v>
      </c>
      <c r="H1212">
        <v>2</v>
      </c>
      <c r="I1212">
        <v>3</v>
      </c>
      <c r="J1212" t="s">
        <v>77</v>
      </c>
      <c r="K1212">
        <v>363</v>
      </c>
      <c r="L1212">
        <v>3</v>
      </c>
      <c r="M1212" t="s">
        <v>59</v>
      </c>
      <c r="N1212">
        <v>1</v>
      </c>
      <c r="O1212">
        <v>4</v>
      </c>
      <c r="P1212" t="s">
        <v>444</v>
      </c>
      <c r="Q1212">
        <v>2</v>
      </c>
      <c r="R1212" t="s">
        <v>113</v>
      </c>
      <c r="S1212">
        <v>77589</v>
      </c>
      <c r="T1212" t="s">
        <v>64</v>
      </c>
      <c r="U1212">
        <v>484.93</v>
      </c>
      <c r="V1212">
        <v>3</v>
      </c>
      <c r="W1212" t="s">
        <v>47</v>
      </c>
      <c r="X1212">
        <v>12</v>
      </c>
      <c r="Y1212">
        <v>3</v>
      </c>
      <c r="Z1212">
        <v>2</v>
      </c>
      <c r="AA1212">
        <v>1</v>
      </c>
      <c r="AB1212">
        <v>28</v>
      </c>
      <c r="AC1212">
        <v>2</v>
      </c>
      <c r="AD1212">
        <v>2</v>
      </c>
      <c r="AE1212">
        <v>7</v>
      </c>
      <c r="AF1212">
        <v>7</v>
      </c>
      <c r="AG1212">
        <v>7</v>
      </c>
      <c r="AH1212">
        <v>7</v>
      </c>
      <c r="AI1212">
        <f t="shared" si="126"/>
        <v>0</v>
      </c>
      <c r="AJ1212" t="str">
        <f t="shared" si="127"/>
        <v>6-10 yrs</v>
      </c>
      <c r="AK1212" t="str">
        <f t="shared" si="128"/>
        <v>Overdue</v>
      </c>
      <c r="AL1212">
        <f t="shared" si="129"/>
        <v>4</v>
      </c>
      <c r="AM1212" t="str">
        <f t="shared" si="130"/>
        <v>High Risk</v>
      </c>
      <c r="AN1212" s="6">
        <f t="shared" si="131"/>
        <v>0.48642732805582334</v>
      </c>
      <c r="AO1212" s="7">
        <f t="shared" si="132"/>
        <v>931068</v>
      </c>
    </row>
    <row r="1213" spans="1:41" x14ac:dyDescent="0.3">
      <c r="A1213" t="s">
        <v>1280</v>
      </c>
      <c r="B1213">
        <v>46</v>
      </c>
      <c r="C1213" t="s">
        <v>1272</v>
      </c>
      <c r="D1213" t="s">
        <v>55</v>
      </c>
      <c r="E1213" t="s">
        <v>66</v>
      </c>
      <c r="F1213">
        <v>1144</v>
      </c>
      <c r="G1213" t="s">
        <v>735</v>
      </c>
      <c r="H1213">
        <v>7</v>
      </c>
      <c r="I1213">
        <v>4</v>
      </c>
      <c r="J1213" t="s">
        <v>58</v>
      </c>
      <c r="K1213">
        <v>487</v>
      </c>
      <c r="L1213">
        <v>3</v>
      </c>
      <c r="M1213" t="s">
        <v>59</v>
      </c>
      <c r="N1213">
        <v>3</v>
      </c>
      <c r="O1213">
        <v>2</v>
      </c>
      <c r="P1213" t="s">
        <v>120</v>
      </c>
      <c r="Q1213">
        <v>3</v>
      </c>
      <c r="R1213" t="s">
        <v>113</v>
      </c>
      <c r="S1213">
        <v>23116</v>
      </c>
      <c r="T1213" t="s">
        <v>54</v>
      </c>
      <c r="U1213">
        <v>144.47999999999999</v>
      </c>
      <c r="V1213">
        <v>2</v>
      </c>
      <c r="W1213" t="s">
        <v>55</v>
      </c>
      <c r="X1213">
        <v>14</v>
      </c>
      <c r="Y1213">
        <v>3</v>
      </c>
      <c r="Z1213">
        <v>3</v>
      </c>
      <c r="AA1213">
        <v>0</v>
      </c>
      <c r="AB1213">
        <v>7</v>
      </c>
      <c r="AC1213">
        <v>2</v>
      </c>
      <c r="AD1213">
        <v>4</v>
      </c>
      <c r="AE1213">
        <v>1</v>
      </c>
      <c r="AF1213">
        <v>0</v>
      </c>
      <c r="AG1213">
        <v>0</v>
      </c>
      <c r="AH1213">
        <v>0</v>
      </c>
      <c r="AI1213">
        <f t="shared" si="126"/>
        <v>0</v>
      </c>
      <c r="AJ1213" t="str">
        <f t="shared" si="127"/>
        <v>0-1 yr</v>
      </c>
      <c r="AK1213" t="str">
        <f t="shared" si="128"/>
        <v>Recent</v>
      </c>
      <c r="AL1213">
        <f t="shared" si="129"/>
        <v>0</v>
      </c>
      <c r="AM1213" t="str">
        <f t="shared" si="130"/>
        <v>Minimal Risk</v>
      </c>
      <c r="AN1213" s="6">
        <f t="shared" si="131"/>
        <v>-0.47813918376946524</v>
      </c>
      <c r="AO1213" s="7">
        <f t="shared" si="132"/>
        <v>277392</v>
      </c>
    </row>
    <row r="1214" spans="1:41" x14ac:dyDescent="0.3">
      <c r="A1214" t="s">
        <v>1281</v>
      </c>
      <c r="B1214">
        <v>46</v>
      </c>
      <c r="C1214" t="s">
        <v>1272</v>
      </c>
      <c r="D1214" t="s">
        <v>55</v>
      </c>
      <c r="E1214" t="s">
        <v>48</v>
      </c>
      <c r="F1214">
        <v>1485</v>
      </c>
      <c r="G1214" t="s">
        <v>735</v>
      </c>
      <c r="H1214">
        <v>18</v>
      </c>
      <c r="I1214">
        <v>3</v>
      </c>
      <c r="J1214" t="s">
        <v>58</v>
      </c>
      <c r="K1214">
        <v>550</v>
      </c>
      <c r="L1214">
        <v>3</v>
      </c>
      <c r="M1214" t="s">
        <v>59</v>
      </c>
      <c r="N1214">
        <v>3</v>
      </c>
      <c r="O1214">
        <v>2</v>
      </c>
      <c r="P1214" t="s">
        <v>120</v>
      </c>
      <c r="Q1214">
        <v>3</v>
      </c>
      <c r="R1214" t="s">
        <v>113</v>
      </c>
      <c r="S1214">
        <v>37244</v>
      </c>
      <c r="T1214" t="s">
        <v>72</v>
      </c>
      <c r="U1214">
        <v>232.78</v>
      </c>
      <c r="V1214">
        <v>2</v>
      </c>
      <c r="W1214" t="s">
        <v>55</v>
      </c>
      <c r="X1214">
        <v>14</v>
      </c>
      <c r="Y1214">
        <v>3</v>
      </c>
      <c r="Z1214">
        <v>3</v>
      </c>
      <c r="AA1214">
        <v>1</v>
      </c>
      <c r="AB1214">
        <v>19</v>
      </c>
      <c r="AC1214">
        <v>5</v>
      </c>
      <c r="AD1214">
        <v>2</v>
      </c>
      <c r="AE1214">
        <v>10</v>
      </c>
      <c r="AF1214">
        <v>7</v>
      </c>
      <c r="AG1214">
        <v>0</v>
      </c>
      <c r="AH1214">
        <v>8</v>
      </c>
      <c r="AI1214">
        <f t="shared" si="126"/>
        <v>0</v>
      </c>
      <c r="AJ1214" t="str">
        <f t="shared" si="127"/>
        <v>6-10 yrs</v>
      </c>
      <c r="AK1214" t="str">
        <f t="shared" si="128"/>
        <v>Recent</v>
      </c>
      <c r="AL1214">
        <f t="shared" si="129"/>
        <v>1</v>
      </c>
      <c r="AM1214" t="str">
        <f t="shared" si="130"/>
        <v>Low Risk</v>
      </c>
      <c r="AN1214" s="6">
        <f t="shared" si="131"/>
        <v>-0.15918912269899477</v>
      </c>
      <c r="AO1214" s="7">
        <f t="shared" si="132"/>
        <v>446928</v>
      </c>
    </row>
    <row r="1215" spans="1:41" x14ac:dyDescent="0.3">
      <c r="A1215" t="s">
        <v>1282</v>
      </c>
      <c r="B1215">
        <v>46</v>
      </c>
      <c r="C1215" t="s">
        <v>1272</v>
      </c>
      <c r="D1215" t="s">
        <v>55</v>
      </c>
      <c r="E1215" t="s">
        <v>48</v>
      </c>
      <c r="F1215">
        <v>1009</v>
      </c>
      <c r="G1215" t="s">
        <v>735</v>
      </c>
      <c r="H1215">
        <v>2</v>
      </c>
      <c r="I1215">
        <v>3</v>
      </c>
      <c r="J1215" t="s">
        <v>50</v>
      </c>
      <c r="K1215">
        <v>575</v>
      </c>
      <c r="L1215">
        <v>1</v>
      </c>
      <c r="M1215" t="s">
        <v>51</v>
      </c>
      <c r="N1215">
        <v>3</v>
      </c>
      <c r="O1215">
        <v>4</v>
      </c>
      <c r="P1215" t="s">
        <v>257</v>
      </c>
      <c r="Q1215">
        <v>3</v>
      </c>
      <c r="R1215" t="s">
        <v>113</v>
      </c>
      <c r="S1215">
        <v>2645</v>
      </c>
      <c r="T1215" t="s">
        <v>54</v>
      </c>
      <c r="U1215">
        <v>16.53</v>
      </c>
      <c r="V1215">
        <v>6</v>
      </c>
      <c r="W1215" t="s">
        <v>55</v>
      </c>
      <c r="X1215">
        <v>13</v>
      </c>
      <c r="Y1215">
        <v>3</v>
      </c>
      <c r="Z1215">
        <v>3</v>
      </c>
      <c r="AA1215">
        <v>0</v>
      </c>
      <c r="AB1215">
        <v>26</v>
      </c>
      <c r="AC1215">
        <v>2</v>
      </c>
      <c r="AD1215">
        <v>1</v>
      </c>
      <c r="AE1215">
        <v>3</v>
      </c>
      <c r="AF1215">
        <v>2</v>
      </c>
      <c r="AG1215">
        <v>0</v>
      </c>
      <c r="AH1215">
        <v>1</v>
      </c>
      <c r="AI1215">
        <f t="shared" si="126"/>
        <v>0</v>
      </c>
      <c r="AJ1215" t="str">
        <f t="shared" si="127"/>
        <v>2-3 yrs</v>
      </c>
      <c r="AK1215" t="str">
        <f t="shared" si="128"/>
        <v>Recent</v>
      </c>
      <c r="AL1215">
        <f t="shared" si="129"/>
        <v>1</v>
      </c>
      <c r="AM1215" t="str">
        <f t="shared" si="130"/>
        <v>Low Risk</v>
      </c>
      <c r="AN1215" s="6">
        <f t="shared" si="131"/>
        <v>-0.94779235172756493</v>
      </c>
      <c r="AO1215" s="7">
        <f t="shared" si="132"/>
        <v>31740</v>
      </c>
    </row>
    <row r="1216" spans="1:41" x14ac:dyDescent="0.3">
      <c r="A1216" t="s">
        <v>1283</v>
      </c>
      <c r="B1216">
        <v>46</v>
      </c>
      <c r="C1216" t="s">
        <v>1272</v>
      </c>
      <c r="D1216" t="s">
        <v>55</v>
      </c>
      <c r="E1216" t="s">
        <v>48</v>
      </c>
      <c r="F1216">
        <v>1125</v>
      </c>
      <c r="G1216" t="s">
        <v>932</v>
      </c>
      <c r="H1216">
        <v>10</v>
      </c>
      <c r="I1216">
        <v>3</v>
      </c>
      <c r="J1216" t="s">
        <v>63</v>
      </c>
      <c r="K1216">
        <v>580</v>
      </c>
      <c r="L1216">
        <v>3</v>
      </c>
      <c r="M1216" t="s">
        <v>59</v>
      </c>
      <c r="N1216">
        <v>2</v>
      </c>
      <c r="O1216">
        <v>3</v>
      </c>
      <c r="P1216" t="s">
        <v>145</v>
      </c>
      <c r="Q1216">
        <v>4</v>
      </c>
      <c r="R1216" t="s">
        <v>113</v>
      </c>
      <c r="S1216">
        <v>48523</v>
      </c>
      <c r="T1216" t="s">
        <v>72</v>
      </c>
      <c r="U1216">
        <v>303.27</v>
      </c>
      <c r="V1216">
        <v>2</v>
      </c>
      <c r="W1216" t="s">
        <v>47</v>
      </c>
      <c r="X1216">
        <v>19</v>
      </c>
      <c r="Y1216">
        <v>3</v>
      </c>
      <c r="Z1216">
        <v>3</v>
      </c>
      <c r="AA1216">
        <v>1</v>
      </c>
      <c r="AB1216">
        <v>15</v>
      </c>
      <c r="AC1216">
        <v>3</v>
      </c>
      <c r="AD1216">
        <v>3</v>
      </c>
      <c r="AE1216">
        <v>3</v>
      </c>
      <c r="AF1216">
        <v>2</v>
      </c>
      <c r="AG1216">
        <v>1</v>
      </c>
      <c r="AH1216">
        <v>2</v>
      </c>
      <c r="AI1216">
        <f t="shared" si="126"/>
        <v>0</v>
      </c>
      <c r="AJ1216" t="str">
        <f t="shared" si="127"/>
        <v>2-3 yrs</v>
      </c>
      <c r="AK1216" t="str">
        <f t="shared" si="128"/>
        <v>Recent</v>
      </c>
      <c r="AL1216">
        <f t="shared" si="129"/>
        <v>1</v>
      </c>
      <c r="AM1216" t="str">
        <f t="shared" si="130"/>
        <v>Low Risk</v>
      </c>
      <c r="AN1216" s="6">
        <f t="shared" si="131"/>
        <v>-1.0904846025470085E-2</v>
      </c>
      <c r="AO1216" s="7">
        <f t="shared" si="132"/>
        <v>582276</v>
      </c>
    </row>
    <row r="1217" spans="1:41" x14ac:dyDescent="0.3">
      <c r="A1217" t="s">
        <v>1284</v>
      </c>
      <c r="B1217">
        <v>46</v>
      </c>
      <c r="C1217" t="s">
        <v>1272</v>
      </c>
      <c r="D1217" t="s">
        <v>55</v>
      </c>
      <c r="E1217" t="s">
        <v>62</v>
      </c>
      <c r="F1217">
        <v>1034</v>
      </c>
      <c r="G1217" t="s">
        <v>735</v>
      </c>
      <c r="H1217">
        <v>18</v>
      </c>
      <c r="I1217">
        <v>1</v>
      </c>
      <c r="J1217" t="s">
        <v>58</v>
      </c>
      <c r="K1217">
        <v>624</v>
      </c>
      <c r="L1217">
        <v>1</v>
      </c>
      <c r="M1217" t="s">
        <v>59</v>
      </c>
      <c r="N1217">
        <v>3</v>
      </c>
      <c r="O1217">
        <v>3</v>
      </c>
      <c r="P1217" t="s">
        <v>168</v>
      </c>
      <c r="Q1217">
        <v>3</v>
      </c>
      <c r="R1217" t="s">
        <v>113</v>
      </c>
      <c r="S1217">
        <v>20256</v>
      </c>
      <c r="T1217" t="s">
        <v>54</v>
      </c>
      <c r="U1217">
        <v>126.6</v>
      </c>
      <c r="V1217">
        <v>5</v>
      </c>
      <c r="W1217" t="s">
        <v>55</v>
      </c>
      <c r="X1217">
        <v>11</v>
      </c>
      <c r="Y1217">
        <v>3</v>
      </c>
      <c r="Z1217">
        <v>4</v>
      </c>
      <c r="AA1217">
        <v>0</v>
      </c>
      <c r="AB1217">
        <v>28</v>
      </c>
      <c r="AC1217">
        <v>3</v>
      </c>
      <c r="AD1217">
        <v>2</v>
      </c>
      <c r="AE1217">
        <v>2</v>
      </c>
      <c r="AF1217">
        <v>2</v>
      </c>
      <c r="AG1217">
        <v>1</v>
      </c>
      <c r="AH1217">
        <v>2</v>
      </c>
      <c r="AI1217">
        <f t="shared" si="126"/>
        <v>0</v>
      </c>
      <c r="AJ1217" t="str">
        <f t="shared" si="127"/>
        <v>2-3 yrs</v>
      </c>
      <c r="AK1217" t="str">
        <f t="shared" si="128"/>
        <v>Recent</v>
      </c>
      <c r="AL1217">
        <f t="shared" si="129"/>
        <v>1</v>
      </c>
      <c r="AM1217" t="str">
        <f t="shared" si="130"/>
        <v>Low Risk</v>
      </c>
      <c r="AN1217" s="6">
        <f t="shared" si="131"/>
        <v>-0.57965635412837513</v>
      </c>
      <c r="AO1217" s="7">
        <f t="shared" si="132"/>
        <v>243072</v>
      </c>
    </row>
    <row r="1218" spans="1:41" x14ac:dyDescent="0.3">
      <c r="A1218" t="s">
        <v>1285</v>
      </c>
      <c r="B1218">
        <v>46</v>
      </c>
      <c r="C1218" t="s">
        <v>1272</v>
      </c>
      <c r="D1218" t="s">
        <v>55</v>
      </c>
      <c r="E1218" t="s">
        <v>48</v>
      </c>
      <c r="F1218">
        <v>566</v>
      </c>
      <c r="G1218" t="s">
        <v>735</v>
      </c>
      <c r="H1218">
        <v>7</v>
      </c>
      <c r="I1218">
        <v>2</v>
      </c>
      <c r="J1218" t="s">
        <v>58</v>
      </c>
      <c r="K1218">
        <v>1007</v>
      </c>
      <c r="L1218">
        <v>4</v>
      </c>
      <c r="M1218" t="s">
        <v>51</v>
      </c>
      <c r="N1218">
        <v>3</v>
      </c>
      <c r="O1218">
        <v>3</v>
      </c>
      <c r="P1218" t="s">
        <v>120</v>
      </c>
      <c r="Q1218">
        <v>3</v>
      </c>
      <c r="R1218" t="s">
        <v>113</v>
      </c>
      <c r="S1218">
        <v>54173</v>
      </c>
      <c r="T1218" t="s">
        <v>64</v>
      </c>
      <c r="U1218">
        <v>338.58</v>
      </c>
      <c r="V1218">
        <v>6</v>
      </c>
      <c r="W1218" t="s">
        <v>55</v>
      </c>
      <c r="X1218">
        <v>13</v>
      </c>
      <c r="Y1218">
        <v>3</v>
      </c>
      <c r="Z1218">
        <v>2</v>
      </c>
      <c r="AA1218">
        <v>1</v>
      </c>
      <c r="AB1218">
        <v>13</v>
      </c>
      <c r="AC1218">
        <v>3</v>
      </c>
      <c r="AD1218">
        <v>3</v>
      </c>
      <c r="AE1218">
        <v>8</v>
      </c>
      <c r="AF1218">
        <v>7</v>
      </c>
      <c r="AG1218">
        <v>0</v>
      </c>
      <c r="AH1218">
        <v>7</v>
      </c>
      <c r="AI1218">
        <f t="shared" ref="AI1218:AI1281" si="133">IF(D1218="Yes",1,0)</f>
        <v>0</v>
      </c>
      <c r="AJ1218" t="str">
        <f t="shared" ref="AJ1218:AJ1281" si="134">IF(AE1218&lt;=1,"0-1 yr",IF(AE1218&lt;=3,"2-3 yrs",IF(AE1218&lt;=5,"4-5 yrs",IF(AE1218&lt;=10,"6-10 yrs","10+ yrs"))))</f>
        <v>6-10 yrs</v>
      </c>
      <c r="AK1218" t="str">
        <f t="shared" ref="AK1218:AK1281" si="135">IF(AG1218&gt;=3,"Overdue","Recent")</f>
        <v>Recent</v>
      </c>
      <c r="AL1218">
        <f t="shared" ref="AL1218:AL1281" si="136">IF(W1218="Yes",1,0)+IF(AD1218&lt;=2,1,0)+IF(Q1218&lt;=2,1,0)+IF(AG1218&gt;=3,1,0)</f>
        <v>0</v>
      </c>
      <c r="AM1218" t="str">
        <f t="shared" ref="AM1218:AM1281" si="137">IF(AL1218&gt;=3,"High Risk",IF(AL1218=2,"Medium Risk",IF(AL1218=1,"Low Risk","Minimal Risk")))</f>
        <v>Minimal Risk</v>
      </c>
      <c r="AN1218" s="6">
        <f t="shared" ref="AN1218:AN1281" si="138">IFERROR((S1218-AVERAGEIF(P$2:P$1479,P1218,S$2:S$1479))/AVERAGEIF(P$2:P$1479,P1218,S$2:S$1479),0)</f>
        <v>0.2229955873705122</v>
      </c>
      <c r="AO1218" s="7">
        <f t="shared" ref="AO1218:AO1281" si="139">S1218*12</f>
        <v>650076</v>
      </c>
    </row>
    <row r="1219" spans="1:41" x14ac:dyDescent="0.3">
      <c r="A1219" t="s">
        <v>1286</v>
      </c>
      <c r="B1219">
        <v>46</v>
      </c>
      <c r="C1219" t="s">
        <v>1272</v>
      </c>
      <c r="D1219" t="s">
        <v>55</v>
      </c>
      <c r="E1219" t="s">
        <v>48</v>
      </c>
      <c r="F1219">
        <v>430</v>
      </c>
      <c r="G1219" t="s">
        <v>735</v>
      </c>
      <c r="H1219">
        <v>1</v>
      </c>
      <c r="I1219">
        <v>4</v>
      </c>
      <c r="J1219" t="s">
        <v>58</v>
      </c>
      <c r="K1219">
        <v>1069</v>
      </c>
      <c r="L1219">
        <v>4</v>
      </c>
      <c r="M1219" t="s">
        <v>51</v>
      </c>
      <c r="N1219">
        <v>3</v>
      </c>
      <c r="O1219">
        <v>5</v>
      </c>
      <c r="P1219" t="s">
        <v>257</v>
      </c>
      <c r="Q1219">
        <v>4</v>
      </c>
      <c r="R1219" t="s">
        <v>113</v>
      </c>
      <c r="S1219">
        <v>38430</v>
      </c>
      <c r="T1219" t="s">
        <v>72</v>
      </c>
      <c r="U1219">
        <v>240.19</v>
      </c>
      <c r="V1219">
        <v>9</v>
      </c>
      <c r="W1219" t="s">
        <v>55</v>
      </c>
      <c r="X1219">
        <v>17</v>
      </c>
      <c r="Y1219">
        <v>3</v>
      </c>
      <c r="Z1219">
        <v>4</v>
      </c>
      <c r="AA1219">
        <v>2</v>
      </c>
      <c r="AB1219">
        <v>23</v>
      </c>
      <c r="AC1219">
        <v>0</v>
      </c>
      <c r="AD1219">
        <v>3</v>
      </c>
      <c r="AE1219">
        <v>2</v>
      </c>
      <c r="AF1219">
        <v>2</v>
      </c>
      <c r="AG1219">
        <v>2</v>
      </c>
      <c r="AH1219">
        <v>2</v>
      </c>
      <c r="AI1219">
        <f t="shared" si="133"/>
        <v>0</v>
      </c>
      <c r="AJ1219" t="str">
        <f t="shared" si="134"/>
        <v>2-3 yrs</v>
      </c>
      <c r="AK1219" t="str">
        <f t="shared" si="135"/>
        <v>Recent</v>
      </c>
      <c r="AL1219">
        <f t="shared" si="136"/>
        <v>0</v>
      </c>
      <c r="AM1219" t="str">
        <f t="shared" si="137"/>
        <v>Minimal Risk</v>
      </c>
      <c r="AN1219" s="6">
        <f t="shared" si="138"/>
        <v>-0.24145938634794667</v>
      </c>
      <c r="AO1219" s="7">
        <f t="shared" si="139"/>
        <v>461160</v>
      </c>
    </row>
    <row r="1220" spans="1:41" x14ac:dyDescent="0.3">
      <c r="A1220" t="s">
        <v>1287</v>
      </c>
      <c r="B1220">
        <v>46</v>
      </c>
      <c r="C1220" t="s">
        <v>1272</v>
      </c>
      <c r="D1220" t="s">
        <v>55</v>
      </c>
      <c r="E1220" t="s">
        <v>48</v>
      </c>
      <c r="F1220">
        <v>1003</v>
      </c>
      <c r="G1220" t="s">
        <v>735</v>
      </c>
      <c r="H1220">
        <v>8</v>
      </c>
      <c r="I1220">
        <v>4</v>
      </c>
      <c r="J1220" t="s">
        <v>50</v>
      </c>
      <c r="K1220">
        <v>1080</v>
      </c>
      <c r="L1220">
        <v>4</v>
      </c>
      <c r="M1220" t="s">
        <v>59</v>
      </c>
      <c r="N1220">
        <v>2</v>
      </c>
      <c r="O1220">
        <v>2</v>
      </c>
      <c r="P1220" t="s">
        <v>67</v>
      </c>
      <c r="Q1220">
        <v>1</v>
      </c>
      <c r="R1220" t="s">
        <v>113</v>
      </c>
      <c r="S1220">
        <v>40282</v>
      </c>
      <c r="T1220" t="s">
        <v>72</v>
      </c>
      <c r="U1220">
        <v>251.76</v>
      </c>
      <c r="V1220">
        <v>8</v>
      </c>
      <c r="W1220" t="s">
        <v>47</v>
      </c>
      <c r="X1220">
        <v>23</v>
      </c>
      <c r="Y1220">
        <v>4</v>
      </c>
      <c r="Z1220">
        <v>1</v>
      </c>
      <c r="AA1220">
        <v>3</v>
      </c>
      <c r="AB1220">
        <v>19</v>
      </c>
      <c r="AC1220">
        <v>2</v>
      </c>
      <c r="AD1220">
        <v>3</v>
      </c>
      <c r="AE1220">
        <v>16</v>
      </c>
      <c r="AF1220">
        <v>13</v>
      </c>
      <c r="AG1220">
        <v>1</v>
      </c>
      <c r="AH1220">
        <v>7</v>
      </c>
      <c r="AI1220">
        <f t="shared" si="133"/>
        <v>0</v>
      </c>
      <c r="AJ1220" t="str">
        <f t="shared" si="134"/>
        <v>10+ yrs</v>
      </c>
      <c r="AK1220" t="str">
        <f t="shared" si="135"/>
        <v>Recent</v>
      </c>
      <c r="AL1220">
        <f t="shared" si="136"/>
        <v>2</v>
      </c>
      <c r="AM1220" t="str">
        <f t="shared" si="137"/>
        <v>Medium Risk</v>
      </c>
      <c r="AN1220" s="6">
        <f t="shared" si="138"/>
        <v>-0.19219674147176935</v>
      </c>
      <c r="AO1220" s="7">
        <f t="shared" si="139"/>
        <v>483384</v>
      </c>
    </row>
    <row r="1221" spans="1:41" x14ac:dyDescent="0.3">
      <c r="A1221" t="s">
        <v>1288</v>
      </c>
      <c r="B1221">
        <v>46</v>
      </c>
      <c r="C1221" t="s">
        <v>1272</v>
      </c>
      <c r="D1221" t="s">
        <v>55</v>
      </c>
      <c r="E1221" t="s">
        <v>48</v>
      </c>
      <c r="F1221">
        <v>406</v>
      </c>
      <c r="G1221" t="s">
        <v>932</v>
      </c>
      <c r="H1221">
        <v>3</v>
      </c>
      <c r="I1221">
        <v>1</v>
      </c>
      <c r="J1221" t="s">
        <v>63</v>
      </c>
      <c r="K1221">
        <v>1124</v>
      </c>
      <c r="L1221">
        <v>1</v>
      </c>
      <c r="M1221" t="s">
        <v>51</v>
      </c>
      <c r="N1221">
        <v>3</v>
      </c>
      <c r="O1221">
        <v>4</v>
      </c>
      <c r="P1221" t="s">
        <v>444</v>
      </c>
      <c r="Q1221">
        <v>3</v>
      </c>
      <c r="R1221" t="s">
        <v>113</v>
      </c>
      <c r="S1221">
        <v>64374</v>
      </c>
      <c r="T1221" t="s">
        <v>64</v>
      </c>
      <c r="U1221">
        <v>402.34</v>
      </c>
      <c r="V1221">
        <v>3</v>
      </c>
      <c r="W1221" t="s">
        <v>55</v>
      </c>
      <c r="X1221">
        <v>12</v>
      </c>
      <c r="Y1221">
        <v>3</v>
      </c>
      <c r="Z1221">
        <v>4</v>
      </c>
      <c r="AA1221">
        <v>1</v>
      </c>
      <c r="AB1221">
        <v>23</v>
      </c>
      <c r="AC1221">
        <v>3</v>
      </c>
      <c r="AD1221">
        <v>3</v>
      </c>
      <c r="AE1221">
        <v>12</v>
      </c>
      <c r="AF1221">
        <v>9</v>
      </c>
      <c r="AG1221">
        <v>4</v>
      </c>
      <c r="AH1221">
        <v>9</v>
      </c>
      <c r="AI1221">
        <f t="shared" si="133"/>
        <v>0</v>
      </c>
      <c r="AJ1221" t="str">
        <f t="shared" si="134"/>
        <v>10+ yrs</v>
      </c>
      <c r="AK1221" t="str">
        <f t="shared" si="135"/>
        <v>Overdue</v>
      </c>
      <c r="AL1221">
        <f t="shared" si="136"/>
        <v>1</v>
      </c>
      <c r="AM1221" t="str">
        <f t="shared" si="137"/>
        <v>Low Risk</v>
      </c>
      <c r="AN1221" s="6">
        <f t="shared" si="138"/>
        <v>0.23325823011336105</v>
      </c>
      <c r="AO1221" s="7">
        <f t="shared" si="139"/>
        <v>772488</v>
      </c>
    </row>
    <row r="1222" spans="1:41" x14ac:dyDescent="0.3">
      <c r="A1222" t="s">
        <v>1289</v>
      </c>
      <c r="B1222">
        <v>46</v>
      </c>
      <c r="C1222" t="s">
        <v>1272</v>
      </c>
      <c r="D1222" t="s">
        <v>55</v>
      </c>
      <c r="E1222" t="s">
        <v>48</v>
      </c>
      <c r="F1222">
        <v>1402</v>
      </c>
      <c r="G1222" t="s">
        <v>932</v>
      </c>
      <c r="H1222">
        <v>2</v>
      </c>
      <c r="I1222">
        <v>3</v>
      </c>
      <c r="J1222" t="s">
        <v>63</v>
      </c>
      <c r="K1222">
        <v>1204</v>
      </c>
      <c r="L1222">
        <v>3</v>
      </c>
      <c r="M1222" t="s">
        <v>59</v>
      </c>
      <c r="N1222">
        <v>3</v>
      </c>
      <c r="O1222">
        <v>4</v>
      </c>
      <c r="P1222" t="s">
        <v>444</v>
      </c>
      <c r="Q1222">
        <v>1</v>
      </c>
      <c r="R1222" t="s">
        <v>113</v>
      </c>
      <c r="S1222">
        <v>69244</v>
      </c>
      <c r="T1222" t="s">
        <v>64</v>
      </c>
      <c r="U1222">
        <v>432.78</v>
      </c>
      <c r="V1222">
        <v>8</v>
      </c>
      <c r="W1222" t="s">
        <v>55</v>
      </c>
      <c r="X1222">
        <v>23</v>
      </c>
      <c r="Y1222">
        <v>4</v>
      </c>
      <c r="Z1222">
        <v>1</v>
      </c>
      <c r="AA1222">
        <v>0</v>
      </c>
      <c r="AB1222">
        <v>28</v>
      </c>
      <c r="AC1222">
        <v>2</v>
      </c>
      <c r="AD1222">
        <v>3</v>
      </c>
      <c r="AE1222">
        <v>26</v>
      </c>
      <c r="AF1222">
        <v>15</v>
      </c>
      <c r="AG1222">
        <v>15</v>
      </c>
      <c r="AH1222">
        <v>9</v>
      </c>
      <c r="AI1222">
        <f t="shared" si="133"/>
        <v>0</v>
      </c>
      <c r="AJ1222" t="str">
        <f t="shared" si="134"/>
        <v>10+ yrs</v>
      </c>
      <c r="AK1222" t="str">
        <f t="shared" si="135"/>
        <v>Overdue</v>
      </c>
      <c r="AL1222">
        <f t="shared" si="136"/>
        <v>2</v>
      </c>
      <c r="AM1222" t="str">
        <f t="shared" si="137"/>
        <v>Medium Risk</v>
      </c>
      <c r="AN1222" s="6">
        <f t="shared" si="138"/>
        <v>0.32655626318031461</v>
      </c>
      <c r="AO1222" s="7">
        <f t="shared" si="139"/>
        <v>830928</v>
      </c>
    </row>
    <row r="1223" spans="1:41" x14ac:dyDescent="0.3">
      <c r="A1223" t="s">
        <v>1290</v>
      </c>
      <c r="B1223">
        <v>46</v>
      </c>
      <c r="C1223" t="s">
        <v>1272</v>
      </c>
      <c r="D1223" t="s">
        <v>55</v>
      </c>
      <c r="E1223" t="s">
        <v>48</v>
      </c>
      <c r="F1223">
        <v>1450</v>
      </c>
      <c r="G1223" t="s">
        <v>735</v>
      </c>
      <c r="H1223">
        <v>15</v>
      </c>
      <c r="I1223">
        <v>2</v>
      </c>
      <c r="J1223" t="s">
        <v>50</v>
      </c>
      <c r="K1223">
        <v>1217</v>
      </c>
      <c r="L1223">
        <v>4</v>
      </c>
      <c r="M1223" t="s">
        <v>51</v>
      </c>
      <c r="N1223">
        <v>3</v>
      </c>
      <c r="O1223">
        <v>5</v>
      </c>
      <c r="P1223" t="s">
        <v>257</v>
      </c>
      <c r="Q1223">
        <v>2</v>
      </c>
      <c r="R1223" t="s">
        <v>113</v>
      </c>
      <c r="S1223">
        <v>12694</v>
      </c>
      <c r="T1223" t="s">
        <v>54</v>
      </c>
      <c r="U1223">
        <v>79.34</v>
      </c>
      <c r="V1223">
        <v>5</v>
      </c>
      <c r="W1223" t="s">
        <v>55</v>
      </c>
      <c r="X1223">
        <v>11</v>
      </c>
      <c r="Y1223">
        <v>3</v>
      </c>
      <c r="Z1223">
        <v>1</v>
      </c>
      <c r="AA1223">
        <v>1</v>
      </c>
      <c r="AB1223">
        <v>25</v>
      </c>
      <c r="AC1223">
        <v>2</v>
      </c>
      <c r="AD1223">
        <v>3</v>
      </c>
      <c r="AE1223">
        <v>4</v>
      </c>
      <c r="AF1223">
        <v>2</v>
      </c>
      <c r="AG1223">
        <v>0</v>
      </c>
      <c r="AH1223">
        <v>3</v>
      </c>
      <c r="AI1223">
        <f t="shared" si="133"/>
        <v>0</v>
      </c>
      <c r="AJ1223" t="str">
        <f t="shared" si="134"/>
        <v>4-5 yrs</v>
      </c>
      <c r="AK1223" t="str">
        <f t="shared" si="135"/>
        <v>Recent</v>
      </c>
      <c r="AL1223">
        <f t="shared" si="136"/>
        <v>1</v>
      </c>
      <c r="AM1223" t="str">
        <f t="shared" si="137"/>
        <v>Low Risk</v>
      </c>
      <c r="AN1223" s="6">
        <f t="shared" si="138"/>
        <v>-0.74944276477493721</v>
      </c>
      <c r="AO1223" s="7">
        <f t="shared" si="139"/>
        <v>152328</v>
      </c>
    </row>
    <row r="1224" spans="1:41" x14ac:dyDescent="0.3">
      <c r="A1224" t="s">
        <v>1291</v>
      </c>
      <c r="B1224">
        <v>46</v>
      </c>
      <c r="C1224" t="s">
        <v>1272</v>
      </c>
      <c r="D1224" t="s">
        <v>55</v>
      </c>
      <c r="E1224" t="s">
        <v>48</v>
      </c>
      <c r="F1224">
        <v>150</v>
      </c>
      <c r="G1224" t="s">
        <v>735</v>
      </c>
      <c r="H1224">
        <v>2</v>
      </c>
      <c r="I1224">
        <v>4</v>
      </c>
      <c r="J1224" t="s">
        <v>77</v>
      </c>
      <c r="K1224">
        <v>1228</v>
      </c>
      <c r="L1224">
        <v>4</v>
      </c>
      <c r="M1224" t="s">
        <v>51</v>
      </c>
      <c r="N1224">
        <v>3</v>
      </c>
      <c r="O1224">
        <v>2</v>
      </c>
      <c r="P1224" t="s">
        <v>120</v>
      </c>
      <c r="Q1224">
        <v>4</v>
      </c>
      <c r="R1224" t="s">
        <v>113</v>
      </c>
      <c r="S1224">
        <v>57264</v>
      </c>
      <c r="T1224" t="s">
        <v>64</v>
      </c>
      <c r="U1224">
        <v>357.9</v>
      </c>
      <c r="V1224">
        <v>2</v>
      </c>
      <c r="W1224" t="s">
        <v>55</v>
      </c>
      <c r="X1224">
        <v>11</v>
      </c>
      <c r="Y1224">
        <v>3</v>
      </c>
      <c r="Z1224">
        <v>3</v>
      </c>
      <c r="AA1224">
        <v>1</v>
      </c>
      <c r="AB1224">
        <v>12</v>
      </c>
      <c r="AC1224">
        <v>3</v>
      </c>
      <c r="AD1224">
        <v>2</v>
      </c>
      <c r="AE1224">
        <v>6</v>
      </c>
      <c r="AF1224">
        <v>3</v>
      </c>
      <c r="AG1224">
        <v>1</v>
      </c>
      <c r="AH1224">
        <v>4</v>
      </c>
      <c r="AI1224">
        <f t="shared" si="133"/>
        <v>0</v>
      </c>
      <c r="AJ1224" t="str">
        <f t="shared" si="134"/>
        <v>6-10 yrs</v>
      </c>
      <c r="AK1224" t="str">
        <f t="shared" si="135"/>
        <v>Recent</v>
      </c>
      <c r="AL1224">
        <f t="shared" si="136"/>
        <v>1</v>
      </c>
      <c r="AM1224" t="str">
        <f t="shared" si="137"/>
        <v>Low Risk</v>
      </c>
      <c r="AN1224" s="6">
        <f t="shared" si="138"/>
        <v>0.29277720109990235</v>
      </c>
      <c r="AO1224" s="7">
        <f t="shared" si="139"/>
        <v>687168</v>
      </c>
    </row>
    <row r="1225" spans="1:41" x14ac:dyDescent="0.3">
      <c r="A1225" t="s">
        <v>1292</v>
      </c>
      <c r="B1225">
        <v>46</v>
      </c>
      <c r="C1225" t="s">
        <v>1272</v>
      </c>
      <c r="D1225" t="s">
        <v>55</v>
      </c>
      <c r="E1225" t="s">
        <v>48</v>
      </c>
      <c r="F1225">
        <v>168</v>
      </c>
      <c r="G1225" t="s">
        <v>932</v>
      </c>
      <c r="H1225">
        <v>4</v>
      </c>
      <c r="I1225">
        <v>2</v>
      </c>
      <c r="J1225" t="s">
        <v>63</v>
      </c>
      <c r="K1225">
        <v>1280</v>
      </c>
      <c r="L1225">
        <v>4</v>
      </c>
      <c r="M1225" t="s">
        <v>59</v>
      </c>
      <c r="N1225">
        <v>2</v>
      </c>
      <c r="O1225">
        <v>5</v>
      </c>
      <c r="P1225" t="s">
        <v>444</v>
      </c>
      <c r="Q1225">
        <v>2</v>
      </c>
      <c r="R1225" t="s">
        <v>113</v>
      </c>
      <c r="S1225">
        <v>76060</v>
      </c>
      <c r="T1225" t="s">
        <v>64</v>
      </c>
      <c r="U1225">
        <v>475.38</v>
      </c>
      <c r="V1225">
        <v>2</v>
      </c>
      <c r="W1225" t="s">
        <v>55</v>
      </c>
      <c r="X1225">
        <v>14</v>
      </c>
      <c r="Y1225">
        <v>3</v>
      </c>
      <c r="Z1225">
        <v>3</v>
      </c>
      <c r="AA1225">
        <v>1</v>
      </c>
      <c r="AB1225">
        <v>26</v>
      </c>
      <c r="AC1225">
        <v>2</v>
      </c>
      <c r="AD1225">
        <v>3</v>
      </c>
      <c r="AE1225">
        <v>11</v>
      </c>
      <c r="AF1225">
        <v>4</v>
      </c>
      <c r="AG1225">
        <v>0</v>
      </c>
      <c r="AH1225">
        <v>8</v>
      </c>
      <c r="AI1225">
        <f t="shared" si="133"/>
        <v>0</v>
      </c>
      <c r="AJ1225" t="str">
        <f t="shared" si="134"/>
        <v>10+ yrs</v>
      </c>
      <c r="AK1225" t="str">
        <f t="shared" si="135"/>
        <v>Recent</v>
      </c>
      <c r="AL1225">
        <f t="shared" si="136"/>
        <v>1</v>
      </c>
      <c r="AM1225" t="str">
        <f t="shared" si="137"/>
        <v>Low Risk</v>
      </c>
      <c r="AN1225" s="6">
        <f t="shared" si="138"/>
        <v>0.45713519406005904</v>
      </c>
      <c r="AO1225" s="7">
        <f t="shared" si="139"/>
        <v>912720</v>
      </c>
    </row>
    <row r="1226" spans="1:41" x14ac:dyDescent="0.3">
      <c r="A1226" t="s">
        <v>1293</v>
      </c>
      <c r="B1226">
        <v>46</v>
      </c>
      <c r="C1226" t="s">
        <v>1272</v>
      </c>
      <c r="D1226" t="s">
        <v>55</v>
      </c>
      <c r="E1226" t="s">
        <v>48</v>
      </c>
      <c r="F1226">
        <v>991</v>
      </c>
      <c r="G1226" t="s">
        <v>80</v>
      </c>
      <c r="H1226">
        <v>1</v>
      </c>
      <c r="I1226">
        <v>2</v>
      </c>
      <c r="J1226" t="s">
        <v>50</v>
      </c>
      <c r="K1226">
        <v>1314</v>
      </c>
      <c r="L1226">
        <v>4</v>
      </c>
      <c r="M1226" t="s">
        <v>59</v>
      </c>
      <c r="N1226">
        <v>3</v>
      </c>
      <c r="O1226">
        <v>1</v>
      </c>
      <c r="P1226" t="s">
        <v>80</v>
      </c>
      <c r="Q1226">
        <v>1</v>
      </c>
      <c r="R1226" t="s">
        <v>53</v>
      </c>
      <c r="S1226">
        <v>98416</v>
      </c>
      <c r="T1226" t="s">
        <v>70</v>
      </c>
      <c r="U1226">
        <v>615.1</v>
      </c>
      <c r="V1226">
        <v>6</v>
      </c>
      <c r="W1226" t="s">
        <v>55</v>
      </c>
      <c r="X1226">
        <v>12</v>
      </c>
      <c r="Y1226">
        <v>3</v>
      </c>
      <c r="Z1226">
        <v>3</v>
      </c>
      <c r="AA1226">
        <v>0</v>
      </c>
      <c r="AB1226">
        <v>10</v>
      </c>
      <c r="AC1226">
        <v>3</v>
      </c>
      <c r="AD1226">
        <v>4</v>
      </c>
      <c r="AE1226">
        <v>7</v>
      </c>
      <c r="AF1226">
        <v>6</v>
      </c>
      <c r="AG1226">
        <v>5</v>
      </c>
      <c r="AH1226">
        <v>7</v>
      </c>
      <c r="AI1226">
        <f t="shared" si="133"/>
        <v>0</v>
      </c>
      <c r="AJ1226" t="str">
        <f t="shared" si="134"/>
        <v>6-10 yrs</v>
      </c>
      <c r="AK1226" t="str">
        <f t="shared" si="135"/>
        <v>Overdue</v>
      </c>
      <c r="AL1226">
        <f t="shared" si="136"/>
        <v>2</v>
      </c>
      <c r="AM1226" t="str">
        <f t="shared" si="137"/>
        <v>Medium Risk</v>
      </c>
      <c r="AN1226" s="6">
        <f t="shared" si="138"/>
        <v>0.93945935293649507</v>
      </c>
      <c r="AO1226" s="7">
        <f t="shared" si="139"/>
        <v>1180992</v>
      </c>
    </row>
    <row r="1227" spans="1:41" x14ac:dyDescent="0.3">
      <c r="A1227" t="s">
        <v>1294</v>
      </c>
      <c r="B1227">
        <v>46</v>
      </c>
      <c r="C1227" t="s">
        <v>1272</v>
      </c>
      <c r="D1227" t="s">
        <v>47</v>
      </c>
      <c r="E1227" t="s">
        <v>48</v>
      </c>
      <c r="F1227">
        <v>377</v>
      </c>
      <c r="G1227" t="s">
        <v>932</v>
      </c>
      <c r="H1227">
        <v>9</v>
      </c>
      <c r="I1227">
        <v>3</v>
      </c>
      <c r="J1227" t="s">
        <v>63</v>
      </c>
      <c r="K1227">
        <v>1457</v>
      </c>
      <c r="L1227">
        <v>1</v>
      </c>
      <c r="M1227" t="s">
        <v>51</v>
      </c>
      <c r="N1227">
        <v>3</v>
      </c>
      <c r="O1227">
        <v>3</v>
      </c>
      <c r="P1227" t="s">
        <v>145</v>
      </c>
      <c r="Q1227">
        <v>4</v>
      </c>
      <c r="R1227" t="s">
        <v>113</v>
      </c>
      <c r="S1227">
        <v>58545</v>
      </c>
      <c r="T1227" t="s">
        <v>64</v>
      </c>
      <c r="U1227">
        <v>365.91</v>
      </c>
      <c r="V1227">
        <v>4</v>
      </c>
      <c r="W1227" t="s">
        <v>55</v>
      </c>
      <c r="X1227">
        <v>11</v>
      </c>
      <c r="Y1227">
        <v>3</v>
      </c>
      <c r="Z1227">
        <v>1</v>
      </c>
      <c r="AA1227">
        <v>1</v>
      </c>
      <c r="AB1227">
        <v>28</v>
      </c>
      <c r="AC1227">
        <v>1</v>
      </c>
      <c r="AD1227">
        <v>4</v>
      </c>
      <c r="AE1227">
        <v>7</v>
      </c>
      <c r="AF1227">
        <v>7</v>
      </c>
      <c r="AG1227">
        <v>4</v>
      </c>
      <c r="AH1227">
        <v>3</v>
      </c>
      <c r="AI1227">
        <f t="shared" si="133"/>
        <v>1</v>
      </c>
      <c r="AJ1227" t="str">
        <f t="shared" si="134"/>
        <v>6-10 yrs</v>
      </c>
      <c r="AK1227" t="str">
        <f t="shared" si="135"/>
        <v>Overdue</v>
      </c>
      <c r="AL1227">
        <f t="shared" si="136"/>
        <v>1</v>
      </c>
      <c r="AM1227" t="str">
        <f t="shared" si="137"/>
        <v>Low Risk</v>
      </c>
      <c r="AN1227" s="6">
        <f t="shared" si="138"/>
        <v>0.19338408155800041</v>
      </c>
      <c r="AO1227" s="7">
        <f t="shared" si="139"/>
        <v>702540</v>
      </c>
    </row>
    <row r="1228" spans="1:41" x14ac:dyDescent="0.3">
      <c r="A1228" t="s">
        <v>1295</v>
      </c>
      <c r="B1228">
        <v>46</v>
      </c>
      <c r="C1228" t="s">
        <v>1272</v>
      </c>
      <c r="D1228" t="s">
        <v>55</v>
      </c>
      <c r="E1228" t="s">
        <v>48</v>
      </c>
      <c r="F1228">
        <v>228</v>
      </c>
      <c r="G1228" t="s">
        <v>932</v>
      </c>
      <c r="H1228">
        <v>3</v>
      </c>
      <c r="I1228">
        <v>3</v>
      </c>
      <c r="J1228" t="s">
        <v>50</v>
      </c>
      <c r="K1228">
        <v>1527</v>
      </c>
      <c r="L1228">
        <v>3</v>
      </c>
      <c r="M1228" t="s">
        <v>59</v>
      </c>
      <c r="N1228">
        <v>3</v>
      </c>
      <c r="O1228">
        <v>4</v>
      </c>
      <c r="P1228" t="s">
        <v>444</v>
      </c>
      <c r="Q1228">
        <v>2</v>
      </c>
      <c r="R1228" t="s">
        <v>113</v>
      </c>
      <c r="S1228">
        <v>40224</v>
      </c>
      <c r="T1228" t="s">
        <v>72</v>
      </c>
      <c r="U1228">
        <v>251.4</v>
      </c>
      <c r="V1228">
        <v>8</v>
      </c>
      <c r="W1228" t="s">
        <v>55</v>
      </c>
      <c r="X1228">
        <v>12</v>
      </c>
      <c r="Y1228">
        <v>3</v>
      </c>
      <c r="Z1228">
        <v>4</v>
      </c>
      <c r="AA1228">
        <v>1</v>
      </c>
      <c r="AB1228">
        <v>23</v>
      </c>
      <c r="AC1228">
        <v>2</v>
      </c>
      <c r="AD1228">
        <v>4</v>
      </c>
      <c r="AE1228">
        <v>13</v>
      </c>
      <c r="AF1228">
        <v>12</v>
      </c>
      <c r="AG1228">
        <v>5</v>
      </c>
      <c r="AH1228">
        <v>1</v>
      </c>
      <c r="AI1228">
        <f t="shared" si="133"/>
        <v>0</v>
      </c>
      <c r="AJ1228" t="str">
        <f t="shared" si="134"/>
        <v>10+ yrs</v>
      </c>
      <c r="AK1228" t="str">
        <f t="shared" si="135"/>
        <v>Overdue</v>
      </c>
      <c r="AL1228">
        <f t="shared" si="136"/>
        <v>2</v>
      </c>
      <c r="AM1228" t="str">
        <f t="shared" si="137"/>
        <v>Medium Risk</v>
      </c>
      <c r="AN1228" s="6">
        <f t="shared" si="138"/>
        <v>-0.22940039382235322</v>
      </c>
      <c r="AO1228" s="7">
        <f t="shared" si="139"/>
        <v>482688</v>
      </c>
    </row>
    <row r="1229" spans="1:41" x14ac:dyDescent="0.3">
      <c r="A1229" t="s">
        <v>1296</v>
      </c>
      <c r="B1229">
        <v>46</v>
      </c>
      <c r="C1229" t="s">
        <v>1272</v>
      </c>
      <c r="D1229" t="s">
        <v>55</v>
      </c>
      <c r="E1229" t="s">
        <v>48</v>
      </c>
      <c r="F1229">
        <v>563</v>
      </c>
      <c r="G1229" t="s">
        <v>932</v>
      </c>
      <c r="H1229">
        <v>1</v>
      </c>
      <c r="I1229">
        <v>4</v>
      </c>
      <c r="J1229" t="s">
        <v>50</v>
      </c>
      <c r="K1229">
        <v>1602</v>
      </c>
      <c r="L1229">
        <v>4</v>
      </c>
      <c r="M1229" t="s">
        <v>51</v>
      </c>
      <c r="N1229">
        <v>4</v>
      </c>
      <c r="O1229">
        <v>4</v>
      </c>
      <c r="P1229" t="s">
        <v>444</v>
      </c>
      <c r="Q1229">
        <v>1</v>
      </c>
      <c r="R1229" t="s">
        <v>53</v>
      </c>
      <c r="S1229">
        <v>98945</v>
      </c>
      <c r="T1229" t="s">
        <v>70</v>
      </c>
      <c r="U1229">
        <v>618.41</v>
      </c>
      <c r="V1229">
        <v>1</v>
      </c>
      <c r="W1229" t="s">
        <v>55</v>
      </c>
      <c r="X1229">
        <v>15</v>
      </c>
      <c r="Y1229">
        <v>3</v>
      </c>
      <c r="Z1229">
        <v>2</v>
      </c>
      <c r="AA1229">
        <v>0</v>
      </c>
      <c r="AB1229">
        <v>27</v>
      </c>
      <c r="AC1229">
        <v>5</v>
      </c>
      <c r="AD1229">
        <v>1</v>
      </c>
      <c r="AE1229">
        <v>26</v>
      </c>
      <c r="AF1229">
        <v>0</v>
      </c>
      <c r="AG1229">
        <v>0</v>
      </c>
      <c r="AH1229">
        <v>12</v>
      </c>
      <c r="AI1229">
        <f t="shared" si="133"/>
        <v>0</v>
      </c>
      <c r="AJ1229" t="str">
        <f t="shared" si="134"/>
        <v>10+ yrs</v>
      </c>
      <c r="AK1229" t="str">
        <f t="shared" si="135"/>
        <v>Recent</v>
      </c>
      <c r="AL1229">
        <f t="shared" si="136"/>
        <v>2</v>
      </c>
      <c r="AM1229" t="str">
        <f t="shared" si="137"/>
        <v>Medium Risk</v>
      </c>
      <c r="AN1229" s="6">
        <f t="shared" si="138"/>
        <v>0.89555931864675964</v>
      </c>
      <c r="AO1229" s="7">
        <f t="shared" si="139"/>
        <v>1187340</v>
      </c>
    </row>
    <row r="1230" spans="1:41" x14ac:dyDescent="0.3">
      <c r="A1230" t="s">
        <v>1297</v>
      </c>
      <c r="B1230">
        <v>46</v>
      </c>
      <c r="C1230" t="s">
        <v>1272</v>
      </c>
      <c r="D1230" t="s">
        <v>55</v>
      </c>
      <c r="E1230" t="s">
        <v>48</v>
      </c>
      <c r="F1230">
        <v>717</v>
      </c>
      <c r="G1230" t="s">
        <v>735</v>
      </c>
      <c r="H1230">
        <v>13</v>
      </c>
      <c r="I1230">
        <v>4</v>
      </c>
      <c r="J1230" t="s">
        <v>50</v>
      </c>
      <c r="K1230">
        <v>1727</v>
      </c>
      <c r="L1230">
        <v>3</v>
      </c>
      <c r="M1230" t="s">
        <v>51</v>
      </c>
      <c r="N1230">
        <v>3</v>
      </c>
      <c r="O1230">
        <v>2</v>
      </c>
      <c r="P1230" t="s">
        <v>168</v>
      </c>
      <c r="Q1230">
        <v>2</v>
      </c>
      <c r="R1230" t="s">
        <v>53</v>
      </c>
      <c r="S1230">
        <v>14224</v>
      </c>
      <c r="T1230" t="s">
        <v>54</v>
      </c>
      <c r="U1230">
        <v>88.9</v>
      </c>
      <c r="V1230">
        <v>6</v>
      </c>
      <c r="W1230" t="s">
        <v>55</v>
      </c>
      <c r="X1230">
        <v>14</v>
      </c>
      <c r="Y1230">
        <v>3</v>
      </c>
      <c r="Z1230">
        <v>4</v>
      </c>
      <c r="AA1230">
        <v>0</v>
      </c>
      <c r="AB1230">
        <v>19</v>
      </c>
      <c r="AC1230">
        <v>3</v>
      </c>
      <c r="AD1230">
        <v>3</v>
      </c>
      <c r="AE1230">
        <v>10</v>
      </c>
      <c r="AF1230">
        <v>7</v>
      </c>
      <c r="AG1230">
        <v>0</v>
      </c>
      <c r="AH1230">
        <v>9</v>
      </c>
      <c r="AI1230">
        <f t="shared" si="133"/>
        <v>0</v>
      </c>
      <c r="AJ1230" t="str">
        <f t="shared" si="134"/>
        <v>6-10 yrs</v>
      </c>
      <c r="AK1230" t="str">
        <f t="shared" si="135"/>
        <v>Recent</v>
      </c>
      <c r="AL1230">
        <f t="shared" si="136"/>
        <v>1</v>
      </c>
      <c r="AM1230" t="str">
        <f t="shared" si="137"/>
        <v>Low Risk</v>
      </c>
      <c r="AN1230" s="6">
        <f t="shared" si="138"/>
        <v>-0.70482977789899326</v>
      </c>
      <c r="AO1230" s="7">
        <f t="shared" si="139"/>
        <v>170688</v>
      </c>
    </row>
    <row r="1231" spans="1:41" x14ac:dyDescent="0.3">
      <c r="A1231" t="s">
        <v>1298</v>
      </c>
      <c r="B1231">
        <v>46</v>
      </c>
      <c r="C1231" t="s">
        <v>1272</v>
      </c>
      <c r="D1231" t="s">
        <v>55</v>
      </c>
      <c r="E1231" t="s">
        <v>48</v>
      </c>
      <c r="F1231">
        <v>1277</v>
      </c>
      <c r="G1231" t="s">
        <v>932</v>
      </c>
      <c r="H1231">
        <v>2</v>
      </c>
      <c r="I1231">
        <v>3</v>
      </c>
      <c r="J1231" t="s">
        <v>50</v>
      </c>
      <c r="K1231">
        <v>1732</v>
      </c>
      <c r="L1231">
        <v>3</v>
      </c>
      <c r="M1231" t="s">
        <v>51</v>
      </c>
      <c r="N1231">
        <v>3</v>
      </c>
      <c r="O1231">
        <v>3</v>
      </c>
      <c r="P1231" t="s">
        <v>145</v>
      </c>
      <c r="Q1231">
        <v>4</v>
      </c>
      <c r="R1231" t="s">
        <v>113</v>
      </c>
      <c r="S1231">
        <v>41738</v>
      </c>
      <c r="T1231" t="s">
        <v>72</v>
      </c>
      <c r="U1231">
        <v>260.86</v>
      </c>
      <c r="V1231">
        <v>4</v>
      </c>
      <c r="W1231" t="s">
        <v>47</v>
      </c>
      <c r="X1231">
        <v>12</v>
      </c>
      <c r="Y1231">
        <v>3</v>
      </c>
      <c r="Z1231">
        <v>2</v>
      </c>
      <c r="AA1231">
        <v>1</v>
      </c>
      <c r="AB1231">
        <v>13</v>
      </c>
      <c r="AC1231">
        <v>5</v>
      </c>
      <c r="AD1231">
        <v>2</v>
      </c>
      <c r="AE1231">
        <v>10</v>
      </c>
      <c r="AF1231">
        <v>6</v>
      </c>
      <c r="AG1231">
        <v>0</v>
      </c>
      <c r="AH1231">
        <v>3</v>
      </c>
      <c r="AI1231">
        <f t="shared" si="133"/>
        <v>0</v>
      </c>
      <c r="AJ1231" t="str">
        <f t="shared" si="134"/>
        <v>6-10 yrs</v>
      </c>
      <c r="AK1231" t="str">
        <f t="shared" si="135"/>
        <v>Recent</v>
      </c>
      <c r="AL1231">
        <f t="shared" si="136"/>
        <v>2</v>
      </c>
      <c r="AM1231" t="str">
        <f t="shared" si="137"/>
        <v>Medium Risk</v>
      </c>
      <c r="AN1231" s="6">
        <f t="shared" si="138"/>
        <v>-0.14921061070855204</v>
      </c>
      <c r="AO1231" s="7">
        <f t="shared" si="139"/>
        <v>500856</v>
      </c>
    </row>
    <row r="1232" spans="1:41" x14ac:dyDescent="0.3">
      <c r="A1232" t="s">
        <v>1299</v>
      </c>
      <c r="B1232">
        <v>46</v>
      </c>
      <c r="C1232" t="s">
        <v>1272</v>
      </c>
      <c r="D1232" t="s">
        <v>55</v>
      </c>
      <c r="E1232" t="s">
        <v>48</v>
      </c>
      <c r="F1232">
        <v>734</v>
      </c>
      <c r="G1232" t="s">
        <v>735</v>
      </c>
      <c r="H1232">
        <v>2</v>
      </c>
      <c r="I1232">
        <v>4</v>
      </c>
      <c r="J1232" t="s">
        <v>58</v>
      </c>
      <c r="K1232">
        <v>1789</v>
      </c>
      <c r="L1232">
        <v>3</v>
      </c>
      <c r="M1232" t="s">
        <v>51</v>
      </c>
      <c r="N1232">
        <v>3</v>
      </c>
      <c r="O1232">
        <v>5</v>
      </c>
      <c r="P1232" t="s">
        <v>257</v>
      </c>
      <c r="Q1232">
        <v>4</v>
      </c>
      <c r="R1232" t="s">
        <v>113</v>
      </c>
      <c r="S1232">
        <v>26150</v>
      </c>
      <c r="T1232" t="s">
        <v>72</v>
      </c>
      <c r="U1232">
        <v>163.44</v>
      </c>
      <c r="V1232">
        <v>7</v>
      </c>
      <c r="W1232" t="s">
        <v>47</v>
      </c>
      <c r="X1232">
        <v>17</v>
      </c>
      <c r="Y1232">
        <v>3</v>
      </c>
      <c r="Z1232">
        <v>3</v>
      </c>
      <c r="AA1232">
        <v>1</v>
      </c>
      <c r="AB1232">
        <v>24</v>
      </c>
      <c r="AC1232">
        <v>3</v>
      </c>
      <c r="AD1232">
        <v>3</v>
      </c>
      <c r="AE1232">
        <v>2</v>
      </c>
      <c r="AF1232">
        <v>1</v>
      </c>
      <c r="AG1232">
        <v>2</v>
      </c>
      <c r="AH1232">
        <v>2</v>
      </c>
      <c r="AI1232">
        <f t="shared" si="133"/>
        <v>0</v>
      </c>
      <c r="AJ1232" t="str">
        <f t="shared" si="134"/>
        <v>2-3 yrs</v>
      </c>
      <c r="AK1232" t="str">
        <f t="shared" si="135"/>
        <v>Recent</v>
      </c>
      <c r="AL1232">
        <f t="shared" si="136"/>
        <v>1</v>
      </c>
      <c r="AM1232" t="str">
        <f t="shared" si="137"/>
        <v>Low Risk</v>
      </c>
      <c r="AN1232" s="6">
        <f t="shared" si="138"/>
        <v>-0.4838449896694979</v>
      </c>
      <c r="AO1232" s="7">
        <f t="shared" si="139"/>
        <v>313800</v>
      </c>
    </row>
    <row r="1233" spans="1:41" x14ac:dyDescent="0.3">
      <c r="A1233" t="s">
        <v>1300</v>
      </c>
      <c r="B1233">
        <v>46</v>
      </c>
      <c r="C1233" t="s">
        <v>1272</v>
      </c>
      <c r="D1233" t="s">
        <v>55</v>
      </c>
      <c r="E1233" t="s">
        <v>66</v>
      </c>
      <c r="F1233">
        <v>849</v>
      </c>
      <c r="G1233" t="s">
        <v>932</v>
      </c>
      <c r="H1233">
        <v>26</v>
      </c>
      <c r="I1233">
        <v>2</v>
      </c>
      <c r="J1233" t="s">
        <v>50</v>
      </c>
      <c r="K1233">
        <v>1801</v>
      </c>
      <c r="L1233">
        <v>2</v>
      </c>
      <c r="M1233" t="s">
        <v>51</v>
      </c>
      <c r="N1233">
        <v>2</v>
      </c>
      <c r="O1233">
        <v>2</v>
      </c>
      <c r="P1233" t="s">
        <v>145</v>
      </c>
      <c r="Q1233">
        <v>2</v>
      </c>
      <c r="R1233" t="s">
        <v>53</v>
      </c>
      <c r="S1233">
        <v>64731</v>
      </c>
      <c r="T1233" t="s">
        <v>64</v>
      </c>
      <c r="U1233">
        <v>404.57</v>
      </c>
      <c r="V1233">
        <v>8</v>
      </c>
      <c r="W1233" t="s">
        <v>55</v>
      </c>
      <c r="X1233">
        <v>15</v>
      </c>
      <c r="Y1233">
        <v>3</v>
      </c>
      <c r="Z1233">
        <v>3</v>
      </c>
      <c r="AA1233">
        <v>0</v>
      </c>
      <c r="AB1233">
        <v>6</v>
      </c>
      <c r="AC1233">
        <v>3</v>
      </c>
      <c r="AD1233">
        <v>3</v>
      </c>
      <c r="AE1233">
        <v>2</v>
      </c>
      <c r="AF1233">
        <v>2</v>
      </c>
      <c r="AG1233">
        <v>2</v>
      </c>
      <c r="AH1233">
        <v>2</v>
      </c>
      <c r="AI1233">
        <f t="shared" si="133"/>
        <v>0</v>
      </c>
      <c r="AJ1233" t="str">
        <f t="shared" si="134"/>
        <v>2-3 yrs</v>
      </c>
      <c r="AK1233" t="str">
        <f t="shared" si="135"/>
        <v>Recent</v>
      </c>
      <c r="AL1233">
        <f t="shared" si="136"/>
        <v>1</v>
      </c>
      <c r="AM1233" t="str">
        <f t="shared" si="137"/>
        <v>Low Risk</v>
      </c>
      <c r="AN1233" s="6">
        <f t="shared" si="138"/>
        <v>0.31947980157709327</v>
      </c>
      <c r="AO1233" s="7">
        <f t="shared" si="139"/>
        <v>776772</v>
      </c>
    </row>
    <row r="1234" spans="1:41" x14ac:dyDescent="0.3">
      <c r="A1234" t="s">
        <v>1301</v>
      </c>
      <c r="B1234">
        <v>46</v>
      </c>
      <c r="C1234" t="s">
        <v>1272</v>
      </c>
      <c r="D1234" t="s">
        <v>47</v>
      </c>
      <c r="E1234" t="s">
        <v>48</v>
      </c>
      <c r="F1234">
        <v>261</v>
      </c>
      <c r="G1234" t="s">
        <v>735</v>
      </c>
      <c r="H1234">
        <v>21</v>
      </c>
      <c r="I1234">
        <v>2</v>
      </c>
      <c r="J1234" t="s">
        <v>58</v>
      </c>
      <c r="K1234">
        <v>1821</v>
      </c>
      <c r="L1234">
        <v>4</v>
      </c>
      <c r="M1234" t="s">
        <v>59</v>
      </c>
      <c r="N1234">
        <v>3</v>
      </c>
      <c r="O1234">
        <v>2</v>
      </c>
      <c r="P1234" t="s">
        <v>168</v>
      </c>
      <c r="Q1234">
        <v>2</v>
      </c>
      <c r="R1234" t="s">
        <v>113</v>
      </c>
      <c r="S1234">
        <v>50688</v>
      </c>
      <c r="T1234" t="s">
        <v>64</v>
      </c>
      <c r="U1234">
        <v>316.8</v>
      </c>
      <c r="V1234">
        <v>4</v>
      </c>
      <c r="W1234" t="s">
        <v>55</v>
      </c>
      <c r="X1234">
        <v>22</v>
      </c>
      <c r="Y1234">
        <v>4</v>
      </c>
      <c r="Z1234">
        <v>4</v>
      </c>
      <c r="AA1234">
        <v>1</v>
      </c>
      <c r="AB1234">
        <v>13</v>
      </c>
      <c r="AC1234">
        <v>2</v>
      </c>
      <c r="AD1234">
        <v>4</v>
      </c>
      <c r="AE1234">
        <v>9</v>
      </c>
      <c r="AF1234">
        <v>7</v>
      </c>
      <c r="AG1234">
        <v>3</v>
      </c>
      <c r="AH1234">
        <v>7</v>
      </c>
      <c r="AI1234">
        <f t="shared" si="133"/>
        <v>1</v>
      </c>
      <c r="AJ1234" t="str">
        <f t="shared" si="134"/>
        <v>6-10 yrs</v>
      </c>
      <c r="AK1234" t="str">
        <f t="shared" si="135"/>
        <v>Overdue</v>
      </c>
      <c r="AL1234">
        <f t="shared" si="136"/>
        <v>2</v>
      </c>
      <c r="AM1234" t="str">
        <f t="shared" si="137"/>
        <v>Medium Risk</v>
      </c>
      <c r="AN1234" s="6">
        <f t="shared" si="138"/>
        <v>5.1855189669279433E-2</v>
      </c>
      <c r="AO1234" s="7">
        <f t="shared" si="139"/>
        <v>608256</v>
      </c>
    </row>
    <row r="1235" spans="1:41" x14ac:dyDescent="0.3">
      <c r="A1235" t="s">
        <v>1302</v>
      </c>
      <c r="B1235">
        <v>46</v>
      </c>
      <c r="C1235" t="s">
        <v>1272</v>
      </c>
      <c r="D1235" t="s">
        <v>55</v>
      </c>
      <c r="E1235" t="s">
        <v>48</v>
      </c>
      <c r="F1235">
        <v>706</v>
      </c>
      <c r="G1235" t="s">
        <v>735</v>
      </c>
      <c r="H1235">
        <v>2</v>
      </c>
      <c r="I1235">
        <v>2</v>
      </c>
      <c r="J1235" t="s">
        <v>50</v>
      </c>
      <c r="K1235">
        <v>1857</v>
      </c>
      <c r="L1235">
        <v>4</v>
      </c>
      <c r="M1235" t="s">
        <v>51</v>
      </c>
      <c r="N1235">
        <v>3</v>
      </c>
      <c r="O1235">
        <v>3</v>
      </c>
      <c r="P1235" t="s">
        <v>120</v>
      </c>
      <c r="Q1235">
        <v>4</v>
      </c>
      <c r="R1235" t="s">
        <v>113</v>
      </c>
      <c r="S1235">
        <v>74509</v>
      </c>
      <c r="T1235" t="s">
        <v>64</v>
      </c>
      <c r="U1235">
        <v>465.68</v>
      </c>
      <c r="V1235">
        <v>3</v>
      </c>
      <c r="W1235" t="s">
        <v>55</v>
      </c>
      <c r="X1235">
        <v>14</v>
      </c>
      <c r="Y1235">
        <v>3</v>
      </c>
      <c r="Z1235">
        <v>3</v>
      </c>
      <c r="AA1235">
        <v>1</v>
      </c>
      <c r="AB1235">
        <v>12</v>
      </c>
      <c r="AC1235">
        <v>4</v>
      </c>
      <c r="AD1235">
        <v>2</v>
      </c>
      <c r="AE1235">
        <v>9</v>
      </c>
      <c r="AF1235">
        <v>8</v>
      </c>
      <c r="AG1235">
        <v>4</v>
      </c>
      <c r="AH1235">
        <v>7</v>
      </c>
      <c r="AI1235">
        <f t="shared" si="133"/>
        <v>0</v>
      </c>
      <c r="AJ1235" t="str">
        <f t="shared" si="134"/>
        <v>6-10 yrs</v>
      </c>
      <c r="AK1235" t="str">
        <f t="shared" si="135"/>
        <v>Overdue</v>
      </c>
      <c r="AL1235">
        <f t="shared" si="136"/>
        <v>2</v>
      </c>
      <c r="AM1235" t="str">
        <f t="shared" si="137"/>
        <v>Medium Risk</v>
      </c>
      <c r="AN1235" s="6">
        <f t="shared" si="138"/>
        <v>0.68209584515144983</v>
      </c>
      <c r="AO1235" s="7">
        <f t="shared" si="139"/>
        <v>894108</v>
      </c>
    </row>
    <row r="1236" spans="1:41" x14ac:dyDescent="0.3">
      <c r="A1236" t="s">
        <v>1303</v>
      </c>
      <c r="B1236">
        <v>46</v>
      </c>
      <c r="C1236" t="s">
        <v>1272</v>
      </c>
      <c r="D1236" t="s">
        <v>55</v>
      </c>
      <c r="E1236" t="s">
        <v>48</v>
      </c>
      <c r="F1236">
        <v>1319</v>
      </c>
      <c r="G1236" t="s">
        <v>932</v>
      </c>
      <c r="H1236">
        <v>3</v>
      </c>
      <c r="I1236">
        <v>3</v>
      </c>
      <c r="J1236" t="s">
        <v>77</v>
      </c>
      <c r="K1236">
        <v>1863</v>
      </c>
      <c r="L1236">
        <v>1</v>
      </c>
      <c r="M1236" t="s">
        <v>59</v>
      </c>
      <c r="N1236">
        <v>4</v>
      </c>
      <c r="O1236">
        <v>4</v>
      </c>
      <c r="P1236" t="s">
        <v>145</v>
      </c>
      <c r="Q1236">
        <v>1</v>
      </c>
      <c r="R1236" t="s">
        <v>113</v>
      </c>
      <c r="S1236">
        <v>9577</v>
      </c>
      <c r="T1236" t="s">
        <v>54</v>
      </c>
      <c r="U1236">
        <v>59.86</v>
      </c>
      <c r="V1236">
        <v>2</v>
      </c>
      <c r="W1236" t="s">
        <v>55</v>
      </c>
      <c r="X1236">
        <v>12</v>
      </c>
      <c r="Y1236">
        <v>3</v>
      </c>
      <c r="Z1236">
        <v>4</v>
      </c>
      <c r="AA1236">
        <v>1</v>
      </c>
      <c r="AB1236">
        <v>25</v>
      </c>
      <c r="AC1236">
        <v>5</v>
      </c>
      <c r="AD1236">
        <v>3</v>
      </c>
      <c r="AE1236">
        <v>19</v>
      </c>
      <c r="AF1236">
        <v>17</v>
      </c>
      <c r="AG1236">
        <v>2</v>
      </c>
      <c r="AH1236">
        <v>8</v>
      </c>
      <c r="AI1236">
        <f t="shared" si="133"/>
        <v>0</v>
      </c>
      <c r="AJ1236" t="str">
        <f t="shared" si="134"/>
        <v>10+ yrs</v>
      </c>
      <c r="AK1236" t="str">
        <f t="shared" si="135"/>
        <v>Recent</v>
      </c>
      <c r="AL1236">
        <f t="shared" si="136"/>
        <v>1</v>
      </c>
      <c r="AM1236" t="str">
        <f t="shared" si="137"/>
        <v>Low Risk</v>
      </c>
      <c r="AN1236" s="6">
        <f t="shared" si="138"/>
        <v>-0.80478197371114579</v>
      </c>
      <c r="AO1236" s="7">
        <f t="shared" si="139"/>
        <v>114924</v>
      </c>
    </row>
    <row r="1237" spans="1:41" x14ac:dyDescent="0.3">
      <c r="A1237" t="s">
        <v>1304</v>
      </c>
      <c r="B1237">
        <v>46</v>
      </c>
      <c r="C1237" t="s">
        <v>1272</v>
      </c>
      <c r="D1237" t="s">
        <v>47</v>
      </c>
      <c r="E1237" t="s">
        <v>48</v>
      </c>
      <c r="F1237">
        <v>1254</v>
      </c>
      <c r="G1237" t="s">
        <v>932</v>
      </c>
      <c r="H1237">
        <v>10</v>
      </c>
      <c r="I1237">
        <v>3</v>
      </c>
      <c r="J1237" t="s">
        <v>50</v>
      </c>
      <c r="K1237">
        <v>1869</v>
      </c>
      <c r="L1237">
        <v>3</v>
      </c>
      <c r="M1237" t="s">
        <v>59</v>
      </c>
      <c r="N1237">
        <v>3</v>
      </c>
      <c r="O1237">
        <v>3</v>
      </c>
      <c r="P1237" t="s">
        <v>145</v>
      </c>
      <c r="Q1237">
        <v>2</v>
      </c>
      <c r="R1237" t="s">
        <v>113</v>
      </c>
      <c r="S1237">
        <v>9070</v>
      </c>
      <c r="T1237" t="s">
        <v>54</v>
      </c>
      <c r="U1237">
        <v>56.69</v>
      </c>
      <c r="V1237">
        <v>5</v>
      </c>
      <c r="W1237" t="s">
        <v>55</v>
      </c>
      <c r="X1237">
        <v>21</v>
      </c>
      <c r="Y1237">
        <v>4</v>
      </c>
      <c r="Z1237">
        <v>3</v>
      </c>
      <c r="AA1237">
        <v>3</v>
      </c>
      <c r="AB1237">
        <v>14</v>
      </c>
      <c r="AC1237">
        <v>2</v>
      </c>
      <c r="AD1237">
        <v>3</v>
      </c>
      <c r="AE1237">
        <v>8</v>
      </c>
      <c r="AF1237">
        <v>7</v>
      </c>
      <c r="AG1237">
        <v>0</v>
      </c>
      <c r="AH1237">
        <v>7</v>
      </c>
      <c r="AI1237">
        <f t="shared" si="133"/>
        <v>1</v>
      </c>
      <c r="AJ1237" t="str">
        <f t="shared" si="134"/>
        <v>6-10 yrs</v>
      </c>
      <c r="AK1237" t="str">
        <f t="shared" si="135"/>
        <v>Recent</v>
      </c>
      <c r="AL1237">
        <f t="shared" si="136"/>
        <v>1</v>
      </c>
      <c r="AM1237" t="str">
        <f t="shared" si="137"/>
        <v>Low Risk</v>
      </c>
      <c r="AN1237" s="6">
        <f t="shared" si="138"/>
        <v>-0.81511668597265241</v>
      </c>
      <c r="AO1237" s="7">
        <f t="shared" si="139"/>
        <v>108840</v>
      </c>
    </row>
    <row r="1238" spans="1:41" x14ac:dyDescent="0.3">
      <c r="A1238" t="s">
        <v>1305</v>
      </c>
      <c r="B1238">
        <v>47</v>
      </c>
      <c r="C1238" t="s">
        <v>1272</v>
      </c>
      <c r="D1238" t="s">
        <v>47</v>
      </c>
      <c r="E1238" t="s">
        <v>66</v>
      </c>
      <c r="F1238">
        <v>666</v>
      </c>
      <c r="G1238" t="s">
        <v>735</v>
      </c>
      <c r="H1238">
        <v>29</v>
      </c>
      <c r="I1238">
        <v>4</v>
      </c>
      <c r="J1238" t="s">
        <v>50</v>
      </c>
      <c r="K1238">
        <v>376</v>
      </c>
      <c r="L1238">
        <v>1</v>
      </c>
      <c r="M1238" t="s">
        <v>51</v>
      </c>
      <c r="N1238">
        <v>3</v>
      </c>
      <c r="O1238">
        <v>3</v>
      </c>
      <c r="P1238" t="s">
        <v>444</v>
      </c>
      <c r="Q1238">
        <v>2</v>
      </c>
      <c r="R1238" t="s">
        <v>113</v>
      </c>
      <c r="S1238">
        <v>9666</v>
      </c>
      <c r="T1238" t="s">
        <v>54</v>
      </c>
      <c r="U1238">
        <v>60.41</v>
      </c>
      <c r="V1238">
        <v>1</v>
      </c>
      <c r="W1238" t="s">
        <v>47</v>
      </c>
      <c r="X1238">
        <v>12</v>
      </c>
      <c r="Y1238">
        <v>3</v>
      </c>
      <c r="Z1238">
        <v>4</v>
      </c>
      <c r="AA1238">
        <v>1</v>
      </c>
      <c r="AB1238">
        <v>10</v>
      </c>
      <c r="AC1238">
        <v>2</v>
      </c>
      <c r="AD1238">
        <v>2</v>
      </c>
      <c r="AE1238">
        <v>10</v>
      </c>
      <c r="AF1238">
        <v>7</v>
      </c>
      <c r="AG1238">
        <v>9</v>
      </c>
      <c r="AH1238">
        <v>9</v>
      </c>
      <c r="AI1238">
        <f t="shared" si="133"/>
        <v>1</v>
      </c>
      <c r="AJ1238" t="str">
        <f t="shared" si="134"/>
        <v>6-10 yrs</v>
      </c>
      <c r="AK1238" t="str">
        <f t="shared" si="135"/>
        <v>Overdue</v>
      </c>
      <c r="AL1238">
        <f t="shared" si="136"/>
        <v>4</v>
      </c>
      <c r="AM1238" t="str">
        <f t="shared" si="137"/>
        <v>High Risk</v>
      </c>
      <c r="AN1238" s="6">
        <f t="shared" si="138"/>
        <v>-0.81482160418374272</v>
      </c>
      <c r="AO1238" s="7">
        <f t="shared" si="139"/>
        <v>115992</v>
      </c>
    </row>
    <row r="1239" spans="1:41" x14ac:dyDescent="0.3">
      <c r="A1239" t="s">
        <v>1306</v>
      </c>
      <c r="B1239">
        <v>47</v>
      </c>
      <c r="C1239" t="s">
        <v>1272</v>
      </c>
      <c r="D1239" t="s">
        <v>55</v>
      </c>
      <c r="E1239" t="s">
        <v>48</v>
      </c>
      <c r="F1239">
        <v>1482</v>
      </c>
      <c r="G1239" t="s">
        <v>735</v>
      </c>
      <c r="H1239">
        <v>5</v>
      </c>
      <c r="I1239">
        <v>5</v>
      </c>
      <c r="J1239" t="s">
        <v>50</v>
      </c>
      <c r="K1239">
        <v>447</v>
      </c>
      <c r="L1239">
        <v>4</v>
      </c>
      <c r="M1239" t="s">
        <v>51</v>
      </c>
      <c r="N1239">
        <v>3</v>
      </c>
      <c r="O1239">
        <v>5</v>
      </c>
      <c r="P1239" t="s">
        <v>257</v>
      </c>
      <c r="Q1239">
        <v>3</v>
      </c>
      <c r="R1239" t="s">
        <v>113</v>
      </c>
      <c r="S1239">
        <v>58761</v>
      </c>
      <c r="T1239" t="s">
        <v>64</v>
      </c>
      <c r="U1239">
        <v>367.26</v>
      </c>
      <c r="V1239">
        <v>4</v>
      </c>
      <c r="W1239" t="s">
        <v>55</v>
      </c>
      <c r="X1239">
        <v>11</v>
      </c>
      <c r="Y1239">
        <v>3</v>
      </c>
      <c r="Z1239">
        <v>2</v>
      </c>
      <c r="AA1239">
        <v>1</v>
      </c>
      <c r="AB1239">
        <v>21</v>
      </c>
      <c r="AC1239">
        <v>2</v>
      </c>
      <c r="AD1239">
        <v>3</v>
      </c>
      <c r="AE1239">
        <v>3</v>
      </c>
      <c r="AF1239">
        <v>2</v>
      </c>
      <c r="AG1239">
        <v>1</v>
      </c>
      <c r="AH1239">
        <v>1</v>
      </c>
      <c r="AI1239">
        <f t="shared" si="133"/>
        <v>0</v>
      </c>
      <c r="AJ1239" t="str">
        <f t="shared" si="134"/>
        <v>2-3 yrs</v>
      </c>
      <c r="AK1239" t="str">
        <f t="shared" si="135"/>
        <v>Recent</v>
      </c>
      <c r="AL1239">
        <f t="shared" si="136"/>
        <v>0</v>
      </c>
      <c r="AM1239" t="str">
        <f t="shared" si="137"/>
        <v>Minimal Risk</v>
      </c>
      <c r="AN1239" s="6">
        <f t="shared" si="138"/>
        <v>0.15983879778319818</v>
      </c>
      <c r="AO1239" s="7">
        <f t="shared" si="139"/>
        <v>705132</v>
      </c>
    </row>
    <row r="1240" spans="1:41" x14ac:dyDescent="0.3">
      <c r="A1240" t="s">
        <v>1307</v>
      </c>
      <c r="B1240">
        <v>47</v>
      </c>
      <c r="C1240" t="s">
        <v>1272</v>
      </c>
      <c r="D1240" t="s">
        <v>55</v>
      </c>
      <c r="E1240" t="s">
        <v>62</v>
      </c>
      <c r="F1240">
        <v>1309</v>
      </c>
      <c r="G1240" t="s">
        <v>932</v>
      </c>
      <c r="H1240">
        <v>4</v>
      </c>
      <c r="I1240">
        <v>1</v>
      </c>
      <c r="J1240" t="s">
        <v>58</v>
      </c>
      <c r="K1240">
        <v>467</v>
      </c>
      <c r="L1240">
        <v>2</v>
      </c>
      <c r="M1240" t="s">
        <v>51</v>
      </c>
      <c r="N1240">
        <v>3</v>
      </c>
      <c r="O1240">
        <v>2</v>
      </c>
      <c r="P1240" t="s">
        <v>60</v>
      </c>
      <c r="Q1240">
        <v>3</v>
      </c>
      <c r="R1240" t="s">
        <v>53</v>
      </c>
      <c r="S1240">
        <v>37368</v>
      </c>
      <c r="T1240" t="s">
        <v>72</v>
      </c>
      <c r="U1240">
        <v>233.55</v>
      </c>
      <c r="V1240">
        <v>3</v>
      </c>
      <c r="W1240" t="s">
        <v>55</v>
      </c>
      <c r="X1240">
        <v>19</v>
      </c>
      <c r="Y1240">
        <v>3</v>
      </c>
      <c r="Z1240">
        <v>1</v>
      </c>
      <c r="AA1240">
        <v>0</v>
      </c>
      <c r="AB1240">
        <v>5</v>
      </c>
      <c r="AC1240">
        <v>3</v>
      </c>
      <c r="AD1240">
        <v>3</v>
      </c>
      <c r="AE1240">
        <v>0</v>
      </c>
      <c r="AF1240">
        <v>0</v>
      </c>
      <c r="AG1240">
        <v>0</v>
      </c>
      <c r="AH1240">
        <v>0</v>
      </c>
      <c r="AI1240">
        <f t="shared" si="133"/>
        <v>0</v>
      </c>
      <c r="AJ1240" t="str">
        <f t="shared" si="134"/>
        <v>0-1 yr</v>
      </c>
      <c r="AK1240" t="str">
        <f t="shared" si="135"/>
        <v>Recent</v>
      </c>
      <c r="AL1240">
        <f t="shared" si="136"/>
        <v>0</v>
      </c>
      <c r="AM1240" t="str">
        <f t="shared" si="137"/>
        <v>Minimal Risk</v>
      </c>
      <c r="AN1240" s="6">
        <f t="shared" si="138"/>
        <v>-0.24244017848889729</v>
      </c>
      <c r="AO1240" s="7">
        <f t="shared" si="139"/>
        <v>448416</v>
      </c>
    </row>
    <row r="1241" spans="1:41" x14ac:dyDescent="0.3">
      <c r="A1241" t="s">
        <v>1308</v>
      </c>
      <c r="B1241">
        <v>47</v>
      </c>
      <c r="C1241" t="s">
        <v>1272</v>
      </c>
      <c r="D1241" t="s">
        <v>55</v>
      </c>
      <c r="E1241" t="s">
        <v>48</v>
      </c>
      <c r="F1241">
        <v>983</v>
      </c>
      <c r="G1241" t="s">
        <v>735</v>
      </c>
      <c r="H1241">
        <v>2</v>
      </c>
      <c r="I1241">
        <v>2</v>
      </c>
      <c r="J1241" t="s">
        <v>58</v>
      </c>
      <c r="K1241">
        <v>574</v>
      </c>
      <c r="L1241">
        <v>1</v>
      </c>
      <c r="M1241" t="s">
        <v>59</v>
      </c>
      <c r="N1241">
        <v>3</v>
      </c>
      <c r="O1241">
        <v>2</v>
      </c>
      <c r="P1241" t="s">
        <v>120</v>
      </c>
      <c r="Q1241">
        <v>4</v>
      </c>
      <c r="R1241" t="s">
        <v>113</v>
      </c>
      <c r="S1241">
        <v>7783</v>
      </c>
      <c r="T1241" t="s">
        <v>54</v>
      </c>
      <c r="U1241">
        <v>48.64</v>
      </c>
      <c r="V1241">
        <v>5</v>
      </c>
      <c r="W1241" t="s">
        <v>55</v>
      </c>
      <c r="X1241">
        <v>13</v>
      </c>
      <c r="Y1241">
        <v>3</v>
      </c>
      <c r="Z1241">
        <v>3</v>
      </c>
      <c r="AA1241">
        <v>3</v>
      </c>
      <c r="AB1241">
        <v>20</v>
      </c>
      <c r="AC1241">
        <v>2</v>
      </c>
      <c r="AD1241">
        <v>3</v>
      </c>
      <c r="AE1241">
        <v>5</v>
      </c>
      <c r="AF1241">
        <v>0</v>
      </c>
      <c r="AG1241">
        <v>0</v>
      </c>
      <c r="AH1241">
        <v>4</v>
      </c>
      <c r="AI1241">
        <f t="shared" si="133"/>
        <v>0</v>
      </c>
      <c r="AJ1241" t="str">
        <f t="shared" si="134"/>
        <v>4-5 yrs</v>
      </c>
      <c r="AK1241" t="str">
        <f t="shared" si="135"/>
        <v>Recent</v>
      </c>
      <c r="AL1241">
        <f t="shared" si="136"/>
        <v>0</v>
      </c>
      <c r="AM1241" t="str">
        <f t="shared" si="137"/>
        <v>Minimal Risk</v>
      </c>
      <c r="AN1241" s="6">
        <f t="shared" si="138"/>
        <v>-0.82429301208157757</v>
      </c>
      <c r="AO1241" s="7">
        <f t="shared" si="139"/>
        <v>93396</v>
      </c>
    </row>
    <row r="1242" spans="1:41" x14ac:dyDescent="0.3">
      <c r="A1242" t="s">
        <v>1309</v>
      </c>
      <c r="B1242">
        <v>47</v>
      </c>
      <c r="C1242" t="s">
        <v>1272</v>
      </c>
      <c r="D1242" t="s">
        <v>55</v>
      </c>
      <c r="E1242" t="s">
        <v>48</v>
      </c>
      <c r="F1242">
        <v>703</v>
      </c>
      <c r="G1242" t="s">
        <v>932</v>
      </c>
      <c r="H1242">
        <v>14</v>
      </c>
      <c r="I1242">
        <v>4</v>
      </c>
      <c r="J1242" t="s">
        <v>63</v>
      </c>
      <c r="K1242">
        <v>728</v>
      </c>
      <c r="L1242">
        <v>4</v>
      </c>
      <c r="M1242" t="s">
        <v>51</v>
      </c>
      <c r="N1242">
        <v>3</v>
      </c>
      <c r="O1242">
        <v>2</v>
      </c>
      <c r="P1242" t="s">
        <v>145</v>
      </c>
      <c r="Q1242">
        <v>1</v>
      </c>
      <c r="R1242" t="s">
        <v>53</v>
      </c>
      <c r="S1242">
        <v>42914</v>
      </c>
      <c r="T1242" t="s">
        <v>72</v>
      </c>
      <c r="U1242">
        <v>268.20999999999998</v>
      </c>
      <c r="V1242">
        <v>2</v>
      </c>
      <c r="W1242" t="s">
        <v>55</v>
      </c>
      <c r="X1242">
        <v>12</v>
      </c>
      <c r="Y1242">
        <v>3</v>
      </c>
      <c r="Z1242">
        <v>4</v>
      </c>
      <c r="AA1242">
        <v>0</v>
      </c>
      <c r="AB1242">
        <v>20</v>
      </c>
      <c r="AC1242">
        <v>2</v>
      </c>
      <c r="AD1242">
        <v>3</v>
      </c>
      <c r="AE1242">
        <v>7</v>
      </c>
      <c r="AF1242">
        <v>7</v>
      </c>
      <c r="AG1242">
        <v>1</v>
      </c>
      <c r="AH1242">
        <v>7</v>
      </c>
      <c r="AI1242">
        <f t="shared" si="133"/>
        <v>0</v>
      </c>
      <c r="AJ1242" t="str">
        <f t="shared" si="134"/>
        <v>6-10 yrs</v>
      </c>
      <c r="AK1242" t="str">
        <f t="shared" si="135"/>
        <v>Recent</v>
      </c>
      <c r="AL1242">
        <f t="shared" si="136"/>
        <v>1</v>
      </c>
      <c r="AM1242" t="str">
        <f t="shared" si="137"/>
        <v>Low Risk</v>
      </c>
      <c r="AN1242" s="6">
        <f t="shared" si="138"/>
        <v>-0.12523897043334137</v>
      </c>
      <c r="AO1242" s="7">
        <f t="shared" si="139"/>
        <v>514968</v>
      </c>
    </row>
    <row r="1243" spans="1:41" x14ac:dyDescent="0.3">
      <c r="A1243" t="s">
        <v>1310</v>
      </c>
      <c r="B1243">
        <v>47</v>
      </c>
      <c r="C1243" t="s">
        <v>1272</v>
      </c>
      <c r="D1243" t="s">
        <v>55</v>
      </c>
      <c r="E1243" t="s">
        <v>62</v>
      </c>
      <c r="F1243">
        <v>217</v>
      </c>
      <c r="G1243" t="s">
        <v>932</v>
      </c>
      <c r="H1243">
        <v>3</v>
      </c>
      <c r="I1243">
        <v>3</v>
      </c>
      <c r="J1243" t="s">
        <v>58</v>
      </c>
      <c r="K1243">
        <v>746</v>
      </c>
      <c r="L1243">
        <v>4</v>
      </c>
      <c r="M1243" t="s">
        <v>59</v>
      </c>
      <c r="N1243">
        <v>3</v>
      </c>
      <c r="O1243">
        <v>4</v>
      </c>
      <c r="P1243" t="s">
        <v>145</v>
      </c>
      <c r="Q1243">
        <v>3</v>
      </c>
      <c r="R1243" t="s">
        <v>53</v>
      </c>
      <c r="S1243">
        <v>71507</v>
      </c>
      <c r="T1243" t="s">
        <v>64</v>
      </c>
      <c r="U1243">
        <v>446.92</v>
      </c>
      <c r="V1243">
        <v>9</v>
      </c>
      <c r="W1243" t="s">
        <v>47</v>
      </c>
      <c r="X1243">
        <v>12</v>
      </c>
      <c r="Y1243">
        <v>3</v>
      </c>
      <c r="Z1243">
        <v>4</v>
      </c>
      <c r="AA1243">
        <v>2</v>
      </c>
      <c r="AB1243">
        <v>28</v>
      </c>
      <c r="AC1243">
        <v>2</v>
      </c>
      <c r="AD1243">
        <v>2</v>
      </c>
      <c r="AE1243">
        <v>22</v>
      </c>
      <c r="AF1243">
        <v>2</v>
      </c>
      <c r="AG1243">
        <v>11</v>
      </c>
      <c r="AH1243">
        <v>13</v>
      </c>
      <c r="AI1243">
        <f t="shared" si="133"/>
        <v>0</v>
      </c>
      <c r="AJ1243" t="str">
        <f t="shared" si="134"/>
        <v>10+ yrs</v>
      </c>
      <c r="AK1243" t="str">
        <f t="shared" si="135"/>
        <v>Overdue</v>
      </c>
      <c r="AL1243">
        <f t="shared" si="136"/>
        <v>3</v>
      </c>
      <c r="AM1243" t="str">
        <f t="shared" si="137"/>
        <v>High Risk</v>
      </c>
      <c r="AN1243" s="6">
        <f t="shared" si="138"/>
        <v>0.45760210982949756</v>
      </c>
      <c r="AO1243" s="7">
        <f t="shared" si="139"/>
        <v>858084</v>
      </c>
    </row>
    <row r="1244" spans="1:41" x14ac:dyDescent="0.3">
      <c r="A1244" t="s">
        <v>1311</v>
      </c>
      <c r="B1244">
        <v>47</v>
      </c>
      <c r="C1244" t="s">
        <v>1272</v>
      </c>
      <c r="D1244" t="s">
        <v>47</v>
      </c>
      <c r="E1244" t="s">
        <v>62</v>
      </c>
      <c r="F1244">
        <v>719</v>
      </c>
      <c r="G1244" t="s">
        <v>932</v>
      </c>
      <c r="H1244">
        <v>27</v>
      </c>
      <c r="I1244">
        <v>2</v>
      </c>
      <c r="J1244" t="s">
        <v>50</v>
      </c>
      <c r="K1244">
        <v>785</v>
      </c>
      <c r="L1244">
        <v>2</v>
      </c>
      <c r="M1244" t="s">
        <v>59</v>
      </c>
      <c r="N1244">
        <v>4</v>
      </c>
      <c r="O1244">
        <v>2</v>
      </c>
      <c r="P1244" t="s">
        <v>145</v>
      </c>
      <c r="Q1244">
        <v>3</v>
      </c>
      <c r="R1244" t="s">
        <v>53</v>
      </c>
      <c r="S1244">
        <v>80026</v>
      </c>
      <c r="T1244" t="s">
        <v>64</v>
      </c>
      <c r="U1244">
        <v>500.16</v>
      </c>
      <c r="V1244">
        <v>4</v>
      </c>
      <c r="W1244" t="s">
        <v>47</v>
      </c>
      <c r="X1244">
        <v>12</v>
      </c>
      <c r="Y1244">
        <v>3</v>
      </c>
      <c r="Z1244">
        <v>4</v>
      </c>
      <c r="AA1244">
        <v>0</v>
      </c>
      <c r="AB1244">
        <v>8</v>
      </c>
      <c r="AC1244">
        <v>2</v>
      </c>
      <c r="AD1244">
        <v>3</v>
      </c>
      <c r="AE1244">
        <v>5</v>
      </c>
      <c r="AF1244">
        <v>4</v>
      </c>
      <c r="AG1244">
        <v>1</v>
      </c>
      <c r="AH1244">
        <v>3</v>
      </c>
      <c r="AI1244">
        <f t="shared" si="133"/>
        <v>1</v>
      </c>
      <c r="AJ1244" t="str">
        <f t="shared" si="134"/>
        <v>4-5 yrs</v>
      </c>
      <c r="AK1244" t="str">
        <f t="shared" si="135"/>
        <v>Recent</v>
      </c>
      <c r="AL1244">
        <f t="shared" si="136"/>
        <v>1</v>
      </c>
      <c r="AM1244" t="str">
        <f t="shared" si="137"/>
        <v>Low Risk</v>
      </c>
      <c r="AN1244" s="6">
        <f t="shared" si="138"/>
        <v>0.63125381348980336</v>
      </c>
      <c r="AO1244" s="7">
        <f t="shared" si="139"/>
        <v>960312</v>
      </c>
    </row>
    <row r="1245" spans="1:41" x14ac:dyDescent="0.3">
      <c r="A1245" t="s">
        <v>1312</v>
      </c>
      <c r="B1245">
        <v>47</v>
      </c>
      <c r="C1245" t="s">
        <v>1272</v>
      </c>
      <c r="D1245" t="s">
        <v>55</v>
      </c>
      <c r="E1245" t="s">
        <v>48</v>
      </c>
      <c r="F1245">
        <v>202</v>
      </c>
      <c r="G1245" t="s">
        <v>735</v>
      </c>
      <c r="H1245">
        <v>2</v>
      </c>
      <c r="I1245">
        <v>2</v>
      </c>
      <c r="J1245" t="s">
        <v>82</v>
      </c>
      <c r="K1245">
        <v>820</v>
      </c>
      <c r="L1245">
        <v>3</v>
      </c>
      <c r="M1245" t="s">
        <v>59</v>
      </c>
      <c r="N1245">
        <v>3</v>
      </c>
      <c r="O1245">
        <v>4</v>
      </c>
      <c r="P1245" t="s">
        <v>444</v>
      </c>
      <c r="Q1245">
        <v>4</v>
      </c>
      <c r="R1245" t="s">
        <v>113</v>
      </c>
      <c r="S1245">
        <v>68526</v>
      </c>
      <c r="T1245" t="s">
        <v>64</v>
      </c>
      <c r="U1245">
        <v>428.29</v>
      </c>
      <c r="V1245">
        <v>1</v>
      </c>
      <c r="W1245" t="s">
        <v>47</v>
      </c>
      <c r="X1245">
        <v>11</v>
      </c>
      <c r="Y1245">
        <v>3</v>
      </c>
      <c r="Z1245">
        <v>3</v>
      </c>
      <c r="AA1245">
        <v>1</v>
      </c>
      <c r="AB1245">
        <v>26</v>
      </c>
      <c r="AC1245">
        <v>3</v>
      </c>
      <c r="AD1245">
        <v>2</v>
      </c>
      <c r="AE1245">
        <v>26</v>
      </c>
      <c r="AF1245">
        <v>14</v>
      </c>
      <c r="AG1245">
        <v>3</v>
      </c>
      <c r="AH1245">
        <v>0</v>
      </c>
      <c r="AI1245">
        <f t="shared" si="133"/>
        <v>0</v>
      </c>
      <c r="AJ1245" t="str">
        <f t="shared" si="134"/>
        <v>10+ yrs</v>
      </c>
      <c r="AK1245" t="str">
        <f t="shared" si="135"/>
        <v>Overdue</v>
      </c>
      <c r="AL1245">
        <f t="shared" si="136"/>
        <v>3</v>
      </c>
      <c r="AM1245" t="str">
        <f t="shared" si="137"/>
        <v>High Risk</v>
      </c>
      <c r="AN1245" s="6">
        <f t="shared" si="138"/>
        <v>0.31280102955771238</v>
      </c>
      <c r="AO1245" s="7">
        <f t="shared" si="139"/>
        <v>822312</v>
      </c>
    </row>
    <row r="1246" spans="1:41" x14ac:dyDescent="0.3">
      <c r="A1246" t="s">
        <v>1313</v>
      </c>
      <c r="B1246">
        <v>47</v>
      </c>
      <c r="C1246" t="s">
        <v>1272</v>
      </c>
      <c r="D1246" t="s">
        <v>55</v>
      </c>
      <c r="E1246" t="s">
        <v>48</v>
      </c>
      <c r="F1246">
        <v>249</v>
      </c>
      <c r="G1246" t="s">
        <v>932</v>
      </c>
      <c r="H1246">
        <v>2</v>
      </c>
      <c r="I1246">
        <v>2</v>
      </c>
      <c r="J1246" t="s">
        <v>63</v>
      </c>
      <c r="K1246">
        <v>903</v>
      </c>
      <c r="L1246">
        <v>3</v>
      </c>
      <c r="M1246" t="s">
        <v>59</v>
      </c>
      <c r="N1246">
        <v>3</v>
      </c>
      <c r="O1246">
        <v>2</v>
      </c>
      <c r="P1246" t="s">
        <v>145</v>
      </c>
      <c r="Q1246">
        <v>4</v>
      </c>
      <c r="R1246" t="s">
        <v>113</v>
      </c>
      <c r="S1246">
        <v>71835</v>
      </c>
      <c r="T1246" t="s">
        <v>64</v>
      </c>
      <c r="U1246">
        <v>448.97</v>
      </c>
      <c r="V1246">
        <v>0</v>
      </c>
      <c r="W1246" t="s">
        <v>47</v>
      </c>
      <c r="X1246">
        <v>22</v>
      </c>
      <c r="Y1246">
        <v>4</v>
      </c>
      <c r="Z1246">
        <v>1</v>
      </c>
      <c r="AA1246">
        <v>1</v>
      </c>
      <c r="AB1246">
        <v>8</v>
      </c>
      <c r="AC1246">
        <v>2</v>
      </c>
      <c r="AD1246">
        <v>3</v>
      </c>
      <c r="AE1246">
        <v>7</v>
      </c>
      <c r="AF1246">
        <v>6</v>
      </c>
      <c r="AG1246">
        <v>7</v>
      </c>
      <c r="AH1246">
        <v>7</v>
      </c>
      <c r="AI1246">
        <f t="shared" si="133"/>
        <v>0</v>
      </c>
      <c r="AJ1246" t="str">
        <f t="shared" si="134"/>
        <v>6-10 yrs</v>
      </c>
      <c r="AK1246" t="str">
        <f t="shared" si="135"/>
        <v>Overdue</v>
      </c>
      <c r="AL1246">
        <f t="shared" si="136"/>
        <v>2</v>
      </c>
      <c r="AM1246" t="str">
        <f t="shared" si="137"/>
        <v>Medium Risk</v>
      </c>
      <c r="AN1246" s="6">
        <f t="shared" si="138"/>
        <v>0.46428807752530465</v>
      </c>
      <c r="AO1246" s="7">
        <f t="shared" si="139"/>
        <v>862020</v>
      </c>
    </row>
    <row r="1247" spans="1:41" x14ac:dyDescent="0.3">
      <c r="A1247" t="s">
        <v>1314</v>
      </c>
      <c r="B1247">
        <v>47</v>
      </c>
      <c r="C1247" t="s">
        <v>1272</v>
      </c>
      <c r="D1247" t="s">
        <v>55</v>
      </c>
      <c r="E1247" t="s">
        <v>48</v>
      </c>
      <c r="F1247">
        <v>1454</v>
      </c>
      <c r="G1247" t="s">
        <v>932</v>
      </c>
      <c r="H1247">
        <v>2</v>
      </c>
      <c r="I1247">
        <v>4</v>
      </c>
      <c r="J1247" t="s">
        <v>50</v>
      </c>
      <c r="K1247">
        <v>925</v>
      </c>
      <c r="L1247">
        <v>4</v>
      </c>
      <c r="M1247" t="s">
        <v>59</v>
      </c>
      <c r="N1247">
        <v>2</v>
      </c>
      <c r="O1247">
        <v>1</v>
      </c>
      <c r="P1247" t="s">
        <v>60</v>
      </c>
      <c r="Q1247">
        <v>4</v>
      </c>
      <c r="R1247" t="s">
        <v>53</v>
      </c>
      <c r="S1247">
        <v>46765</v>
      </c>
      <c r="T1247" t="s">
        <v>72</v>
      </c>
      <c r="U1247">
        <v>292.27999999999997</v>
      </c>
      <c r="V1247">
        <v>1</v>
      </c>
      <c r="W1247" t="s">
        <v>47</v>
      </c>
      <c r="X1247">
        <v>18</v>
      </c>
      <c r="Y1247">
        <v>3</v>
      </c>
      <c r="Z1247">
        <v>1</v>
      </c>
      <c r="AA1247">
        <v>0</v>
      </c>
      <c r="AB1247">
        <v>3</v>
      </c>
      <c r="AC1247">
        <v>3</v>
      </c>
      <c r="AD1247">
        <v>2</v>
      </c>
      <c r="AE1247">
        <v>3</v>
      </c>
      <c r="AF1247">
        <v>2</v>
      </c>
      <c r="AG1247">
        <v>1</v>
      </c>
      <c r="AH1247">
        <v>2</v>
      </c>
      <c r="AI1247">
        <f t="shared" si="133"/>
        <v>0</v>
      </c>
      <c r="AJ1247" t="str">
        <f t="shared" si="134"/>
        <v>2-3 yrs</v>
      </c>
      <c r="AK1247" t="str">
        <f t="shared" si="135"/>
        <v>Recent</v>
      </c>
      <c r="AL1247">
        <f t="shared" si="136"/>
        <v>2</v>
      </c>
      <c r="AM1247" t="str">
        <f t="shared" si="137"/>
        <v>Medium Risk</v>
      </c>
      <c r="AN1247" s="6">
        <f t="shared" si="138"/>
        <v>-5.1935210528614904E-2</v>
      </c>
      <c r="AO1247" s="7">
        <f t="shared" si="139"/>
        <v>561180</v>
      </c>
    </row>
    <row r="1248" spans="1:41" x14ac:dyDescent="0.3">
      <c r="A1248" t="s">
        <v>1315</v>
      </c>
      <c r="B1248">
        <v>47</v>
      </c>
      <c r="C1248" t="s">
        <v>1272</v>
      </c>
      <c r="D1248" t="s">
        <v>55</v>
      </c>
      <c r="E1248" t="s">
        <v>62</v>
      </c>
      <c r="F1248">
        <v>1379</v>
      </c>
      <c r="G1248" t="s">
        <v>735</v>
      </c>
      <c r="H1248">
        <v>16</v>
      </c>
      <c r="I1248">
        <v>4</v>
      </c>
      <c r="J1248" t="s">
        <v>58</v>
      </c>
      <c r="K1248">
        <v>987</v>
      </c>
      <c r="L1248">
        <v>3</v>
      </c>
      <c r="M1248" t="s">
        <v>51</v>
      </c>
      <c r="N1248">
        <v>4</v>
      </c>
      <c r="O1248">
        <v>2</v>
      </c>
      <c r="P1248" t="s">
        <v>120</v>
      </c>
      <c r="Q1248">
        <v>3</v>
      </c>
      <c r="R1248" t="s">
        <v>53</v>
      </c>
      <c r="S1248">
        <v>20956</v>
      </c>
      <c r="T1248" t="s">
        <v>54</v>
      </c>
      <c r="U1248">
        <v>130.97999999999999</v>
      </c>
      <c r="V1248">
        <v>1</v>
      </c>
      <c r="W1248" t="s">
        <v>47</v>
      </c>
      <c r="X1248">
        <v>19</v>
      </c>
      <c r="Y1248">
        <v>3</v>
      </c>
      <c r="Z1248">
        <v>3</v>
      </c>
      <c r="AA1248">
        <v>0</v>
      </c>
      <c r="AB1248">
        <v>20</v>
      </c>
      <c r="AC1248">
        <v>3</v>
      </c>
      <c r="AD1248">
        <v>4</v>
      </c>
      <c r="AE1248">
        <v>19</v>
      </c>
      <c r="AF1248">
        <v>10</v>
      </c>
      <c r="AG1248">
        <v>2</v>
      </c>
      <c r="AH1248">
        <v>7</v>
      </c>
      <c r="AI1248">
        <f t="shared" si="133"/>
        <v>0</v>
      </c>
      <c r="AJ1248" t="str">
        <f t="shared" si="134"/>
        <v>10+ yrs</v>
      </c>
      <c r="AK1248" t="str">
        <f t="shared" si="135"/>
        <v>Recent</v>
      </c>
      <c r="AL1248">
        <f t="shared" si="136"/>
        <v>1</v>
      </c>
      <c r="AM1248" t="str">
        <f t="shared" si="137"/>
        <v>Low Risk</v>
      </c>
      <c r="AN1248" s="6">
        <f t="shared" si="138"/>
        <v>-0.5269027831403752</v>
      </c>
      <c r="AO1248" s="7">
        <f t="shared" si="139"/>
        <v>251472</v>
      </c>
    </row>
    <row r="1249" spans="1:41" x14ac:dyDescent="0.3">
      <c r="A1249" t="s">
        <v>1316</v>
      </c>
      <c r="B1249">
        <v>47</v>
      </c>
      <c r="C1249" t="s">
        <v>1272</v>
      </c>
      <c r="D1249" t="s">
        <v>55</v>
      </c>
      <c r="E1249" t="s">
        <v>48</v>
      </c>
      <c r="F1249">
        <v>955</v>
      </c>
      <c r="G1249" t="s">
        <v>932</v>
      </c>
      <c r="H1249">
        <v>4</v>
      </c>
      <c r="I1249">
        <v>2</v>
      </c>
      <c r="J1249" t="s">
        <v>50</v>
      </c>
      <c r="K1249">
        <v>1003</v>
      </c>
      <c r="L1249">
        <v>4</v>
      </c>
      <c r="M1249" t="s">
        <v>59</v>
      </c>
      <c r="N1249">
        <v>3</v>
      </c>
      <c r="O1249">
        <v>2</v>
      </c>
      <c r="P1249" t="s">
        <v>145</v>
      </c>
      <c r="Q1249">
        <v>4</v>
      </c>
      <c r="R1249" t="s">
        <v>53</v>
      </c>
      <c r="S1249">
        <v>88895</v>
      </c>
      <c r="T1249" t="s">
        <v>70</v>
      </c>
      <c r="U1249">
        <v>555.59</v>
      </c>
      <c r="V1249">
        <v>1</v>
      </c>
      <c r="W1249" t="s">
        <v>47</v>
      </c>
      <c r="X1249">
        <v>17</v>
      </c>
      <c r="Y1249">
        <v>3</v>
      </c>
      <c r="Z1249">
        <v>3</v>
      </c>
      <c r="AA1249">
        <v>0</v>
      </c>
      <c r="AB1249">
        <v>9</v>
      </c>
      <c r="AC1249">
        <v>0</v>
      </c>
      <c r="AD1249">
        <v>3</v>
      </c>
      <c r="AE1249">
        <v>9</v>
      </c>
      <c r="AF1249">
        <v>0</v>
      </c>
      <c r="AG1249">
        <v>0</v>
      </c>
      <c r="AH1249">
        <v>7</v>
      </c>
      <c r="AI1249">
        <f t="shared" si="133"/>
        <v>0</v>
      </c>
      <c r="AJ1249" t="str">
        <f t="shared" si="134"/>
        <v>6-10 yrs</v>
      </c>
      <c r="AK1249" t="str">
        <f t="shared" si="135"/>
        <v>Recent</v>
      </c>
      <c r="AL1249">
        <f t="shared" si="136"/>
        <v>1</v>
      </c>
      <c r="AM1249" t="str">
        <f t="shared" si="137"/>
        <v>Low Risk</v>
      </c>
      <c r="AN1249" s="6">
        <f t="shared" si="138"/>
        <v>0.8120399338986839</v>
      </c>
      <c r="AO1249" s="7">
        <f t="shared" si="139"/>
        <v>1066740</v>
      </c>
    </row>
    <row r="1250" spans="1:41" x14ac:dyDescent="0.3">
      <c r="A1250" t="s">
        <v>1317</v>
      </c>
      <c r="B1250">
        <v>47</v>
      </c>
      <c r="C1250" t="s">
        <v>1272</v>
      </c>
      <c r="D1250" t="s">
        <v>55</v>
      </c>
      <c r="E1250" t="s">
        <v>48</v>
      </c>
      <c r="F1250">
        <v>465</v>
      </c>
      <c r="G1250" t="s">
        <v>735</v>
      </c>
      <c r="H1250">
        <v>1</v>
      </c>
      <c r="I1250">
        <v>3</v>
      </c>
      <c r="J1250" t="s">
        <v>77</v>
      </c>
      <c r="K1250">
        <v>1438</v>
      </c>
      <c r="L1250">
        <v>1</v>
      </c>
      <c r="M1250" t="s">
        <v>51</v>
      </c>
      <c r="N1250">
        <v>3</v>
      </c>
      <c r="O1250">
        <v>1</v>
      </c>
      <c r="P1250" t="s">
        <v>67</v>
      </c>
      <c r="Q1250">
        <v>4</v>
      </c>
      <c r="R1250" t="s">
        <v>113</v>
      </c>
      <c r="S1250">
        <v>47240</v>
      </c>
      <c r="T1250" t="s">
        <v>72</v>
      </c>
      <c r="U1250">
        <v>295.25</v>
      </c>
      <c r="V1250">
        <v>7</v>
      </c>
      <c r="W1250" t="s">
        <v>55</v>
      </c>
      <c r="X1250">
        <v>12</v>
      </c>
      <c r="Y1250">
        <v>3</v>
      </c>
      <c r="Z1250">
        <v>3</v>
      </c>
      <c r="AA1250">
        <v>1</v>
      </c>
      <c r="AB1250">
        <v>17</v>
      </c>
      <c r="AC1250">
        <v>2</v>
      </c>
      <c r="AD1250">
        <v>2</v>
      </c>
      <c r="AE1250">
        <v>6</v>
      </c>
      <c r="AF1250">
        <v>5</v>
      </c>
      <c r="AG1250">
        <v>1</v>
      </c>
      <c r="AH1250">
        <v>2</v>
      </c>
      <c r="AI1250">
        <f t="shared" si="133"/>
        <v>0</v>
      </c>
      <c r="AJ1250" t="str">
        <f t="shared" si="134"/>
        <v>6-10 yrs</v>
      </c>
      <c r="AK1250" t="str">
        <f t="shared" si="135"/>
        <v>Recent</v>
      </c>
      <c r="AL1250">
        <f t="shared" si="136"/>
        <v>1</v>
      </c>
      <c r="AM1250" t="str">
        <f t="shared" si="137"/>
        <v>Low Risk</v>
      </c>
      <c r="AN1250" s="6">
        <f t="shared" si="138"/>
        <v>-5.2663076985412435E-2</v>
      </c>
      <c r="AO1250" s="7">
        <f t="shared" si="139"/>
        <v>566880</v>
      </c>
    </row>
    <row r="1251" spans="1:41" x14ac:dyDescent="0.3">
      <c r="A1251" t="s">
        <v>1318</v>
      </c>
      <c r="B1251">
        <v>47</v>
      </c>
      <c r="C1251" t="s">
        <v>1272</v>
      </c>
      <c r="D1251" t="s">
        <v>55</v>
      </c>
      <c r="E1251" t="s">
        <v>48</v>
      </c>
      <c r="F1251">
        <v>359</v>
      </c>
      <c r="G1251" t="s">
        <v>735</v>
      </c>
      <c r="H1251">
        <v>2</v>
      </c>
      <c r="I1251">
        <v>4</v>
      </c>
      <c r="J1251" t="s">
        <v>58</v>
      </c>
      <c r="K1251">
        <v>1443</v>
      </c>
      <c r="L1251">
        <v>1</v>
      </c>
      <c r="M1251" t="s">
        <v>59</v>
      </c>
      <c r="N1251">
        <v>3</v>
      </c>
      <c r="O1251">
        <v>4</v>
      </c>
      <c r="P1251" t="s">
        <v>257</v>
      </c>
      <c r="Q1251">
        <v>3</v>
      </c>
      <c r="R1251" t="s">
        <v>113</v>
      </c>
      <c r="S1251">
        <v>38148</v>
      </c>
      <c r="T1251" t="s">
        <v>72</v>
      </c>
      <c r="U1251">
        <v>238.42</v>
      </c>
      <c r="V1251">
        <v>3</v>
      </c>
      <c r="W1251" t="s">
        <v>55</v>
      </c>
      <c r="X1251">
        <v>19</v>
      </c>
      <c r="Y1251">
        <v>3</v>
      </c>
      <c r="Z1251">
        <v>2</v>
      </c>
      <c r="AA1251">
        <v>2</v>
      </c>
      <c r="AB1251">
        <v>26</v>
      </c>
      <c r="AC1251">
        <v>2</v>
      </c>
      <c r="AD1251">
        <v>4</v>
      </c>
      <c r="AE1251">
        <v>20</v>
      </c>
      <c r="AF1251">
        <v>17</v>
      </c>
      <c r="AG1251">
        <v>5</v>
      </c>
      <c r="AH1251">
        <v>6</v>
      </c>
      <c r="AI1251">
        <f t="shared" si="133"/>
        <v>0</v>
      </c>
      <c r="AJ1251" t="str">
        <f t="shared" si="134"/>
        <v>10+ yrs</v>
      </c>
      <c r="AK1251" t="str">
        <f t="shared" si="135"/>
        <v>Overdue</v>
      </c>
      <c r="AL1251">
        <f t="shared" si="136"/>
        <v>1</v>
      </c>
      <c r="AM1251" t="str">
        <f t="shared" si="137"/>
        <v>Low Risk</v>
      </c>
      <c r="AN1251" s="6">
        <f t="shared" si="138"/>
        <v>-0.2470255703981647</v>
      </c>
      <c r="AO1251" s="7">
        <f t="shared" si="139"/>
        <v>457776</v>
      </c>
    </row>
    <row r="1252" spans="1:41" x14ac:dyDescent="0.3">
      <c r="A1252" t="s">
        <v>1319</v>
      </c>
      <c r="B1252">
        <v>47</v>
      </c>
      <c r="C1252" t="s">
        <v>1272</v>
      </c>
      <c r="D1252" t="s">
        <v>55</v>
      </c>
      <c r="E1252" t="s">
        <v>48</v>
      </c>
      <c r="F1252">
        <v>571</v>
      </c>
      <c r="G1252" t="s">
        <v>932</v>
      </c>
      <c r="H1252">
        <v>14</v>
      </c>
      <c r="I1252">
        <v>3</v>
      </c>
      <c r="J1252" t="s">
        <v>58</v>
      </c>
      <c r="K1252">
        <v>1503</v>
      </c>
      <c r="L1252">
        <v>3</v>
      </c>
      <c r="M1252" t="s">
        <v>59</v>
      </c>
      <c r="N1252">
        <v>3</v>
      </c>
      <c r="O1252">
        <v>2</v>
      </c>
      <c r="P1252" t="s">
        <v>145</v>
      </c>
      <c r="Q1252">
        <v>3</v>
      </c>
      <c r="R1252" t="s">
        <v>113</v>
      </c>
      <c r="S1252">
        <v>95270</v>
      </c>
      <c r="T1252" t="s">
        <v>70</v>
      </c>
      <c r="U1252">
        <v>595.44000000000005</v>
      </c>
      <c r="V1252">
        <v>3</v>
      </c>
      <c r="W1252" t="s">
        <v>47</v>
      </c>
      <c r="X1252">
        <v>17</v>
      </c>
      <c r="Y1252">
        <v>3</v>
      </c>
      <c r="Z1252">
        <v>3</v>
      </c>
      <c r="AA1252">
        <v>1</v>
      </c>
      <c r="AB1252">
        <v>11</v>
      </c>
      <c r="AC1252">
        <v>4</v>
      </c>
      <c r="AD1252">
        <v>2</v>
      </c>
      <c r="AE1252">
        <v>5</v>
      </c>
      <c r="AF1252">
        <v>4</v>
      </c>
      <c r="AG1252">
        <v>1</v>
      </c>
      <c r="AH1252">
        <v>2</v>
      </c>
      <c r="AI1252">
        <f t="shared" si="133"/>
        <v>0</v>
      </c>
      <c r="AJ1252" t="str">
        <f t="shared" si="134"/>
        <v>4-5 yrs</v>
      </c>
      <c r="AK1252" t="str">
        <f t="shared" si="135"/>
        <v>Recent</v>
      </c>
      <c r="AL1252">
        <f t="shared" si="136"/>
        <v>2</v>
      </c>
      <c r="AM1252" t="str">
        <f t="shared" si="137"/>
        <v>Medium Risk</v>
      </c>
      <c r="AN1252" s="6">
        <f t="shared" si="138"/>
        <v>0.94198823896200701</v>
      </c>
      <c r="AO1252" s="7">
        <f t="shared" si="139"/>
        <v>1143240</v>
      </c>
    </row>
    <row r="1253" spans="1:41" x14ac:dyDescent="0.3">
      <c r="A1253" t="s">
        <v>1320</v>
      </c>
      <c r="B1253">
        <v>47</v>
      </c>
      <c r="C1253" t="s">
        <v>1272</v>
      </c>
      <c r="D1253" t="s">
        <v>55</v>
      </c>
      <c r="E1253" t="s">
        <v>48</v>
      </c>
      <c r="F1253">
        <v>1176</v>
      </c>
      <c r="G1253" t="s">
        <v>80</v>
      </c>
      <c r="H1253">
        <v>26</v>
      </c>
      <c r="I1253">
        <v>4</v>
      </c>
      <c r="J1253" t="s">
        <v>50</v>
      </c>
      <c r="K1253">
        <v>1625</v>
      </c>
      <c r="L1253">
        <v>4</v>
      </c>
      <c r="M1253" t="s">
        <v>59</v>
      </c>
      <c r="N1253">
        <v>3</v>
      </c>
      <c r="O1253">
        <v>5</v>
      </c>
      <c r="P1253" t="s">
        <v>444</v>
      </c>
      <c r="Q1253">
        <v>3</v>
      </c>
      <c r="R1253" t="s">
        <v>113</v>
      </c>
      <c r="S1253">
        <v>5757</v>
      </c>
      <c r="T1253" t="s">
        <v>54</v>
      </c>
      <c r="U1253">
        <v>35.979999999999997</v>
      </c>
      <c r="V1253">
        <v>3</v>
      </c>
      <c r="W1253" t="s">
        <v>55</v>
      </c>
      <c r="X1253">
        <v>11</v>
      </c>
      <c r="Y1253">
        <v>3</v>
      </c>
      <c r="Z1253">
        <v>3</v>
      </c>
      <c r="AA1253">
        <v>1</v>
      </c>
      <c r="AB1253">
        <v>27</v>
      </c>
      <c r="AC1253">
        <v>2</v>
      </c>
      <c r="AD1253">
        <v>3</v>
      </c>
      <c r="AE1253">
        <v>5</v>
      </c>
      <c r="AF1253">
        <v>2</v>
      </c>
      <c r="AG1253">
        <v>1</v>
      </c>
      <c r="AH1253">
        <v>0</v>
      </c>
      <c r="AI1253">
        <f t="shared" si="133"/>
        <v>0</v>
      </c>
      <c r="AJ1253" t="str">
        <f t="shared" si="134"/>
        <v>4-5 yrs</v>
      </c>
      <c r="AK1253" t="str">
        <f t="shared" si="135"/>
        <v>Recent</v>
      </c>
      <c r="AL1253">
        <f t="shared" si="136"/>
        <v>0</v>
      </c>
      <c r="AM1253" t="str">
        <f t="shared" si="137"/>
        <v>Minimal Risk</v>
      </c>
      <c r="AN1253" s="6">
        <f t="shared" si="138"/>
        <v>-0.88970908082824407</v>
      </c>
      <c r="AO1253" s="7">
        <f t="shared" si="139"/>
        <v>69084</v>
      </c>
    </row>
    <row r="1254" spans="1:41" x14ac:dyDescent="0.3">
      <c r="A1254" t="s">
        <v>1321</v>
      </c>
      <c r="B1254">
        <v>47</v>
      </c>
      <c r="C1254" t="s">
        <v>1272</v>
      </c>
      <c r="D1254" t="s">
        <v>55</v>
      </c>
      <c r="E1254" t="s">
        <v>48</v>
      </c>
      <c r="F1254">
        <v>1225</v>
      </c>
      <c r="G1254" t="s">
        <v>932</v>
      </c>
      <c r="H1254">
        <v>2</v>
      </c>
      <c r="I1254">
        <v>4</v>
      </c>
      <c r="J1254" t="s">
        <v>50</v>
      </c>
      <c r="K1254">
        <v>1676</v>
      </c>
      <c r="L1254">
        <v>2</v>
      </c>
      <c r="M1254" t="s">
        <v>59</v>
      </c>
      <c r="N1254">
        <v>4</v>
      </c>
      <c r="O1254">
        <v>4</v>
      </c>
      <c r="P1254" t="s">
        <v>444</v>
      </c>
      <c r="Q1254">
        <v>2</v>
      </c>
      <c r="R1254" t="s">
        <v>113</v>
      </c>
      <c r="S1254">
        <v>20097</v>
      </c>
      <c r="T1254" t="s">
        <v>54</v>
      </c>
      <c r="U1254">
        <v>125.61</v>
      </c>
      <c r="V1254">
        <v>6</v>
      </c>
      <c r="W1254" t="s">
        <v>55</v>
      </c>
      <c r="X1254">
        <v>14</v>
      </c>
      <c r="Y1254">
        <v>3</v>
      </c>
      <c r="Z1254">
        <v>3</v>
      </c>
      <c r="AA1254">
        <v>3</v>
      </c>
      <c r="AB1254">
        <v>29</v>
      </c>
      <c r="AC1254">
        <v>2</v>
      </c>
      <c r="AD1254">
        <v>3</v>
      </c>
      <c r="AE1254">
        <v>3</v>
      </c>
      <c r="AF1254">
        <v>2</v>
      </c>
      <c r="AG1254">
        <v>1</v>
      </c>
      <c r="AH1254">
        <v>2</v>
      </c>
      <c r="AI1254">
        <f t="shared" si="133"/>
        <v>0</v>
      </c>
      <c r="AJ1254" t="str">
        <f t="shared" si="134"/>
        <v>2-3 yrs</v>
      </c>
      <c r="AK1254" t="str">
        <f t="shared" si="135"/>
        <v>Recent</v>
      </c>
      <c r="AL1254">
        <f t="shared" si="136"/>
        <v>1</v>
      </c>
      <c r="AM1254" t="str">
        <f t="shared" si="137"/>
        <v>Low Risk</v>
      </c>
      <c r="AN1254" s="6">
        <f t="shared" si="138"/>
        <v>-0.61498756251610565</v>
      </c>
      <c r="AO1254" s="7">
        <f t="shared" si="139"/>
        <v>241164</v>
      </c>
    </row>
    <row r="1255" spans="1:41" x14ac:dyDescent="0.3">
      <c r="A1255" t="s">
        <v>1322</v>
      </c>
      <c r="B1255">
        <v>47</v>
      </c>
      <c r="C1255" t="s">
        <v>1272</v>
      </c>
      <c r="D1255" t="s">
        <v>47</v>
      </c>
      <c r="E1255" t="s">
        <v>62</v>
      </c>
      <c r="F1255">
        <v>1093</v>
      </c>
      <c r="G1255" t="s">
        <v>932</v>
      </c>
      <c r="H1255">
        <v>9</v>
      </c>
      <c r="I1255">
        <v>3</v>
      </c>
      <c r="J1255" t="s">
        <v>50</v>
      </c>
      <c r="K1255">
        <v>1716</v>
      </c>
      <c r="L1255">
        <v>3</v>
      </c>
      <c r="M1255" t="s">
        <v>51</v>
      </c>
      <c r="N1255">
        <v>1</v>
      </c>
      <c r="O1255">
        <v>4</v>
      </c>
      <c r="P1255" t="s">
        <v>145</v>
      </c>
      <c r="Q1255">
        <v>3</v>
      </c>
      <c r="R1255" t="s">
        <v>113</v>
      </c>
      <c r="S1255">
        <v>11395</v>
      </c>
      <c r="T1255" t="s">
        <v>54</v>
      </c>
      <c r="U1255">
        <v>71.22</v>
      </c>
      <c r="V1255">
        <v>7</v>
      </c>
      <c r="W1255" t="s">
        <v>55</v>
      </c>
      <c r="X1255">
        <v>11</v>
      </c>
      <c r="Y1255">
        <v>3</v>
      </c>
      <c r="Z1255">
        <v>3</v>
      </c>
      <c r="AA1255">
        <v>0</v>
      </c>
      <c r="AB1255">
        <v>25</v>
      </c>
      <c r="AC1255">
        <v>3</v>
      </c>
      <c r="AD1255">
        <v>1</v>
      </c>
      <c r="AE1255">
        <v>23</v>
      </c>
      <c r="AF1255">
        <v>5</v>
      </c>
      <c r="AG1255">
        <v>14</v>
      </c>
      <c r="AH1255">
        <v>10</v>
      </c>
      <c r="AI1255">
        <f t="shared" si="133"/>
        <v>1</v>
      </c>
      <c r="AJ1255" t="str">
        <f t="shared" si="134"/>
        <v>10+ yrs</v>
      </c>
      <c r="AK1255" t="str">
        <f t="shared" si="135"/>
        <v>Overdue</v>
      </c>
      <c r="AL1255">
        <f t="shared" si="136"/>
        <v>2</v>
      </c>
      <c r="AM1255" t="str">
        <f t="shared" si="137"/>
        <v>Medium Risk</v>
      </c>
      <c r="AN1255" s="6">
        <f t="shared" si="138"/>
        <v>-0.76772377471426401</v>
      </c>
      <c r="AO1255" s="7">
        <f t="shared" si="139"/>
        <v>136740</v>
      </c>
    </row>
    <row r="1256" spans="1:41" x14ac:dyDescent="0.3">
      <c r="A1256" t="s">
        <v>1323</v>
      </c>
      <c r="B1256">
        <v>47</v>
      </c>
      <c r="C1256" t="s">
        <v>1272</v>
      </c>
      <c r="D1256" t="s">
        <v>55</v>
      </c>
      <c r="E1256" t="s">
        <v>66</v>
      </c>
      <c r="F1256">
        <v>543</v>
      </c>
      <c r="G1256" t="s">
        <v>932</v>
      </c>
      <c r="H1256">
        <v>2</v>
      </c>
      <c r="I1256">
        <v>4</v>
      </c>
      <c r="J1256" t="s">
        <v>63</v>
      </c>
      <c r="K1256">
        <v>1731</v>
      </c>
      <c r="L1256">
        <v>3</v>
      </c>
      <c r="M1256" t="s">
        <v>51</v>
      </c>
      <c r="N1256">
        <v>3</v>
      </c>
      <c r="O1256">
        <v>2</v>
      </c>
      <c r="P1256" t="s">
        <v>145</v>
      </c>
      <c r="Q1256">
        <v>2</v>
      </c>
      <c r="R1256" t="s">
        <v>113</v>
      </c>
      <c r="S1256">
        <v>17241</v>
      </c>
      <c r="T1256" t="s">
        <v>54</v>
      </c>
      <c r="U1256">
        <v>107.76</v>
      </c>
      <c r="V1256">
        <v>7</v>
      </c>
      <c r="W1256" t="s">
        <v>55</v>
      </c>
      <c r="X1256">
        <v>11</v>
      </c>
      <c r="Y1256">
        <v>3</v>
      </c>
      <c r="Z1256">
        <v>4</v>
      </c>
      <c r="AA1256">
        <v>1</v>
      </c>
      <c r="AB1256">
        <v>4</v>
      </c>
      <c r="AC1256">
        <v>3</v>
      </c>
      <c r="AD1256">
        <v>1</v>
      </c>
      <c r="AE1256">
        <v>1</v>
      </c>
      <c r="AF1256">
        <v>0</v>
      </c>
      <c r="AG1256">
        <v>0</v>
      </c>
      <c r="AH1256">
        <v>0</v>
      </c>
      <c r="AI1256">
        <f t="shared" si="133"/>
        <v>0</v>
      </c>
      <c r="AJ1256" t="str">
        <f t="shared" si="134"/>
        <v>0-1 yr</v>
      </c>
      <c r="AK1256" t="str">
        <f t="shared" si="135"/>
        <v>Recent</v>
      </c>
      <c r="AL1256">
        <f t="shared" si="136"/>
        <v>2</v>
      </c>
      <c r="AM1256" t="str">
        <f t="shared" si="137"/>
        <v>Medium Risk</v>
      </c>
      <c r="AN1256" s="6">
        <f t="shared" si="138"/>
        <v>-0.64855863096521504</v>
      </c>
      <c r="AO1256" s="7">
        <f t="shared" si="139"/>
        <v>206892</v>
      </c>
    </row>
    <row r="1257" spans="1:41" x14ac:dyDescent="0.3">
      <c r="A1257" t="s">
        <v>1324</v>
      </c>
      <c r="B1257">
        <v>47</v>
      </c>
      <c r="C1257" t="s">
        <v>1272</v>
      </c>
      <c r="D1257" t="s">
        <v>55</v>
      </c>
      <c r="E1257" t="s">
        <v>48</v>
      </c>
      <c r="F1257">
        <v>1001</v>
      </c>
      <c r="G1257" t="s">
        <v>735</v>
      </c>
      <c r="H1257">
        <v>4</v>
      </c>
      <c r="I1257">
        <v>3</v>
      </c>
      <c r="J1257" t="s">
        <v>50</v>
      </c>
      <c r="K1257">
        <v>1827</v>
      </c>
      <c r="L1257">
        <v>3</v>
      </c>
      <c r="M1257" t="s">
        <v>59</v>
      </c>
      <c r="N1257">
        <v>2</v>
      </c>
      <c r="O1257">
        <v>3</v>
      </c>
      <c r="P1257" t="s">
        <v>120</v>
      </c>
      <c r="Q1257">
        <v>2</v>
      </c>
      <c r="R1257" t="s">
        <v>113</v>
      </c>
      <c r="S1257">
        <v>28696</v>
      </c>
      <c r="T1257" t="s">
        <v>72</v>
      </c>
      <c r="U1257">
        <v>179.35</v>
      </c>
      <c r="V1257">
        <v>8</v>
      </c>
      <c r="W1257" t="s">
        <v>47</v>
      </c>
      <c r="X1257">
        <v>12</v>
      </c>
      <c r="Y1257">
        <v>3</v>
      </c>
      <c r="Z1257">
        <v>3</v>
      </c>
      <c r="AA1257">
        <v>1</v>
      </c>
      <c r="AB1257">
        <v>28</v>
      </c>
      <c r="AC1257">
        <v>4</v>
      </c>
      <c r="AD1257">
        <v>3</v>
      </c>
      <c r="AE1257">
        <v>22</v>
      </c>
      <c r="AF1257">
        <v>11</v>
      </c>
      <c r="AG1257">
        <v>14</v>
      </c>
      <c r="AH1257">
        <v>10</v>
      </c>
      <c r="AI1257">
        <f t="shared" si="133"/>
        <v>0</v>
      </c>
      <c r="AJ1257" t="str">
        <f t="shared" si="134"/>
        <v>10+ yrs</v>
      </c>
      <c r="AK1257" t="str">
        <f t="shared" si="135"/>
        <v>Overdue</v>
      </c>
      <c r="AL1257">
        <f t="shared" si="136"/>
        <v>3</v>
      </c>
      <c r="AM1257" t="str">
        <f t="shared" si="137"/>
        <v>High Risk</v>
      </c>
      <c r="AN1257" s="6">
        <f t="shared" si="138"/>
        <v>-0.35216655206128111</v>
      </c>
      <c r="AO1257" s="7">
        <f t="shared" si="139"/>
        <v>344352</v>
      </c>
    </row>
    <row r="1258" spans="1:41" x14ac:dyDescent="0.3">
      <c r="A1258" t="s">
        <v>1325</v>
      </c>
      <c r="B1258">
        <v>47</v>
      </c>
      <c r="C1258" t="s">
        <v>1272</v>
      </c>
      <c r="D1258" t="s">
        <v>55</v>
      </c>
      <c r="E1258" t="s">
        <v>48</v>
      </c>
      <c r="F1258">
        <v>207</v>
      </c>
      <c r="G1258" t="s">
        <v>735</v>
      </c>
      <c r="H1258">
        <v>9</v>
      </c>
      <c r="I1258">
        <v>4</v>
      </c>
      <c r="J1258" t="s">
        <v>50</v>
      </c>
      <c r="K1258">
        <v>1856</v>
      </c>
      <c r="L1258">
        <v>2</v>
      </c>
      <c r="M1258" t="s">
        <v>59</v>
      </c>
      <c r="N1258">
        <v>3</v>
      </c>
      <c r="O1258">
        <v>1</v>
      </c>
      <c r="P1258" t="s">
        <v>52</v>
      </c>
      <c r="Q1258">
        <v>3</v>
      </c>
      <c r="R1258" t="s">
        <v>53</v>
      </c>
      <c r="S1258">
        <v>71480</v>
      </c>
      <c r="T1258" t="s">
        <v>64</v>
      </c>
      <c r="U1258">
        <v>446.75</v>
      </c>
      <c r="V1258">
        <v>4</v>
      </c>
      <c r="W1258" t="s">
        <v>55</v>
      </c>
      <c r="X1258">
        <v>12</v>
      </c>
      <c r="Y1258">
        <v>3</v>
      </c>
      <c r="Z1258">
        <v>3</v>
      </c>
      <c r="AA1258">
        <v>0</v>
      </c>
      <c r="AB1258">
        <v>7</v>
      </c>
      <c r="AC1258">
        <v>2</v>
      </c>
      <c r="AD1258">
        <v>3</v>
      </c>
      <c r="AE1258">
        <v>2</v>
      </c>
      <c r="AF1258">
        <v>2</v>
      </c>
      <c r="AG1258">
        <v>2</v>
      </c>
      <c r="AH1258">
        <v>0</v>
      </c>
      <c r="AI1258">
        <f t="shared" si="133"/>
        <v>0</v>
      </c>
      <c r="AJ1258" t="str">
        <f t="shared" si="134"/>
        <v>2-3 yrs</v>
      </c>
      <c r="AK1258" t="str">
        <f t="shared" si="135"/>
        <v>Recent</v>
      </c>
      <c r="AL1258">
        <f t="shared" si="136"/>
        <v>0</v>
      </c>
      <c r="AM1258" t="str">
        <f t="shared" si="137"/>
        <v>Minimal Risk</v>
      </c>
      <c r="AN1258" s="6">
        <f t="shared" si="138"/>
        <v>0.38204123955303354</v>
      </c>
      <c r="AO1258" s="7">
        <f t="shared" si="139"/>
        <v>857760</v>
      </c>
    </row>
    <row r="1259" spans="1:41" x14ac:dyDescent="0.3">
      <c r="A1259" t="s">
        <v>1326</v>
      </c>
      <c r="B1259">
        <v>47</v>
      </c>
      <c r="C1259" t="s">
        <v>1272</v>
      </c>
      <c r="D1259" t="s">
        <v>55</v>
      </c>
      <c r="E1259" t="s">
        <v>66</v>
      </c>
      <c r="F1259">
        <v>1169</v>
      </c>
      <c r="G1259" t="s">
        <v>735</v>
      </c>
      <c r="H1259">
        <v>14</v>
      </c>
      <c r="I1259">
        <v>4</v>
      </c>
      <c r="J1259" t="s">
        <v>77</v>
      </c>
      <c r="K1259">
        <v>1934</v>
      </c>
      <c r="L1259">
        <v>3</v>
      </c>
      <c r="M1259" t="s">
        <v>51</v>
      </c>
      <c r="N1259">
        <v>3</v>
      </c>
      <c r="O1259">
        <v>2</v>
      </c>
      <c r="P1259" t="s">
        <v>67</v>
      </c>
      <c r="Q1259">
        <v>2</v>
      </c>
      <c r="R1259" t="s">
        <v>113</v>
      </c>
      <c r="S1259">
        <v>47163</v>
      </c>
      <c r="T1259" t="s">
        <v>72</v>
      </c>
      <c r="U1259">
        <v>294.77</v>
      </c>
      <c r="V1259">
        <v>8</v>
      </c>
      <c r="W1259" t="s">
        <v>55</v>
      </c>
      <c r="X1259">
        <v>18</v>
      </c>
      <c r="Y1259">
        <v>3</v>
      </c>
      <c r="Z1259">
        <v>3</v>
      </c>
      <c r="AA1259">
        <v>1</v>
      </c>
      <c r="AB1259">
        <v>16</v>
      </c>
      <c r="AC1259">
        <v>4</v>
      </c>
      <c r="AD1259">
        <v>4</v>
      </c>
      <c r="AE1259">
        <v>8</v>
      </c>
      <c r="AF1259">
        <v>7</v>
      </c>
      <c r="AG1259">
        <v>1</v>
      </c>
      <c r="AH1259">
        <v>7</v>
      </c>
      <c r="AI1259">
        <f t="shared" si="133"/>
        <v>0</v>
      </c>
      <c r="AJ1259" t="str">
        <f t="shared" si="134"/>
        <v>6-10 yrs</v>
      </c>
      <c r="AK1259" t="str">
        <f t="shared" si="135"/>
        <v>Recent</v>
      </c>
      <c r="AL1259">
        <f t="shared" si="136"/>
        <v>1</v>
      </c>
      <c r="AM1259" t="str">
        <f t="shared" si="137"/>
        <v>Low Risk</v>
      </c>
      <c r="AN1259" s="6">
        <f t="shared" si="138"/>
        <v>-5.420721210548278E-2</v>
      </c>
      <c r="AO1259" s="7">
        <f t="shared" si="139"/>
        <v>565956</v>
      </c>
    </row>
    <row r="1260" spans="1:41" x14ac:dyDescent="0.3">
      <c r="A1260" t="s">
        <v>1327</v>
      </c>
      <c r="B1260">
        <v>47</v>
      </c>
      <c r="C1260" t="s">
        <v>1272</v>
      </c>
      <c r="D1260" t="s">
        <v>55</v>
      </c>
      <c r="E1260" t="s">
        <v>48</v>
      </c>
      <c r="F1260">
        <v>1180</v>
      </c>
      <c r="G1260" t="s">
        <v>735</v>
      </c>
      <c r="H1260">
        <v>25</v>
      </c>
      <c r="I1260">
        <v>3</v>
      </c>
      <c r="J1260" t="s">
        <v>58</v>
      </c>
      <c r="K1260">
        <v>1993</v>
      </c>
      <c r="L1260">
        <v>1</v>
      </c>
      <c r="M1260" t="s">
        <v>51</v>
      </c>
      <c r="N1260">
        <v>3</v>
      </c>
      <c r="O1260">
        <v>3</v>
      </c>
      <c r="P1260" t="s">
        <v>168</v>
      </c>
      <c r="Q1260">
        <v>3</v>
      </c>
      <c r="R1260" t="s">
        <v>53</v>
      </c>
      <c r="S1260">
        <v>20816</v>
      </c>
      <c r="T1260" t="s">
        <v>54</v>
      </c>
      <c r="U1260">
        <v>130.1</v>
      </c>
      <c r="V1260">
        <v>2</v>
      </c>
      <c r="W1260" t="s">
        <v>55</v>
      </c>
      <c r="X1260">
        <v>23</v>
      </c>
      <c r="Y1260">
        <v>4</v>
      </c>
      <c r="Z1260">
        <v>2</v>
      </c>
      <c r="AA1260">
        <v>0</v>
      </c>
      <c r="AB1260">
        <v>25</v>
      </c>
      <c r="AC1260">
        <v>3</v>
      </c>
      <c r="AD1260">
        <v>3</v>
      </c>
      <c r="AE1260">
        <v>17</v>
      </c>
      <c r="AF1260">
        <v>14</v>
      </c>
      <c r="AG1260">
        <v>12</v>
      </c>
      <c r="AH1260">
        <v>11</v>
      </c>
      <c r="AI1260">
        <f t="shared" si="133"/>
        <v>0</v>
      </c>
      <c r="AJ1260" t="str">
        <f t="shared" si="134"/>
        <v>10+ yrs</v>
      </c>
      <c r="AK1260" t="str">
        <f t="shared" si="135"/>
        <v>Overdue</v>
      </c>
      <c r="AL1260">
        <f t="shared" si="136"/>
        <v>1</v>
      </c>
      <c r="AM1260" t="str">
        <f t="shared" si="137"/>
        <v>Low Risk</v>
      </c>
      <c r="AN1260" s="6">
        <f t="shared" si="138"/>
        <v>-0.56803547924250863</v>
      </c>
      <c r="AO1260" s="7">
        <f t="shared" si="139"/>
        <v>249792</v>
      </c>
    </row>
    <row r="1261" spans="1:41" x14ac:dyDescent="0.3">
      <c r="A1261" t="s">
        <v>1328</v>
      </c>
      <c r="B1261">
        <v>47</v>
      </c>
      <c r="C1261" t="s">
        <v>1272</v>
      </c>
      <c r="D1261" t="s">
        <v>55</v>
      </c>
      <c r="E1261" t="s">
        <v>66</v>
      </c>
      <c r="F1261">
        <v>1162</v>
      </c>
      <c r="G1261" t="s">
        <v>735</v>
      </c>
      <c r="H1261">
        <v>1</v>
      </c>
      <c r="I1261">
        <v>1</v>
      </c>
      <c r="J1261" t="s">
        <v>58</v>
      </c>
      <c r="K1261">
        <v>2000</v>
      </c>
      <c r="L1261">
        <v>3</v>
      </c>
      <c r="M1261" t="s">
        <v>59</v>
      </c>
      <c r="N1261">
        <v>3</v>
      </c>
      <c r="O1261">
        <v>3</v>
      </c>
      <c r="P1261" t="s">
        <v>257</v>
      </c>
      <c r="Q1261">
        <v>2</v>
      </c>
      <c r="R1261" t="s">
        <v>113</v>
      </c>
      <c r="S1261">
        <v>50840</v>
      </c>
      <c r="T1261" t="s">
        <v>64</v>
      </c>
      <c r="U1261">
        <v>317.75</v>
      </c>
      <c r="V1261">
        <v>0</v>
      </c>
      <c r="W1261" t="s">
        <v>55</v>
      </c>
      <c r="X1261">
        <v>18</v>
      </c>
      <c r="Y1261">
        <v>3</v>
      </c>
      <c r="Z1261">
        <v>1</v>
      </c>
      <c r="AA1261">
        <v>2</v>
      </c>
      <c r="AB1261">
        <v>14</v>
      </c>
      <c r="AC1261">
        <v>3</v>
      </c>
      <c r="AD1261">
        <v>1</v>
      </c>
      <c r="AE1261">
        <v>13</v>
      </c>
      <c r="AF1261">
        <v>8</v>
      </c>
      <c r="AG1261">
        <v>5</v>
      </c>
      <c r="AH1261">
        <v>12</v>
      </c>
      <c r="AI1261">
        <f t="shared" si="133"/>
        <v>0</v>
      </c>
      <c r="AJ1261" t="str">
        <f t="shared" si="134"/>
        <v>10+ yrs</v>
      </c>
      <c r="AK1261" t="str">
        <f t="shared" si="135"/>
        <v>Overdue</v>
      </c>
      <c r="AL1261">
        <f t="shared" si="136"/>
        <v>3</v>
      </c>
      <c r="AM1261" t="str">
        <f t="shared" si="137"/>
        <v>High Risk</v>
      </c>
      <c r="AN1261" s="6">
        <f t="shared" si="138"/>
        <v>3.4921883442724888E-3</v>
      </c>
      <c r="AO1261" s="7">
        <f t="shared" si="139"/>
        <v>610080</v>
      </c>
    </row>
    <row r="1262" spans="1:41" x14ac:dyDescent="0.3">
      <c r="A1262" t="s">
        <v>1329</v>
      </c>
      <c r="B1262">
        <v>48</v>
      </c>
      <c r="C1262" t="s">
        <v>1272</v>
      </c>
      <c r="D1262" t="s">
        <v>47</v>
      </c>
      <c r="E1262" t="s">
        <v>48</v>
      </c>
      <c r="F1262">
        <v>626</v>
      </c>
      <c r="G1262" t="s">
        <v>735</v>
      </c>
      <c r="H1262">
        <v>1</v>
      </c>
      <c r="I1262">
        <v>2</v>
      </c>
      <c r="J1262" t="s">
        <v>50</v>
      </c>
      <c r="K1262">
        <v>64</v>
      </c>
      <c r="L1262">
        <v>1</v>
      </c>
      <c r="M1262" t="s">
        <v>51</v>
      </c>
      <c r="N1262">
        <v>2</v>
      </c>
      <c r="O1262">
        <v>3</v>
      </c>
      <c r="P1262" t="s">
        <v>52</v>
      </c>
      <c r="Q1262">
        <v>3</v>
      </c>
      <c r="R1262" t="s">
        <v>53</v>
      </c>
      <c r="S1262">
        <v>53853</v>
      </c>
      <c r="T1262" t="s">
        <v>64</v>
      </c>
      <c r="U1262">
        <v>336.58</v>
      </c>
      <c r="V1262">
        <v>9</v>
      </c>
      <c r="W1262" t="s">
        <v>47</v>
      </c>
      <c r="X1262">
        <v>13</v>
      </c>
      <c r="Y1262">
        <v>3</v>
      </c>
      <c r="Z1262">
        <v>4</v>
      </c>
      <c r="AA1262">
        <v>0</v>
      </c>
      <c r="AB1262">
        <v>23</v>
      </c>
      <c r="AC1262">
        <v>2</v>
      </c>
      <c r="AD1262">
        <v>3</v>
      </c>
      <c r="AE1262">
        <v>1</v>
      </c>
      <c r="AF1262">
        <v>0</v>
      </c>
      <c r="AG1262">
        <v>0</v>
      </c>
      <c r="AH1262">
        <v>0</v>
      </c>
      <c r="AI1262">
        <f t="shared" si="133"/>
        <v>1</v>
      </c>
      <c r="AJ1262" t="str">
        <f t="shared" si="134"/>
        <v>0-1 yr</v>
      </c>
      <c r="AK1262" t="str">
        <f t="shared" si="135"/>
        <v>Recent</v>
      </c>
      <c r="AL1262">
        <f t="shared" si="136"/>
        <v>1</v>
      </c>
      <c r="AM1262" t="str">
        <f t="shared" si="137"/>
        <v>Low Risk</v>
      </c>
      <c r="AN1262" s="6">
        <f t="shared" si="138"/>
        <v>4.1229251170250635E-2</v>
      </c>
      <c r="AO1262" s="7">
        <f t="shared" si="139"/>
        <v>646236</v>
      </c>
    </row>
    <row r="1263" spans="1:41" x14ac:dyDescent="0.3">
      <c r="A1263" t="s">
        <v>1330</v>
      </c>
      <c r="B1263">
        <v>48</v>
      </c>
      <c r="C1263" t="s">
        <v>1272</v>
      </c>
      <c r="D1263" t="s">
        <v>55</v>
      </c>
      <c r="E1263" t="s">
        <v>48</v>
      </c>
      <c r="F1263">
        <v>530</v>
      </c>
      <c r="G1263" t="s">
        <v>932</v>
      </c>
      <c r="H1263">
        <v>29</v>
      </c>
      <c r="I1263">
        <v>1</v>
      </c>
      <c r="J1263" t="s">
        <v>58</v>
      </c>
      <c r="K1263">
        <v>473</v>
      </c>
      <c r="L1263">
        <v>1</v>
      </c>
      <c r="M1263" t="s">
        <v>59</v>
      </c>
      <c r="N1263">
        <v>3</v>
      </c>
      <c r="O1263">
        <v>3</v>
      </c>
      <c r="P1263" t="s">
        <v>444</v>
      </c>
      <c r="Q1263">
        <v>3</v>
      </c>
      <c r="R1263" t="s">
        <v>113</v>
      </c>
      <c r="S1263">
        <v>25917</v>
      </c>
      <c r="T1263" t="s">
        <v>72</v>
      </c>
      <c r="U1263">
        <v>161.97999999999999</v>
      </c>
      <c r="V1263">
        <v>3</v>
      </c>
      <c r="W1263" t="s">
        <v>55</v>
      </c>
      <c r="X1263">
        <v>21</v>
      </c>
      <c r="Y1263">
        <v>4</v>
      </c>
      <c r="Z1263">
        <v>2</v>
      </c>
      <c r="AA1263">
        <v>1</v>
      </c>
      <c r="AB1263">
        <v>15</v>
      </c>
      <c r="AC1263">
        <v>3</v>
      </c>
      <c r="AD1263">
        <v>1</v>
      </c>
      <c r="AE1263">
        <v>0</v>
      </c>
      <c r="AF1263">
        <v>0</v>
      </c>
      <c r="AG1263">
        <v>0</v>
      </c>
      <c r="AH1263">
        <v>0</v>
      </c>
      <c r="AI1263">
        <f t="shared" si="133"/>
        <v>0</v>
      </c>
      <c r="AJ1263" t="str">
        <f t="shared" si="134"/>
        <v>0-1 yr</v>
      </c>
      <c r="AK1263" t="str">
        <f t="shared" si="135"/>
        <v>Recent</v>
      </c>
      <c r="AL1263">
        <f t="shared" si="136"/>
        <v>1</v>
      </c>
      <c r="AM1263" t="str">
        <f t="shared" si="137"/>
        <v>Low Risk</v>
      </c>
      <c r="AN1263" s="6">
        <f t="shared" si="138"/>
        <v>-0.50348970780364777</v>
      </c>
      <c r="AO1263" s="7">
        <f t="shared" si="139"/>
        <v>311004</v>
      </c>
    </row>
    <row r="1264" spans="1:41" x14ac:dyDescent="0.3">
      <c r="A1264" t="s">
        <v>1331</v>
      </c>
      <c r="B1264">
        <v>48</v>
      </c>
      <c r="C1264" t="s">
        <v>1272</v>
      </c>
      <c r="D1264" t="s">
        <v>55</v>
      </c>
      <c r="E1264" t="s">
        <v>48</v>
      </c>
      <c r="F1264">
        <v>163</v>
      </c>
      <c r="G1264" t="s">
        <v>932</v>
      </c>
      <c r="H1264">
        <v>2</v>
      </c>
      <c r="I1264">
        <v>5</v>
      </c>
      <c r="J1264" t="s">
        <v>63</v>
      </c>
      <c r="K1264">
        <v>595</v>
      </c>
      <c r="L1264">
        <v>2</v>
      </c>
      <c r="M1264" t="s">
        <v>59</v>
      </c>
      <c r="N1264">
        <v>3</v>
      </c>
      <c r="O1264">
        <v>2</v>
      </c>
      <c r="P1264" t="s">
        <v>145</v>
      </c>
      <c r="Q1264">
        <v>4</v>
      </c>
      <c r="R1264" t="s">
        <v>113</v>
      </c>
      <c r="S1264">
        <v>97731</v>
      </c>
      <c r="T1264" t="s">
        <v>70</v>
      </c>
      <c r="U1264">
        <v>610.82000000000005</v>
      </c>
      <c r="V1264">
        <v>2</v>
      </c>
      <c r="W1264" t="s">
        <v>55</v>
      </c>
      <c r="X1264">
        <v>14</v>
      </c>
      <c r="Y1264">
        <v>3</v>
      </c>
      <c r="Z1264">
        <v>1</v>
      </c>
      <c r="AA1264">
        <v>1</v>
      </c>
      <c r="AB1264">
        <v>14</v>
      </c>
      <c r="AC1264">
        <v>2</v>
      </c>
      <c r="AD1264">
        <v>3</v>
      </c>
      <c r="AE1264">
        <v>9</v>
      </c>
      <c r="AF1264">
        <v>7</v>
      </c>
      <c r="AG1264">
        <v>6</v>
      </c>
      <c r="AH1264">
        <v>7</v>
      </c>
      <c r="AI1264">
        <f t="shared" si="133"/>
        <v>0</v>
      </c>
      <c r="AJ1264" t="str">
        <f t="shared" si="134"/>
        <v>6-10 yrs</v>
      </c>
      <c r="AK1264" t="str">
        <f t="shared" si="135"/>
        <v>Overdue</v>
      </c>
      <c r="AL1264">
        <f t="shared" si="136"/>
        <v>1</v>
      </c>
      <c r="AM1264" t="str">
        <f t="shared" si="137"/>
        <v>Low Risk</v>
      </c>
      <c r="AN1264" s="6">
        <f t="shared" si="138"/>
        <v>0.99215338072841297</v>
      </c>
      <c r="AO1264" s="7">
        <f t="shared" si="139"/>
        <v>1172772</v>
      </c>
    </row>
    <row r="1265" spans="1:41" x14ac:dyDescent="0.3">
      <c r="A1265" t="s">
        <v>1332</v>
      </c>
      <c r="B1265">
        <v>48</v>
      </c>
      <c r="C1265" t="s">
        <v>1272</v>
      </c>
      <c r="D1265" t="s">
        <v>55</v>
      </c>
      <c r="E1265" t="s">
        <v>48</v>
      </c>
      <c r="F1265">
        <v>1236</v>
      </c>
      <c r="G1265" t="s">
        <v>735</v>
      </c>
      <c r="H1265">
        <v>1</v>
      </c>
      <c r="I1265">
        <v>4</v>
      </c>
      <c r="J1265" t="s">
        <v>50</v>
      </c>
      <c r="K1265">
        <v>664</v>
      </c>
      <c r="L1265">
        <v>4</v>
      </c>
      <c r="M1265" t="s">
        <v>59</v>
      </c>
      <c r="N1265">
        <v>2</v>
      </c>
      <c r="O1265">
        <v>4</v>
      </c>
      <c r="P1265" t="s">
        <v>444</v>
      </c>
      <c r="Q1265">
        <v>1</v>
      </c>
      <c r="R1265" t="s">
        <v>113</v>
      </c>
      <c r="S1265">
        <v>22566</v>
      </c>
      <c r="T1265" t="s">
        <v>54</v>
      </c>
      <c r="U1265">
        <v>141.04</v>
      </c>
      <c r="V1265">
        <v>7</v>
      </c>
      <c r="W1265" t="s">
        <v>55</v>
      </c>
      <c r="X1265">
        <v>11</v>
      </c>
      <c r="Y1265">
        <v>3</v>
      </c>
      <c r="Z1265">
        <v>1</v>
      </c>
      <c r="AA1265">
        <v>1</v>
      </c>
      <c r="AB1265">
        <v>21</v>
      </c>
      <c r="AC1265">
        <v>3</v>
      </c>
      <c r="AD1265">
        <v>1</v>
      </c>
      <c r="AE1265">
        <v>3</v>
      </c>
      <c r="AF1265">
        <v>2</v>
      </c>
      <c r="AG1265">
        <v>0</v>
      </c>
      <c r="AH1265">
        <v>2</v>
      </c>
      <c r="AI1265">
        <f t="shared" si="133"/>
        <v>0</v>
      </c>
      <c r="AJ1265" t="str">
        <f t="shared" si="134"/>
        <v>2-3 yrs</v>
      </c>
      <c r="AK1265" t="str">
        <f t="shared" si="135"/>
        <v>Recent</v>
      </c>
      <c r="AL1265">
        <f t="shared" si="136"/>
        <v>2</v>
      </c>
      <c r="AM1265" t="str">
        <f t="shared" si="137"/>
        <v>Medium Risk</v>
      </c>
      <c r="AN1265" s="6">
        <f t="shared" si="138"/>
        <v>-0.56768718394478979</v>
      </c>
      <c r="AO1265" s="7">
        <f t="shared" si="139"/>
        <v>270792</v>
      </c>
    </row>
    <row r="1266" spans="1:41" x14ac:dyDescent="0.3">
      <c r="A1266" t="s">
        <v>1333</v>
      </c>
      <c r="B1266">
        <v>48</v>
      </c>
      <c r="C1266" t="s">
        <v>1272</v>
      </c>
      <c r="D1266" t="s">
        <v>55</v>
      </c>
      <c r="E1266" t="s">
        <v>48</v>
      </c>
      <c r="F1266">
        <v>817</v>
      </c>
      <c r="G1266" t="s">
        <v>932</v>
      </c>
      <c r="H1266">
        <v>2</v>
      </c>
      <c r="I1266">
        <v>1</v>
      </c>
      <c r="J1266" t="s">
        <v>63</v>
      </c>
      <c r="K1266">
        <v>712</v>
      </c>
      <c r="L1266">
        <v>2</v>
      </c>
      <c r="M1266" t="s">
        <v>51</v>
      </c>
      <c r="N1266">
        <v>4</v>
      </c>
      <c r="O1266">
        <v>2</v>
      </c>
      <c r="P1266" t="s">
        <v>145</v>
      </c>
      <c r="Q1266">
        <v>2</v>
      </c>
      <c r="R1266" t="s">
        <v>113</v>
      </c>
      <c r="S1266">
        <v>76452</v>
      </c>
      <c r="T1266" t="s">
        <v>64</v>
      </c>
      <c r="U1266">
        <v>477.82</v>
      </c>
      <c r="V1266">
        <v>3</v>
      </c>
      <c r="W1266" t="s">
        <v>55</v>
      </c>
      <c r="X1266">
        <v>12</v>
      </c>
      <c r="Y1266">
        <v>3</v>
      </c>
      <c r="Z1266">
        <v>4</v>
      </c>
      <c r="AA1266">
        <v>0</v>
      </c>
      <c r="AB1266">
        <v>12</v>
      </c>
      <c r="AC1266">
        <v>3</v>
      </c>
      <c r="AD1266">
        <v>3</v>
      </c>
      <c r="AE1266">
        <v>2</v>
      </c>
      <c r="AF1266">
        <v>2</v>
      </c>
      <c r="AG1266">
        <v>2</v>
      </c>
      <c r="AH1266">
        <v>2</v>
      </c>
      <c r="AI1266">
        <f t="shared" si="133"/>
        <v>0</v>
      </c>
      <c r="AJ1266" t="str">
        <f t="shared" si="134"/>
        <v>2-3 yrs</v>
      </c>
      <c r="AK1266" t="str">
        <f t="shared" si="135"/>
        <v>Recent</v>
      </c>
      <c r="AL1266">
        <f t="shared" si="136"/>
        <v>1</v>
      </c>
      <c r="AM1266" t="str">
        <f t="shared" si="137"/>
        <v>Low Risk</v>
      </c>
      <c r="AN1266" s="6">
        <f t="shared" si="138"/>
        <v>0.55840122646293022</v>
      </c>
      <c r="AO1266" s="7">
        <f t="shared" si="139"/>
        <v>917424</v>
      </c>
    </row>
    <row r="1267" spans="1:41" x14ac:dyDescent="0.3">
      <c r="A1267" t="s">
        <v>1334</v>
      </c>
      <c r="B1267">
        <v>48</v>
      </c>
      <c r="C1267" t="s">
        <v>1272</v>
      </c>
      <c r="D1267" t="s">
        <v>55</v>
      </c>
      <c r="E1267" t="s">
        <v>48</v>
      </c>
      <c r="F1267">
        <v>1469</v>
      </c>
      <c r="G1267" t="s">
        <v>735</v>
      </c>
      <c r="H1267">
        <v>20</v>
      </c>
      <c r="I1267">
        <v>4</v>
      </c>
      <c r="J1267" t="s">
        <v>58</v>
      </c>
      <c r="K1267">
        <v>945</v>
      </c>
      <c r="L1267">
        <v>4</v>
      </c>
      <c r="M1267" t="s">
        <v>51</v>
      </c>
      <c r="N1267">
        <v>3</v>
      </c>
      <c r="O1267">
        <v>1</v>
      </c>
      <c r="P1267" t="s">
        <v>67</v>
      </c>
      <c r="Q1267">
        <v>3</v>
      </c>
      <c r="R1267" t="s">
        <v>113</v>
      </c>
      <c r="S1267">
        <v>63823</v>
      </c>
      <c r="T1267" t="s">
        <v>64</v>
      </c>
      <c r="U1267">
        <v>398.89</v>
      </c>
      <c r="V1267">
        <v>4</v>
      </c>
      <c r="W1267" t="s">
        <v>55</v>
      </c>
      <c r="X1267">
        <v>17</v>
      </c>
      <c r="Y1267">
        <v>3</v>
      </c>
      <c r="Z1267">
        <v>1</v>
      </c>
      <c r="AA1267">
        <v>2</v>
      </c>
      <c r="AB1267">
        <v>13</v>
      </c>
      <c r="AC1267">
        <v>2</v>
      </c>
      <c r="AD1267">
        <v>2</v>
      </c>
      <c r="AE1267">
        <v>0</v>
      </c>
      <c r="AF1267">
        <v>0</v>
      </c>
      <c r="AG1267">
        <v>0</v>
      </c>
      <c r="AH1267">
        <v>0</v>
      </c>
      <c r="AI1267">
        <f t="shared" si="133"/>
        <v>0</v>
      </c>
      <c r="AJ1267" t="str">
        <f t="shared" si="134"/>
        <v>0-1 yr</v>
      </c>
      <c r="AK1267" t="str">
        <f t="shared" si="135"/>
        <v>Recent</v>
      </c>
      <c r="AL1267">
        <f t="shared" si="136"/>
        <v>1</v>
      </c>
      <c r="AM1267" t="str">
        <f t="shared" si="137"/>
        <v>Low Risk</v>
      </c>
      <c r="AN1267" s="6">
        <f t="shared" si="138"/>
        <v>0.27988747750973797</v>
      </c>
      <c r="AO1267" s="7">
        <f t="shared" si="139"/>
        <v>765876</v>
      </c>
    </row>
    <row r="1268" spans="1:41" x14ac:dyDescent="0.3">
      <c r="A1268" t="s">
        <v>1335</v>
      </c>
      <c r="B1268">
        <v>48</v>
      </c>
      <c r="C1268" t="s">
        <v>1272</v>
      </c>
      <c r="D1268" t="s">
        <v>55</v>
      </c>
      <c r="E1268" t="s">
        <v>48</v>
      </c>
      <c r="F1268">
        <v>277</v>
      </c>
      <c r="G1268" t="s">
        <v>735</v>
      </c>
      <c r="H1268">
        <v>6</v>
      </c>
      <c r="I1268">
        <v>3</v>
      </c>
      <c r="J1268" t="s">
        <v>50</v>
      </c>
      <c r="K1268">
        <v>1022</v>
      </c>
      <c r="L1268">
        <v>1</v>
      </c>
      <c r="M1268" t="s">
        <v>51</v>
      </c>
      <c r="N1268">
        <v>2</v>
      </c>
      <c r="O1268">
        <v>2</v>
      </c>
      <c r="P1268" t="s">
        <v>168</v>
      </c>
      <c r="Q1268">
        <v>3</v>
      </c>
      <c r="R1268" t="s">
        <v>53</v>
      </c>
      <c r="S1268">
        <v>21806</v>
      </c>
      <c r="T1268" t="s">
        <v>54</v>
      </c>
      <c r="U1268">
        <v>136.29</v>
      </c>
      <c r="V1268">
        <v>2</v>
      </c>
      <c r="W1268" t="s">
        <v>55</v>
      </c>
      <c r="X1268">
        <v>13</v>
      </c>
      <c r="Y1268">
        <v>3</v>
      </c>
      <c r="Z1268">
        <v>4</v>
      </c>
      <c r="AA1268">
        <v>0</v>
      </c>
      <c r="AB1268">
        <v>19</v>
      </c>
      <c r="AC1268">
        <v>0</v>
      </c>
      <c r="AD1268">
        <v>3</v>
      </c>
      <c r="AE1268">
        <v>2</v>
      </c>
      <c r="AF1268">
        <v>2</v>
      </c>
      <c r="AG1268">
        <v>2</v>
      </c>
      <c r="AH1268">
        <v>2</v>
      </c>
      <c r="AI1268">
        <f t="shared" si="133"/>
        <v>0</v>
      </c>
      <c r="AJ1268" t="str">
        <f t="shared" si="134"/>
        <v>2-3 yrs</v>
      </c>
      <c r="AK1268" t="str">
        <f t="shared" si="135"/>
        <v>Recent</v>
      </c>
      <c r="AL1268">
        <f t="shared" si="136"/>
        <v>0</v>
      </c>
      <c r="AM1268" t="str">
        <f t="shared" si="137"/>
        <v>Minimal Risk</v>
      </c>
      <c r="AN1268" s="6">
        <f t="shared" si="138"/>
        <v>-0.54749143256928057</v>
      </c>
      <c r="AO1268" s="7">
        <f t="shared" si="139"/>
        <v>261672</v>
      </c>
    </row>
    <row r="1269" spans="1:41" x14ac:dyDescent="0.3">
      <c r="A1269" t="s">
        <v>1336</v>
      </c>
      <c r="B1269">
        <v>48</v>
      </c>
      <c r="C1269" t="s">
        <v>1272</v>
      </c>
      <c r="D1269" t="s">
        <v>55</v>
      </c>
      <c r="E1269" t="s">
        <v>48</v>
      </c>
      <c r="F1269">
        <v>1355</v>
      </c>
      <c r="G1269" t="s">
        <v>735</v>
      </c>
      <c r="H1269">
        <v>4</v>
      </c>
      <c r="I1269">
        <v>4</v>
      </c>
      <c r="J1269" t="s">
        <v>50</v>
      </c>
      <c r="K1269">
        <v>1024</v>
      </c>
      <c r="L1269">
        <v>3</v>
      </c>
      <c r="M1269" t="s">
        <v>51</v>
      </c>
      <c r="N1269">
        <v>2</v>
      </c>
      <c r="O1269">
        <v>3</v>
      </c>
      <c r="P1269" t="s">
        <v>168</v>
      </c>
      <c r="Q1269">
        <v>3</v>
      </c>
      <c r="R1269" t="s">
        <v>53</v>
      </c>
      <c r="S1269">
        <v>76520</v>
      </c>
      <c r="T1269" t="s">
        <v>64</v>
      </c>
      <c r="U1269">
        <v>478.25</v>
      </c>
      <c r="V1269">
        <v>7</v>
      </c>
      <c r="W1269" t="s">
        <v>55</v>
      </c>
      <c r="X1269">
        <v>14</v>
      </c>
      <c r="Y1269">
        <v>3</v>
      </c>
      <c r="Z1269">
        <v>2</v>
      </c>
      <c r="AA1269">
        <v>0</v>
      </c>
      <c r="AB1269">
        <v>27</v>
      </c>
      <c r="AC1269">
        <v>3</v>
      </c>
      <c r="AD1269">
        <v>3</v>
      </c>
      <c r="AE1269">
        <v>15</v>
      </c>
      <c r="AF1269">
        <v>11</v>
      </c>
      <c r="AG1269">
        <v>4</v>
      </c>
      <c r="AH1269">
        <v>8</v>
      </c>
      <c r="AI1269">
        <f t="shared" si="133"/>
        <v>0</v>
      </c>
      <c r="AJ1269" t="str">
        <f t="shared" si="134"/>
        <v>10+ yrs</v>
      </c>
      <c r="AK1269" t="str">
        <f t="shared" si="135"/>
        <v>Overdue</v>
      </c>
      <c r="AL1269">
        <f t="shared" si="136"/>
        <v>1</v>
      </c>
      <c r="AM1269" t="str">
        <f t="shared" si="137"/>
        <v>Low Risk</v>
      </c>
      <c r="AN1269" s="6">
        <f t="shared" si="138"/>
        <v>0.58790954690445985</v>
      </c>
      <c r="AO1269" s="7">
        <f t="shared" si="139"/>
        <v>918240</v>
      </c>
    </row>
    <row r="1270" spans="1:41" x14ac:dyDescent="0.3">
      <c r="A1270" t="s">
        <v>1337</v>
      </c>
      <c r="B1270">
        <v>48</v>
      </c>
      <c r="C1270" t="s">
        <v>1272</v>
      </c>
      <c r="D1270" t="s">
        <v>55</v>
      </c>
      <c r="E1270" t="s">
        <v>66</v>
      </c>
      <c r="F1270">
        <v>1262</v>
      </c>
      <c r="G1270" t="s">
        <v>735</v>
      </c>
      <c r="H1270">
        <v>1</v>
      </c>
      <c r="I1270">
        <v>4</v>
      </c>
      <c r="J1270" t="s">
        <v>58</v>
      </c>
      <c r="K1270">
        <v>1116</v>
      </c>
      <c r="L1270">
        <v>1</v>
      </c>
      <c r="M1270" t="s">
        <v>51</v>
      </c>
      <c r="N1270">
        <v>4</v>
      </c>
      <c r="O1270">
        <v>4</v>
      </c>
      <c r="P1270" t="s">
        <v>444</v>
      </c>
      <c r="Q1270">
        <v>4</v>
      </c>
      <c r="R1270" t="s">
        <v>53</v>
      </c>
      <c r="S1270">
        <v>2759</v>
      </c>
      <c r="T1270" t="s">
        <v>54</v>
      </c>
      <c r="U1270">
        <v>17.239999999999998</v>
      </c>
      <c r="V1270">
        <v>2</v>
      </c>
      <c r="W1270" t="s">
        <v>55</v>
      </c>
      <c r="X1270">
        <v>22</v>
      </c>
      <c r="Y1270">
        <v>4</v>
      </c>
      <c r="Z1270">
        <v>3</v>
      </c>
      <c r="AA1270">
        <v>0</v>
      </c>
      <c r="AB1270">
        <v>27</v>
      </c>
      <c r="AC1270">
        <v>3</v>
      </c>
      <c r="AD1270">
        <v>2</v>
      </c>
      <c r="AE1270">
        <v>5</v>
      </c>
      <c r="AF1270">
        <v>4</v>
      </c>
      <c r="AG1270">
        <v>2</v>
      </c>
      <c r="AH1270">
        <v>1</v>
      </c>
      <c r="AI1270">
        <f t="shared" si="133"/>
        <v>0</v>
      </c>
      <c r="AJ1270" t="str">
        <f t="shared" si="134"/>
        <v>4-5 yrs</v>
      </c>
      <c r="AK1270" t="str">
        <f t="shared" si="135"/>
        <v>Recent</v>
      </c>
      <c r="AL1270">
        <f t="shared" si="136"/>
        <v>1</v>
      </c>
      <c r="AM1270" t="str">
        <f t="shared" si="137"/>
        <v>Low Risk</v>
      </c>
      <c r="AN1270" s="6">
        <f t="shared" si="138"/>
        <v>-0.94714388640005653</v>
      </c>
      <c r="AO1270" s="7">
        <f t="shared" si="139"/>
        <v>33108</v>
      </c>
    </row>
    <row r="1271" spans="1:41" x14ac:dyDescent="0.3">
      <c r="A1271" t="s">
        <v>1338</v>
      </c>
      <c r="B1271">
        <v>48</v>
      </c>
      <c r="C1271" t="s">
        <v>1272</v>
      </c>
      <c r="D1271" t="s">
        <v>55</v>
      </c>
      <c r="E1271" t="s">
        <v>48</v>
      </c>
      <c r="F1271">
        <v>969</v>
      </c>
      <c r="G1271" t="s">
        <v>735</v>
      </c>
      <c r="H1271">
        <v>2</v>
      </c>
      <c r="I1271">
        <v>2</v>
      </c>
      <c r="J1271" t="s">
        <v>77</v>
      </c>
      <c r="K1271">
        <v>1258</v>
      </c>
      <c r="L1271">
        <v>4</v>
      </c>
      <c r="M1271" t="s">
        <v>51</v>
      </c>
      <c r="N1271">
        <v>4</v>
      </c>
      <c r="O1271">
        <v>1</v>
      </c>
      <c r="P1271" t="s">
        <v>52</v>
      </c>
      <c r="Q1271">
        <v>2</v>
      </c>
      <c r="R1271" t="s">
        <v>53</v>
      </c>
      <c r="S1271">
        <v>42949</v>
      </c>
      <c r="T1271" t="s">
        <v>72</v>
      </c>
      <c r="U1271">
        <v>268.43</v>
      </c>
      <c r="V1271">
        <v>5</v>
      </c>
      <c r="W1271" t="s">
        <v>55</v>
      </c>
      <c r="X1271">
        <v>11</v>
      </c>
      <c r="Y1271">
        <v>3</v>
      </c>
      <c r="Z1271">
        <v>3</v>
      </c>
      <c r="AA1271">
        <v>0</v>
      </c>
      <c r="AB1271">
        <v>7</v>
      </c>
      <c r="AC1271">
        <v>4</v>
      </c>
      <c r="AD1271">
        <v>2</v>
      </c>
      <c r="AE1271">
        <v>1</v>
      </c>
      <c r="AF1271">
        <v>0</v>
      </c>
      <c r="AG1271">
        <v>0</v>
      </c>
      <c r="AH1271">
        <v>0</v>
      </c>
      <c r="AI1271">
        <f t="shared" si="133"/>
        <v>0</v>
      </c>
      <c r="AJ1271" t="str">
        <f t="shared" si="134"/>
        <v>0-1 yr</v>
      </c>
      <c r="AK1271" t="str">
        <f t="shared" si="135"/>
        <v>Recent</v>
      </c>
      <c r="AL1271">
        <f t="shared" si="136"/>
        <v>2</v>
      </c>
      <c r="AM1271" t="str">
        <f t="shared" si="137"/>
        <v>Medium Risk</v>
      </c>
      <c r="AN1271" s="6">
        <f t="shared" si="138"/>
        <v>-0.16959584222771071</v>
      </c>
      <c r="AO1271" s="7">
        <f t="shared" si="139"/>
        <v>515388</v>
      </c>
    </row>
    <row r="1272" spans="1:41" x14ac:dyDescent="0.3">
      <c r="A1272" t="s">
        <v>1339</v>
      </c>
      <c r="B1272">
        <v>48</v>
      </c>
      <c r="C1272" t="s">
        <v>1272</v>
      </c>
      <c r="D1272" t="s">
        <v>55</v>
      </c>
      <c r="E1272" t="s">
        <v>48</v>
      </c>
      <c r="F1272">
        <v>715</v>
      </c>
      <c r="G1272" t="s">
        <v>735</v>
      </c>
      <c r="H1272">
        <v>1</v>
      </c>
      <c r="I1272">
        <v>3</v>
      </c>
      <c r="J1272" t="s">
        <v>50</v>
      </c>
      <c r="K1272">
        <v>1263</v>
      </c>
      <c r="L1272">
        <v>4</v>
      </c>
      <c r="M1272" t="s">
        <v>51</v>
      </c>
      <c r="N1272">
        <v>2</v>
      </c>
      <c r="O1272">
        <v>5</v>
      </c>
      <c r="P1272" t="s">
        <v>257</v>
      </c>
      <c r="Q1272">
        <v>4</v>
      </c>
      <c r="R1272" t="s">
        <v>53</v>
      </c>
      <c r="S1272">
        <v>93374</v>
      </c>
      <c r="T1272" t="s">
        <v>70</v>
      </c>
      <c r="U1272">
        <v>583.59</v>
      </c>
      <c r="V1272">
        <v>6</v>
      </c>
      <c r="W1272" t="s">
        <v>55</v>
      </c>
      <c r="X1272">
        <v>12</v>
      </c>
      <c r="Y1272">
        <v>3</v>
      </c>
      <c r="Z1272">
        <v>3</v>
      </c>
      <c r="AA1272">
        <v>0</v>
      </c>
      <c r="AB1272">
        <v>25</v>
      </c>
      <c r="AC1272">
        <v>3</v>
      </c>
      <c r="AD1272">
        <v>4</v>
      </c>
      <c r="AE1272">
        <v>1</v>
      </c>
      <c r="AF1272">
        <v>0</v>
      </c>
      <c r="AG1272">
        <v>0</v>
      </c>
      <c r="AH1272">
        <v>0</v>
      </c>
      <c r="AI1272">
        <f t="shared" si="133"/>
        <v>0</v>
      </c>
      <c r="AJ1272" t="str">
        <f t="shared" si="134"/>
        <v>0-1 yr</v>
      </c>
      <c r="AK1272" t="str">
        <f t="shared" si="135"/>
        <v>Recent</v>
      </c>
      <c r="AL1272">
        <f t="shared" si="136"/>
        <v>0</v>
      </c>
      <c r="AM1272" t="str">
        <f t="shared" si="137"/>
        <v>Minimal Risk</v>
      </c>
      <c r="AN1272" s="6">
        <f t="shared" si="138"/>
        <v>0.8430385443441798</v>
      </c>
      <c r="AO1272" s="7">
        <f t="shared" si="139"/>
        <v>1120488</v>
      </c>
    </row>
    <row r="1273" spans="1:41" x14ac:dyDescent="0.3">
      <c r="A1273" t="s">
        <v>1340</v>
      </c>
      <c r="B1273">
        <v>48</v>
      </c>
      <c r="C1273" t="s">
        <v>1272</v>
      </c>
      <c r="D1273" t="s">
        <v>55</v>
      </c>
      <c r="E1273" t="s">
        <v>48</v>
      </c>
      <c r="F1273">
        <v>855</v>
      </c>
      <c r="G1273" t="s">
        <v>735</v>
      </c>
      <c r="H1273">
        <v>4</v>
      </c>
      <c r="I1273">
        <v>3</v>
      </c>
      <c r="J1273" t="s">
        <v>50</v>
      </c>
      <c r="K1273">
        <v>1363</v>
      </c>
      <c r="L1273">
        <v>4</v>
      </c>
      <c r="M1273" t="s">
        <v>51</v>
      </c>
      <c r="N1273">
        <v>3</v>
      </c>
      <c r="O1273">
        <v>3</v>
      </c>
      <c r="P1273" t="s">
        <v>120</v>
      </c>
      <c r="Q1273">
        <v>4</v>
      </c>
      <c r="R1273" t="s">
        <v>53</v>
      </c>
      <c r="S1273">
        <v>3482</v>
      </c>
      <c r="T1273" t="s">
        <v>54</v>
      </c>
      <c r="U1273">
        <v>21.76</v>
      </c>
      <c r="V1273">
        <v>1</v>
      </c>
      <c r="W1273" t="s">
        <v>55</v>
      </c>
      <c r="X1273">
        <v>11</v>
      </c>
      <c r="Y1273">
        <v>3</v>
      </c>
      <c r="Z1273">
        <v>3</v>
      </c>
      <c r="AA1273">
        <v>0</v>
      </c>
      <c r="AB1273">
        <v>11</v>
      </c>
      <c r="AC1273">
        <v>2</v>
      </c>
      <c r="AD1273">
        <v>3</v>
      </c>
      <c r="AE1273">
        <v>10</v>
      </c>
      <c r="AF1273">
        <v>9</v>
      </c>
      <c r="AG1273">
        <v>0</v>
      </c>
      <c r="AH1273">
        <v>8</v>
      </c>
      <c r="AI1273">
        <f t="shared" si="133"/>
        <v>0</v>
      </c>
      <c r="AJ1273" t="str">
        <f t="shared" si="134"/>
        <v>6-10 yrs</v>
      </c>
      <c r="AK1273" t="str">
        <f t="shared" si="135"/>
        <v>Recent</v>
      </c>
      <c r="AL1273">
        <f t="shared" si="136"/>
        <v>0</v>
      </c>
      <c r="AM1273" t="str">
        <f t="shared" si="137"/>
        <v>Minimal Risk</v>
      </c>
      <c r="AN1273" s="6">
        <f t="shared" si="138"/>
        <v>-0.92139127175485713</v>
      </c>
      <c r="AO1273" s="7">
        <f t="shared" si="139"/>
        <v>41784</v>
      </c>
    </row>
    <row r="1274" spans="1:41" x14ac:dyDescent="0.3">
      <c r="A1274" t="s">
        <v>1341</v>
      </c>
      <c r="B1274">
        <v>48</v>
      </c>
      <c r="C1274" t="s">
        <v>1272</v>
      </c>
      <c r="D1274" t="s">
        <v>55</v>
      </c>
      <c r="E1274" t="s">
        <v>48</v>
      </c>
      <c r="F1274">
        <v>1221</v>
      </c>
      <c r="G1274" t="s">
        <v>932</v>
      </c>
      <c r="H1274">
        <v>7</v>
      </c>
      <c r="I1274">
        <v>3</v>
      </c>
      <c r="J1274" t="s">
        <v>63</v>
      </c>
      <c r="K1274">
        <v>1466</v>
      </c>
      <c r="L1274">
        <v>3</v>
      </c>
      <c r="M1274" t="s">
        <v>51</v>
      </c>
      <c r="N1274">
        <v>3</v>
      </c>
      <c r="O1274">
        <v>2</v>
      </c>
      <c r="P1274" t="s">
        <v>145</v>
      </c>
      <c r="Q1274">
        <v>1</v>
      </c>
      <c r="R1274" t="s">
        <v>113</v>
      </c>
      <c r="S1274">
        <v>25442</v>
      </c>
      <c r="T1274" t="s">
        <v>72</v>
      </c>
      <c r="U1274">
        <v>159.01</v>
      </c>
      <c r="V1274">
        <v>4</v>
      </c>
      <c r="W1274" t="s">
        <v>55</v>
      </c>
      <c r="X1274">
        <v>11</v>
      </c>
      <c r="Y1274">
        <v>3</v>
      </c>
      <c r="Z1274">
        <v>1</v>
      </c>
      <c r="AA1274">
        <v>3</v>
      </c>
      <c r="AB1274">
        <v>15</v>
      </c>
      <c r="AC1274">
        <v>3</v>
      </c>
      <c r="AD1274">
        <v>3</v>
      </c>
      <c r="AE1274">
        <v>2</v>
      </c>
      <c r="AF1274">
        <v>2</v>
      </c>
      <c r="AG1274">
        <v>2</v>
      </c>
      <c r="AH1274">
        <v>2</v>
      </c>
      <c r="AI1274">
        <f t="shared" si="133"/>
        <v>0</v>
      </c>
      <c r="AJ1274" t="str">
        <f t="shared" si="134"/>
        <v>2-3 yrs</v>
      </c>
      <c r="AK1274" t="str">
        <f t="shared" si="135"/>
        <v>Recent</v>
      </c>
      <c r="AL1274">
        <f t="shared" si="136"/>
        <v>1</v>
      </c>
      <c r="AM1274" t="str">
        <f t="shared" si="137"/>
        <v>Low Risk</v>
      </c>
      <c r="AN1274" s="6">
        <f t="shared" si="138"/>
        <v>-0.48138905452218556</v>
      </c>
      <c r="AO1274" s="7">
        <f t="shared" si="139"/>
        <v>305304</v>
      </c>
    </row>
    <row r="1275" spans="1:41" x14ac:dyDescent="0.3">
      <c r="A1275" t="s">
        <v>1342</v>
      </c>
      <c r="B1275">
        <v>48</v>
      </c>
      <c r="C1275" t="s">
        <v>1272</v>
      </c>
      <c r="D1275" t="s">
        <v>55</v>
      </c>
      <c r="E1275" t="s">
        <v>48</v>
      </c>
      <c r="F1275">
        <v>492</v>
      </c>
      <c r="G1275" t="s">
        <v>932</v>
      </c>
      <c r="H1275">
        <v>16</v>
      </c>
      <c r="I1275">
        <v>4</v>
      </c>
      <c r="J1275" t="s">
        <v>50</v>
      </c>
      <c r="K1275">
        <v>1557</v>
      </c>
      <c r="L1275">
        <v>3</v>
      </c>
      <c r="M1275" t="s">
        <v>59</v>
      </c>
      <c r="N1275">
        <v>3</v>
      </c>
      <c r="O1275">
        <v>2</v>
      </c>
      <c r="P1275" t="s">
        <v>145</v>
      </c>
      <c r="Q1275">
        <v>3</v>
      </c>
      <c r="R1275" t="s">
        <v>113</v>
      </c>
      <c r="S1275">
        <v>34719</v>
      </c>
      <c r="T1275" t="s">
        <v>72</v>
      </c>
      <c r="U1275">
        <v>216.99</v>
      </c>
      <c r="V1275">
        <v>8</v>
      </c>
      <c r="W1275" t="s">
        <v>55</v>
      </c>
      <c r="X1275">
        <v>14</v>
      </c>
      <c r="Y1275">
        <v>3</v>
      </c>
      <c r="Z1275">
        <v>3</v>
      </c>
      <c r="AA1275">
        <v>1</v>
      </c>
      <c r="AB1275">
        <v>18</v>
      </c>
      <c r="AC1275">
        <v>2</v>
      </c>
      <c r="AD1275">
        <v>3</v>
      </c>
      <c r="AE1275">
        <v>8</v>
      </c>
      <c r="AF1275">
        <v>7</v>
      </c>
      <c r="AG1275">
        <v>7</v>
      </c>
      <c r="AH1275">
        <v>7</v>
      </c>
      <c r="AI1275">
        <f t="shared" si="133"/>
        <v>0</v>
      </c>
      <c r="AJ1275" t="str">
        <f t="shared" si="134"/>
        <v>6-10 yrs</v>
      </c>
      <c r="AK1275" t="str">
        <f t="shared" si="135"/>
        <v>Overdue</v>
      </c>
      <c r="AL1275">
        <f t="shared" si="136"/>
        <v>1</v>
      </c>
      <c r="AM1275" t="str">
        <f t="shared" si="137"/>
        <v>Low Risk</v>
      </c>
      <c r="AN1275" s="6">
        <f t="shared" si="138"/>
        <v>-0.29228624258925245</v>
      </c>
      <c r="AO1275" s="7">
        <f t="shared" si="139"/>
        <v>416628</v>
      </c>
    </row>
    <row r="1276" spans="1:41" x14ac:dyDescent="0.3">
      <c r="A1276" t="s">
        <v>1343</v>
      </c>
      <c r="B1276">
        <v>48</v>
      </c>
      <c r="C1276" t="s">
        <v>1272</v>
      </c>
      <c r="D1276" t="s">
        <v>55</v>
      </c>
      <c r="E1276" t="s">
        <v>48</v>
      </c>
      <c r="F1276">
        <v>1108</v>
      </c>
      <c r="G1276" t="s">
        <v>735</v>
      </c>
      <c r="H1276">
        <v>15</v>
      </c>
      <c r="I1276">
        <v>4</v>
      </c>
      <c r="J1276" t="s">
        <v>82</v>
      </c>
      <c r="K1276">
        <v>1576</v>
      </c>
      <c r="L1276">
        <v>3</v>
      </c>
      <c r="M1276" t="s">
        <v>59</v>
      </c>
      <c r="N1276">
        <v>3</v>
      </c>
      <c r="O1276">
        <v>1</v>
      </c>
      <c r="P1276" t="s">
        <v>67</v>
      </c>
      <c r="Q1276">
        <v>1</v>
      </c>
      <c r="R1276" t="s">
        <v>113</v>
      </c>
      <c r="S1276">
        <v>59066</v>
      </c>
      <c r="T1276" t="s">
        <v>64</v>
      </c>
      <c r="U1276">
        <v>369.16</v>
      </c>
      <c r="V1276">
        <v>8</v>
      </c>
      <c r="W1276" t="s">
        <v>55</v>
      </c>
      <c r="X1276">
        <v>12</v>
      </c>
      <c r="Y1276">
        <v>3</v>
      </c>
      <c r="Z1276">
        <v>4</v>
      </c>
      <c r="AA1276">
        <v>1</v>
      </c>
      <c r="AB1276">
        <v>10</v>
      </c>
      <c r="AC1276">
        <v>3</v>
      </c>
      <c r="AD1276">
        <v>2</v>
      </c>
      <c r="AE1276">
        <v>8</v>
      </c>
      <c r="AF1276">
        <v>2</v>
      </c>
      <c r="AG1276">
        <v>7</v>
      </c>
      <c r="AH1276">
        <v>6</v>
      </c>
      <c r="AI1276">
        <f t="shared" si="133"/>
        <v>0</v>
      </c>
      <c r="AJ1276" t="str">
        <f t="shared" si="134"/>
        <v>6-10 yrs</v>
      </c>
      <c r="AK1276" t="str">
        <f t="shared" si="135"/>
        <v>Overdue</v>
      </c>
      <c r="AL1276">
        <f t="shared" si="136"/>
        <v>3</v>
      </c>
      <c r="AM1276" t="str">
        <f t="shared" si="137"/>
        <v>High Risk</v>
      </c>
      <c r="AN1276" s="6">
        <f t="shared" si="138"/>
        <v>0.18449201301396337</v>
      </c>
      <c r="AO1276" s="7">
        <f t="shared" si="139"/>
        <v>708792</v>
      </c>
    </row>
    <row r="1277" spans="1:41" x14ac:dyDescent="0.3">
      <c r="A1277" t="s">
        <v>1344</v>
      </c>
      <c r="B1277">
        <v>48</v>
      </c>
      <c r="C1277" t="s">
        <v>1272</v>
      </c>
      <c r="D1277" t="s">
        <v>55</v>
      </c>
      <c r="E1277" t="s">
        <v>62</v>
      </c>
      <c r="F1277">
        <v>365</v>
      </c>
      <c r="G1277" t="s">
        <v>735</v>
      </c>
      <c r="H1277">
        <v>4</v>
      </c>
      <c r="I1277">
        <v>5</v>
      </c>
      <c r="J1277" t="s">
        <v>58</v>
      </c>
      <c r="K1277">
        <v>1644</v>
      </c>
      <c r="L1277">
        <v>3</v>
      </c>
      <c r="M1277" t="s">
        <v>51</v>
      </c>
      <c r="N1277">
        <v>2</v>
      </c>
      <c r="O1277">
        <v>4</v>
      </c>
      <c r="P1277" t="s">
        <v>444</v>
      </c>
      <c r="Q1277">
        <v>4</v>
      </c>
      <c r="R1277" t="s">
        <v>113</v>
      </c>
      <c r="S1277">
        <v>94501</v>
      </c>
      <c r="T1277" t="s">
        <v>70</v>
      </c>
      <c r="U1277">
        <v>590.63</v>
      </c>
      <c r="V1277">
        <v>2</v>
      </c>
      <c r="W1277" t="s">
        <v>55</v>
      </c>
      <c r="X1277">
        <v>25</v>
      </c>
      <c r="Y1277">
        <v>4</v>
      </c>
      <c r="Z1277">
        <v>2</v>
      </c>
      <c r="AA1277">
        <v>1</v>
      </c>
      <c r="AB1277">
        <v>23</v>
      </c>
      <c r="AC1277">
        <v>3</v>
      </c>
      <c r="AD1277">
        <v>3</v>
      </c>
      <c r="AE1277">
        <v>2</v>
      </c>
      <c r="AF1277">
        <v>2</v>
      </c>
      <c r="AG1277">
        <v>2</v>
      </c>
      <c r="AH1277">
        <v>2</v>
      </c>
      <c r="AI1277">
        <f t="shared" si="133"/>
        <v>0</v>
      </c>
      <c r="AJ1277" t="str">
        <f t="shared" si="134"/>
        <v>2-3 yrs</v>
      </c>
      <c r="AK1277" t="str">
        <f t="shared" si="135"/>
        <v>Recent</v>
      </c>
      <c r="AL1277">
        <f t="shared" si="136"/>
        <v>0</v>
      </c>
      <c r="AM1277" t="str">
        <f t="shared" si="137"/>
        <v>Minimal Risk</v>
      </c>
      <c r="AN1277" s="6">
        <f t="shared" si="138"/>
        <v>0.81042246875979018</v>
      </c>
      <c r="AO1277" s="7">
        <f t="shared" si="139"/>
        <v>1134012</v>
      </c>
    </row>
    <row r="1278" spans="1:41" x14ac:dyDescent="0.3">
      <c r="A1278" t="s">
        <v>1345</v>
      </c>
      <c r="B1278">
        <v>48</v>
      </c>
      <c r="C1278" t="s">
        <v>1272</v>
      </c>
      <c r="D1278" t="s">
        <v>47</v>
      </c>
      <c r="E1278" t="s">
        <v>62</v>
      </c>
      <c r="F1278">
        <v>708</v>
      </c>
      <c r="G1278" t="s">
        <v>932</v>
      </c>
      <c r="H1278">
        <v>7</v>
      </c>
      <c r="I1278">
        <v>2</v>
      </c>
      <c r="J1278" t="s">
        <v>58</v>
      </c>
      <c r="K1278">
        <v>1691</v>
      </c>
      <c r="L1278">
        <v>4</v>
      </c>
      <c r="M1278" t="s">
        <v>59</v>
      </c>
      <c r="N1278">
        <v>3</v>
      </c>
      <c r="O1278">
        <v>1</v>
      </c>
      <c r="P1278" t="s">
        <v>60</v>
      </c>
      <c r="Q1278">
        <v>3</v>
      </c>
      <c r="R1278" t="s">
        <v>113</v>
      </c>
      <c r="S1278">
        <v>3079</v>
      </c>
      <c r="T1278" t="s">
        <v>54</v>
      </c>
      <c r="U1278">
        <v>19.239999999999998</v>
      </c>
      <c r="V1278">
        <v>2</v>
      </c>
      <c r="W1278" t="s">
        <v>47</v>
      </c>
      <c r="X1278">
        <v>11</v>
      </c>
      <c r="Y1278">
        <v>3</v>
      </c>
      <c r="Z1278">
        <v>3</v>
      </c>
      <c r="AA1278">
        <v>2</v>
      </c>
      <c r="AB1278">
        <v>19</v>
      </c>
      <c r="AC1278">
        <v>3</v>
      </c>
      <c r="AD1278">
        <v>3</v>
      </c>
      <c r="AE1278">
        <v>9</v>
      </c>
      <c r="AF1278">
        <v>7</v>
      </c>
      <c r="AG1278">
        <v>7</v>
      </c>
      <c r="AH1278">
        <v>7</v>
      </c>
      <c r="AI1278">
        <f t="shared" si="133"/>
        <v>1</v>
      </c>
      <c r="AJ1278" t="str">
        <f t="shared" si="134"/>
        <v>6-10 yrs</v>
      </c>
      <c r="AK1278" t="str">
        <f t="shared" si="135"/>
        <v>Overdue</v>
      </c>
      <c r="AL1278">
        <f t="shared" si="136"/>
        <v>2</v>
      </c>
      <c r="AM1278" t="str">
        <f t="shared" si="137"/>
        <v>Medium Risk</v>
      </c>
      <c r="AN1278" s="6">
        <f t="shared" si="138"/>
        <v>-0.93757956833566991</v>
      </c>
      <c r="AO1278" s="7">
        <f t="shared" si="139"/>
        <v>36948</v>
      </c>
    </row>
    <row r="1279" spans="1:41" x14ac:dyDescent="0.3">
      <c r="A1279" t="s">
        <v>1346</v>
      </c>
      <c r="B1279">
        <v>48</v>
      </c>
      <c r="C1279" t="s">
        <v>1272</v>
      </c>
      <c r="D1279" t="s">
        <v>55</v>
      </c>
      <c r="E1279" t="s">
        <v>48</v>
      </c>
      <c r="F1279">
        <v>1224</v>
      </c>
      <c r="G1279" t="s">
        <v>735</v>
      </c>
      <c r="H1279">
        <v>10</v>
      </c>
      <c r="I1279">
        <v>3</v>
      </c>
      <c r="J1279" t="s">
        <v>50</v>
      </c>
      <c r="K1279">
        <v>1867</v>
      </c>
      <c r="L1279">
        <v>4</v>
      </c>
      <c r="M1279" t="s">
        <v>51</v>
      </c>
      <c r="N1279">
        <v>2</v>
      </c>
      <c r="O1279">
        <v>5</v>
      </c>
      <c r="P1279" t="s">
        <v>257</v>
      </c>
      <c r="Q1279">
        <v>2</v>
      </c>
      <c r="R1279" t="s">
        <v>113</v>
      </c>
      <c r="S1279">
        <v>3717</v>
      </c>
      <c r="T1279" t="s">
        <v>54</v>
      </c>
      <c r="U1279">
        <v>23.23</v>
      </c>
      <c r="V1279">
        <v>4</v>
      </c>
      <c r="W1279" t="s">
        <v>55</v>
      </c>
      <c r="X1279">
        <v>12</v>
      </c>
      <c r="Y1279">
        <v>3</v>
      </c>
      <c r="Z1279">
        <v>4</v>
      </c>
      <c r="AA1279">
        <v>0</v>
      </c>
      <c r="AB1279">
        <v>29</v>
      </c>
      <c r="AC1279">
        <v>3</v>
      </c>
      <c r="AD1279">
        <v>3</v>
      </c>
      <c r="AE1279">
        <v>22</v>
      </c>
      <c r="AF1279">
        <v>10</v>
      </c>
      <c r="AG1279">
        <v>12</v>
      </c>
      <c r="AH1279">
        <v>9</v>
      </c>
      <c r="AI1279">
        <f t="shared" si="133"/>
        <v>0</v>
      </c>
      <c r="AJ1279" t="str">
        <f t="shared" si="134"/>
        <v>10+ yrs</v>
      </c>
      <c r="AK1279" t="str">
        <f t="shared" si="135"/>
        <v>Overdue</v>
      </c>
      <c r="AL1279">
        <f t="shared" si="136"/>
        <v>2</v>
      </c>
      <c r="AM1279" t="str">
        <f t="shared" si="137"/>
        <v>Medium Risk</v>
      </c>
      <c r="AN1279" s="6">
        <f t="shared" si="138"/>
        <v>-0.9266329570402112</v>
      </c>
      <c r="AO1279" s="7">
        <f t="shared" si="139"/>
        <v>44604</v>
      </c>
    </row>
    <row r="1280" spans="1:41" x14ac:dyDescent="0.3">
      <c r="A1280" t="s">
        <v>1347</v>
      </c>
      <c r="B1280">
        <v>48</v>
      </c>
      <c r="C1280" t="s">
        <v>1272</v>
      </c>
      <c r="D1280" t="s">
        <v>55</v>
      </c>
      <c r="E1280" t="s">
        <v>62</v>
      </c>
      <c r="F1280">
        <v>117</v>
      </c>
      <c r="G1280" t="s">
        <v>735</v>
      </c>
      <c r="H1280">
        <v>22</v>
      </c>
      <c r="I1280">
        <v>3</v>
      </c>
      <c r="J1280" t="s">
        <v>58</v>
      </c>
      <c r="K1280">
        <v>1900</v>
      </c>
      <c r="L1280">
        <v>4</v>
      </c>
      <c r="M1280" t="s">
        <v>59</v>
      </c>
      <c r="N1280">
        <v>3</v>
      </c>
      <c r="O1280">
        <v>4</v>
      </c>
      <c r="P1280" t="s">
        <v>444</v>
      </c>
      <c r="Q1280">
        <v>4</v>
      </c>
      <c r="R1280" t="s">
        <v>53</v>
      </c>
      <c r="S1280">
        <v>60676</v>
      </c>
      <c r="T1280" t="s">
        <v>64</v>
      </c>
      <c r="U1280">
        <v>379.22</v>
      </c>
      <c r="V1280">
        <v>3</v>
      </c>
      <c r="W1280" t="s">
        <v>55</v>
      </c>
      <c r="X1280">
        <v>11</v>
      </c>
      <c r="Y1280">
        <v>3</v>
      </c>
      <c r="Z1280">
        <v>2</v>
      </c>
      <c r="AA1280">
        <v>1</v>
      </c>
      <c r="AB1280">
        <v>24</v>
      </c>
      <c r="AC1280">
        <v>3</v>
      </c>
      <c r="AD1280">
        <v>3</v>
      </c>
      <c r="AE1280">
        <v>22</v>
      </c>
      <c r="AF1280">
        <v>17</v>
      </c>
      <c r="AG1280">
        <v>4</v>
      </c>
      <c r="AH1280">
        <v>7</v>
      </c>
      <c r="AI1280">
        <f t="shared" si="133"/>
        <v>0</v>
      </c>
      <c r="AJ1280" t="str">
        <f t="shared" si="134"/>
        <v>10+ yrs</v>
      </c>
      <c r="AK1280" t="str">
        <f t="shared" si="135"/>
        <v>Overdue</v>
      </c>
      <c r="AL1280">
        <f t="shared" si="136"/>
        <v>1</v>
      </c>
      <c r="AM1280" t="str">
        <f t="shared" si="137"/>
        <v>Low Risk</v>
      </c>
      <c r="AN1280" s="6">
        <f t="shared" si="138"/>
        <v>0.16241302964486121</v>
      </c>
      <c r="AO1280" s="7">
        <f t="shared" si="139"/>
        <v>728112</v>
      </c>
    </row>
    <row r="1281" spans="1:41" x14ac:dyDescent="0.3">
      <c r="A1281" t="s">
        <v>1348</v>
      </c>
      <c r="B1281">
        <v>49</v>
      </c>
      <c r="C1281" t="s">
        <v>1272</v>
      </c>
      <c r="D1281" t="s">
        <v>55</v>
      </c>
      <c r="E1281" t="s">
        <v>62</v>
      </c>
      <c r="F1281">
        <v>279</v>
      </c>
      <c r="G1281" t="s">
        <v>735</v>
      </c>
      <c r="H1281">
        <v>8</v>
      </c>
      <c r="I1281">
        <v>1</v>
      </c>
      <c r="J1281" t="s">
        <v>50</v>
      </c>
      <c r="K1281">
        <v>2</v>
      </c>
      <c r="L1281">
        <v>3</v>
      </c>
      <c r="M1281" t="s">
        <v>51</v>
      </c>
      <c r="N1281">
        <v>2</v>
      </c>
      <c r="O1281">
        <v>2</v>
      </c>
      <c r="P1281" t="s">
        <v>67</v>
      </c>
      <c r="Q1281">
        <v>2</v>
      </c>
      <c r="R1281" t="s">
        <v>113</v>
      </c>
      <c r="S1281">
        <v>28952</v>
      </c>
      <c r="T1281" t="s">
        <v>72</v>
      </c>
      <c r="U1281">
        <v>180.95</v>
      </c>
      <c r="V1281">
        <v>1</v>
      </c>
      <c r="W1281" t="s">
        <v>55</v>
      </c>
      <c r="X1281">
        <v>23</v>
      </c>
      <c r="Y1281">
        <v>4</v>
      </c>
      <c r="Z1281">
        <v>4</v>
      </c>
      <c r="AA1281">
        <v>1</v>
      </c>
      <c r="AB1281">
        <v>10</v>
      </c>
      <c r="AC1281">
        <v>3</v>
      </c>
      <c r="AD1281">
        <v>3</v>
      </c>
      <c r="AE1281">
        <v>10</v>
      </c>
      <c r="AF1281">
        <v>7</v>
      </c>
      <c r="AG1281">
        <v>1</v>
      </c>
      <c r="AH1281">
        <v>7</v>
      </c>
      <c r="AI1281">
        <f t="shared" si="133"/>
        <v>0</v>
      </c>
      <c r="AJ1281" t="str">
        <f t="shared" si="134"/>
        <v>6-10 yrs</v>
      </c>
      <c r="AK1281" t="str">
        <f t="shared" si="135"/>
        <v>Recent</v>
      </c>
      <c r="AL1281">
        <f t="shared" si="136"/>
        <v>1</v>
      </c>
      <c r="AM1281" t="str">
        <f t="shared" si="137"/>
        <v>Low Risk</v>
      </c>
      <c r="AN1281" s="6">
        <f t="shared" si="138"/>
        <v>-0.4194051948535491</v>
      </c>
      <c r="AO1281" s="7">
        <f t="shared" si="139"/>
        <v>347424</v>
      </c>
    </row>
    <row r="1282" spans="1:41" x14ac:dyDescent="0.3">
      <c r="A1282" t="s">
        <v>1349</v>
      </c>
      <c r="B1282">
        <v>49</v>
      </c>
      <c r="C1282" t="s">
        <v>1272</v>
      </c>
      <c r="D1282" t="s">
        <v>55</v>
      </c>
      <c r="E1282" t="s">
        <v>48</v>
      </c>
      <c r="F1282">
        <v>470</v>
      </c>
      <c r="G1282" t="s">
        <v>735</v>
      </c>
      <c r="H1282">
        <v>20</v>
      </c>
      <c r="I1282">
        <v>4</v>
      </c>
      <c r="J1282" t="s">
        <v>58</v>
      </c>
      <c r="K1282">
        <v>170</v>
      </c>
      <c r="L1282">
        <v>3</v>
      </c>
      <c r="M1282" t="s">
        <v>59</v>
      </c>
      <c r="N1282">
        <v>3</v>
      </c>
      <c r="O1282">
        <v>2</v>
      </c>
      <c r="P1282" t="s">
        <v>120</v>
      </c>
      <c r="Q1282">
        <v>1</v>
      </c>
      <c r="R1282" t="s">
        <v>113</v>
      </c>
      <c r="S1282">
        <v>87444</v>
      </c>
      <c r="T1282" t="s">
        <v>70</v>
      </c>
      <c r="U1282">
        <v>546.52</v>
      </c>
      <c r="V1282">
        <v>1</v>
      </c>
      <c r="W1282" t="s">
        <v>55</v>
      </c>
      <c r="X1282">
        <v>14</v>
      </c>
      <c r="Y1282">
        <v>3</v>
      </c>
      <c r="Z1282">
        <v>3</v>
      </c>
      <c r="AA1282">
        <v>0</v>
      </c>
      <c r="AB1282">
        <v>16</v>
      </c>
      <c r="AC1282">
        <v>2</v>
      </c>
      <c r="AD1282">
        <v>2</v>
      </c>
      <c r="AE1282">
        <v>15</v>
      </c>
      <c r="AF1282">
        <v>11</v>
      </c>
      <c r="AG1282">
        <v>5</v>
      </c>
      <c r="AH1282">
        <v>11</v>
      </c>
      <c r="AI1282">
        <f t="shared" ref="AI1282:AI1345" si="140">IF(D1282="Yes",1,0)</f>
        <v>0</v>
      </c>
      <c r="AJ1282" t="str">
        <f t="shared" ref="AJ1282:AJ1345" si="141">IF(AE1282&lt;=1,"0-1 yr",IF(AE1282&lt;=3,"2-3 yrs",IF(AE1282&lt;=5,"4-5 yrs",IF(AE1282&lt;=10,"6-10 yrs","10+ yrs"))))</f>
        <v>10+ yrs</v>
      </c>
      <c r="AK1282" t="str">
        <f t="shared" ref="AK1282:AK1345" si="142">IF(AG1282&gt;=3,"Overdue","Recent")</f>
        <v>Overdue</v>
      </c>
      <c r="AL1282">
        <f t="shared" ref="AL1282:AL1345" si="143">IF(W1282="Yes",1,0)+IF(AD1282&lt;=2,1,0)+IF(Q1282&lt;=2,1,0)+IF(AG1282&gt;=3,1,0)</f>
        <v>3</v>
      </c>
      <c r="AM1282" t="str">
        <f t="shared" ref="AM1282:AM1345" si="144">IF(AL1282&gt;=3,"High Risk",IF(AL1282=2,"Medium Risk",IF(AL1282=1,"Low Risk","Minimal Risk")))</f>
        <v>High Risk</v>
      </c>
      <c r="AN1282" s="6">
        <f t="shared" ref="AN1282:AN1345" si="145">IFERROR((S1282-AVERAGEIF(P$2:P$1479,P1282,S$2:S$1479))/AVERAGEIF(P$2:P$1479,P1282,S$2:S$1479),0)</f>
        <v>0.97411304786567243</v>
      </c>
      <c r="AO1282" s="7">
        <f t="shared" ref="AO1282:AO1345" si="146">S1282*12</f>
        <v>1049328</v>
      </c>
    </row>
    <row r="1283" spans="1:41" x14ac:dyDescent="0.3">
      <c r="A1283" t="s">
        <v>1350</v>
      </c>
      <c r="B1283">
        <v>49</v>
      </c>
      <c r="C1283" t="s">
        <v>1272</v>
      </c>
      <c r="D1283" t="s">
        <v>55</v>
      </c>
      <c r="E1283" t="s">
        <v>66</v>
      </c>
      <c r="F1283">
        <v>1002</v>
      </c>
      <c r="G1283" t="s">
        <v>735</v>
      </c>
      <c r="H1283">
        <v>18</v>
      </c>
      <c r="I1283">
        <v>4</v>
      </c>
      <c r="J1283" t="s">
        <v>50</v>
      </c>
      <c r="K1283">
        <v>275</v>
      </c>
      <c r="L1283">
        <v>4</v>
      </c>
      <c r="M1283" t="s">
        <v>51</v>
      </c>
      <c r="N1283">
        <v>3</v>
      </c>
      <c r="O1283">
        <v>2</v>
      </c>
      <c r="P1283" t="s">
        <v>120</v>
      </c>
      <c r="Q1283">
        <v>4</v>
      </c>
      <c r="R1283" t="s">
        <v>53</v>
      </c>
      <c r="S1283">
        <v>43460</v>
      </c>
      <c r="T1283" t="s">
        <v>72</v>
      </c>
      <c r="U1283">
        <v>271.62</v>
      </c>
      <c r="V1283">
        <v>1</v>
      </c>
      <c r="W1283" t="s">
        <v>47</v>
      </c>
      <c r="X1283">
        <v>15</v>
      </c>
      <c r="Y1283">
        <v>3</v>
      </c>
      <c r="Z1283">
        <v>1</v>
      </c>
      <c r="AA1283">
        <v>2</v>
      </c>
      <c r="AB1283">
        <v>7</v>
      </c>
      <c r="AC1283">
        <v>0</v>
      </c>
      <c r="AD1283">
        <v>3</v>
      </c>
      <c r="AE1283">
        <v>7</v>
      </c>
      <c r="AF1283">
        <v>7</v>
      </c>
      <c r="AG1283">
        <v>1</v>
      </c>
      <c r="AH1283">
        <v>7</v>
      </c>
      <c r="AI1283">
        <f t="shared" si="140"/>
        <v>0</v>
      </c>
      <c r="AJ1283" t="str">
        <f t="shared" si="141"/>
        <v>6-10 yrs</v>
      </c>
      <c r="AK1283" t="str">
        <f t="shared" si="142"/>
        <v>Recent</v>
      </c>
      <c r="AL1283">
        <f t="shared" si="143"/>
        <v>1</v>
      </c>
      <c r="AM1283" t="str">
        <f t="shared" si="144"/>
        <v>Low Risk</v>
      </c>
      <c r="AN1283" s="6">
        <f t="shared" si="145"/>
        <v>-1.8858320064931593E-2</v>
      </c>
      <c r="AO1283" s="7">
        <f t="shared" si="146"/>
        <v>521520</v>
      </c>
    </row>
    <row r="1284" spans="1:41" x14ac:dyDescent="0.3">
      <c r="A1284" t="s">
        <v>1351</v>
      </c>
      <c r="B1284">
        <v>49</v>
      </c>
      <c r="C1284" t="s">
        <v>1272</v>
      </c>
      <c r="D1284" t="s">
        <v>55</v>
      </c>
      <c r="E1284" t="s">
        <v>62</v>
      </c>
      <c r="F1284">
        <v>636</v>
      </c>
      <c r="G1284" t="s">
        <v>735</v>
      </c>
      <c r="H1284">
        <v>10</v>
      </c>
      <c r="I1284">
        <v>4</v>
      </c>
      <c r="J1284" t="s">
        <v>50</v>
      </c>
      <c r="K1284">
        <v>396</v>
      </c>
      <c r="L1284">
        <v>3</v>
      </c>
      <c r="M1284" t="s">
        <v>59</v>
      </c>
      <c r="N1284">
        <v>3</v>
      </c>
      <c r="O1284">
        <v>5</v>
      </c>
      <c r="P1284" t="s">
        <v>257</v>
      </c>
      <c r="Q1284">
        <v>1</v>
      </c>
      <c r="R1284" t="s">
        <v>53</v>
      </c>
      <c r="S1284">
        <v>91397</v>
      </c>
      <c r="T1284" t="s">
        <v>70</v>
      </c>
      <c r="U1284">
        <v>571.23</v>
      </c>
      <c r="V1284">
        <v>9</v>
      </c>
      <c r="W1284" t="s">
        <v>47</v>
      </c>
      <c r="X1284">
        <v>11</v>
      </c>
      <c r="Y1284">
        <v>3</v>
      </c>
      <c r="Z1284">
        <v>4</v>
      </c>
      <c r="AA1284">
        <v>0</v>
      </c>
      <c r="AB1284">
        <v>22</v>
      </c>
      <c r="AC1284">
        <v>4</v>
      </c>
      <c r="AD1284">
        <v>3</v>
      </c>
      <c r="AE1284">
        <v>3</v>
      </c>
      <c r="AF1284">
        <v>2</v>
      </c>
      <c r="AG1284">
        <v>1</v>
      </c>
      <c r="AH1284">
        <v>2</v>
      </c>
      <c r="AI1284">
        <f t="shared" si="140"/>
        <v>0</v>
      </c>
      <c r="AJ1284" t="str">
        <f t="shared" si="141"/>
        <v>2-3 yrs</v>
      </c>
      <c r="AK1284" t="str">
        <f t="shared" si="142"/>
        <v>Recent</v>
      </c>
      <c r="AL1284">
        <f t="shared" si="143"/>
        <v>2</v>
      </c>
      <c r="AM1284" t="str">
        <f t="shared" si="144"/>
        <v>Medium Risk</v>
      </c>
      <c r="AN1284" s="6">
        <f t="shared" si="145"/>
        <v>0.80401604126871506</v>
      </c>
      <c r="AO1284" s="7">
        <f t="shared" si="146"/>
        <v>1096764</v>
      </c>
    </row>
    <row r="1285" spans="1:41" x14ac:dyDescent="0.3">
      <c r="A1285" t="s">
        <v>1352</v>
      </c>
      <c r="B1285">
        <v>49</v>
      </c>
      <c r="C1285" t="s">
        <v>1272</v>
      </c>
      <c r="D1285" t="s">
        <v>55</v>
      </c>
      <c r="E1285" t="s">
        <v>48</v>
      </c>
      <c r="F1285">
        <v>1091</v>
      </c>
      <c r="G1285" t="s">
        <v>735</v>
      </c>
      <c r="H1285">
        <v>1</v>
      </c>
      <c r="I1285">
        <v>2</v>
      </c>
      <c r="J1285" t="s">
        <v>77</v>
      </c>
      <c r="K1285">
        <v>431</v>
      </c>
      <c r="L1285">
        <v>3</v>
      </c>
      <c r="M1285" t="s">
        <v>59</v>
      </c>
      <c r="N1285">
        <v>2</v>
      </c>
      <c r="O1285">
        <v>4</v>
      </c>
      <c r="P1285" t="s">
        <v>168</v>
      </c>
      <c r="Q1285">
        <v>3</v>
      </c>
      <c r="R1285" t="s">
        <v>53</v>
      </c>
      <c r="S1285">
        <v>73847</v>
      </c>
      <c r="T1285" t="s">
        <v>64</v>
      </c>
      <c r="U1285">
        <v>461.54</v>
      </c>
      <c r="V1285">
        <v>7</v>
      </c>
      <c r="W1285" t="s">
        <v>47</v>
      </c>
      <c r="X1285">
        <v>12</v>
      </c>
      <c r="Y1285">
        <v>3</v>
      </c>
      <c r="Z1285">
        <v>4</v>
      </c>
      <c r="AA1285">
        <v>0</v>
      </c>
      <c r="AB1285">
        <v>25</v>
      </c>
      <c r="AC1285">
        <v>2</v>
      </c>
      <c r="AD1285">
        <v>3</v>
      </c>
      <c r="AE1285">
        <v>7</v>
      </c>
      <c r="AF1285">
        <v>1</v>
      </c>
      <c r="AG1285">
        <v>0</v>
      </c>
      <c r="AH1285">
        <v>7</v>
      </c>
      <c r="AI1285">
        <f t="shared" si="140"/>
        <v>0</v>
      </c>
      <c r="AJ1285" t="str">
        <f t="shared" si="141"/>
        <v>6-10 yrs</v>
      </c>
      <c r="AK1285" t="str">
        <f t="shared" si="142"/>
        <v>Recent</v>
      </c>
      <c r="AL1285">
        <f t="shared" si="143"/>
        <v>1</v>
      </c>
      <c r="AM1285" t="str">
        <f t="shared" si="144"/>
        <v>Low Risk</v>
      </c>
      <c r="AN1285" s="6">
        <f t="shared" si="145"/>
        <v>0.53244062088674393</v>
      </c>
      <c r="AO1285" s="7">
        <f t="shared" si="146"/>
        <v>886164</v>
      </c>
    </row>
    <row r="1286" spans="1:41" x14ac:dyDescent="0.3">
      <c r="A1286" t="s">
        <v>1353</v>
      </c>
      <c r="B1286">
        <v>49</v>
      </c>
      <c r="C1286" t="s">
        <v>1272</v>
      </c>
      <c r="D1286" t="s">
        <v>55</v>
      </c>
      <c r="E1286" t="s">
        <v>48</v>
      </c>
      <c r="F1286">
        <v>1261</v>
      </c>
      <c r="G1286" t="s">
        <v>735</v>
      </c>
      <c r="H1286">
        <v>7</v>
      </c>
      <c r="I1286">
        <v>3</v>
      </c>
      <c r="J1286" t="s">
        <v>82</v>
      </c>
      <c r="K1286">
        <v>499</v>
      </c>
      <c r="L1286">
        <v>2</v>
      </c>
      <c r="M1286" t="s">
        <v>51</v>
      </c>
      <c r="N1286">
        <v>2</v>
      </c>
      <c r="O1286">
        <v>3</v>
      </c>
      <c r="P1286" t="s">
        <v>168</v>
      </c>
      <c r="Q1286">
        <v>3</v>
      </c>
      <c r="R1286" t="s">
        <v>53</v>
      </c>
      <c r="S1286">
        <v>94607</v>
      </c>
      <c r="T1286" t="s">
        <v>70</v>
      </c>
      <c r="U1286">
        <v>591.29</v>
      </c>
      <c r="V1286">
        <v>8</v>
      </c>
      <c r="W1286" t="s">
        <v>55</v>
      </c>
      <c r="X1286">
        <v>24</v>
      </c>
      <c r="Y1286">
        <v>4</v>
      </c>
      <c r="Z1286">
        <v>3</v>
      </c>
      <c r="AA1286">
        <v>0</v>
      </c>
      <c r="AB1286">
        <v>26</v>
      </c>
      <c r="AC1286">
        <v>2</v>
      </c>
      <c r="AD1286">
        <v>3</v>
      </c>
      <c r="AE1286">
        <v>5</v>
      </c>
      <c r="AF1286">
        <v>2</v>
      </c>
      <c r="AG1286">
        <v>0</v>
      </c>
      <c r="AH1286">
        <v>0</v>
      </c>
      <c r="AI1286">
        <f t="shared" si="140"/>
        <v>0</v>
      </c>
      <c r="AJ1286" t="str">
        <f t="shared" si="141"/>
        <v>4-5 yrs</v>
      </c>
      <c r="AK1286" t="str">
        <f t="shared" si="142"/>
        <v>Recent</v>
      </c>
      <c r="AL1286">
        <f t="shared" si="143"/>
        <v>0</v>
      </c>
      <c r="AM1286" t="str">
        <f t="shared" si="144"/>
        <v>Minimal Risk</v>
      </c>
      <c r="AN1286" s="6">
        <f t="shared" si="145"/>
        <v>0.9632430541556487</v>
      </c>
      <c r="AO1286" s="7">
        <f t="shared" si="146"/>
        <v>1135284</v>
      </c>
    </row>
    <row r="1287" spans="1:41" x14ac:dyDescent="0.3">
      <c r="A1287" t="s">
        <v>1354</v>
      </c>
      <c r="B1287">
        <v>49</v>
      </c>
      <c r="C1287" t="s">
        <v>1272</v>
      </c>
      <c r="D1287" t="s">
        <v>55</v>
      </c>
      <c r="E1287" t="s">
        <v>48</v>
      </c>
      <c r="F1287">
        <v>1245</v>
      </c>
      <c r="G1287" t="s">
        <v>735</v>
      </c>
      <c r="H1287">
        <v>18</v>
      </c>
      <c r="I1287">
        <v>4</v>
      </c>
      <c r="J1287" t="s">
        <v>50</v>
      </c>
      <c r="K1287">
        <v>638</v>
      </c>
      <c r="L1287">
        <v>4</v>
      </c>
      <c r="M1287" t="s">
        <v>51</v>
      </c>
      <c r="N1287">
        <v>2</v>
      </c>
      <c r="O1287">
        <v>5</v>
      </c>
      <c r="P1287" t="s">
        <v>257</v>
      </c>
      <c r="Q1287">
        <v>3</v>
      </c>
      <c r="R1287" t="s">
        <v>113</v>
      </c>
      <c r="S1287">
        <v>90106</v>
      </c>
      <c r="T1287" t="s">
        <v>70</v>
      </c>
      <c r="U1287">
        <v>563.16</v>
      </c>
      <c r="V1287">
        <v>1</v>
      </c>
      <c r="W1287" t="s">
        <v>47</v>
      </c>
      <c r="X1287">
        <v>17</v>
      </c>
      <c r="Y1287">
        <v>3</v>
      </c>
      <c r="Z1287">
        <v>3</v>
      </c>
      <c r="AA1287">
        <v>1</v>
      </c>
      <c r="AB1287">
        <v>31</v>
      </c>
      <c r="AC1287">
        <v>5</v>
      </c>
      <c r="AD1287">
        <v>3</v>
      </c>
      <c r="AE1287">
        <v>31</v>
      </c>
      <c r="AF1287">
        <v>9</v>
      </c>
      <c r="AG1287">
        <v>0</v>
      </c>
      <c r="AH1287">
        <v>9</v>
      </c>
      <c r="AI1287">
        <f t="shared" si="140"/>
        <v>0</v>
      </c>
      <c r="AJ1287" t="str">
        <f t="shared" si="141"/>
        <v>10+ yrs</v>
      </c>
      <c r="AK1287" t="str">
        <f t="shared" si="142"/>
        <v>Recent</v>
      </c>
      <c r="AL1287">
        <f t="shared" si="143"/>
        <v>1</v>
      </c>
      <c r="AM1287" t="str">
        <f t="shared" si="144"/>
        <v>Low Risk</v>
      </c>
      <c r="AN1287" s="6">
        <f t="shared" si="145"/>
        <v>0.77853397173385164</v>
      </c>
      <c r="AO1287" s="7">
        <f t="shared" si="146"/>
        <v>1081272</v>
      </c>
    </row>
    <row r="1288" spans="1:41" x14ac:dyDescent="0.3">
      <c r="A1288" t="s">
        <v>1355</v>
      </c>
      <c r="B1288">
        <v>49</v>
      </c>
      <c r="C1288" t="s">
        <v>1272</v>
      </c>
      <c r="D1288" t="s">
        <v>47</v>
      </c>
      <c r="E1288" t="s">
        <v>48</v>
      </c>
      <c r="F1288">
        <v>1184</v>
      </c>
      <c r="G1288" t="s">
        <v>932</v>
      </c>
      <c r="H1288">
        <v>11</v>
      </c>
      <c r="I1288">
        <v>3</v>
      </c>
      <c r="J1288" t="s">
        <v>63</v>
      </c>
      <c r="K1288">
        <v>840</v>
      </c>
      <c r="L1288">
        <v>3</v>
      </c>
      <c r="M1288" t="s">
        <v>59</v>
      </c>
      <c r="N1288">
        <v>3</v>
      </c>
      <c r="O1288">
        <v>3</v>
      </c>
      <c r="P1288" t="s">
        <v>145</v>
      </c>
      <c r="Q1288">
        <v>4</v>
      </c>
      <c r="R1288" t="s">
        <v>113</v>
      </c>
      <c r="S1288">
        <v>19449</v>
      </c>
      <c r="T1288" t="s">
        <v>54</v>
      </c>
      <c r="U1288">
        <v>121.56</v>
      </c>
      <c r="V1288">
        <v>1</v>
      </c>
      <c r="W1288" t="s">
        <v>55</v>
      </c>
      <c r="X1288">
        <v>18</v>
      </c>
      <c r="Y1288">
        <v>3</v>
      </c>
      <c r="Z1288">
        <v>1</v>
      </c>
      <c r="AA1288">
        <v>2</v>
      </c>
      <c r="AB1288">
        <v>9</v>
      </c>
      <c r="AC1288">
        <v>3</v>
      </c>
      <c r="AD1288">
        <v>4</v>
      </c>
      <c r="AE1288">
        <v>9</v>
      </c>
      <c r="AF1288">
        <v>8</v>
      </c>
      <c r="AG1288">
        <v>7</v>
      </c>
      <c r="AH1288">
        <v>7</v>
      </c>
      <c r="AI1288">
        <f t="shared" si="140"/>
        <v>1</v>
      </c>
      <c r="AJ1288" t="str">
        <f t="shared" si="141"/>
        <v>6-10 yrs</v>
      </c>
      <c r="AK1288" t="str">
        <f t="shared" si="142"/>
        <v>Overdue</v>
      </c>
      <c r="AL1288">
        <f t="shared" si="143"/>
        <v>1</v>
      </c>
      <c r="AM1288" t="str">
        <f t="shared" si="144"/>
        <v>Low Risk</v>
      </c>
      <c r="AN1288" s="6">
        <f t="shared" si="145"/>
        <v>-0.60355065330563584</v>
      </c>
      <c r="AO1288" s="7">
        <f t="shared" si="146"/>
        <v>233388</v>
      </c>
    </row>
    <row r="1289" spans="1:41" x14ac:dyDescent="0.3">
      <c r="A1289" t="s">
        <v>1356</v>
      </c>
      <c r="B1289">
        <v>49</v>
      </c>
      <c r="C1289" t="s">
        <v>1272</v>
      </c>
      <c r="D1289" t="s">
        <v>55</v>
      </c>
      <c r="E1289" t="s">
        <v>48</v>
      </c>
      <c r="F1289">
        <v>1418</v>
      </c>
      <c r="G1289" t="s">
        <v>735</v>
      </c>
      <c r="H1289">
        <v>1</v>
      </c>
      <c r="I1289">
        <v>3</v>
      </c>
      <c r="J1289" t="s">
        <v>77</v>
      </c>
      <c r="K1289">
        <v>887</v>
      </c>
      <c r="L1289">
        <v>3</v>
      </c>
      <c r="M1289" t="s">
        <v>59</v>
      </c>
      <c r="N1289">
        <v>3</v>
      </c>
      <c r="O1289">
        <v>1</v>
      </c>
      <c r="P1289" t="s">
        <v>67</v>
      </c>
      <c r="Q1289">
        <v>1</v>
      </c>
      <c r="R1289" t="s">
        <v>113</v>
      </c>
      <c r="S1289">
        <v>34536</v>
      </c>
      <c r="T1289" t="s">
        <v>72</v>
      </c>
      <c r="U1289">
        <v>215.85</v>
      </c>
      <c r="V1289">
        <v>2</v>
      </c>
      <c r="W1289" t="s">
        <v>55</v>
      </c>
      <c r="X1289">
        <v>16</v>
      </c>
      <c r="Y1289">
        <v>3</v>
      </c>
      <c r="Z1289">
        <v>2</v>
      </c>
      <c r="AA1289">
        <v>1</v>
      </c>
      <c r="AB1289">
        <v>7</v>
      </c>
      <c r="AC1289">
        <v>2</v>
      </c>
      <c r="AD1289">
        <v>3</v>
      </c>
      <c r="AE1289">
        <v>4</v>
      </c>
      <c r="AF1289">
        <v>2</v>
      </c>
      <c r="AG1289">
        <v>0</v>
      </c>
      <c r="AH1289">
        <v>2</v>
      </c>
      <c r="AI1289">
        <f t="shared" si="140"/>
        <v>0</v>
      </c>
      <c r="AJ1289" t="str">
        <f t="shared" si="141"/>
        <v>4-5 yrs</v>
      </c>
      <c r="AK1289" t="str">
        <f t="shared" si="142"/>
        <v>Recent</v>
      </c>
      <c r="AL1289">
        <f t="shared" si="143"/>
        <v>1</v>
      </c>
      <c r="AM1289" t="str">
        <f t="shared" si="144"/>
        <v>Low Risk</v>
      </c>
      <c r="AN1289" s="6">
        <f t="shared" si="145"/>
        <v>-0.30742531809416179</v>
      </c>
      <c r="AO1289" s="7">
        <f t="shared" si="146"/>
        <v>414432</v>
      </c>
    </row>
    <row r="1290" spans="1:41" x14ac:dyDescent="0.3">
      <c r="A1290" t="s">
        <v>1357</v>
      </c>
      <c r="B1290">
        <v>49</v>
      </c>
      <c r="C1290" t="s">
        <v>1272</v>
      </c>
      <c r="D1290" t="s">
        <v>55</v>
      </c>
      <c r="E1290" t="s">
        <v>48</v>
      </c>
      <c r="F1290">
        <v>527</v>
      </c>
      <c r="G1290" t="s">
        <v>735</v>
      </c>
      <c r="H1290">
        <v>8</v>
      </c>
      <c r="I1290">
        <v>2</v>
      </c>
      <c r="J1290" t="s">
        <v>82</v>
      </c>
      <c r="K1290">
        <v>944</v>
      </c>
      <c r="L1290">
        <v>1</v>
      </c>
      <c r="M1290" t="s">
        <v>59</v>
      </c>
      <c r="N1290">
        <v>3</v>
      </c>
      <c r="O1290">
        <v>3</v>
      </c>
      <c r="P1290" t="s">
        <v>52</v>
      </c>
      <c r="Q1290">
        <v>2</v>
      </c>
      <c r="R1290" t="s">
        <v>113</v>
      </c>
      <c r="S1290">
        <v>65077</v>
      </c>
      <c r="T1290" t="s">
        <v>64</v>
      </c>
      <c r="U1290">
        <v>406.73</v>
      </c>
      <c r="V1290">
        <v>4</v>
      </c>
      <c r="W1290" t="s">
        <v>55</v>
      </c>
      <c r="X1290">
        <v>11</v>
      </c>
      <c r="Y1290">
        <v>3</v>
      </c>
      <c r="Z1290">
        <v>3</v>
      </c>
      <c r="AA1290">
        <v>1</v>
      </c>
      <c r="AB1290">
        <v>29</v>
      </c>
      <c r="AC1290">
        <v>3</v>
      </c>
      <c r="AD1290">
        <v>2</v>
      </c>
      <c r="AE1290">
        <v>26</v>
      </c>
      <c r="AF1290">
        <v>9</v>
      </c>
      <c r="AG1290">
        <v>1</v>
      </c>
      <c r="AH1290">
        <v>7</v>
      </c>
      <c r="AI1290">
        <f t="shared" si="140"/>
        <v>0</v>
      </c>
      <c r="AJ1290" t="str">
        <f t="shared" si="141"/>
        <v>10+ yrs</v>
      </c>
      <c r="AK1290" t="str">
        <f t="shared" si="142"/>
        <v>Recent</v>
      </c>
      <c r="AL1290">
        <f t="shared" si="143"/>
        <v>2</v>
      </c>
      <c r="AM1290" t="str">
        <f t="shared" si="144"/>
        <v>Medium Risk</v>
      </c>
      <c r="AN1290" s="6">
        <f t="shared" si="145"/>
        <v>0.25824143461657478</v>
      </c>
      <c r="AO1290" s="7">
        <f t="shared" si="146"/>
        <v>780924</v>
      </c>
    </row>
    <row r="1291" spans="1:41" x14ac:dyDescent="0.3">
      <c r="A1291" t="s">
        <v>1358</v>
      </c>
      <c r="B1291">
        <v>49</v>
      </c>
      <c r="C1291" t="s">
        <v>1272</v>
      </c>
      <c r="D1291" t="s">
        <v>55</v>
      </c>
      <c r="E1291" t="s">
        <v>48</v>
      </c>
      <c r="F1291">
        <v>174</v>
      </c>
      <c r="G1291" t="s">
        <v>932</v>
      </c>
      <c r="H1291">
        <v>8</v>
      </c>
      <c r="I1291">
        <v>4</v>
      </c>
      <c r="J1291" t="s">
        <v>77</v>
      </c>
      <c r="K1291">
        <v>1138</v>
      </c>
      <c r="L1291">
        <v>4</v>
      </c>
      <c r="M1291" t="s">
        <v>51</v>
      </c>
      <c r="N1291">
        <v>2</v>
      </c>
      <c r="O1291">
        <v>4</v>
      </c>
      <c r="P1291" t="s">
        <v>145</v>
      </c>
      <c r="Q1291">
        <v>2</v>
      </c>
      <c r="R1291" t="s">
        <v>113</v>
      </c>
      <c r="S1291">
        <v>39258</v>
      </c>
      <c r="T1291" t="s">
        <v>72</v>
      </c>
      <c r="U1291">
        <v>245.36</v>
      </c>
      <c r="V1291">
        <v>6</v>
      </c>
      <c r="W1291" t="s">
        <v>55</v>
      </c>
      <c r="X1291">
        <v>17</v>
      </c>
      <c r="Y1291">
        <v>3</v>
      </c>
      <c r="Z1291">
        <v>2</v>
      </c>
      <c r="AA1291">
        <v>1</v>
      </c>
      <c r="AB1291">
        <v>22</v>
      </c>
      <c r="AC1291">
        <v>3</v>
      </c>
      <c r="AD1291">
        <v>3</v>
      </c>
      <c r="AE1291">
        <v>9</v>
      </c>
      <c r="AF1291">
        <v>8</v>
      </c>
      <c r="AG1291">
        <v>2</v>
      </c>
      <c r="AH1291">
        <v>3</v>
      </c>
      <c r="AI1291">
        <f t="shared" si="140"/>
        <v>0</v>
      </c>
      <c r="AJ1291" t="str">
        <f t="shared" si="141"/>
        <v>6-10 yrs</v>
      </c>
      <c r="AK1291" t="str">
        <f t="shared" si="142"/>
        <v>Recent</v>
      </c>
      <c r="AL1291">
        <f t="shared" si="143"/>
        <v>1</v>
      </c>
      <c r="AM1291" t="str">
        <f t="shared" si="144"/>
        <v>Low Risk</v>
      </c>
      <c r="AN1291" s="6">
        <f t="shared" si="145"/>
        <v>-0.19976304938416636</v>
      </c>
      <c r="AO1291" s="7">
        <f t="shared" si="146"/>
        <v>471096</v>
      </c>
    </row>
    <row r="1292" spans="1:41" x14ac:dyDescent="0.3">
      <c r="A1292" t="s">
        <v>1359</v>
      </c>
      <c r="B1292">
        <v>49</v>
      </c>
      <c r="C1292" t="s">
        <v>1272</v>
      </c>
      <c r="D1292" t="s">
        <v>55</v>
      </c>
      <c r="E1292" t="s">
        <v>48</v>
      </c>
      <c r="F1292">
        <v>1098</v>
      </c>
      <c r="G1292" t="s">
        <v>735</v>
      </c>
      <c r="H1292">
        <v>4</v>
      </c>
      <c r="I1292">
        <v>2</v>
      </c>
      <c r="J1292" t="s">
        <v>58</v>
      </c>
      <c r="K1292">
        <v>1256</v>
      </c>
      <c r="L1292">
        <v>1</v>
      </c>
      <c r="M1292" t="s">
        <v>51</v>
      </c>
      <c r="N1292">
        <v>2</v>
      </c>
      <c r="O1292">
        <v>5</v>
      </c>
      <c r="P1292" t="s">
        <v>444</v>
      </c>
      <c r="Q1292">
        <v>3</v>
      </c>
      <c r="R1292" t="s">
        <v>113</v>
      </c>
      <c r="S1292">
        <v>49302</v>
      </c>
      <c r="T1292" t="s">
        <v>72</v>
      </c>
      <c r="U1292">
        <v>308.14</v>
      </c>
      <c r="V1292">
        <v>2</v>
      </c>
      <c r="W1292" t="s">
        <v>55</v>
      </c>
      <c r="X1292">
        <v>13</v>
      </c>
      <c r="Y1292">
        <v>3</v>
      </c>
      <c r="Z1292">
        <v>3</v>
      </c>
      <c r="AA1292">
        <v>1</v>
      </c>
      <c r="AB1292">
        <v>23</v>
      </c>
      <c r="AC1292">
        <v>2</v>
      </c>
      <c r="AD1292">
        <v>4</v>
      </c>
      <c r="AE1292">
        <v>1</v>
      </c>
      <c r="AF1292">
        <v>0</v>
      </c>
      <c r="AG1292">
        <v>0</v>
      </c>
      <c r="AH1292">
        <v>0</v>
      </c>
      <c r="AI1292">
        <f t="shared" si="140"/>
        <v>0</v>
      </c>
      <c r="AJ1292" t="str">
        <f t="shared" si="141"/>
        <v>0-1 yr</v>
      </c>
      <c r="AK1292" t="str">
        <f t="shared" si="142"/>
        <v>Recent</v>
      </c>
      <c r="AL1292">
        <f t="shared" si="143"/>
        <v>0</v>
      </c>
      <c r="AM1292" t="str">
        <f t="shared" si="144"/>
        <v>Minimal Risk</v>
      </c>
      <c r="AN1292" s="6">
        <f t="shared" si="145"/>
        <v>-5.5486729719313295E-2</v>
      </c>
      <c r="AO1292" s="7">
        <f t="shared" si="146"/>
        <v>591624</v>
      </c>
    </row>
    <row r="1293" spans="1:41" x14ac:dyDescent="0.3">
      <c r="A1293" t="s">
        <v>1360</v>
      </c>
      <c r="B1293">
        <v>49</v>
      </c>
      <c r="C1293" t="s">
        <v>1272</v>
      </c>
      <c r="D1293" t="s">
        <v>47</v>
      </c>
      <c r="E1293" t="s">
        <v>62</v>
      </c>
      <c r="F1293">
        <v>1475</v>
      </c>
      <c r="G1293" t="s">
        <v>735</v>
      </c>
      <c r="H1293">
        <v>28</v>
      </c>
      <c r="I1293">
        <v>2</v>
      </c>
      <c r="J1293" t="s">
        <v>50</v>
      </c>
      <c r="K1293">
        <v>1420</v>
      </c>
      <c r="L1293">
        <v>1</v>
      </c>
      <c r="M1293" t="s">
        <v>51</v>
      </c>
      <c r="N1293">
        <v>2</v>
      </c>
      <c r="O1293">
        <v>2</v>
      </c>
      <c r="P1293" t="s">
        <v>52</v>
      </c>
      <c r="Q1293">
        <v>1</v>
      </c>
      <c r="R1293" t="s">
        <v>53</v>
      </c>
      <c r="S1293">
        <v>29865</v>
      </c>
      <c r="T1293" t="s">
        <v>72</v>
      </c>
      <c r="U1293">
        <v>186.66</v>
      </c>
      <c r="V1293">
        <v>3</v>
      </c>
      <c r="W1293" t="s">
        <v>55</v>
      </c>
      <c r="X1293">
        <v>20</v>
      </c>
      <c r="Y1293">
        <v>4</v>
      </c>
      <c r="Z1293">
        <v>1</v>
      </c>
      <c r="AA1293">
        <v>0</v>
      </c>
      <c r="AB1293">
        <v>20</v>
      </c>
      <c r="AC1293">
        <v>2</v>
      </c>
      <c r="AD1293">
        <v>3</v>
      </c>
      <c r="AE1293">
        <v>4</v>
      </c>
      <c r="AF1293">
        <v>3</v>
      </c>
      <c r="AG1293">
        <v>1</v>
      </c>
      <c r="AH1293">
        <v>3</v>
      </c>
      <c r="AI1293">
        <f t="shared" si="140"/>
        <v>1</v>
      </c>
      <c r="AJ1293" t="str">
        <f t="shared" si="141"/>
        <v>4-5 yrs</v>
      </c>
      <c r="AK1293" t="str">
        <f t="shared" si="142"/>
        <v>Recent</v>
      </c>
      <c r="AL1293">
        <f t="shared" si="143"/>
        <v>1</v>
      </c>
      <c r="AM1293" t="str">
        <f t="shared" si="144"/>
        <v>Low Risk</v>
      </c>
      <c r="AN1293" s="6">
        <f t="shared" si="145"/>
        <v>-0.42257048658014346</v>
      </c>
      <c r="AO1293" s="7">
        <f t="shared" si="146"/>
        <v>358380</v>
      </c>
    </row>
    <row r="1294" spans="1:41" x14ac:dyDescent="0.3">
      <c r="A1294" t="s">
        <v>1361</v>
      </c>
      <c r="B1294">
        <v>49</v>
      </c>
      <c r="C1294" t="s">
        <v>1272</v>
      </c>
      <c r="D1294" t="s">
        <v>55</v>
      </c>
      <c r="E1294" t="s">
        <v>48</v>
      </c>
      <c r="F1294">
        <v>1495</v>
      </c>
      <c r="G1294" t="s">
        <v>735</v>
      </c>
      <c r="H1294">
        <v>5</v>
      </c>
      <c r="I1294">
        <v>4</v>
      </c>
      <c r="J1294" t="s">
        <v>77</v>
      </c>
      <c r="K1294">
        <v>1473</v>
      </c>
      <c r="L1294">
        <v>1</v>
      </c>
      <c r="M1294" t="s">
        <v>51</v>
      </c>
      <c r="N1294">
        <v>3</v>
      </c>
      <c r="O1294">
        <v>2</v>
      </c>
      <c r="P1294" t="s">
        <v>168</v>
      </c>
      <c r="Q1294">
        <v>3</v>
      </c>
      <c r="R1294" t="s">
        <v>113</v>
      </c>
      <c r="S1294">
        <v>7645</v>
      </c>
      <c r="T1294" t="s">
        <v>54</v>
      </c>
      <c r="U1294">
        <v>47.78</v>
      </c>
      <c r="V1294">
        <v>2</v>
      </c>
      <c r="W1294" t="s">
        <v>55</v>
      </c>
      <c r="X1294">
        <v>14</v>
      </c>
      <c r="Y1294">
        <v>3</v>
      </c>
      <c r="Z1294">
        <v>2</v>
      </c>
      <c r="AA1294">
        <v>1</v>
      </c>
      <c r="AB1294">
        <v>20</v>
      </c>
      <c r="AC1294">
        <v>0</v>
      </c>
      <c r="AD1294">
        <v>2</v>
      </c>
      <c r="AE1294">
        <v>3</v>
      </c>
      <c r="AF1294">
        <v>2</v>
      </c>
      <c r="AG1294">
        <v>1</v>
      </c>
      <c r="AH1294">
        <v>2</v>
      </c>
      <c r="AI1294">
        <f t="shared" si="140"/>
        <v>0</v>
      </c>
      <c r="AJ1294" t="str">
        <f t="shared" si="141"/>
        <v>2-3 yrs</v>
      </c>
      <c r="AK1294" t="str">
        <f t="shared" si="142"/>
        <v>Recent</v>
      </c>
      <c r="AL1294">
        <f t="shared" si="143"/>
        <v>1</v>
      </c>
      <c r="AM1294" t="str">
        <f t="shared" si="144"/>
        <v>Low Risk</v>
      </c>
      <c r="AN1294" s="6">
        <f t="shared" si="145"/>
        <v>-0.84135430624562735</v>
      </c>
      <c r="AO1294" s="7">
        <f t="shared" si="146"/>
        <v>91740</v>
      </c>
    </row>
    <row r="1295" spans="1:41" x14ac:dyDescent="0.3">
      <c r="A1295" t="s">
        <v>1362</v>
      </c>
      <c r="B1295">
        <v>49</v>
      </c>
      <c r="C1295" t="s">
        <v>1272</v>
      </c>
      <c r="D1295" t="s">
        <v>55</v>
      </c>
      <c r="E1295" t="s">
        <v>48</v>
      </c>
      <c r="F1295">
        <v>1490</v>
      </c>
      <c r="G1295" t="s">
        <v>735</v>
      </c>
      <c r="H1295">
        <v>7</v>
      </c>
      <c r="I1295">
        <v>4</v>
      </c>
      <c r="J1295" t="s">
        <v>50</v>
      </c>
      <c r="K1295">
        <v>1484</v>
      </c>
      <c r="L1295">
        <v>3</v>
      </c>
      <c r="M1295" t="s">
        <v>51</v>
      </c>
      <c r="N1295">
        <v>3</v>
      </c>
      <c r="O1295">
        <v>3</v>
      </c>
      <c r="P1295" t="s">
        <v>168</v>
      </c>
      <c r="Q1295">
        <v>2</v>
      </c>
      <c r="R1295" t="s">
        <v>113</v>
      </c>
      <c r="S1295">
        <v>39000</v>
      </c>
      <c r="T1295" t="s">
        <v>72</v>
      </c>
      <c r="U1295">
        <v>243.75</v>
      </c>
      <c r="V1295">
        <v>3</v>
      </c>
      <c r="W1295" t="s">
        <v>55</v>
      </c>
      <c r="X1295">
        <v>14</v>
      </c>
      <c r="Y1295">
        <v>3</v>
      </c>
      <c r="Z1295">
        <v>2</v>
      </c>
      <c r="AA1295">
        <v>2</v>
      </c>
      <c r="AB1295">
        <v>29</v>
      </c>
      <c r="AC1295">
        <v>3</v>
      </c>
      <c r="AD1295">
        <v>3</v>
      </c>
      <c r="AE1295">
        <v>8</v>
      </c>
      <c r="AF1295">
        <v>7</v>
      </c>
      <c r="AG1295">
        <v>0</v>
      </c>
      <c r="AH1295">
        <v>7</v>
      </c>
      <c r="AI1295">
        <f t="shared" si="140"/>
        <v>0</v>
      </c>
      <c r="AJ1295" t="str">
        <f t="shared" si="141"/>
        <v>6-10 yrs</v>
      </c>
      <c r="AK1295" t="str">
        <f t="shared" si="142"/>
        <v>Recent</v>
      </c>
      <c r="AL1295">
        <f t="shared" si="143"/>
        <v>1</v>
      </c>
      <c r="AM1295" t="str">
        <f t="shared" si="144"/>
        <v>Low Risk</v>
      </c>
      <c r="AN1295" s="6">
        <f t="shared" si="145"/>
        <v>-0.19068907044858946</v>
      </c>
      <c r="AO1295" s="7">
        <f t="shared" si="146"/>
        <v>468000</v>
      </c>
    </row>
    <row r="1296" spans="1:41" x14ac:dyDescent="0.3">
      <c r="A1296" t="s">
        <v>1363</v>
      </c>
      <c r="B1296">
        <v>49</v>
      </c>
      <c r="C1296" t="s">
        <v>1272</v>
      </c>
      <c r="D1296" t="s">
        <v>55</v>
      </c>
      <c r="E1296" t="s">
        <v>48</v>
      </c>
      <c r="F1296">
        <v>271</v>
      </c>
      <c r="G1296" t="s">
        <v>735</v>
      </c>
      <c r="H1296">
        <v>3</v>
      </c>
      <c r="I1296">
        <v>2</v>
      </c>
      <c r="J1296" t="s">
        <v>58</v>
      </c>
      <c r="K1296">
        <v>1509</v>
      </c>
      <c r="L1296">
        <v>3</v>
      </c>
      <c r="M1296" t="s">
        <v>59</v>
      </c>
      <c r="N1296">
        <v>2</v>
      </c>
      <c r="O1296">
        <v>2</v>
      </c>
      <c r="P1296" t="s">
        <v>52</v>
      </c>
      <c r="Q1296">
        <v>1</v>
      </c>
      <c r="R1296" t="s">
        <v>113</v>
      </c>
      <c r="S1296">
        <v>27737</v>
      </c>
      <c r="T1296" t="s">
        <v>72</v>
      </c>
      <c r="U1296">
        <v>173.36</v>
      </c>
      <c r="V1296">
        <v>4</v>
      </c>
      <c r="W1296" t="s">
        <v>55</v>
      </c>
      <c r="X1296">
        <v>25</v>
      </c>
      <c r="Y1296">
        <v>4</v>
      </c>
      <c r="Z1296">
        <v>1</v>
      </c>
      <c r="AA1296">
        <v>1</v>
      </c>
      <c r="AB1296">
        <v>10</v>
      </c>
      <c r="AC1296">
        <v>3</v>
      </c>
      <c r="AD1296">
        <v>3</v>
      </c>
      <c r="AE1296">
        <v>3</v>
      </c>
      <c r="AF1296">
        <v>2</v>
      </c>
      <c r="AG1296">
        <v>1</v>
      </c>
      <c r="AH1296">
        <v>2</v>
      </c>
      <c r="AI1296">
        <f t="shared" si="140"/>
        <v>0</v>
      </c>
      <c r="AJ1296" t="str">
        <f t="shared" si="141"/>
        <v>2-3 yrs</v>
      </c>
      <c r="AK1296" t="str">
        <f t="shared" si="142"/>
        <v>Recent</v>
      </c>
      <c r="AL1296">
        <f t="shared" si="143"/>
        <v>1</v>
      </c>
      <c r="AM1296" t="str">
        <f t="shared" si="144"/>
        <v>Low Risk</v>
      </c>
      <c r="AN1296" s="6">
        <f t="shared" si="145"/>
        <v>-0.46371463540175584</v>
      </c>
      <c r="AO1296" s="7">
        <f t="shared" si="146"/>
        <v>332844</v>
      </c>
    </row>
    <row r="1297" spans="1:41" x14ac:dyDescent="0.3">
      <c r="A1297" t="s">
        <v>1364</v>
      </c>
      <c r="B1297">
        <v>49</v>
      </c>
      <c r="C1297" t="s">
        <v>1272</v>
      </c>
      <c r="D1297" t="s">
        <v>55</v>
      </c>
      <c r="E1297" t="s">
        <v>48</v>
      </c>
      <c r="F1297">
        <v>722</v>
      </c>
      <c r="G1297" t="s">
        <v>735</v>
      </c>
      <c r="H1297">
        <v>25</v>
      </c>
      <c r="I1297">
        <v>4</v>
      </c>
      <c r="J1297" t="s">
        <v>50</v>
      </c>
      <c r="K1297">
        <v>1617</v>
      </c>
      <c r="L1297">
        <v>3</v>
      </c>
      <c r="M1297" t="s">
        <v>59</v>
      </c>
      <c r="N1297">
        <v>3</v>
      </c>
      <c r="O1297">
        <v>1</v>
      </c>
      <c r="P1297" t="s">
        <v>52</v>
      </c>
      <c r="Q1297">
        <v>1</v>
      </c>
      <c r="R1297" t="s">
        <v>113</v>
      </c>
      <c r="S1297">
        <v>12485</v>
      </c>
      <c r="T1297" t="s">
        <v>54</v>
      </c>
      <c r="U1297">
        <v>78.03</v>
      </c>
      <c r="V1297">
        <v>1</v>
      </c>
      <c r="W1297" t="s">
        <v>55</v>
      </c>
      <c r="X1297">
        <v>14</v>
      </c>
      <c r="Y1297">
        <v>3</v>
      </c>
      <c r="Z1297">
        <v>4</v>
      </c>
      <c r="AA1297">
        <v>1</v>
      </c>
      <c r="AB1297">
        <v>10</v>
      </c>
      <c r="AC1297">
        <v>3</v>
      </c>
      <c r="AD1297">
        <v>2</v>
      </c>
      <c r="AE1297">
        <v>9</v>
      </c>
      <c r="AF1297">
        <v>6</v>
      </c>
      <c r="AG1297">
        <v>1</v>
      </c>
      <c r="AH1297">
        <v>4</v>
      </c>
      <c r="AI1297">
        <f t="shared" si="140"/>
        <v>0</v>
      </c>
      <c r="AJ1297" t="str">
        <f t="shared" si="141"/>
        <v>6-10 yrs</v>
      </c>
      <c r="AK1297" t="str">
        <f t="shared" si="142"/>
        <v>Recent</v>
      </c>
      <c r="AL1297">
        <f t="shared" si="143"/>
        <v>2</v>
      </c>
      <c r="AM1297" t="str">
        <f t="shared" si="144"/>
        <v>Medium Risk</v>
      </c>
      <c r="AN1297" s="6">
        <f t="shared" si="145"/>
        <v>-0.75860681483184633</v>
      </c>
      <c r="AO1297" s="7">
        <f t="shared" si="146"/>
        <v>149820</v>
      </c>
    </row>
    <row r="1298" spans="1:41" x14ac:dyDescent="0.3">
      <c r="A1298" t="s">
        <v>1365</v>
      </c>
      <c r="B1298">
        <v>49</v>
      </c>
      <c r="C1298" t="s">
        <v>1272</v>
      </c>
      <c r="D1298" t="s">
        <v>55</v>
      </c>
      <c r="E1298" t="s">
        <v>48</v>
      </c>
      <c r="F1298">
        <v>301</v>
      </c>
      <c r="G1298" t="s">
        <v>735</v>
      </c>
      <c r="H1298">
        <v>22</v>
      </c>
      <c r="I1298">
        <v>4</v>
      </c>
      <c r="J1298" t="s">
        <v>82</v>
      </c>
      <c r="K1298">
        <v>1655</v>
      </c>
      <c r="L1298">
        <v>1</v>
      </c>
      <c r="M1298" t="s">
        <v>59</v>
      </c>
      <c r="N1298">
        <v>3</v>
      </c>
      <c r="O1298">
        <v>4</v>
      </c>
      <c r="P1298" t="s">
        <v>257</v>
      </c>
      <c r="Q1298">
        <v>2</v>
      </c>
      <c r="R1298" t="s">
        <v>113</v>
      </c>
      <c r="S1298">
        <v>39565</v>
      </c>
      <c r="T1298" t="s">
        <v>72</v>
      </c>
      <c r="U1298">
        <v>247.28</v>
      </c>
      <c r="V1298">
        <v>3</v>
      </c>
      <c r="W1298" t="s">
        <v>55</v>
      </c>
      <c r="X1298">
        <v>16</v>
      </c>
      <c r="Y1298">
        <v>3</v>
      </c>
      <c r="Z1298">
        <v>2</v>
      </c>
      <c r="AA1298">
        <v>2</v>
      </c>
      <c r="AB1298">
        <v>27</v>
      </c>
      <c r="AC1298">
        <v>2</v>
      </c>
      <c r="AD1298">
        <v>3</v>
      </c>
      <c r="AE1298">
        <v>4</v>
      </c>
      <c r="AF1298">
        <v>2</v>
      </c>
      <c r="AG1298">
        <v>1</v>
      </c>
      <c r="AH1298">
        <v>2</v>
      </c>
      <c r="AI1298">
        <f t="shared" si="140"/>
        <v>0</v>
      </c>
      <c r="AJ1298" t="str">
        <f t="shared" si="141"/>
        <v>4-5 yrs</v>
      </c>
      <c r="AK1298" t="str">
        <f t="shared" si="142"/>
        <v>Recent</v>
      </c>
      <c r="AL1298">
        <f t="shared" si="143"/>
        <v>1</v>
      </c>
      <c r="AM1298" t="str">
        <f t="shared" si="144"/>
        <v>Low Risk</v>
      </c>
      <c r="AN1298" s="6">
        <f t="shared" si="145"/>
        <v>-0.21905648245788473</v>
      </c>
      <c r="AO1298" s="7">
        <f t="shared" si="146"/>
        <v>474780</v>
      </c>
    </row>
    <row r="1299" spans="1:41" x14ac:dyDescent="0.3">
      <c r="A1299" t="s">
        <v>1366</v>
      </c>
      <c r="B1299">
        <v>49</v>
      </c>
      <c r="C1299" t="s">
        <v>1272</v>
      </c>
      <c r="D1299" t="s">
        <v>55</v>
      </c>
      <c r="E1299" t="s">
        <v>48</v>
      </c>
      <c r="F1299">
        <v>465</v>
      </c>
      <c r="G1299" t="s">
        <v>735</v>
      </c>
      <c r="H1299">
        <v>6</v>
      </c>
      <c r="I1299">
        <v>1</v>
      </c>
      <c r="J1299" t="s">
        <v>50</v>
      </c>
      <c r="K1299">
        <v>1661</v>
      </c>
      <c r="L1299">
        <v>3</v>
      </c>
      <c r="M1299" t="s">
        <v>59</v>
      </c>
      <c r="N1299">
        <v>2</v>
      </c>
      <c r="O1299">
        <v>4</v>
      </c>
      <c r="P1299" t="s">
        <v>168</v>
      </c>
      <c r="Q1299">
        <v>3</v>
      </c>
      <c r="R1299" t="s">
        <v>113</v>
      </c>
      <c r="S1299">
        <v>26522</v>
      </c>
      <c r="T1299" t="s">
        <v>72</v>
      </c>
      <c r="U1299">
        <v>165.76</v>
      </c>
      <c r="V1299">
        <v>2</v>
      </c>
      <c r="W1299" t="s">
        <v>47</v>
      </c>
      <c r="X1299">
        <v>19</v>
      </c>
      <c r="Y1299">
        <v>3</v>
      </c>
      <c r="Z1299">
        <v>2</v>
      </c>
      <c r="AA1299">
        <v>1</v>
      </c>
      <c r="AB1299">
        <v>30</v>
      </c>
      <c r="AC1299">
        <v>3</v>
      </c>
      <c r="AD1299">
        <v>3</v>
      </c>
      <c r="AE1299">
        <v>15</v>
      </c>
      <c r="AF1299">
        <v>11</v>
      </c>
      <c r="AG1299">
        <v>2</v>
      </c>
      <c r="AH1299">
        <v>12</v>
      </c>
      <c r="AI1299">
        <f t="shared" si="140"/>
        <v>0</v>
      </c>
      <c r="AJ1299" t="str">
        <f t="shared" si="141"/>
        <v>10+ yrs</v>
      </c>
      <c r="AK1299" t="str">
        <f t="shared" si="142"/>
        <v>Recent</v>
      </c>
      <c r="AL1299">
        <f t="shared" si="143"/>
        <v>1</v>
      </c>
      <c r="AM1299" t="str">
        <f t="shared" si="144"/>
        <v>Low Risk</v>
      </c>
      <c r="AN1299" s="6">
        <f t="shared" si="145"/>
        <v>-0.44962706478044845</v>
      </c>
      <c r="AO1299" s="7">
        <f t="shared" si="146"/>
        <v>318264</v>
      </c>
    </row>
    <row r="1300" spans="1:41" x14ac:dyDescent="0.3">
      <c r="A1300" t="s">
        <v>1367</v>
      </c>
      <c r="B1300">
        <v>49</v>
      </c>
      <c r="C1300" t="s">
        <v>1272</v>
      </c>
      <c r="D1300" t="s">
        <v>55</v>
      </c>
      <c r="E1300" t="s">
        <v>48</v>
      </c>
      <c r="F1300">
        <v>464</v>
      </c>
      <c r="G1300" t="s">
        <v>735</v>
      </c>
      <c r="H1300">
        <v>16</v>
      </c>
      <c r="I1300">
        <v>3</v>
      </c>
      <c r="J1300" t="s">
        <v>58</v>
      </c>
      <c r="K1300">
        <v>1674</v>
      </c>
      <c r="L1300">
        <v>4</v>
      </c>
      <c r="M1300" t="s">
        <v>59</v>
      </c>
      <c r="N1300">
        <v>3</v>
      </c>
      <c r="O1300">
        <v>1</v>
      </c>
      <c r="P1300" t="s">
        <v>52</v>
      </c>
      <c r="Q1300">
        <v>1</v>
      </c>
      <c r="R1300" t="s">
        <v>113</v>
      </c>
      <c r="S1300">
        <v>66155</v>
      </c>
      <c r="T1300" t="s">
        <v>64</v>
      </c>
      <c r="U1300">
        <v>413.47</v>
      </c>
      <c r="V1300">
        <v>4</v>
      </c>
      <c r="W1300" t="s">
        <v>47</v>
      </c>
      <c r="X1300">
        <v>16</v>
      </c>
      <c r="Y1300">
        <v>3</v>
      </c>
      <c r="Z1300">
        <v>2</v>
      </c>
      <c r="AA1300">
        <v>1</v>
      </c>
      <c r="AB1300">
        <v>17</v>
      </c>
      <c r="AC1300">
        <v>2</v>
      </c>
      <c r="AD1300">
        <v>2</v>
      </c>
      <c r="AE1300">
        <v>2</v>
      </c>
      <c r="AF1300">
        <v>2</v>
      </c>
      <c r="AG1300">
        <v>2</v>
      </c>
      <c r="AH1300">
        <v>2</v>
      </c>
      <c r="AI1300">
        <f t="shared" si="140"/>
        <v>0</v>
      </c>
      <c r="AJ1300" t="str">
        <f t="shared" si="141"/>
        <v>2-3 yrs</v>
      </c>
      <c r="AK1300" t="str">
        <f t="shared" si="142"/>
        <v>Recent</v>
      </c>
      <c r="AL1300">
        <f t="shared" si="143"/>
        <v>3</v>
      </c>
      <c r="AM1300" t="str">
        <f t="shared" si="144"/>
        <v>High Risk</v>
      </c>
      <c r="AN1300" s="6">
        <f t="shared" si="145"/>
        <v>0.27908419421699682</v>
      </c>
      <c r="AO1300" s="7">
        <f t="shared" si="146"/>
        <v>793860</v>
      </c>
    </row>
    <row r="1301" spans="1:41" x14ac:dyDescent="0.3">
      <c r="A1301" t="s">
        <v>1368</v>
      </c>
      <c r="B1301">
        <v>49</v>
      </c>
      <c r="C1301" t="s">
        <v>1272</v>
      </c>
      <c r="D1301" t="s">
        <v>55</v>
      </c>
      <c r="E1301" t="s">
        <v>48</v>
      </c>
      <c r="F1301">
        <v>809</v>
      </c>
      <c r="G1301" t="s">
        <v>735</v>
      </c>
      <c r="H1301">
        <v>1</v>
      </c>
      <c r="I1301">
        <v>3</v>
      </c>
      <c r="J1301" t="s">
        <v>50</v>
      </c>
      <c r="K1301">
        <v>1677</v>
      </c>
      <c r="L1301">
        <v>3</v>
      </c>
      <c r="M1301" t="s">
        <v>51</v>
      </c>
      <c r="N1301">
        <v>3</v>
      </c>
      <c r="O1301">
        <v>4</v>
      </c>
      <c r="P1301" t="s">
        <v>444</v>
      </c>
      <c r="Q1301">
        <v>3</v>
      </c>
      <c r="R1301" t="s">
        <v>53</v>
      </c>
      <c r="S1301">
        <v>56168</v>
      </c>
      <c r="T1301" t="s">
        <v>64</v>
      </c>
      <c r="U1301">
        <v>351.05</v>
      </c>
      <c r="V1301">
        <v>4</v>
      </c>
      <c r="W1301" t="s">
        <v>55</v>
      </c>
      <c r="X1301">
        <v>14</v>
      </c>
      <c r="Y1301">
        <v>3</v>
      </c>
      <c r="Z1301">
        <v>1</v>
      </c>
      <c r="AA1301">
        <v>0</v>
      </c>
      <c r="AB1301">
        <v>23</v>
      </c>
      <c r="AC1301">
        <v>2</v>
      </c>
      <c r="AD1301">
        <v>3</v>
      </c>
      <c r="AE1301">
        <v>8</v>
      </c>
      <c r="AF1301">
        <v>7</v>
      </c>
      <c r="AG1301">
        <v>0</v>
      </c>
      <c r="AH1301">
        <v>0</v>
      </c>
      <c r="AI1301">
        <f t="shared" si="140"/>
        <v>0</v>
      </c>
      <c r="AJ1301" t="str">
        <f t="shared" si="141"/>
        <v>6-10 yrs</v>
      </c>
      <c r="AK1301" t="str">
        <f t="shared" si="142"/>
        <v>Recent</v>
      </c>
      <c r="AL1301">
        <f t="shared" si="143"/>
        <v>0</v>
      </c>
      <c r="AM1301" t="str">
        <f t="shared" si="144"/>
        <v>Minimal Risk</v>
      </c>
      <c r="AN1301" s="6">
        <f t="shared" si="145"/>
        <v>7.6050086510194542E-2</v>
      </c>
      <c r="AO1301" s="7">
        <f t="shared" si="146"/>
        <v>674016</v>
      </c>
    </row>
    <row r="1302" spans="1:41" x14ac:dyDescent="0.3">
      <c r="A1302" t="s">
        <v>1369</v>
      </c>
      <c r="B1302">
        <v>49</v>
      </c>
      <c r="C1302" t="s">
        <v>1272</v>
      </c>
      <c r="D1302" t="s">
        <v>55</v>
      </c>
      <c r="E1302" t="s">
        <v>48</v>
      </c>
      <c r="F1302">
        <v>1313</v>
      </c>
      <c r="G1302" t="s">
        <v>932</v>
      </c>
      <c r="H1302">
        <v>11</v>
      </c>
      <c r="I1302">
        <v>4</v>
      </c>
      <c r="J1302" t="s">
        <v>63</v>
      </c>
      <c r="K1302">
        <v>1757</v>
      </c>
      <c r="L1302">
        <v>4</v>
      </c>
      <c r="M1302" t="s">
        <v>59</v>
      </c>
      <c r="N1302">
        <v>3</v>
      </c>
      <c r="O1302">
        <v>2</v>
      </c>
      <c r="P1302" t="s">
        <v>145</v>
      </c>
      <c r="Q1302">
        <v>4</v>
      </c>
      <c r="R1302" t="s">
        <v>53</v>
      </c>
      <c r="S1302">
        <v>53487</v>
      </c>
      <c r="T1302" t="s">
        <v>64</v>
      </c>
      <c r="U1302">
        <v>334.29</v>
      </c>
      <c r="V1302">
        <v>3</v>
      </c>
      <c r="W1302" t="s">
        <v>55</v>
      </c>
      <c r="X1302">
        <v>12</v>
      </c>
      <c r="Y1302">
        <v>3</v>
      </c>
      <c r="Z1302">
        <v>3</v>
      </c>
      <c r="AA1302">
        <v>0</v>
      </c>
      <c r="AB1302">
        <v>8</v>
      </c>
      <c r="AC1302">
        <v>1</v>
      </c>
      <c r="AD1302">
        <v>4</v>
      </c>
      <c r="AE1302">
        <v>5</v>
      </c>
      <c r="AF1302">
        <v>1</v>
      </c>
      <c r="AG1302">
        <v>0</v>
      </c>
      <c r="AH1302">
        <v>4</v>
      </c>
      <c r="AI1302">
        <f t="shared" si="140"/>
        <v>0</v>
      </c>
      <c r="AJ1302" t="str">
        <f t="shared" si="141"/>
        <v>4-5 yrs</v>
      </c>
      <c r="AK1302" t="str">
        <f t="shared" si="142"/>
        <v>Recent</v>
      </c>
      <c r="AL1302">
        <f t="shared" si="143"/>
        <v>0</v>
      </c>
      <c r="AM1302" t="str">
        <f t="shared" si="144"/>
        <v>Minimal Risk</v>
      </c>
      <c r="AN1302" s="6">
        <f t="shared" si="145"/>
        <v>9.0281567517170855E-2</v>
      </c>
      <c r="AO1302" s="7">
        <f t="shared" si="146"/>
        <v>641844</v>
      </c>
    </row>
    <row r="1303" spans="1:41" x14ac:dyDescent="0.3">
      <c r="A1303" t="s">
        <v>1370</v>
      </c>
      <c r="B1303">
        <v>49</v>
      </c>
      <c r="C1303" t="s">
        <v>1272</v>
      </c>
      <c r="D1303" t="s">
        <v>55</v>
      </c>
      <c r="E1303" t="s">
        <v>62</v>
      </c>
      <c r="F1303">
        <v>1064</v>
      </c>
      <c r="G1303" t="s">
        <v>735</v>
      </c>
      <c r="H1303">
        <v>2</v>
      </c>
      <c r="I1303">
        <v>1</v>
      </c>
      <c r="J1303" t="s">
        <v>50</v>
      </c>
      <c r="K1303">
        <v>1941</v>
      </c>
      <c r="L1303">
        <v>2</v>
      </c>
      <c r="M1303" t="s">
        <v>51</v>
      </c>
      <c r="N1303">
        <v>3</v>
      </c>
      <c r="O1303">
        <v>5</v>
      </c>
      <c r="P1303" t="s">
        <v>257</v>
      </c>
      <c r="Q1303">
        <v>4</v>
      </c>
      <c r="R1303" t="s">
        <v>113</v>
      </c>
      <c r="S1303">
        <v>13342</v>
      </c>
      <c r="T1303" t="s">
        <v>54</v>
      </c>
      <c r="U1303">
        <v>83.39</v>
      </c>
      <c r="V1303">
        <v>3</v>
      </c>
      <c r="W1303" t="s">
        <v>55</v>
      </c>
      <c r="X1303">
        <v>15</v>
      </c>
      <c r="Y1303">
        <v>3</v>
      </c>
      <c r="Z1303">
        <v>4</v>
      </c>
      <c r="AA1303">
        <v>0</v>
      </c>
      <c r="AB1303">
        <v>28</v>
      </c>
      <c r="AC1303">
        <v>3</v>
      </c>
      <c r="AD1303">
        <v>3</v>
      </c>
      <c r="AE1303">
        <v>5</v>
      </c>
      <c r="AF1303">
        <v>4</v>
      </c>
      <c r="AG1303">
        <v>4</v>
      </c>
      <c r="AH1303">
        <v>3</v>
      </c>
      <c r="AI1303">
        <f t="shared" si="140"/>
        <v>0</v>
      </c>
      <c r="AJ1303" t="str">
        <f t="shared" si="141"/>
        <v>4-5 yrs</v>
      </c>
      <c r="AK1303" t="str">
        <f t="shared" si="142"/>
        <v>Overdue</v>
      </c>
      <c r="AL1303">
        <f t="shared" si="143"/>
        <v>1</v>
      </c>
      <c r="AM1303" t="str">
        <f t="shared" si="144"/>
        <v>Low Risk</v>
      </c>
      <c r="AN1303" s="6">
        <f t="shared" si="145"/>
        <v>-0.73665238440422343</v>
      </c>
      <c r="AO1303" s="7">
        <f t="shared" si="146"/>
        <v>160104</v>
      </c>
    </row>
    <row r="1304" spans="1:41" x14ac:dyDescent="0.3">
      <c r="A1304" t="s">
        <v>1371</v>
      </c>
      <c r="B1304">
        <v>49</v>
      </c>
      <c r="C1304" t="s">
        <v>1272</v>
      </c>
      <c r="D1304" t="s">
        <v>55</v>
      </c>
      <c r="E1304" t="s">
        <v>62</v>
      </c>
      <c r="F1304">
        <v>1023</v>
      </c>
      <c r="G1304" t="s">
        <v>932</v>
      </c>
      <c r="H1304">
        <v>2</v>
      </c>
      <c r="I1304">
        <v>3</v>
      </c>
      <c r="J1304" t="s">
        <v>58</v>
      </c>
      <c r="K1304">
        <v>2065</v>
      </c>
      <c r="L1304">
        <v>4</v>
      </c>
      <c r="M1304" t="s">
        <v>51</v>
      </c>
      <c r="N1304">
        <v>2</v>
      </c>
      <c r="O1304">
        <v>2</v>
      </c>
      <c r="P1304" t="s">
        <v>145</v>
      </c>
      <c r="Q1304">
        <v>2</v>
      </c>
      <c r="R1304" t="s">
        <v>113</v>
      </c>
      <c r="S1304">
        <v>41806</v>
      </c>
      <c r="T1304" t="s">
        <v>72</v>
      </c>
      <c r="U1304">
        <v>261.29000000000002</v>
      </c>
      <c r="V1304">
        <v>2</v>
      </c>
      <c r="W1304" t="s">
        <v>55</v>
      </c>
      <c r="X1304">
        <v>14</v>
      </c>
      <c r="Y1304">
        <v>3</v>
      </c>
      <c r="Z1304">
        <v>4</v>
      </c>
      <c r="AA1304">
        <v>0</v>
      </c>
      <c r="AB1304">
        <v>17</v>
      </c>
      <c r="AC1304">
        <v>3</v>
      </c>
      <c r="AD1304">
        <v>2</v>
      </c>
      <c r="AE1304">
        <v>9</v>
      </c>
      <c r="AF1304">
        <v>6</v>
      </c>
      <c r="AG1304">
        <v>0</v>
      </c>
      <c r="AH1304">
        <v>8</v>
      </c>
      <c r="AI1304">
        <f t="shared" si="140"/>
        <v>0</v>
      </c>
      <c r="AJ1304" t="str">
        <f t="shared" si="141"/>
        <v>6-10 yrs</v>
      </c>
      <c r="AK1304" t="str">
        <f t="shared" si="142"/>
        <v>Recent</v>
      </c>
      <c r="AL1304">
        <f t="shared" si="143"/>
        <v>2</v>
      </c>
      <c r="AM1304" t="str">
        <f t="shared" si="144"/>
        <v>Medium Risk</v>
      </c>
      <c r="AN1304" s="6">
        <f t="shared" si="145"/>
        <v>-0.14782449545454326</v>
      </c>
      <c r="AO1304" s="7">
        <f t="shared" si="146"/>
        <v>501672</v>
      </c>
    </row>
    <row r="1305" spans="1:41" x14ac:dyDescent="0.3">
      <c r="A1305" t="s">
        <v>1371</v>
      </c>
      <c r="B1305">
        <v>49</v>
      </c>
      <c r="C1305" t="s">
        <v>1272</v>
      </c>
      <c r="D1305" t="s">
        <v>55</v>
      </c>
      <c r="E1305" t="s">
        <v>62</v>
      </c>
      <c r="F1305">
        <v>1023</v>
      </c>
      <c r="G1305" t="s">
        <v>932</v>
      </c>
      <c r="H1305">
        <v>2</v>
      </c>
      <c r="I1305">
        <v>3</v>
      </c>
      <c r="J1305" t="s">
        <v>58</v>
      </c>
      <c r="K1305">
        <v>2065</v>
      </c>
      <c r="L1305">
        <v>4</v>
      </c>
      <c r="M1305" t="s">
        <v>51</v>
      </c>
      <c r="N1305">
        <v>2</v>
      </c>
      <c r="O1305">
        <v>2</v>
      </c>
      <c r="P1305" t="s">
        <v>145</v>
      </c>
      <c r="Q1305">
        <v>2</v>
      </c>
      <c r="R1305" t="s">
        <v>113</v>
      </c>
      <c r="S1305">
        <v>49770</v>
      </c>
      <c r="T1305" t="s">
        <v>72</v>
      </c>
      <c r="U1305">
        <v>311.06</v>
      </c>
      <c r="V1305">
        <v>2</v>
      </c>
      <c r="W1305" t="s">
        <v>55</v>
      </c>
      <c r="X1305">
        <v>14</v>
      </c>
      <c r="Y1305">
        <v>3</v>
      </c>
      <c r="Z1305">
        <v>4</v>
      </c>
      <c r="AA1305">
        <v>0</v>
      </c>
      <c r="AB1305">
        <v>17</v>
      </c>
      <c r="AC1305">
        <v>3</v>
      </c>
      <c r="AD1305">
        <v>2</v>
      </c>
      <c r="AE1305">
        <v>9</v>
      </c>
      <c r="AF1305">
        <v>6</v>
      </c>
      <c r="AG1305">
        <v>0</v>
      </c>
      <c r="AH1305">
        <v>8</v>
      </c>
      <c r="AI1305">
        <f t="shared" si="140"/>
        <v>0</v>
      </c>
      <c r="AJ1305" t="str">
        <f t="shared" si="141"/>
        <v>6-10 yrs</v>
      </c>
      <c r="AK1305" t="str">
        <f t="shared" si="142"/>
        <v>Recent</v>
      </c>
      <c r="AL1305">
        <f t="shared" si="143"/>
        <v>2</v>
      </c>
      <c r="AM1305" t="str">
        <f t="shared" si="144"/>
        <v>Medium Risk</v>
      </c>
      <c r="AN1305" s="6">
        <f t="shared" si="145"/>
        <v>1.4514061647308573E-2</v>
      </c>
      <c r="AO1305" s="7">
        <f t="shared" si="146"/>
        <v>597240</v>
      </c>
    </row>
    <row r="1306" spans="1:41" x14ac:dyDescent="0.3">
      <c r="A1306" t="s">
        <v>1372</v>
      </c>
      <c r="B1306">
        <v>50</v>
      </c>
      <c r="C1306" t="s">
        <v>1272</v>
      </c>
      <c r="D1306" t="s">
        <v>47</v>
      </c>
      <c r="E1306" t="s">
        <v>48</v>
      </c>
      <c r="F1306">
        <v>869</v>
      </c>
      <c r="G1306" t="s">
        <v>932</v>
      </c>
      <c r="H1306">
        <v>3</v>
      </c>
      <c r="I1306">
        <v>2</v>
      </c>
      <c r="J1306" t="s">
        <v>63</v>
      </c>
      <c r="K1306">
        <v>47</v>
      </c>
      <c r="L1306">
        <v>1</v>
      </c>
      <c r="M1306" t="s">
        <v>51</v>
      </c>
      <c r="N1306">
        <v>2</v>
      </c>
      <c r="O1306">
        <v>1</v>
      </c>
      <c r="P1306" t="s">
        <v>60</v>
      </c>
      <c r="Q1306">
        <v>3</v>
      </c>
      <c r="R1306" t="s">
        <v>113</v>
      </c>
      <c r="S1306">
        <v>79623</v>
      </c>
      <c r="T1306" t="s">
        <v>64</v>
      </c>
      <c r="U1306">
        <v>497.64</v>
      </c>
      <c r="V1306">
        <v>1</v>
      </c>
      <c r="W1306" t="s">
        <v>47</v>
      </c>
      <c r="X1306">
        <v>14</v>
      </c>
      <c r="Y1306">
        <v>3</v>
      </c>
      <c r="Z1306">
        <v>3</v>
      </c>
      <c r="AA1306">
        <v>0</v>
      </c>
      <c r="AB1306">
        <v>3</v>
      </c>
      <c r="AC1306">
        <v>2</v>
      </c>
      <c r="AD1306">
        <v>3</v>
      </c>
      <c r="AE1306">
        <v>3</v>
      </c>
      <c r="AF1306">
        <v>2</v>
      </c>
      <c r="AG1306">
        <v>0</v>
      </c>
      <c r="AH1306">
        <v>2</v>
      </c>
      <c r="AI1306">
        <f t="shared" si="140"/>
        <v>1</v>
      </c>
      <c r="AJ1306" t="str">
        <f t="shared" si="141"/>
        <v>2-3 yrs</v>
      </c>
      <c r="AK1306" t="str">
        <f t="shared" si="142"/>
        <v>Recent</v>
      </c>
      <c r="AL1306">
        <f t="shared" si="143"/>
        <v>1</v>
      </c>
      <c r="AM1306" t="str">
        <f t="shared" si="144"/>
        <v>Low Risk</v>
      </c>
      <c r="AN1306" s="6">
        <f t="shared" si="145"/>
        <v>0.61419357921693774</v>
      </c>
      <c r="AO1306" s="7">
        <f t="shared" si="146"/>
        <v>955476</v>
      </c>
    </row>
    <row r="1307" spans="1:41" x14ac:dyDescent="0.3">
      <c r="A1307" t="s">
        <v>1373</v>
      </c>
      <c r="B1307">
        <v>50</v>
      </c>
      <c r="C1307" t="s">
        <v>1272</v>
      </c>
      <c r="D1307" t="s">
        <v>55</v>
      </c>
      <c r="E1307" t="s">
        <v>48</v>
      </c>
      <c r="F1307">
        <v>989</v>
      </c>
      <c r="G1307" t="s">
        <v>735</v>
      </c>
      <c r="H1307">
        <v>7</v>
      </c>
      <c r="I1307">
        <v>2</v>
      </c>
      <c r="J1307" t="s">
        <v>58</v>
      </c>
      <c r="K1307">
        <v>80</v>
      </c>
      <c r="L1307">
        <v>2</v>
      </c>
      <c r="M1307" t="s">
        <v>59</v>
      </c>
      <c r="N1307">
        <v>2</v>
      </c>
      <c r="O1307">
        <v>5</v>
      </c>
      <c r="P1307" t="s">
        <v>257</v>
      </c>
      <c r="Q1307">
        <v>3</v>
      </c>
      <c r="R1307" t="s">
        <v>113</v>
      </c>
      <c r="S1307">
        <v>76629</v>
      </c>
      <c r="T1307" t="s">
        <v>64</v>
      </c>
      <c r="U1307">
        <v>478.93</v>
      </c>
      <c r="V1307">
        <v>5</v>
      </c>
      <c r="W1307" t="s">
        <v>47</v>
      </c>
      <c r="X1307">
        <v>12</v>
      </c>
      <c r="Y1307">
        <v>3</v>
      </c>
      <c r="Z1307">
        <v>4</v>
      </c>
      <c r="AA1307">
        <v>1</v>
      </c>
      <c r="AB1307">
        <v>29</v>
      </c>
      <c r="AC1307">
        <v>2</v>
      </c>
      <c r="AD1307">
        <v>2</v>
      </c>
      <c r="AE1307">
        <v>27</v>
      </c>
      <c r="AF1307">
        <v>3</v>
      </c>
      <c r="AG1307">
        <v>13</v>
      </c>
      <c r="AH1307">
        <v>8</v>
      </c>
      <c r="AI1307">
        <f t="shared" si="140"/>
        <v>0</v>
      </c>
      <c r="AJ1307" t="str">
        <f t="shared" si="141"/>
        <v>10+ yrs</v>
      </c>
      <c r="AK1307" t="str">
        <f t="shared" si="142"/>
        <v>Overdue</v>
      </c>
      <c r="AL1307">
        <f t="shared" si="143"/>
        <v>3</v>
      </c>
      <c r="AM1307" t="str">
        <f t="shared" si="144"/>
        <v>High Risk</v>
      </c>
      <c r="AN1307" s="6">
        <f t="shared" si="145"/>
        <v>0.51252169356084298</v>
      </c>
      <c r="AO1307" s="7">
        <f t="shared" si="146"/>
        <v>919548</v>
      </c>
    </row>
    <row r="1308" spans="1:41" x14ac:dyDescent="0.3">
      <c r="A1308" t="s">
        <v>1374</v>
      </c>
      <c r="B1308">
        <v>50</v>
      </c>
      <c r="C1308" t="s">
        <v>1272</v>
      </c>
      <c r="D1308" t="s">
        <v>55</v>
      </c>
      <c r="E1308" t="s">
        <v>62</v>
      </c>
      <c r="F1308">
        <v>1115</v>
      </c>
      <c r="G1308" t="s">
        <v>735</v>
      </c>
      <c r="H1308">
        <v>1</v>
      </c>
      <c r="I1308">
        <v>3</v>
      </c>
      <c r="J1308" t="s">
        <v>50</v>
      </c>
      <c r="K1308">
        <v>141</v>
      </c>
      <c r="L1308">
        <v>1</v>
      </c>
      <c r="M1308" t="s">
        <v>59</v>
      </c>
      <c r="N1308">
        <v>3</v>
      </c>
      <c r="O1308">
        <v>5</v>
      </c>
      <c r="P1308" t="s">
        <v>257</v>
      </c>
      <c r="Q1308">
        <v>2</v>
      </c>
      <c r="R1308" t="s">
        <v>113</v>
      </c>
      <c r="S1308">
        <v>53603</v>
      </c>
      <c r="T1308" t="s">
        <v>64</v>
      </c>
      <c r="U1308">
        <v>335.02</v>
      </c>
      <c r="V1308">
        <v>3</v>
      </c>
      <c r="W1308" t="s">
        <v>47</v>
      </c>
      <c r="X1308">
        <v>19</v>
      </c>
      <c r="Y1308">
        <v>3</v>
      </c>
      <c r="Z1308">
        <v>1</v>
      </c>
      <c r="AA1308">
        <v>0</v>
      </c>
      <c r="AB1308">
        <v>28</v>
      </c>
      <c r="AC1308">
        <v>1</v>
      </c>
      <c r="AD1308">
        <v>2</v>
      </c>
      <c r="AE1308">
        <v>8</v>
      </c>
      <c r="AF1308">
        <v>3</v>
      </c>
      <c r="AG1308">
        <v>0</v>
      </c>
      <c r="AH1308">
        <v>7</v>
      </c>
      <c r="AI1308">
        <f t="shared" si="140"/>
        <v>0</v>
      </c>
      <c r="AJ1308" t="str">
        <f t="shared" si="141"/>
        <v>6-10 yrs</v>
      </c>
      <c r="AK1308" t="str">
        <f t="shared" si="142"/>
        <v>Recent</v>
      </c>
      <c r="AL1308">
        <f t="shared" si="143"/>
        <v>3</v>
      </c>
      <c r="AM1308" t="str">
        <f t="shared" si="144"/>
        <v>High Risk</v>
      </c>
      <c r="AN1308" s="6">
        <f t="shared" si="145"/>
        <v>5.8028949091621526E-2</v>
      </c>
      <c r="AO1308" s="7">
        <f t="shared" si="146"/>
        <v>643236</v>
      </c>
    </row>
    <row r="1309" spans="1:41" x14ac:dyDescent="0.3">
      <c r="A1309" t="s">
        <v>1375</v>
      </c>
      <c r="B1309">
        <v>50</v>
      </c>
      <c r="C1309" t="s">
        <v>1272</v>
      </c>
      <c r="D1309" t="s">
        <v>55</v>
      </c>
      <c r="E1309" t="s">
        <v>62</v>
      </c>
      <c r="F1309">
        <v>809</v>
      </c>
      <c r="G1309" t="s">
        <v>932</v>
      </c>
      <c r="H1309">
        <v>12</v>
      </c>
      <c r="I1309">
        <v>3</v>
      </c>
      <c r="J1309" t="s">
        <v>63</v>
      </c>
      <c r="K1309">
        <v>174</v>
      </c>
      <c r="L1309">
        <v>3</v>
      </c>
      <c r="M1309" t="s">
        <v>59</v>
      </c>
      <c r="N1309">
        <v>3</v>
      </c>
      <c r="O1309">
        <v>3</v>
      </c>
      <c r="P1309" t="s">
        <v>145</v>
      </c>
      <c r="Q1309">
        <v>4</v>
      </c>
      <c r="R1309" t="s">
        <v>53</v>
      </c>
      <c r="S1309">
        <v>82974</v>
      </c>
      <c r="T1309" t="s">
        <v>64</v>
      </c>
      <c r="U1309">
        <v>518.59</v>
      </c>
      <c r="V1309">
        <v>4</v>
      </c>
      <c r="W1309" t="s">
        <v>55</v>
      </c>
      <c r="X1309">
        <v>11</v>
      </c>
      <c r="Y1309">
        <v>3</v>
      </c>
      <c r="Z1309">
        <v>4</v>
      </c>
      <c r="AA1309">
        <v>0</v>
      </c>
      <c r="AB1309">
        <v>16</v>
      </c>
      <c r="AC1309">
        <v>3</v>
      </c>
      <c r="AD1309">
        <v>3</v>
      </c>
      <c r="AE1309">
        <v>2</v>
      </c>
      <c r="AF1309">
        <v>2</v>
      </c>
      <c r="AG1309">
        <v>2</v>
      </c>
      <c r="AH1309">
        <v>1</v>
      </c>
      <c r="AI1309">
        <f t="shared" si="140"/>
        <v>0</v>
      </c>
      <c r="AJ1309" t="str">
        <f t="shared" si="141"/>
        <v>2-3 yrs</v>
      </c>
      <c r="AK1309" t="str">
        <f t="shared" si="142"/>
        <v>Recent</v>
      </c>
      <c r="AL1309">
        <f t="shared" si="143"/>
        <v>0</v>
      </c>
      <c r="AM1309" t="str">
        <f t="shared" si="144"/>
        <v>Minimal Risk</v>
      </c>
      <c r="AN1309" s="6">
        <f t="shared" si="145"/>
        <v>0.6913459865606546</v>
      </c>
      <c r="AO1309" s="7">
        <f t="shared" si="146"/>
        <v>995688</v>
      </c>
    </row>
    <row r="1310" spans="1:41" x14ac:dyDescent="0.3">
      <c r="A1310" t="s">
        <v>1376</v>
      </c>
      <c r="B1310">
        <v>50</v>
      </c>
      <c r="C1310" t="s">
        <v>1272</v>
      </c>
      <c r="D1310" t="s">
        <v>55</v>
      </c>
      <c r="E1310" t="s">
        <v>48</v>
      </c>
      <c r="F1310">
        <v>1452</v>
      </c>
      <c r="G1310" t="s">
        <v>735</v>
      </c>
      <c r="H1310">
        <v>11</v>
      </c>
      <c r="I1310">
        <v>3</v>
      </c>
      <c r="J1310" t="s">
        <v>50</v>
      </c>
      <c r="K1310">
        <v>226</v>
      </c>
      <c r="L1310">
        <v>3</v>
      </c>
      <c r="M1310" t="s">
        <v>59</v>
      </c>
      <c r="N1310">
        <v>3</v>
      </c>
      <c r="O1310">
        <v>5</v>
      </c>
      <c r="P1310" t="s">
        <v>444</v>
      </c>
      <c r="Q1310">
        <v>2</v>
      </c>
      <c r="R1310" t="s">
        <v>53</v>
      </c>
      <c r="S1310">
        <v>27399</v>
      </c>
      <c r="T1310" t="s">
        <v>72</v>
      </c>
      <c r="U1310">
        <v>171.24</v>
      </c>
      <c r="V1310">
        <v>3</v>
      </c>
      <c r="W1310" t="s">
        <v>55</v>
      </c>
      <c r="X1310">
        <v>15</v>
      </c>
      <c r="Y1310">
        <v>3</v>
      </c>
      <c r="Z1310">
        <v>2</v>
      </c>
      <c r="AA1310">
        <v>0</v>
      </c>
      <c r="AB1310">
        <v>21</v>
      </c>
      <c r="AC1310">
        <v>5</v>
      </c>
      <c r="AD1310">
        <v>3</v>
      </c>
      <c r="AE1310">
        <v>5</v>
      </c>
      <c r="AF1310">
        <v>4</v>
      </c>
      <c r="AG1310">
        <v>4</v>
      </c>
      <c r="AH1310">
        <v>4</v>
      </c>
      <c r="AI1310">
        <f t="shared" si="140"/>
        <v>0</v>
      </c>
      <c r="AJ1310" t="str">
        <f t="shared" si="141"/>
        <v>4-5 yrs</v>
      </c>
      <c r="AK1310" t="str">
        <f t="shared" si="142"/>
        <v>Overdue</v>
      </c>
      <c r="AL1310">
        <f t="shared" si="143"/>
        <v>2</v>
      </c>
      <c r="AM1310" t="str">
        <f t="shared" si="144"/>
        <v>Medium Risk</v>
      </c>
      <c r="AN1310" s="6">
        <f t="shared" si="145"/>
        <v>-0.47509798603666109</v>
      </c>
      <c r="AO1310" s="7">
        <f t="shared" si="146"/>
        <v>328788</v>
      </c>
    </row>
    <row r="1311" spans="1:41" x14ac:dyDescent="0.3">
      <c r="A1311" t="s">
        <v>1377</v>
      </c>
      <c r="B1311">
        <v>50</v>
      </c>
      <c r="C1311" t="s">
        <v>1272</v>
      </c>
      <c r="D1311" t="s">
        <v>55</v>
      </c>
      <c r="E1311" t="s">
        <v>48</v>
      </c>
      <c r="F1311">
        <v>328</v>
      </c>
      <c r="G1311" t="s">
        <v>735</v>
      </c>
      <c r="H1311">
        <v>1</v>
      </c>
      <c r="I1311">
        <v>3</v>
      </c>
      <c r="J1311" t="s">
        <v>58</v>
      </c>
      <c r="K1311">
        <v>249</v>
      </c>
      <c r="L1311">
        <v>3</v>
      </c>
      <c r="M1311" t="s">
        <v>51</v>
      </c>
      <c r="N1311">
        <v>2</v>
      </c>
      <c r="O1311">
        <v>1</v>
      </c>
      <c r="P1311" t="s">
        <v>52</v>
      </c>
      <c r="Q1311">
        <v>3</v>
      </c>
      <c r="R1311" t="s">
        <v>113</v>
      </c>
      <c r="S1311">
        <v>86382</v>
      </c>
      <c r="T1311" t="s">
        <v>70</v>
      </c>
      <c r="U1311">
        <v>539.89</v>
      </c>
      <c r="V1311">
        <v>2</v>
      </c>
      <c r="W1311" t="s">
        <v>55</v>
      </c>
      <c r="X1311">
        <v>15</v>
      </c>
      <c r="Y1311">
        <v>3</v>
      </c>
      <c r="Z1311">
        <v>4</v>
      </c>
      <c r="AA1311">
        <v>1</v>
      </c>
      <c r="AB1311">
        <v>5</v>
      </c>
      <c r="AC1311">
        <v>2</v>
      </c>
      <c r="AD1311">
        <v>2</v>
      </c>
      <c r="AE1311">
        <v>3</v>
      </c>
      <c r="AF1311">
        <v>2</v>
      </c>
      <c r="AG1311">
        <v>0</v>
      </c>
      <c r="AH1311">
        <v>2</v>
      </c>
      <c r="AI1311">
        <f t="shared" si="140"/>
        <v>0</v>
      </c>
      <c r="AJ1311" t="str">
        <f t="shared" si="141"/>
        <v>2-3 yrs</v>
      </c>
      <c r="AK1311" t="str">
        <f t="shared" si="142"/>
        <v>Recent</v>
      </c>
      <c r="AL1311">
        <f t="shared" si="143"/>
        <v>1</v>
      </c>
      <c r="AM1311" t="str">
        <f t="shared" si="144"/>
        <v>Low Risk</v>
      </c>
      <c r="AN1311" s="6">
        <f t="shared" si="145"/>
        <v>0.67016628924272725</v>
      </c>
      <c r="AO1311" s="7">
        <f t="shared" si="146"/>
        <v>1036584</v>
      </c>
    </row>
    <row r="1312" spans="1:41" x14ac:dyDescent="0.3">
      <c r="A1312" t="s">
        <v>1378</v>
      </c>
      <c r="B1312">
        <v>50</v>
      </c>
      <c r="C1312" t="s">
        <v>1272</v>
      </c>
      <c r="D1312" t="s">
        <v>55</v>
      </c>
      <c r="E1312" t="s">
        <v>48</v>
      </c>
      <c r="F1312">
        <v>854</v>
      </c>
      <c r="G1312" t="s">
        <v>932</v>
      </c>
      <c r="H1312">
        <v>1</v>
      </c>
      <c r="I1312">
        <v>4</v>
      </c>
      <c r="J1312" t="s">
        <v>58</v>
      </c>
      <c r="K1312">
        <v>323</v>
      </c>
      <c r="L1312">
        <v>4</v>
      </c>
      <c r="M1312" t="s">
        <v>59</v>
      </c>
      <c r="N1312">
        <v>3</v>
      </c>
      <c r="O1312">
        <v>5</v>
      </c>
      <c r="P1312" t="s">
        <v>444</v>
      </c>
      <c r="Q1312">
        <v>4</v>
      </c>
      <c r="R1312" t="s">
        <v>113</v>
      </c>
      <c r="S1312">
        <v>82244</v>
      </c>
      <c r="T1312" t="s">
        <v>64</v>
      </c>
      <c r="U1312">
        <v>514.02</v>
      </c>
      <c r="V1312">
        <v>3</v>
      </c>
      <c r="W1312" t="s">
        <v>55</v>
      </c>
      <c r="X1312">
        <v>11</v>
      </c>
      <c r="Y1312">
        <v>3</v>
      </c>
      <c r="Z1312">
        <v>3</v>
      </c>
      <c r="AA1312">
        <v>1</v>
      </c>
      <c r="AB1312">
        <v>32</v>
      </c>
      <c r="AC1312">
        <v>3</v>
      </c>
      <c r="AD1312">
        <v>2</v>
      </c>
      <c r="AE1312">
        <v>7</v>
      </c>
      <c r="AF1312">
        <v>0</v>
      </c>
      <c r="AG1312">
        <v>0</v>
      </c>
      <c r="AH1312">
        <v>6</v>
      </c>
      <c r="AI1312">
        <f t="shared" si="140"/>
        <v>0</v>
      </c>
      <c r="AJ1312" t="str">
        <f t="shared" si="141"/>
        <v>6-10 yrs</v>
      </c>
      <c r="AK1312" t="str">
        <f t="shared" si="142"/>
        <v>Recent</v>
      </c>
      <c r="AL1312">
        <f t="shared" si="143"/>
        <v>1</v>
      </c>
      <c r="AM1312" t="str">
        <f t="shared" si="144"/>
        <v>Low Risk</v>
      </c>
      <c r="AN1312" s="6">
        <f t="shared" si="145"/>
        <v>0.5756064541187943</v>
      </c>
      <c r="AO1312" s="7">
        <f t="shared" si="146"/>
        <v>986928</v>
      </c>
    </row>
    <row r="1313" spans="1:41" x14ac:dyDescent="0.3">
      <c r="A1313" t="s">
        <v>1379</v>
      </c>
      <c r="B1313">
        <v>50</v>
      </c>
      <c r="C1313" t="s">
        <v>1272</v>
      </c>
      <c r="D1313" t="s">
        <v>55</v>
      </c>
      <c r="E1313" t="s">
        <v>48</v>
      </c>
      <c r="F1313">
        <v>797</v>
      </c>
      <c r="G1313" t="s">
        <v>735</v>
      </c>
      <c r="H1313">
        <v>4</v>
      </c>
      <c r="I1313">
        <v>1</v>
      </c>
      <c r="J1313" t="s">
        <v>50</v>
      </c>
      <c r="K1313">
        <v>385</v>
      </c>
      <c r="L1313">
        <v>1</v>
      </c>
      <c r="M1313" t="s">
        <v>51</v>
      </c>
      <c r="N1313">
        <v>3</v>
      </c>
      <c r="O1313">
        <v>5</v>
      </c>
      <c r="P1313" t="s">
        <v>257</v>
      </c>
      <c r="Q1313">
        <v>2</v>
      </c>
      <c r="R1313" t="s">
        <v>113</v>
      </c>
      <c r="S1313">
        <v>77534</v>
      </c>
      <c r="T1313" t="s">
        <v>64</v>
      </c>
      <c r="U1313">
        <v>484.59</v>
      </c>
      <c r="V1313">
        <v>3</v>
      </c>
      <c r="W1313" t="s">
        <v>55</v>
      </c>
      <c r="X1313">
        <v>14</v>
      </c>
      <c r="Y1313">
        <v>3</v>
      </c>
      <c r="Z1313">
        <v>1</v>
      </c>
      <c r="AA1313">
        <v>2</v>
      </c>
      <c r="AB1313">
        <v>28</v>
      </c>
      <c r="AC1313">
        <v>4</v>
      </c>
      <c r="AD1313">
        <v>2</v>
      </c>
      <c r="AE1313">
        <v>10</v>
      </c>
      <c r="AF1313">
        <v>4</v>
      </c>
      <c r="AG1313">
        <v>1</v>
      </c>
      <c r="AH1313">
        <v>6</v>
      </c>
      <c r="AI1313">
        <f t="shared" si="140"/>
        <v>0</v>
      </c>
      <c r="AJ1313" t="str">
        <f t="shared" si="141"/>
        <v>6-10 yrs</v>
      </c>
      <c r="AK1313" t="str">
        <f t="shared" si="142"/>
        <v>Recent</v>
      </c>
      <c r="AL1313">
        <f t="shared" si="143"/>
        <v>2</v>
      </c>
      <c r="AM1313" t="str">
        <f t="shared" si="144"/>
        <v>Medium Risk</v>
      </c>
      <c r="AN1313" s="6">
        <f t="shared" si="145"/>
        <v>0.53038480194895399</v>
      </c>
      <c r="AO1313" s="7">
        <f t="shared" si="146"/>
        <v>930408</v>
      </c>
    </row>
    <row r="1314" spans="1:41" x14ac:dyDescent="0.3">
      <c r="A1314" t="s">
        <v>1380</v>
      </c>
      <c r="B1314">
        <v>50</v>
      </c>
      <c r="C1314" t="s">
        <v>1272</v>
      </c>
      <c r="D1314" t="s">
        <v>55</v>
      </c>
      <c r="E1314" t="s">
        <v>48</v>
      </c>
      <c r="F1314">
        <v>1046</v>
      </c>
      <c r="G1314" t="s">
        <v>735</v>
      </c>
      <c r="H1314">
        <v>10</v>
      </c>
      <c r="I1314">
        <v>3</v>
      </c>
      <c r="J1314" t="s">
        <v>77</v>
      </c>
      <c r="K1314">
        <v>491</v>
      </c>
      <c r="L1314">
        <v>4</v>
      </c>
      <c r="M1314" t="s">
        <v>51</v>
      </c>
      <c r="N1314">
        <v>2</v>
      </c>
      <c r="O1314">
        <v>3</v>
      </c>
      <c r="P1314" t="s">
        <v>168</v>
      </c>
      <c r="Q1314">
        <v>4</v>
      </c>
      <c r="R1314" t="s">
        <v>53</v>
      </c>
      <c r="S1314">
        <v>56106</v>
      </c>
      <c r="T1314" t="s">
        <v>64</v>
      </c>
      <c r="U1314">
        <v>350.66</v>
      </c>
      <c r="V1314">
        <v>6</v>
      </c>
      <c r="W1314" t="s">
        <v>55</v>
      </c>
      <c r="X1314">
        <v>15</v>
      </c>
      <c r="Y1314">
        <v>3</v>
      </c>
      <c r="Z1314">
        <v>4</v>
      </c>
      <c r="AA1314">
        <v>0</v>
      </c>
      <c r="AB1314">
        <v>20</v>
      </c>
      <c r="AC1314">
        <v>2</v>
      </c>
      <c r="AD1314">
        <v>3</v>
      </c>
      <c r="AE1314">
        <v>4</v>
      </c>
      <c r="AF1314">
        <v>3</v>
      </c>
      <c r="AG1314">
        <v>1</v>
      </c>
      <c r="AH1314">
        <v>3</v>
      </c>
      <c r="AI1314">
        <f t="shared" si="140"/>
        <v>0</v>
      </c>
      <c r="AJ1314" t="str">
        <f t="shared" si="141"/>
        <v>4-5 yrs</v>
      </c>
      <c r="AK1314" t="str">
        <f t="shared" si="142"/>
        <v>Recent</v>
      </c>
      <c r="AL1314">
        <f t="shared" si="143"/>
        <v>0</v>
      </c>
      <c r="AM1314" t="str">
        <f t="shared" si="144"/>
        <v>Minimal Risk</v>
      </c>
      <c r="AN1314" s="6">
        <f t="shared" si="145"/>
        <v>0.16428715419003692</v>
      </c>
      <c r="AO1314" s="7">
        <f t="shared" si="146"/>
        <v>673272</v>
      </c>
    </row>
    <row r="1315" spans="1:41" x14ac:dyDescent="0.3">
      <c r="A1315" t="s">
        <v>1381</v>
      </c>
      <c r="B1315">
        <v>50</v>
      </c>
      <c r="C1315" t="s">
        <v>1272</v>
      </c>
      <c r="D1315" t="s">
        <v>55</v>
      </c>
      <c r="E1315" t="s">
        <v>48</v>
      </c>
      <c r="F1315">
        <v>1099</v>
      </c>
      <c r="G1315" t="s">
        <v>735</v>
      </c>
      <c r="H1315">
        <v>29</v>
      </c>
      <c r="I1315">
        <v>4</v>
      </c>
      <c r="J1315" t="s">
        <v>50</v>
      </c>
      <c r="K1315">
        <v>569</v>
      </c>
      <c r="L1315">
        <v>2</v>
      </c>
      <c r="M1315" t="s">
        <v>51</v>
      </c>
      <c r="N1315">
        <v>2</v>
      </c>
      <c r="O1315">
        <v>4</v>
      </c>
      <c r="P1315" t="s">
        <v>444</v>
      </c>
      <c r="Q1315">
        <v>3</v>
      </c>
      <c r="R1315" t="s">
        <v>113</v>
      </c>
      <c r="S1315">
        <v>31678</v>
      </c>
      <c r="T1315" t="s">
        <v>72</v>
      </c>
      <c r="U1315">
        <v>197.99</v>
      </c>
      <c r="V1315">
        <v>0</v>
      </c>
      <c r="W1315" t="s">
        <v>55</v>
      </c>
      <c r="X1315">
        <v>15</v>
      </c>
      <c r="Y1315">
        <v>3</v>
      </c>
      <c r="Z1315">
        <v>2</v>
      </c>
      <c r="AA1315">
        <v>1</v>
      </c>
      <c r="AB1315">
        <v>28</v>
      </c>
      <c r="AC1315">
        <v>2</v>
      </c>
      <c r="AD1315">
        <v>3</v>
      </c>
      <c r="AE1315">
        <v>27</v>
      </c>
      <c r="AF1315">
        <v>10</v>
      </c>
      <c r="AG1315">
        <v>15</v>
      </c>
      <c r="AH1315">
        <v>7</v>
      </c>
      <c r="AI1315">
        <f t="shared" si="140"/>
        <v>0</v>
      </c>
      <c r="AJ1315" t="str">
        <f t="shared" si="141"/>
        <v>10+ yrs</v>
      </c>
      <c r="AK1315" t="str">
        <f t="shared" si="142"/>
        <v>Overdue</v>
      </c>
      <c r="AL1315">
        <f t="shared" si="143"/>
        <v>1</v>
      </c>
      <c r="AM1315" t="str">
        <f t="shared" si="144"/>
        <v>Low Risk</v>
      </c>
      <c r="AN1315" s="6">
        <f t="shared" si="145"/>
        <v>-0.39312215780391074</v>
      </c>
      <c r="AO1315" s="7">
        <f t="shared" si="146"/>
        <v>380136</v>
      </c>
    </row>
    <row r="1316" spans="1:41" x14ac:dyDescent="0.3">
      <c r="A1316" t="s">
        <v>1382</v>
      </c>
      <c r="B1316">
        <v>50</v>
      </c>
      <c r="C1316" t="s">
        <v>1272</v>
      </c>
      <c r="D1316" t="s">
        <v>55</v>
      </c>
      <c r="E1316" t="s">
        <v>62</v>
      </c>
      <c r="F1316">
        <v>1246</v>
      </c>
      <c r="G1316" t="s">
        <v>80</v>
      </c>
      <c r="H1316">
        <v>3</v>
      </c>
      <c r="I1316">
        <v>3</v>
      </c>
      <c r="J1316" t="s">
        <v>58</v>
      </c>
      <c r="K1316">
        <v>644</v>
      </c>
      <c r="L1316">
        <v>1</v>
      </c>
      <c r="M1316" t="s">
        <v>51</v>
      </c>
      <c r="N1316">
        <v>3</v>
      </c>
      <c r="O1316">
        <v>5</v>
      </c>
      <c r="P1316" t="s">
        <v>444</v>
      </c>
      <c r="Q1316">
        <v>2</v>
      </c>
      <c r="R1316" t="s">
        <v>113</v>
      </c>
      <c r="S1316">
        <v>77218</v>
      </c>
      <c r="T1316" t="s">
        <v>64</v>
      </c>
      <c r="U1316">
        <v>482.61</v>
      </c>
      <c r="V1316">
        <v>1</v>
      </c>
      <c r="W1316" t="s">
        <v>55</v>
      </c>
      <c r="X1316">
        <v>11</v>
      </c>
      <c r="Y1316">
        <v>3</v>
      </c>
      <c r="Z1316">
        <v>3</v>
      </c>
      <c r="AA1316">
        <v>1</v>
      </c>
      <c r="AB1316">
        <v>32</v>
      </c>
      <c r="AC1316">
        <v>2</v>
      </c>
      <c r="AD1316">
        <v>3</v>
      </c>
      <c r="AE1316">
        <v>32</v>
      </c>
      <c r="AF1316">
        <v>5</v>
      </c>
      <c r="AG1316">
        <v>10</v>
      </c>
      <c r="AH1316">
        <v>7</v>
      </c>
      <c r="AI1316">
        <f t="shared" si="140"/>
        <v>0</v>
      </c>
      <c r="AJ1316" t="str">
        <f t="shared" si="141"/>
        <v>10+ yrs</v>
      </c>
      <c r="AK1316" t="str">
        <f t="shared" si="142"/>
        <v>Overdue</v>
      </c>
      <c r="AL1316">
        <f t="shared" si="143"/>
        <v>2</v>
      </c>
      <c r="AM1316" t="str">
        <f t="shared" si="144"/>
        <v>Medium Risk</v>
      </c>
      <c r="AN1316" s="6">
        <f t="shared" si="145"/>
        <v>0.479319818760579</v>
      </c>
      <c r="AO1316" s="7">
        <f t="shared" si="146"/>
        <v>926616</v>
      </c>
    </row>
    <row r="1317" spans="1:41" x14ac:dyDescent="0.3">
      <c r="A1317" t="s">
        <v>1383</v>
      </c>
      <c r="B1317">
        <v>50</v>
      </c>
      <c r="C1317" t="s">
        <v>1272</v>
      </c>
      <c r="D1317" t="s">
        <v>55</v>
      </c>
      <c r="E1317" t="s">
        <v>48</v>
      </c>
      <c r="F1317">
        <v>1207</v>
      </c>
      <c r="G1317" t="s">
        <v>735</v>
      </c>
      <c r="H1317">
        <v>28</v>
      </c>
      <c r="I1317">
        <v>1</v>
      </c>
      <c r="J1317" t="s">
        <v>58</v>
      </c>
      <c r="K1317">
        <v>716</v>
      </c>
      <c r="L1317">
        <v>4</v>
      </c>
      <c r="M1317" t="s">
        <v>51</v>
      </c>
      <c r="N1317">
        <v>4</v>
      </c>
      <c r="O1317">
        <v>1</v>
      </c>
      <c r="P1317" t="s">
        <v>52</v>
      </c>
      <c r="Q1317">
        <v>3</v>
      </c>
      <c r="R1317" t="s">
        <v>113</v>
      </c>
      <c r="S1317">
        <v>64230</v>
      </c>
      <c r="T1317" t="s">
        <v>64</v>
      </c>
      <c r="U1317">
        <v>401.44</v>
      </c>
      <c r="V1317">
        <v>1</v>
      </c>
      <c r="W1317" t="s">
        <v>47</v>
      </c>
      <c r="X1317">
        <v>11</v>
      </c>
      <c r="Y1317">
        <v>3</v>
      </c>
      <c r="Z1317">
        <v>3</v>
      </c>
      <c r="AA1317">
        <v>3</v>
      </c>
      <c r="AB1317">
        <v>20</v>
      </c>
      <c r="AC1317">
        <v>3</v>
      </c>
      <c r="AD1317">
        <v>3</v>
      </c>
      <c r="AE1317">
        <v>20</v>
      </c>
      <c r="AF1317">
        <v>8</v>
      </c>
      <c r="AG1317">
        <v>3</v>
      </c>
      <c r="AH1317">
        <v>8</v>
      </c>
      <c r="AI1317">
        <f t="shared" si="140"/>
        <v>0</v>
      </c>
      <c r="AJ1317" t="str">
        <f t="shared" si="141"/>
        <v>10+ yrs</v>
      </c>
      <c r="AK1317" t="str">
        <f t="shared" si="142"/>
        <v>Overdue</v>
      </c>
      <c r="AL1317">
        <f t="shared" si="143"/>
        <v>2</v>
      </c>
      <c r="AM1317" t="str">
        <f t="shared" si="144"/>
        <v>Medium Risk</v>
      </c>
      <c r="AN1317" s="6">
        <f t="shared" si="145"/>
        <v>0.24186498064481457</v>
      </c>
      <c r="AO1317" s="7">
        <f t="shared" si="146"/>
        <v>770760</v>
      </c>
    </row>
    <row r="1318" spans="1:41" x14ac:dyDescent="0.3">
      <c r="A1318" t="s">
        <v>1384</v>
      </c>
      <c r="B1318">
        <v>50</v>
      </c>
      <c r="C1318" t="s">
        <v>1272</v>
      </c>
      <c r="D1318" t="s">
        <v>47</v>
      </c>
      <c r="E1318" t="s">
        <v>62</v>
      </c>
      <c r="F1318">
        <v>562</v>
      </c>
      <c r="G1318" t="s">
        <v>932</v>
      </c>
      <c r="H1318">
        <v>8</v>
      </c>
      <c r="I1318">
        <v>2</v>
      </c>
      <c r="J1318" t="s">
        <v>77</v>
      </c>
      <c r="K1318">
        <v>723</v>
      </c>
      <c r="L1318">
        <v>2</v>
      </c>
      <c r="M1318" t="s">
        <v>51</v>
      </c>
      <c r="N1318">
        <v>3</v>
      </c>
      <c r="O1318">
        <v>2</v>
      </c>
      <c r="P1318" t="s">
        <v>145</v>
      </c>
      <c r="Q1318">
        <v>3</v>
      </c>
      <c r="R1318" t="s">
        <v>113</v>
      </c>
      <c r="S1318">
        <v>75055</v>
      </c>
      <c r="T1318" t="s">
        <v>64</v>
      </c>
      <c r="U1318">
        <v>469.09</v>
      </c>
      <c r="V1318">
        <v>3</v>
      </c>
      <c r="W1318" t="s">
        <v>47</v>
      </c>
      <c r="X1318">
        <v>14</v>
      </c>
      <c r="Y1318">
        <v>3</v>
      </c>
      <c r="Z1318">
        <v>1</v>
      </c>
      <c r="AA1318">
        <v>1</v>
      </c>
      <c r="AB1318">
        <v>18</v>
      </c>
      <c r="AC1318">
        <v>4</v>
      </c>
      <c r="AD1318">
        <v>3</v>
      </c>
      <c r="AE1318">
        <v>4</v>
      </c>
      <c r="AF1318">
        <v>3</v>
      </c>
      <c r="AG1318">
        <v>1</v>
      </c>
      <c r="AH1318">
        <v>3</v>
      </c>
      <c r="AI1318">
        <f t="shared" si="140"/>
        <v>1</v>
      </c>
      <c r="AJ1318" t="str">
        <f t="shared" si="141"/>
        <v>4-5 yrs</v>
      </c>
      <c r="AK1318" t="str">
        <f t="shared" si="142"/>
        <v>Recent</v>
      </c>
      <c r="AL1318">
        <f t="shared" si="143"/>
        <v>1</v>
      </c>
      <c r="AM1318" t="str">
        <f t="shared" si="144"/>
        <v>Low Risk</v>
      </c>
      <c r="AN1318" s="6">
        <f t="shared" si="145"/>
        <v>0.52992471161219101</v>
      </c>
      <c r="AO1318" s="7">
        <f t="shared" si="146"/>
        <v>900660</v>
      </c>
    </row>
    <row r="1319" spans="1:41" x14ac:dyDescent="0.3">
      <c r="A1319" t="s">
        <v>1385</v>
      </c>
      <c r="B1319">
        <v>50</v>
      </c>
      <c r="C1319" t="s">
        <v>1272</v>
      </c>
      <c r="D1319" t="s">
        <v>55</v>
      </c>
      <c r="E1319" t="s">
        <v>48</v>
      </c>
      <c r="F1319">
        <v>316</v>
      </c>
      <c r="G1319" t="s">
        <v>932</v>
      </c>
      <c r="H1319">
        <v>8</v>
      </c>
      <c r="I1319">
        <v>4</v>
      </c>
      <c r="J1319" t="s">
        <v>63</v>
      </c>
      <c r="K1319">
        <v>738</v>
      </c>
      <c r="L1319">
        <v>4</v>
      </c>
      <c r="M1319" t="s">
        <v>51</v>
      </c>
      <c r="N1319">
        <v>3</v>
      </c>
      <c r="O1319">
        <v>1</v>
      </c>
      <c r="P1319" t="s">
        <v>60</v>
      </c>
      <c r="Q1319">
        <v>2</v>
      </c>
      <c r="R1319" t="s">
        <v>113</v>
      </c>
      <c r="S1319">
        <v>57373</v>
      </c>
      <c r="T1319" t="s">
        <v>64</v>
      </c>
      <c r="U1319">
        <v>358.58</v>
      </c>
      <c r="V1319">
        <v>7</v>
      </c>
      <c r="W1319" t="s">
        <v>55</v>
      </c>
      <c r="X1319">
        <v>15</v>
      </c>
      <c r="Y1319">
        <v>3</v>
      </c>
      <c r="Z1319">
        <v>4</v>
      </c>
      <c r="AA1319">
        <v>1</v>
      </c>
      <c r="AB1319">
        <v>4</v>
      </c>
      <c r="AC1319">
        <v>2</v>
      </c>
      <c r="AD1319">
        <v>3</v>
      </c>
      <c r="AE1319">
        <v>2</v>
      </c>
      <c r="AF1319">
        <v>2</v>
      </c>
      <c r="AG1319">
        <v>2</v>
      </c>
      <c r="AH1319">
        <v>2</v>
      </c>
      <c r="AI1319">
        <f t="shared" si="140"/>
        <v>0</v>
      </c>
      <c r="AJ1319" t="str">
        <f t="shared" si="141"/>
        <v>2-3 yrs</v>
      </c>
      <c r="AK1319" t="str">
        <f t="shared" si="142"/>
        <v>Recent</v>
      </c>
      <c r="AL1319">
        <f t="shared" si="143"/>
        <v>1</v>
      </c>
      <c r="AM1319" t="str">
        <f t="shared" si="144"/>
        <v>Low Risk</v>
      </c>
      <c r="AN1319" s="6">
        <f t="shared" si="145"/>
        <v>0.16312030720286064</v>
      </c>
      <c r="AO1319" s="7">
        <f t="shared" si="146"/>
        <v>688476</v>
      </c>
    </row>
    <row r="1320" spans="1:41" x14ac:dyDescent="0.3">
      <c r="A1320" t="s">
        <v>1386</v>
      </c>
      <c r="B1320">
        <v>50</v>
      </c>
      <c r="C1320" t="s">
        <v>1272</v>
      </c>
      <c r="D1320" t="s">
        <v>55</v>
      </c>
      <c r="E1320" t="s">
        <v>48</v>
      </c>
      <c r="F1320">
        <v>691</v>
      </c>
      <c r="G1320" t="s">
        <v>735</v>
      </c>
      <c r="H1320">
        <v>2</v>
      </c>
      <c r="I1320">
        <v>3</v>
      </c>
      <c r="J1320" t="s">
        <v>58</v>
      </c>
      <c r="K1320">
        <v>815</v>
      </c>
      <c r="L1320">
        <v>3</v>
      </c>
      <c r="M1320" t="s">
        <v>51</v>
      </c>
      <c r="N1320">
        <v>3</v>
      </c>
      <c r="O1320">
        <v>4</v>
      </c>
      <c r="P1320" t="s">
        <v>257</v>
      </c>
      <c r="Q1320">
        <v>3</v>
      </c>
      <c r="R1320" t="s">
        <v>113</v>
      </c>
      <c r="S1320">
        <v>32480</v>
      </c>
      <c r="T1320" t="s">
        <v>72</v>
      </c>
      <c r="U1320">
        <v>203</v>
      </c>
      <c r="V1320">
        <v>5</v>
      </c>
      <c r="W1320" t="s">
        <v>55</v>
      </c>
      <c r="X1320">
        <v>16</v>
      </c>
      <c r="Y1320">
        <v>3</v>
      </c>
      <c r="Z1320">
        <v>4</v>
      </c>
      <c r="AA1320">
        <v>0</v>
      </c>
      <c r="AB1320">
        <v>30</v>
      </c>
      <c r="AC1320">
        <v>3</v>
      </c>
      <c r="AD1320">
        <v>3</v>
      </c>
      <c r="AE1320">
        <v>4</v>
      </c>
      <c r="AF1320">
        <v>3</v>
      </c>
      <c r="AG1320">
        <v>0</v>
      </c>
      <c r="AH1320">
        <v>3</v>
      </c>
      <c r="AI1320">
        <f t="shared" si="140"/>
        <v>0</v>
      </c>
      <c r="AJ1320" t="str">
        <f t="shared" si="141"/>
        <v>4-5 yrs</v>
      </c>
      <c r="AK1320" t="str">
        <f t="shared" si="142"/>
        <v>Recent</v>
      </c>
      <c r="AL1320">
        <f t="shared" si="143"/>
        <v>0</v>
      </c>
      <c r="AM1320" t="str">
        <f t="shared" si="144"/>
        <v>Minimal Risk</v>
      </c>
      <c r="AN1320" s="6">
        <f t="shared" si="145"/>
        <v>-0.35890192215928463</v>
      </c>
      <c r="AO1320" s="7">
        <f t="shared" si="146"/>
        <v>389760</v>
      </c>
    </row>
    <row r="1321" spans="1:41" x14ac:dyDescent="0.3">
      <c r="A1321" t="s">
        <v>1387</v>
      </c>
      <c r="B1321">
        <v>50</v>
      </c>
      <c r="C1321" t="s">
        <v>1272</v>
      </c>
      <c r="D1321" t="s">
        <v>55</v>
      </c>
      <c r="E1321" t="s">
        <v>66</v>
      </c>
      <c r="F1321">
        <v>881</v>
      </c>
      <c r="G1321" t="s">
        <v>735</v>
      </c>
      <c r="H1321">
        <v>2</v>
      </c>
      <c r="I1321">
        <v>4</v>
      </c>
      <c r="J1321" t="s">
        <v>50</v>
      </c>
      <c r="K1321">
        <v>905</v>
      </c>
      <c r="L1321">
        <v>1</v>
      </c>
      <c r="M1321" t="s">
        <v>51</v>
      </c>
      <c r="N1321">
        <v>3</v>
      </c>
      <c r="O1321">
        <v>4</v>
      </c>
      <c r="P1321" t="s">
        <v>444</v>
      </c>
      <c r="Q1321">
        <v>1</v>
      </c>
      <c r="R1321" t="s">
        <v>53</v>
      </c>
      <c r="S1321">
        <v>86230</v>
      </c>
      <c r="T1321" t="s">
        <v>70</v>
      </c>
      <c r="U1321">
        <v>538.94000000000005</v>
      </c>
      <c r="V1321">
        <v>1</v>
      </c>
      <c r="W1321" t="s">
        <v>55</v>
      </c>
      <c r="X1321">
        <v>11</v>
      </c>
      <c r="Y1321">
        <v>3</v>
      </c>
      <c r="Z1321">
        <v>4</v>
      </c>
      <c r="AA1321">
        <v>1</v>
      </c>
      <c r="AB1321">
        <v>31</v>
      </c>
      <c r="AC1321">
        <v>3</v>
      </c>
      <c r="AD1321">
        <v>3</v>
      </c>
      <c r="AE1321">
        <v>31</v>
      </c>
      <c r="AF1321">
        <v>6</v>
      </c>
      <c r="AG1321">
        <v>14</v>
      </c>
      <c r="AH1321">
        <v>7</v>
      </c>
      <c r="AI1321">
        <f t="shared" si="140"/>
        <v>0</v>
      </c>
      <c r="AJ1321" t="str">
        <f t="shared" si="141"/>
        <v>10+ yrs</v>
      </c>
      <c r="AK1321" t="str">
        <f t="shared" si="142"/>
        <v>Overdue</v>
      </c>
      <c r="AL1321">
        <f t="shared" si="143"/>
        <v>2</v>
      </c>
      <c r="AM1321" t="str">
        <f t="shared" si="144"/>
        <v>Medium Risk</v>
      </c>
      <c r="AN1321" s="6">
        <f t="shared" si="145"/>
        <v>0.65196907420193129</v>
      </c>
      <c r="AO1321" s="7">
        <f t="shared" si="146"/>
        <v>1034760</v>
      </c>
    </row>
    <row r="1322" spans="1:41" x14ac:dyDescent="0.3">
      <c r="A1322" t="s">
        <v>1388</v>
      </c>
      <c r="B1322">
        <v>50</v>
      </c>
      <c r="C1322" t="s">
        <v>1272</v>
      </c>
      <c r="D1322" t="s">
        <v>55</v>
      </c>
      <c r="E1322" t="s">
        <v>48</v>
      </c>
      <c r="F1322">
        <v>1126</v>
      </c>
      <c r="G1322" t="s">
        <v>735</v>
      </c>
      <c r="H1322">
        <v>1</v>
      </c>
      <c r="I1322">
        <v>2</v>
      </c>
      <c r="J1322" t="s">
        <v>58</v>
      </c>
      <c r="K1322">
        <v>997</v>
      </c>
      <c r="L1322">
        <v>4</v>
      </c>
      <c r="M1322" t="s">
        <v>51</v>
      </c>
      <c r="N1322">
        <v>3</v>
      </c>
      <c r="O1322">
        <v>4</v>
      </c>
      <c r="P1322" t="s">
        <v>257</v>
      </c>
      <c r="Q1322">
        <v>4</v>
      </c>
      <c r="R1322" t="s">
        <v>113</v>
      </c>
      <c r="S1322">
        <v>69836</v>
      </c>
      <c r="T1322" t="s">
        <v>64</v>
      </c>
      <c r="U1322">
        <v>436.48</v>
      </c>
      <c r="V1322">
        <v>9</v>
      </c>
      <c r="W1322" t="s">
        <v>55</v>
      </c>
      <c r="X1322">
        <v>22</v>
      </c>
      <c r="Y1322">
        <v>4</v>
      </c>
      <c r="Z1322">
        <v>3</v>
      </c>
      <c r="AA1322">
        <v>1</v>
      </c>
      <c r="AB1322">
        <v>32</v>
      </c>
      <c r="AC1322">
        <v>1</v>
      </c>
      <c r="AD1322">
        <v>2</v>
      </c>
      <c r="AE1322">
        <v>5</v>
      </c>
      <c r="AF1322">
        <v>4</v>
      </c>
      <c r="AG1322">
        <v>1</v>
      </c>
      <c r="AH1322">
        <v>3</v>
      </c>
      <c r="AI1322">
        <f t="shared" si="140"/>
        <v>0</v>
      </c>
      <c r="AJ1322" t="str">
        <f t="shared" si="141"/>
        <v>4-5 yrs</v>
      </c>
      <c r="AK1322" t="str">
        <f t="shared" si="142"/>
        <v>Recent</v>
      </c>
      <c r="AL1322">
        <f t="shared" si="143"/>
        <v>1</v>
      </c>
      <c r="AM1322" t="str">
        <f t="shared" si="144"/>
        <v>Low Risk</v>
      </c>
      <c r="AN1322" s="6">
        <f t="shared" si="145"/>
        <v>0.37843982032278939</v>
      </c>
      <c r="AO1322" s="7">
        <f t="shared" si="146"/>
        <v>838032</v>
      </c>
    </row>
    <row r="1323" spans="1:41" x14ac:dyDescent="0.3">
      <c r="A1323" t="s">
        <v>1389</v>
      </c>
      <c r="B1323">
        <v>50</v>
      </c>
      <c r="C1323" t="s">
        <v>1272</v>
      </c>
      <c r="D1323" t="s">
        <v>55</v>
      </c>
      <c r="E1323" t="s">
        <v>48</v>
      </c>
      <c r="F1323">
        <v>939</v>
      </c>
      <c r="G1323" t="s">
        <v>735</v>
      </c>
      <c r="H1323">
        <v>24</v>
      </c>
      <c r="I1323">
        <v>3</v>
      </c>
      <c r="J1323" t="s">
        <v>50</v>
      </c>
      <c r="K1323">
        <v>1005</v>
      </c>
      <c r="L1323">
        <v>4</v>
      </c>
      <c r="M1323" t="s">
        <v>51</v>
      </c>
      <c r="N1323">
        <v>3</v>
      </c>
      <c r="O1323">
        <v>4</v>
      </c>
      <c r="P1323" t="s">
        <v>120</v>
      </c>
      <c r="Q1323">
        <v>3</v>
      </c>
      <c r="R1323" t="s">
        <v>113</v>
      </c>
      <c r="S1323">
        <v>73258</v>
      </c>
      <c r="T1323" t="s">
        <v>64</v>
      </c>
      <c r="U1323">
        <v>457.86</v>
      </c>
      <c r="V1323">
        <v>3</v>
      </c>
      <c r="W1323" t="s">
        <v>47</v>
      </c>
      <c r="X1323">
        <v>18</v>
      </c>
      <c r="Y1323">
        <v>3</v>
      </c>
      <c r="Z1323">
        <v>4</v>
      </c>
      <c r="AA1323">
        <v>1</v>
      </c>
      <c r="AB1323">
        <v>22</v>
      </c>
      <c r="AC1323">
        <v>2</v>
      </c>
      <c r="AD1323">
        <v>3</v>
      </c>
      <c r="AE1323">
        <v>12</v>
      </c>
      <c r="AF1323">
        <v>11</v>
      </c>
      <c r="AG1323">
        <v>1</v>
      </c>
      <c r="AH1323">
        <v>5</v>
      </c>
      <c r="AI1323">
        <f t="shared" si="140"/>
        <v>0</v>
      </c>
      <c r="AJ1323" t="str">
        <f t="shared" si="141"/>
        <v>10+ yrs</v>
      </c>
      <c r="AK1323" t="str">
        <f t="shared" si="142"/>
        <v>Recent</v>
      </c>
      <c r="AL1323">
        <f t="shared" si="143"/>
        <v>1</v>
      </c>
      <c r="AM1323" t="str">
        <f t="shared" si="144"/>
        <v>Low Risk</v>
      </c>
      <c r="AN1323" s="6">
        <f t="shared" si="145"/>
        <v>0.65385359384913122</v>
      </c>
      <c r="AO1323" s="7">
        <f t="shared" si="146"/>
        <v>879096</v>
      </c>
    </row>
    <row r="1324" spans="1:41" x14ac:dyDescent="0.3">
      <c r="A1324" t="s">
        <v>1390</v>
      </c>
      <c r="B1324">
        <v>50</v>
      </c>
      <c r="C1324" t="s">
        <v>1272</v>
      </c>
      <c r="D1324" t="s">
        <v>55</v>
      </c>
      <c r="E1324" t="s">
        <v>48</v>
      </c>
      <c r="F1324">
        <v>804</v>
      </c>
      <c r="G1324" t="s">
        <v>735</v>
      </c>
      <c r="H1324">
        <v>9</v>
      </c>
      <c r="I1324">
        <v>3</v>
      </c>
      <c r="J1324" t="s">
        <v>50</v>
      </c>
      <c r="K1324">
        <v>1030</v>
      </c>
      <c r="L1324">
        <v>1</v>
      </c>
      <c r="M1324" t="s">
        <v>51</v>
      </c>
      <c r="N1324">
        <v>3</v>
      </c>
      <c r="O1324">
        <v>1</v>
      </c>
      <c r="P1324" t="s">
        <v>52</v>
      </c>
      <c r="Q1324">
        <v>4</v>
      </c>
      <c r="R1324" t="s">
        <v>113</v>
      </c>
      <c r="S1324">
        <v>40986</v>
      </c>
      <c r="T1324" t="s">
        <v>72</v>
      </c>
      <c r="U1324">
        <v>256.16000000000003</v>
      </c>
      <c r="V1324">
        <v>4</v>
      </c>
      <c r="W1324" t="s">
        <v>55</v>
      </c>
      <c r="X1324">
        <v>18</v>
      </c>
      <c r="Y1324">
        <v>3</v>
      </c>
      <c r="Z1324">
        <v>2</v>
      </c>
      <c r="AA1324">
        <v>0</v>
      </c>
      <c r="AB1324">
        <v>8</v>
      </c>
      <c r="AC1324">
        <v>5</v>
      </c>
      <c r="AD1324">
        <v>3</v>
      </c>
      <c r="AE1324">
        <v>1</v>
      </c>
      <c r="AF1324">
        <v>0</v>
      </c>
      <c r="AG1324">
        <v>0</v>
      </c>
      <c r="AH1324">
        <v>0</v>
      </c>
      <c r="AI1324">
        <f t="shared" si="140"/>
        <v>0</v>
      </c>
      <c r="AJ1324" t="str">
        <f t="shared" si="141"/>
        <v>0-1 yr</v>
      </c>
      <c r="AK1324" t="str">
        <f t="shared" si="142"/>
        <v>Recent</v>
      </c>
      <c r="AL1324">
        <f t="shared" si="143"/>
        <v>0</v>
      </c>
      <c r="AM1324" t="str">
        <f t="shared" si="144"/>
        <v>Minimal Risk</v>
      </c>
      <c r="AN1324" s="6">
        <f t="shared" si="145"/>
        <v>-0.20754977274313607</v>
      </c>
      <c r="AO1324" s="7">
        <f t="shared" si="146"/>
        <v>491832</v>
      </c>
    </row>
    <row r="1325" spans="1:41" x14ac:dyDescent="0.3">
      <c r="A1325" t="s">
        <v>1391</v>
      </c>
      <c r="B1325">
        <v>50</v>
      </c>
      <c r="C1325" t="s">
        <v>1272</v>
      </c>
      <c r="D1325" t="s">
        <v>55</v>
      </c>
      <c r="E1325" t="s">
        <v>66</v>
      </c>
      <c r="F1325">
        <v>145</v>
      </c>
      <c r="G1325" t="s">
        <v>932</v>
      </c>
      <c r="H1325">
        <v>1</v>
      </c>
      <c r="I1325">
        <v>3</v>
      </c>
      <c r="J1325" t="s">
        <v>50</v>
      </c>
      <c r="K1325">
        <v>1040</v>
      </c>
      <c r="L1325">
        <v>4</v>
      </c>
      <c r="M1325" t="s">
        <v>59</v>
      </c>
      <c r="N1325">
        <v>3</v>
      </c>
      <c r="O1325">
        <v>2</v>
      </c>
      <c r="P1325" t="s">
        <v>145</v>
      </c>
      <c r="Q1325">
        <v>3</v>
      </c>
      <c r="R1325" t="s">
        <v>113</v>
      </c>
      <c r="S1325">
        <v>25160</v>
      </c>
      <c r="T1325" t="s">
        <v>72</v>
      </c>
      <c r="U1325">
        <v>157.25</v>
      </c>
      <c r="V1325">
        <v>0</v>
      </c>
      <c r="W1325" t="s">
        <v>55</v>
      </c>
      <c r="X1325">
        <v>12</v>
      </c>
      <c r="Y1325">
        <v>3</v>
      </c>
      <c r="Z1325">
        <v>1</v>
      </c>
      <c r="AA1325">
        <v>1</v>
      </c>
      <c r="AB1325">
        <v>19</v>
      </c>
      <c r="AC1325">
        <v>3</v>
      </c>
      <c r="AD1325">
        <v>3</v>
      </c>
      <c r="AE1325">
        <v>18</v>
      </c>
      <c r="AF1325">
        <v>7</v>
      </c>
      <c r="AG1325">
        <v>0</v>
      </c>
      <c r="AH1325">
        <v>13</v>
      </c>
      <c r="AI1325">
        <f t="shared" si="140"/>
        <v>0</v>
      </c>
      <c r="AJ1325" t="str">
        <f t="shared" si="141"/>
        <v>10+ yrs</v>
      </c>
      <c r="AK1325" t="str">
        <f t="shared" si="142"/>
        <v>Recent</v>
      </c>
      <c r="AL1325">
        <f t="shared" si="143"/>
        <v>0</v>
      </c>
      <c r="AM1325" t="str">
        <f t="shared" si="144"/>
        <v>Minimal Risk</v>
      </c>
      <c r="AN1325" s="6">
        <f t="shared" si="145"/>
        <v>-0.4871373560167514</v>
      </c>
      <c r="AO1325" s="7">
        <f t="shared" si="146"/>
        <v>301920</v>
      </c>
    </row>
    <row r="1326" spans="1:41" x14ac:dyDescent="0.3">
      <c r="A1326" t="s">
        <v>1392</v>
      </c>
      <c r="B1326">
        <v>50</v>
      </c>
      <c r="C1326" t="s">
        <v>1272</v>
      </c>
      <c r="D1326" t="s">
        <v>55</v>
      </c>
      <c r="E1326" t="s">
        <v>48</v>
      </c>
      <c r="F1326">
        <v>1464</v>
      </c>
      <c r="G1326" t="s">
        <v>735</v>
      </c>
      <c r="H1326">
        <v>2</v>
      </c>
      <c r="I1326">
        <v>4</v>
      </c>
      <c r="J1326" t="s">
        <v>58</v>
      </c>
      <c r="K1326">
        <v>1061</v>
      </c>
      <c r="L1326">
        <v>2</v>
      </c>
      <c r="M1326" t="s">
        <v>51</v>
      </c>
      <c r="N1326">
        <v>3</v>
      </c>
      <c r="O1326">
        <v>5</v>
      </c>
      <c r="P1326" t="s">
        <v>257</v>
      </c>
      <c r="Q1326">
        <v>3</v>
      </c>
      <c r="R1326" t="s">
        <v>113</v>
      </c>
      <c r="S1326">
        <v>86595</v>
      </c>
      <c r="T1326" t="s">
        <v>70</v>
      </c>
      <c r="U1326">
        <v>541.22</v>
      </c>
      <c r="V1326">
        <v>2</v>
      </c>
      <c r="W1326" t="s">
        <v>47</v>
      </c>
      <c r="X1326">
        <v>11</v>
      </c>
      <c r="Y1326">
        <v>3</v>
      </c>
      <c r="Z1326">
        <v>4</v>
      </c>
      <c r="AA1326">
        <v>1</v>
      </c>
      <c r="AB1326">
        <v>29</v>
      </c>
      <c r="AC1326">
        <v>2</v>
      </c>
      <c r="AD1326">
        <v>2</v>
      </c>
      <c r="AE1326">
        <v>8</v>
      </c>
      <c r="AF1326">
        <v>1</v>
      </c>
      <c r="AG1326">
        <v>7</v>
      </c>
      <c r="AH1326">
        <v>7</v>
      </c>
      <c r="AI1326">
        <f t="shared" si="140"/>
        <v>0</v>
      </c>
      <c r="AJ1326" t="str">
        <f t="shared" si="141"/>
        <v>6-10 yrs</v>
      </c>
      <c r="AK1326" t="str">
        <f t="shared" si="142"/>
        <v>Overdue</v>
      </c>
      <c r="AL1326">
        <f t="shared" si="143"/>
        <v>3</v>
      </c>
      <c r="AM1326" t="str">
        <f t="shared" si="144"/>
        <v>High Risk</v>
      </c>
      <c r="AN1326" s="6">
        <f t="shared" si="145"/>
        <v>0.70923300648450582</v>
      </c>
      <c r="AO1326" s="7">
        <f t="shared" si="146"/>
        <v>1039140</v>
      </c>
    </row>
    <row r="1327" spans="1:41" x14ac:dyDescent="0.3">
      <c r="A1327" t="s">
        <v>1393</v>
      </c>
      <c r="B1327">
        <v>50</v>
      </c>
      <c r="C1327" t="s">
        <v>1272</v>
      </c>
      <c r="D1327" t="s">
        <v>47</v>
      </c>
      <c r="E1327" t="s">
        <v>62</v>
      </c>
      <c r="F1327">
        <v>959</v>
      </c>
      <c r="G1327" t="s">
        <v>932</v>
      </c>
      <c r="H1327">
        <v>1</v>
      </c>
      <c r="I1327">
        <v>4</v>
      </c>
      <c r="J1327" t="s">
        <v>82</v>
      </c>
      <c r="K1327">
        <v>1113</v>
      </c>
      <c r="L1327">
        <v>4</v>
      </c>
      <c r="M1327" t="s">
        <v>51</v>
      </c>
      <c r="N1327">
        <v>3</v>
      </c>
      <c r="O1327">
        <v>2</v>
      </c>
      <c r="P1327" t="s">
        <v>145</v>
      </c>
      <c r="Q1327">
        <v>3</v>
      </c>
      <c r="R1327" t="s">
        <v>53</v>
      </c>
      <c r="S1327">
        <v>80111</v>
      </c>
      <c r="T1327" t="s">
        <v>64</v>
      </c>
      <c r="U1327">
        <v>500.69</v>
      </c>
      <c r="V1327">
        <v>3</v>
      </c>
      <c r="W1327" t="s">
        <v>47</v>
      </c>
      <c r="X1327">
        <v>14</v>
      </c>
      <c r="Y1327">
        <v>3</v>
      </c>
      <c r="Z1327">
        <v>4</v>
      </c>
      <c r="AA1327">
        <v>0</v>
      </c>
      <c r="AB1327">
        <v>5</v>
      </c>
      <c r="AC1327">
        <v>4</v>
      </c>
      <c r="AD1327">
        <v>3</v>
      </c>
      <c r="AE1327">
        <v>0</v>
      </c>
      <c r="AF1327">
        <v>0</v>
      </c>
      <c r="AG1327">
        <v>0</v>
      </c>
      <c r="AH1327">
        <v>0</v>
      </c>
      <c r="AI1327">
        <f t="shared" si="140"/>
        <v>1</v>
      </c>
      <c r="AJ1327" t="str">
        <f t="shared" si="141"/>
        <v>0-1 yr</v>
      </c>
      <c r="AK1327" t="str">
        <f t="shared" si="142"/>
        <v>Recent</v>
      </c>
      <c r="AL1327">
        <f t="shared" si="143"/>
        <v>1</v>
      </c>
      <c r="AM1327" t="str">
        <f t="shared" si="144"/>
        <v>Low Risk</v>
      </c>
      <c r="AN1327" s="6">
        <f t="shared" si="145"/>
        <v>0.63298645755731442</v>
      </c>
      <c r="AO1327" s="7">
        <f t="shared" si="146"/>
        <v>961332</v>
      </c>
    </row>
    <row r="1328" spans="1:41" x14ac:dyDescent="0.3">
      <c r="A1328" t="s">
        <v>1394</v>
      </c>
      <c r="B1328">
        <v>50</v>
      </c>
      <c r="C1328" t="s">
        <v>1272</v>
      </c>
      <c r="D1328" t="s">
        <v>55</v>
      </c>
      <c r="E1328" t="s">
        <v>62</v>
      </c>
      <c r="F1328">
        <v>1421</v>
      </c>
      <c r="G1328" t="s">
        <v>735</v>
      </c>
      <c r="H1328">
        <v>2</v>
      </c>
      <c r="I1328">
        <v>3</v>
      </c>
      <c r="J1328" t="s">
        <v>58</v>
      </c>
      <c r="K1328">
        <v>1215</v>
      </c>
      <c r="L1328">
        <v>4</v>
      </c>
      <c r="M1328" t="s">
        <v>59</v>
      </c>
      <c r="N1328">
        <v>3</v>
      </c>
      <c r="O1328">
        <v>4</v>
      </c>
      <c r="P1328" t="s">
        <v>444</v>
      </c>
      <c r="Q1328">
        <v>1</v>
      </c>
      <c r="R1328" t="s">
        <v>113</v>
      </c>
      <c r="S1328">
        <v>65929</v>
      </c>
      <c r="T1328" t="s">
        <v>64</v>
      </c>
      <c r="U1328">
        <v>412.06</v>
      </c>
      <c r="V1328">
        <v>2</v>
      </c>
      <c r="W1328" t="s">
        <v>55</v>
      </c>
      <c r="X1328">
        <v>22</v>
      </c>
      <c r="Y1328">
        <v>4</v>
      </c>
      <c r="Z1328">
        <v>3</v>
      </c>
      <c r="AA1328">
        <v>1</v>
      </c>
      <c r="AB1328">
        <v>32</v>
      </c>
      <c r="AC1328">
        <v>3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f t="shared" si="140"/>
        <v>0</v>
      </c>
      <c r="AJ1328" t="str">
        <f t="shared" si="141"/>
        <v>2-3 yrs</v>
      </c>
      <c r="AK1328" t="str">
        <f t="shared" si="142"/>
        <v>Recent</v>
      </c>
      <c r="AL1328">
        <f t="shared" si="143"/>
        <v>1</v>
      </c>
      <c r="AM1328" t="str">
        <f t="shared" si="144"/>
        <v>Low Risk</v>
      </c>
      <c r="AN1328" s="6">
        <f t="shared" si="145"/>
        <v>0.26304846449100228</v>
      </c>
      <c r="AO1328" s="7">
        <f t="shared" si="146"/>
        <v>791148</v>
      </c>
    </row>
    <row r="1329" spans="1:41" x14ac:dyDescent="0.3">
      <c r="A1329" t="s">
        <v>1395</v>
      </c>
      <c r="B1329">
        <v>50</v>
      </c>
      <c r="C1329" t="s">
        <v>1272</v>
      </c>
      <c r="D1329" t="s">
        <v>55</v>
      </c>
      <c r="E1329" t="s">
        <v>48</v>
      </c>
      <c r="F1329">
        <v>1322</v>
      </c>
      <c r="G1329" t="s">
        <v>735</v>
      </c>
      <c r="H1329">
        <v>28</v>
      </c>
      <c r="I1329">
        <v>3</v>
      </c>
      <c r="J1329" t="s">
        <v>50</v>
      </c>
      <c r="K1329">
        <v>1317</v>
      </c>
      <c r="L1329">
        <v>4</v>
      </c>
      <c r="M1329" t="s">
        <v>59</v>
      </c>
      <c r="N1329">
        <v>3</v>
      </c>
      <c r="O1329">
        <v>4</v>
      </c>
      <c r="P1329" t="s">
        <v>257</v>
      </c>
      <c r="Q1329">
        <v>1</v>
      </c>
      <c r="R1329" t="s">
        <v>113</v>
      </c>
      <c r="S1329">
        <v>74506</v>
      </c>
      <c r="T1329" t="s">
        <v>64</v>
      </c>
      <c r="U1329">
        <v>465.66</v>
      </c>
      <c r="V1329">
        <v>4</v>
      </c>
      <c r="W1329" t="s">
        <v>47</v>
      </c>
      <c r="X1329">
        <v>11</v>
      </c>
      <c r="Y1329">
        <v>3</v>
      </c>
      <c r="Z1329">
        <v>2</v>
      </c>
      <c r="AA1329">
        <v>0</v>
      </c>
      <c r="AB1329">
        <v>25</v>
      </c>
      <c r="AC1329">
        <v>2</v>
      </c>
      <c r="AD1329">
        <v>3</v>
      </c>
      <c r="AE1329">
        <v>3</v>
      </c>
      <c r="AF1329">
        <v>2</v>
      </c>
      <c r="AG1329">
        <v>1</v>
      </c>
      <c r="AH1329">
        <v>2</v>
      </c>
      <c r="AI1329">
        <f t="shared" si="140"/>
        <v>0</v>
      </c>
      <c r="AJ1329" t="str">
        <f t="shared" si="141"/>
        <v>2-3 yrs</v>
      </c>
      <c r="AK1329" t="str">
        <f t="shared" si="142"/>
        <v>Recent</v>
      </c>
      <c r="AL1329">
        <f t="shared" si="143"/>
        <v>2</v>
      </c>
      <c r="AM1329" t="str">
        <f t="shared" si="144"/>
        <v>Medium Risk</v>
      </c>
      <c r="AN1329" s="6">
        <f t="shared" si="145"/>
        <v>0.4706174072537051</v>
      </c>
      <c r="AO1329" s="7">
        <f t="shared" si="146"/>
        <v>894072</v>
      </c>
    </row>
    <row r="1330" spans="1:41" x14ac:dyDescent="0.3">
      <c r="A1330" t="s">
        <v>1396</v>
      </c>
      <c r="B1330">
        <v>50</v>
      </c>
      <c r="C1330" t="s">
        <v>1272</v>
      </c>
      <c r="D1330" t="s">
        <v>55</v>
      </c>
      <c r="E1330" t="s">
        <v>62</v>
      </c>
      <c r="F1330">
        <v>333</v>
      </c>
      <c r="G1330" t="s">
        <v>735</v>
      </c>
      <c r="H1330">
        <v>22</v>
      </c>
      <c r="I1330">
        <v>5</v>
      </c>
      <c r="J1330" t="s">
        <v>58</v>
      </c>
      <c r="K1330">
        <v>1539</v>
      </c>
      <c r="L1330">
        <v>3</v>
      </c>
      <c r="M1330" t="s">
        <v>51</v>
      </c>
      <c r="N1330">
        <v>1</v>
      </c>
      <c r="O1330">
        <v>4</v>
      </c>
      <c r="P1330" t="s">
        <v>257</v>
      </c>
      <c r="Q1330">
        <v>4</v>
      </c>
      <c r="R1330" t="s">
        <v>53</v>
      </c>
      <c r="S1330">
        <v>35911</v>
      </c>
      <c r="T1330" t="s">
        <v>72</v>
      </c>
      <c r="U1330">
        <v>224.44</v>
      </c>
      <c r="V1330">
        <v>1</v>
      </c>
      <c r="W1330" t="s">
        <v>47</v>
      </c>
      <c r="X1330">
        <v>13</v>
      </c>
      <c r="Y1330">
        <v>3</v>
      </c>
      <c r="Z1330">
        <v>4</v>
      </c>
      <c r="AA1330">
        <v>0</v>
      </c>
      <c r="AB1330">
        <v>32</v>
      </c>
      <c r="AC1330">
        <v>2</v>
      </c>
      <c r="AD1330">
        <v>3</v>
      </c>
      <c r="AE1330">
        <v>32</v>
      </c>
      <c r="AF1330">
        <v>6</v>
      </c>
      <c r="AG1330">
        <v>13</v>
      </c>
      <c r="AH1330">
        <v>9</v>
      </c>
      <c r="AI1330">
        <f t="shared" si="140"/>
        <v>0</v>
      </c>
      <c r="AJ1330" t="str">
        <f t="shared" si="141"/>
        <v>10+ yrs</v>
      </c>
      <c r="AK1330" t="str">
        <f t="shared" si="142"/>
        <v>Overdue</v>
      </c>
      <c r="AL1330">
        <f t="shared" si="143"/>
        <v>2</v>
      </c>
      <c r="AM1330" t="str">
        <f t="shared" si="144"/>
        <v>Medium Risk</v>
      </c>
      <c r="AN1330" s="6">
        <f t="shared" si="145"/>
        <v>-0.2911800162149652</v>
      </c>
      <c r="AO1330" s="7">
        <f t="shared" si="146"/>
        <v>430932</v>
      </c>
    </row>
    <row r="1331" spans="1:41" x14ac:dyDescent="0.3">
      <c r="A1331" t="s">
        <v>1397</v>
      </c>
      <c r="B1331">
        <v>50</v>
      </c>
      <c r="C1331" t="s">
        <v>1272</v>
      </c>
      <c r="D1331" t="s">
        <v>55</v>
      </c>
      <c r="E1331" t="s">
        <v>48</v>
      </c>
      <c r="F1331">
        <v>264</v>
      </c>
      <c r="G1331" t="s">
        <v>932</v>
      </c>
      <c r="H1331">
        <v>9</v>
      </c>
      <c r="I1331">
        <v>3</v>
      </c>
      <c r="J1331" t="s">
        <v>63</v>
      </c>
      <c r="K1331">
        <v>1591</v>
      </c>
      <c r="L1331">
        <v>3</v>
      </c>
      <c r="M1331" t="s">
        <v>51</v>
      </c>
      <c r="N1331">
        <v>3</v>
      </c>
      <c r="O1331">
        <v>5</v>
      </c>
      <c r="P1331" t="s">
        <v>444</v>
      </c>
      <c r="Q1331">
        <v>3</v>
      </c>
      <c r="R1331" t="s">
        <v>113</v>
      </c>
      <c r="S1331">
        <v>88127</v>
      </c>
      <c r="T1331" t="s">
        <v>70</v>
      </c>
      <c r="U1331">
        <v>550.79</v>
      </c>
      <c r="V1331">
        <v>4</v>
      </c>
      <c r="W1331" t="s">
        <v>47</v>
      </c>
      <c r="X1331">
        <v>16</v>
      </c>
      <c r="Y1331">
        <v>3</v>
      </c>
      <c r="Z1331">
        <v>3</v>
      </c>
      <c r="AA1331">
        <v>1</v>
      </c>
      <c r="AB1331">
        <v>27</v>
      </c>
      <c r="AC1331">
        <v>2</v>
      </c>
      <c r="AD1331">
        <v>3</v>
      </c>
      <c r="AE1331">
        <v>1</v>
      </c>
      <c r="AF1331">
        <v>0</v>
      </c>
      <c r="AG1331">
        <v>0</v>
      </c>
      <c r="AH1331">
        <v>0</v>
      </c>
      <c r="AI1331">
        <f t="shared" si="140"/>
        <v>0</v>
      </c>
      <c r="AJ1331" t="str">
        <f t="shared" si="141"/>
        <v>0-1 yr</v>
      </c>
      <c r="AK1331" t="str">
        <f t="shared" si="142"/>
        <v>Recent</v>
      </c>
      <c r="AL1331">
        <f t="shared" si="143"/>
        <v>1</v>
      </c>
      <c r="AM1331" t="str">
        <f t="shared" si="144"/>
        <v>Low Risk</v>
      </c>
      <c r="AN1331" s="6">
        <f t="shared" si="145"/>
        <v>0.68831124437195401</v>
      </c>
      <c r="AO1331" s="7">
        <f t="shared" si="146"/>
        <v>1057524</v>
      </c>
    </row>
    <row r="1332" spans="1:41" x14ac:dyDescent="0.3">
      <c r="A1332" t="s">
        <v>1398</v>
      </c>
      <c r="B1332">
        <v>50</v>
      </c>
      <c r="C1332" t="s">
        <v>1272</v>
      </c>
      <c r="D1332" t="s">
        <v>55</v>
      </c>
      <c r="E1332" t="s">
        <v>62</v>
      </c>
      <c r="F1332">
        <v>1234</v>
      </c>
      <c r="G1332" t="s">
        <v>735</v>
      </c>
      <c r="H1332">
        <v>20</v>
      </c>
      <c r="I1332">
        <v>5</v>
      </c>
      <c r="J1332" t="s">
        <v>58</v>
      </c>
      <c r="K1332">
        <v>1606</v>
      </c>
      <c r="L1332">
        <v>2</v>
      </c>
      <c r="M1332" t="s">
        <v>51</v>
      </c>
      <c r="N1332">
        <v>3</v>
      </c>
      <c r="O1332">
        <v>4</v>
      </c>
      <c r="P1332" t="s">
        <v>168</v>
      </c>
      <c r="Q1332">
        <v>3</v>
      </c>
      <c r="R1332" t="s">
        <v>113</v>
      </c>
      <c r="S1332">
        <v>32821</v>
      </c>
      <c r="T1332" t="s">
        <v>72</v>
      </c>
      <c r="U1332">
        <v>205.13</v>
      </c>
      <c r="V1332">
        <v>2</v>
      </c>
      <c r="W1332" t="s">
        <v>47</v>
      </c>
      <c r="X1332">
        <v>15</v>
      </c>
      <c r="Y1332">
        <v>3</v>
      </c>
      <c r="Z1332">
        <v>3</v>
      </c>
      <c r="AA1332">
        <v>1</v>
      </c>
      <c r="AB1332">
        <v>32</v>
      </c>
      <c r="AC1332">
        <v>3</v>
      </c>
      <c r="AD1332">
        <v>3</v>
      </c>
      <c r="AE1332">
        <v>30</v>
      </c>
      <c r="AF1332">
        <v>8</v>
      </c>
      <c r="AG1332">
        <v>12</v>
      </c>
      <c r="AH1332">
        <v>13</v>
      </c>
      <c r="AI1332">
        <f t="shared" si="140"/>
        <v>0</v>
      </c>
      <c r="AJ1332" t="str">
        <f t="shared" si="141"/>
        <v>10+ yrs</v>
      </c>
      <c r="AK1332" t="str">
        <f t="shared" si="142"/>
        <v>Overdue</v>
      </c>
      <c r="AL1332">
        <f t="shared" si="143"/>
        <v>2</v>
      </c>
      <c r="AM1332" t="str">
        <f t="shared" si="144"/>
        <v>Medium Risk</v>
      </c>
      <c r="AN1332" s="6">
        <f t="shared" si="145"/>
        <v>-0.31891297387674755</v>
      </c>
      <c r="AO1332" s="7">
        <f t="shared" si="146"/>
        <v>393852</v>
      </c>
    </row>
    <row r="1333" spans="1:41" x14ac:dyDescent="0.3">
      <c r="A1333" t="s">
        <v>1399</v>
      </c>
      <c r="B1333">
        <v>50</v>
      </c>
      <c r="C1333" t="s">
        <v>1272</v>
      </c>
      <c r="D1333" t="s">
        <v>55</v>
      </c>
      <c r="E1333" t="s">
        <v>48</v>
      </c>
      <c r="F1333">
        <v>813</v>
      </c>
      <c r="G1333" t="s">
        <v>735</v>
      </c>
      <c r="H1333">
        <v>17</v>
      </c>
      <c r="I1333">
        <v>5</v>
      </c>
      <c r="J1333" t="s">
        <v>50</v>
      </c>
      <c r="K1333">
        <v>1656</v>
      </c>
      <c r="L1333">
        <v>4</v>
      </c>
      <c r="M1333" t="s">
        <v>59</v>
      </c>
      <c r="N1333">
        <v>2</v>
      </c>
      <c r="O1333">
        <v>3</v>
      </c>
      <c r="P1333" t="s">
        <v>257</v>
      </c>
      <c r="Q1333">
        <v>1</v>
      </c>
      <c r="R1333" t="s">
        <v>113</v>
      </c>
      <c r="S1333">
        <v>76039</v>
      </c>
      <c r="T1333" t="s">
        <v>64</v>
      </c>
      <c r="U1333">
        <v>475.24</v>
      </c>
      <c r="V1333">
        <v>5</v>
      </c>
      <c r="W1333" t="s">
        <v>55</v>
      </c>
      <c r="X1333">
        <v>15</v>
      </c>
      <c r="Y1333">
        <v>3</v>
      </c>
      <c r="Z1333">
        <v>3</v>
      </c>
      <c r="AA1333">
        <v>3</v>
      </c>
      <c r="AB1333">
        <v>19</v>
      </c>
      <c r="AC1333">
        <v>3</v>
      </c>
      <c r="AD1333">
        <v>3</v>
      </c>
      <c r="AE1333">
        <v>14</v>
      </c>
      <c r="AF1333">
        <v>11</v>
      </c>
      <c r="AG1333">
        <v>1</v>
      </c>
      <c r="AH1333">
        <v>11</v>
      </c>
      <c r="AI1333">
        <f t="shared" si="140"/>
        <v>0</v>
      </c>
      <c r="AJ1333" t="str">
        <f t="shared" si="141"/>
        <v>10+ yrs</v>
      </c>
      <c r="AK1333" t="str">
        <f t="shared" si="142"/>
        <v>Recent</v>
      </c>
      <c r="AL1333">
        <f t="shared" si="143"/>
        <v>1</v>
      </c>
      <c r="AM1333" t="str">
        <f t="shared" si="144"/>
        <v>Low Risk</v>
      </c>
      <c r="AN1333" s="6">
        <f t="shared" si="145"/>
        <v>0.50087613118627328</v>
      </c>
      <c r="AO1333" s="7">
        <f t="shared" si="146"/>
        <v>912468</v>
      </c>
    </row>
    <row r="1334" spans="1:41" x14ac:dyDescent="0.3">
      <c r="A1334" t="s">
        <v>1400</v>
      </c>
      <c r="B1334">
        <v>50</v>
      </c>
      <c r="C1334" t="s">
        <v>1272</v>
      </c>
      <c r="D1334" t="s">
        <v>47</v>
      </c>
      <c r="E1334" t="s">
        <v>62</v>
      </c>
      <c r="F1334">
        <v>878</v>
      </c>
      <c r="G1334" t="s">
        <v>932</v>
      </c>
      <c r="H1334">
        <v>1</v>
      </c>
      <c r="I1334">
        <v>4</v>
      </c>
      <c r="J1334" t="s">
        <v>50</v>
      </c>
      <c r="K1334">
        <v>2044</v>
      </c>
      <c r="L1334">
        <v>2</v>
      </c>
      <c r="M1334" t="s">
        <v>51</v>
      </c>
      <c r="N1334">
        <v>3</v>
      </c>
      <c r="O1334">
        <v>2</v>
      </c>
      <c r="P1334" t="s">
        <v>145</v>
      </c>
      <c r="Q1334">
        <v>3</v>
      </c>
      <c r="R1334" t="s">
        <v>53</v>
      </c>
      <c r="S1334">
        <v>61535</v>
      </c>
      <c r="T1334" t="s">
        <v>64</v>
      </c>
      <c r="U1334">
        <v>384.59</v>
      </c>
      <c r="V1334">
        <v>7</v>
      </c>
      <c r="W1334" t="s">
        <v>55</v>
      </c>
      <c r="X1334">
        <v>12</v>
      </c>
      <c r="Y1334">
        <v>3</v>
      </c>
      <c r="Z1334">
        <v>4</v>
      </c>
      <c r="AA1334">
        <v>2</v>
      </c>
      <c r="AB1334">
        <v>12</v>
      </c>
      <c r="AC1334">
        <v>3</v>
      </c>
      <c r="AD1334">
        <v>3</v>
      </c>
      <c r="AE1334">
        <v>6</v>
      </c>
      <c r="AF1334">
        <v>3</v>
      </c>
      <c r="AG1334">
        <v>0</v>
      </c>
      <c r="AH1334">
        <v>1</v>
      </c>
      <c r="AI1334">
        <f t="shared" si="140"/>
        <v>1</v>
      </c>
      <c r="AJ1334" t="str">
        <f t="shared" si="141"/>
        <v>6-10 yrs</v>
      </c>
      <c r="AK1334" t="str">
        <f t="shared" si="142"/>
        <v>Recent</v>
      </c>
      <c r="AL1334">
        <f t="shared" si="143"/>
        <v>0</v>
      </c>
      <c r="AM1334" t="str">
        <f t="shared" si="144"/>
        <v>Minimal Risk</v>
      </c>
      <c r="AN1334" s="6">
        <f t="shared" si="145"/>
        <v>0.25433238463868058</v>
      </c>
      <c r="AO1334" s="7">
        <f t="shared" si="146"/>
        <v>738420</v>
      </c>
    </row>
    <row r="1335" spans="1:41" x14ac:dyDescent="0.3">
      <c r="A1335" t="s">
        <v>1401</v>
      </c>
      <c r="B1335">
        <v>50</v>
      </c>
      <c r="C1335" t="s">
        <v>1272</v>
      </c>
      <c r="D1335" t="s">
        <v>47</v>
      </c>
      <c r="E1335" t="s">
        <v>48</v>
      </c>
      <c r="F1335">
        <v>410</v>
      </c>
      <c r="G1335" t="s">
        <v>932</v>
      </c>
      <c r="H1335">
        <v>28</v>
      </c>
      <c r="I1335">
        <v>3</v>
      </c>
      <c r="J1335" t="s">
        <v>63</v>
      </c>
      <c r="K1335">
        <v>2055</v>
      </c>
      <c r="L1335">
        <v>4</v>
      </c>
      <c r="M1335" t="s">
        <v>51</v>
      </c>
      <c r="N1335">
        <v>2</v>
      </c>
      <c r="O1335">
        <v>3</v>
      </c>
      <c r="P1335" t="s">
        <v>145</v>
      </c>
      <c r="Q1335">
        <v>1</v>
      </c>
      <c r="R1335" t="s">
        <v>113</v>
      </c>
      <c r="S1335">
        <v>85458</v>
      </c>
      <c r="T1335" t="s">
        <v>70</v>
      </c>
      <c r="U1335">
        <v>534.11</v>
      </c>
      <c r="V1335">
        <v>4</v>
      </c>
      <c r="W1335" t="s">
        <v>47</v>
      </c>
      <c r="X1335">
        <v>13</v>
      </c>
      <c r="Y1335">
        <v>3</v>
      </c>
      <c r="Z1335">
        <v>2</v>
      </c>
      <c r="AA1335">
        <v>1</v>
      </c>
      <c r="AB1335">
        <v>20</v>
      </c>
      <c r="AC1335">
        <v>3</v>
      </c>
      <c r="AD1335">
        <v>3</v>
      </c>
      <c r="AE1335">
        <v>3</v>
      </c>
      <c r="AF1335">
        <v>2</v>
      </c>
      <c r="AG1335">
        <v>2</v>
      </c>
      <c r="AH1335">
        <v>0</v>
      </c>
      <c r="AI1335">
        <f t="shared" si="140"/>
        <v>1</v>
      </c>
      <c r="AJ1335" t="str">
        <f t="shared" si="141"/>
        <v>2-3 yrs</v>
      </c>
      <c r="AK1335" t="str">
        <f t="shared" si="142"/>
        <v>Recent</v>
      </c>
      <c r="AL1335">
        <f t="shared" si="143"/>
        <v>2</v>
      </c>
      <c r="AM1335" t="str">
        <f t="shared" si="144"/>
        <v>Medium Risk</v>
      </c>
      <c r="AN1335" s="6">
        <f t="shared" si="145"/>
        <v>0.7419799614276813</v>
      </c>
      <c r="AO1335" s="7">
        <f t="shared" si="146"/>
        <v>1025496</v>
      </c>
    </row>
    <row r="1336" spans="1:41" x14ac:dyDescent="0.3">
      <c r="A1336" t="s">
        <v>1401</v>
      </c>
      <c r="B1336">
        <v>50</v>
      </c>
      <c r="C1336" t="s">
        <v>1272</v>
      </c>
      <c r="D1336" t="s">
        <v>47</v>
      </c>
      <c r="E1336" t="s">
        <v>48</v>
      </c>
      <c r="F1336">
        <v>410</v>
      </c>
      <c r="G1336" t="s">
        <v>932</v>
      </c>
      <c r="H1336">
        <v>28</v>
      </c>
      <c r="I1336">
        <v>3</v>
      </c>
      <c r="J1336" t="s">
        <v>63</v>
      </c>
      <c r="K1336">
        <v>2055</v>
      </c>
      <c r="L1336">
        <v>4</v>
      </c>
      <c r="M1336" t="s">
        <v>51</v>
      </c>
      <c r="N1336">
        <v>2</v>
      </c>
      <c r="O1336">
        <v>3</v>
      </c>
      <c r="P1336" t="s">
        <v>145</v>
      </c>
      <c r="Q1336">
        <v>1</v>
      </c>
      <c r="R1336" t="s">
        <v>113</v>
      </c>
      <c r="S1336">
        <v>13175</v>
      </c>
      <c r="T1336" t="s">
        <v>54</v>
      </c>
      <c r="U1336">
        <v>82.34</v>
      </c>
      <c r="V1336">
        <v>4</v>
      </c>
      <c r="W1336" t="s">
        <v>47</v>
      </c>
      <c r="X1336">
        <v>13</v>
      </c>
      <c r="Y1336">
        <v>3</v>
      </c>
      <c r="Z1336">
        <v>2</v>
      </c>
      <c r="AA1336">
        <v>1</v>
      </c>
      <c r="AB1336">
        <v>20</v>
      </c>
      <c r="AC1336">
        <v>3</v>
      </c>
      <c r="AD1336">
        <v>3</v>
      </c>
      <c r="AE1336">
        <v>3</v>
      </c>
      <c r="AF1336">
        <v>2</v>
      </c>
      <c r="AG1336">
        <v>2</v>
      </c>
      <c r="AH1336">
        <v>0</v>
      </c>
      <c r="AI1336">
        <f t="shared" si="140"/>
        <v>1</v>
      </c>
      <c r="AJ1336" t="str">
        <f t="shared" si="141"/>
        <v>2-3 yrs</v>
      </c>
      <c r="AK1336" t="str">
        <f t="shared" si="142"/>
        <v>Recent</v>
      </c>
      <c r="AL1336">
        <f t="shared" si="143"/>
        <v>2</v>
      </c>
      <c r="AM1336" t="str">
        <f t="shared" si="144"/>
        <v>Medium Risk</v>
      </c>
      <c r="AN1336" s="6">
        <f t="shared" si="145"/>
        <v>-0.73144016953579882</v>
      </c>
      <c r="AO1336" s="7">
        <f t="shared" si="146"/>
        <v>158100</v>
      </c>
    </row>
    <row r="1337" spans="1:41" x14ac:dyDescent="0.3">
      <c r="A1337" t="s">
        <v>1402</v>
      </c>
      <c r="B1337">
        <v>51</v>
      </c>
      <c r="C1337" t="s">
        <v>1272</v>
      </c>
      <c r="D1337" t="s">
        <v>55</v>
      </c>
      <c r="E1337" t="s">
        <v>48</v>
      </c>
      <c r="F1337">
        <v>432</v>
      </c>
      <c r="G1337" t="s">
        <v>735</v>
      </c>
      <c r="H1337">
        <v>9</v>
      </c>
      <c r="I1337">
        <v>4</v>
      </c>
      <c r="J1337" t="s">
        <v>50</v>
      </c>
      <c r="K1337">
        <v>116</v>
      </c>
      <c r="L1337">
        <v>4</v>
      </c>
      <c r="M1337" t="s">
        <v>51</v>
      </c>
      <c r="N1337">
        <v>3</v>
      </c>
      <c r="O1337">
        <v>1</v>
      </c>
      <c r="P1337" t="s">
        <v>52</v>
      </c>
      <c r="Q1337">
        <v>4</v>
      </c>
      <c r="R1337" t="s">
        <v>113</v>
      </c>
      <c r="S1337">
        <v>55771</v>
      </c>
      <c r="T1337" t="s">
        <v>64</v>
      </c>
      <c r="U1337">
        <v>348.57</v>
      </c>
      <c r="V1337">
        <v>3</v>
      </c>
      <c r="W1337" t="s">
        <v>55</v>
      </c>
      <c r="X1337">
        <v>23</v>
      </c>
      <c r="Y1337">
        <v>4</v>
      </c>
      <c r="Z1337">
        <v>2</v>
      </c>
      <c r="AA1337">
        <v>2</v>
      </c>
      <c r="AB1337">
        <v>10</v>
      </c>
      <c r="AC1337">
        <v>4</v>
      </c>
      <c r="AD1337">
        <v>3</v>
      </c>
      <c r="AE1337">
        <v>4</v>
      </c>
      <c r="AF1337">
        <v>2</v>
      </c>
      <c r="AG1337">
        <v>0</v>
      </c>
      <c r="AH1337">
        <v>3</v>
      </c>
      <c r="AI1337">
        <f t="shared" si="140"/>
        <v>0</v>
      </c>
      <c r="AJ1337" t="str">
        <f t="shared" si="141"/>
        <v>4-5 yrs</v>
      </c>
      <c r="AK1337" t="str">
        <f t="shared" si="142"/>
        <v>Recent</v>
      </c>
      <c r="AL1337">
        <f t="shared" si="143"/>
        <v>0</v>
      </c>
      <c r="AM1337" t="str">
        <f t="shared" si="144"/>
        <v>Minimal Risk</v>
      </c>
      <c r="AN1337" s="6">
        <f t="shared" si="145"/>
        <v>7.8313122147624981E-2</v>
      </c>
      <c r="AO1337" s="7">
        <f t="shared" si="146"/>
        <v>669252</v>
      </c>
    </row>
    <row r="1338" spans="1:41" x14ac:dyDescent="0.3">
      <c r="A1338" t="s">
        <v>1403</v>
      </c>
      <c r="B1338">
        <v>51</v>
      </c>
      <c r="C1338" t="s">
        <v>1272</v>
      </c>
      <c r="D1338" t="s">
        <v>55</v>
      </c>
      <c r="E1338" t="s">
        <v>48</v>
      </c>
      <c r="F1338">
        <v>632</v>
      </c>
      <c r="G1338" t="s">
        <v>932</v>
      </c>
      <c r="H1338">
        <v>21</v>
      </c>
      <c r="I1338">
        <v>4</v>
      </c>
      <c r="J1338" t="s">
        <v>63</v>
      </c>
      <c r="K1338">
        <v>120</v>
      </c>
      <c r="L1338">
        <v>3</v>
      </c>
      <c r="M1338" t="s">
        <v>51</v>
      </c>
      <c r="N1338">
        <v>3</v>
      </c>
      <c r="O1338">
        <v>2</v>
      </c>
      <c r="P1338" t="s">
        <v>145</v>
      </c>
      <c r="Q1338">
        <v>4</v>
      </c>
      <c r="R1338" t="s">
        <v>53</v>
      </c>
      <c r="S1338">
        <v>87925</v>
      </c>
      <c r="T1338" t="s">
        <v>70</v>
      </c>
      <c r="U1338">
        <v>549.53</v>
      </c>
      <c r="V1338">
        <v>0</v>
      </c>
      <c r="W1338" t="s">
        <v>47</v>
      </c>
      <c r="X1338">
        <v>22</v>
      </c>
      <c r="Y1338">
        <v>4</v>
      </c>
      <c r="Z1338">
        <v>4</v>
      </c>
      <c r="AA1338">
        <v>0</v>
      </c>
      <c r="AB1338">
        <v>11</v>
      </c>
      <c r="AC1338">
        <v>2</v>
      </c>
      <c r="AD1338">
        <v>1</v>
      </c>
      <c r="AE1338">
        <v>10</v>
      </c>
      <c r="AF1338">
        <v>7</v>
      </c>
      <c r="AG1338">
        <v>1</v>
      </c>
      <c r="AH1338">
        <v>0</v>
      </c>
      <c r="AI1338">
        <f t="shared" si="140"/>
        <v>0</v>
      </c>
      <c r="AJ1338" t="str">
        <f t="shared" si="141"/>
        <v>6-10 yrs</v>
      </c>
      <c r="AK1338" t="str">
        <f t="shared" si="142"/>
        <v>Recent</v>
      </c>
      <c r="AL1338">
        <f t="shared" si="143"/>
        <v>2</v>
      </c>
      <c r="AM1338" t="str">
        <f t="shared" si="144"/>
        <v>Medium Risk</v>
      </c>
      <c r="AN1338" s="6">
        <f t="shared" si="145"/>
        <v>0.79226740748120572</v>
      </c>
      <c r="AO1338" s="7">
        <f t="shared" si="146"/>
        <v>1055100</v>
      </c>
    </row>
    <row r="1339" spans="1:41" x14ac:dyDescent="0.3">
      <c r="A1339" t="s">
        <v>1404</v>
      </c>
      <c r="B1339">
        <v>51</v>
      </c>
      <c r="C1339" t="s">
        <v>1272</v>
      </c>
      <c r="D1339" t="s">
        <v>55</v>
      </c>
      <c r="E1339" t="s">
        <v>62</v>
      </c>
      <c r="F1339">
        <v>1456</v>
      </c>
      <c r="G1339" t="s">
        <v>735</v>
      </c>
      <c r="H1339">
        <v>1</v>
      </c>
      <c r="I1339">
        <v>4</v>
      </c>
      <c r="J1339" t="s">
        <v>58</v>
      </c>
      <c r="K1339">
        <v>145</v>
      </c>
      <c r="L1339">
        <v>1</v>
      </c>
      <c r="M1339" t="s">
        <v>59</v>
      </c>
      <c r="N1339">
        <v>2</v>
      </c>
      <c r="O1339">
        <v>3</v>
      </c>
      <c r="P1339" t="s">
        <v>168</v>
      </c>
      <c r="Q1339">
        <v>1</v>
      </c>
      <c r="R1339" t="s">
        <v>53</v>
      </c>
      <c r="S1339">
        <v>67358</v>
      </c>
      <c r="T1339" t="s">
        <v>64</v>
      </c>
      <c r="U1339">
        <v>420.99</v>
      </c>
      <c r="V1339">
        <v>3</v>
      </c>
      <c r="W1339" t="s">
        <v>55</v>
      </c>
      <c r="X1339">
        <v>20</v>
      </c>
      <c r="Y1339">
        <v>4</v>
      </c>
      <c r="Z1339">
        <v>3</v>
      </c>
      <c r="AA1339">
        <v>0</v>
      </c>
      <c r="AB1339">
        <v>23</v>
      </c>
      <c r="AC1339">
        <v>1</v>
      </c>
      <c r="AD1339">
        <v>2</v>
      </c>
      <c r="AE1339">
        <v>13</v>
      </c>
      <c r="AF1339">
        <v>12</v>
      </c>
      <c r="AG1339">
        <v>12</v>
      </c>
      <c r="AH1339">
        <v>8</v>
      </c>
      <c r="AI1339">
        <f t="shared" si="140"/>
        <v>0</v>
      </c>
      <c r="AJ1339" t="str">
        <f t="shared" si="141"/>
        <v>10+ yrs</v>
      </c>
      <c r="AK1339" t="str">
        <f t="shared" si="142"/>
        <v>Overdue</v>
      </c>
      <c r="AL1339">
        <f t="shared" si="143"/>
        <v>3</v>
      </c>
      <c r="AM1339" t="str">
        <f t="shared" si="144"/>
        <v>High Risk</v>
      </c>
      <c r="AN1339" s="6">
        <f t="shared" si="145"/>
        <v>0.39778373314676696</v>
      </c>
      <c r="AO1339" s="7">
        <f t="shared" si="146"/>
        <v>808296</v>
      </c>
    </row>
    <row r="1340" spans="1:41" x14ac:dyDescent="0.3">
      <c r="A1340" t="s">
        <v>1405</v>
      </c>
      <c r="B1340">
        <v>51</v>
      </c>
      <c r="C1340" t="s">
        <v>1272</v>
      </c>
      <c r="D1340" t="s">
        <v>55</v>
      </c>
      <c r="E1340" t="s">
        <v>48</v>
      </c>
      <c r="F1340">
        <v>684</v>
      </c>
      <c r="G1340" t="s">
        <v>735</v>
      </c>
      <c r="H1340">
        <v>6</v>
      </c>
      <c r="I1340">
        <v>3</v>
      </c>
      <c r="J1340" t="s">
        <v>50</v>
      </c>
      <c r="K1340">
        <v>162</v>
      </c>
      <c r="L1340">
        <v>1</v>
      </c>
      <c r="M1340" t="s">
        <v>51</v>
      </c>
      <c r="N1340">
        <v>3</v>
      </c>
      <c r="O1340">
        <v>5</v>
      </c>
      <c r="P1340" t="s">
        <v>257</v>
      </c>
      <c r="Q1340">
        <v>3</v>
      </c>
      <c r="R1340" t="s">
        <v>53</v>
      </c>
      <c r="S1340">
        <v>18327</v>
      </c>
      <c r="T1340" t="s">
        <v>54</v>
      </c>
      <c r="U1340">
        <v>114.54</v>
      </c>
      <c r="V1340">
        <v>7</v>
      </c>
      <c r="W1340" t="s">
        <v>55</v>
      </c>
      <c r="X1340">
        <v>13</v>
      </c>
      <c r="Y1340">
        <v>3</v>
      </c>
      <c r="Z1340">
        <v>3</v>
      </c>
      <c r="AA1340">
        <v>0</v>
      </c>
      <c r="AB1340">
        <v>23</v>
      </c>
      <c r="AC1340">
        <v>5</v>
      </c>
      <c r="AD1340">
        <v>3</v>
      </c>
      <c r="AE1340">
        <v>20</v>
      </c>
      <c r="AF1340">
        <v>18</v>
      </c>
      <c r="AG1340">
        <v>15</v>
      </c>
      <c r="AH1340">
        <v>15</v>
      </c>
      <c r="AI1340">
        <f t="shared" si="140"/>
        <v>0</v>
      </c>
      <c r="AJ1340" t="str">
        <f t="shared" si="141"/>
        <v>10+ yrs</v>
      </c>
      <c r="AK1340" t="str">
        <f t="shared" si="142"/>
        <v>Overdue</v>
      </c>
      <c r="AL1340">
        <f t="shared" si="143"/>
        <v>1</v>
      </c>
      <c r="AM1340" t="str">
        <f t="shared" si="144"/>
        <v>Low Risk</v>
      </c>
      <c r="AN1340" s="6">
        <f t="shared" si="145"/>
        <v>-0.63825725145976631</v>
      </c>
      <c r="AO1340" s="7">
        <f t="shared" si="146"/>
        <v>219924</v>
      </c>
    </row>
    <row r="1341" spans="1:41" x14ac:dyDescent="0.3">
      <c r="A1341" t="s">
        <v>1406</v>
      </c>
      <c r="B1341">
        <v>51</v>
      </c>
      <c r="C1341" t="s">
        <v>1272</v>
      </c>
      <c r="D1341" t="s">
        <v>47</v>
      </c>
      <c r="E1341" t="s">
        <v>62</v>
      </c>
      <c r="F1341">
        <v>1150</v>
      </c>
      <c r="G1341" t="s">
        <v>735</v>
      </c>
      <c r="H1341">
        <v>8</v>
      </c>
      <c r="I1341">
        <v>4</v>
      </c>
      <c r="J1341" t="s">
        <v>50</v>
      </c>
      <c r="K1341">
        <v>179</v>
      </c>
      <c r="L1341">
        <v>1</v>
      </c>
      <c r="M1341" t="s">
        <v>51</v>
      </c>
      <c r="N1341">
        <v>1</v>
      </c>
      <c r="O1341">
        <v>3</v>
      </c>
      <c r="P1341" t="s">
        <v>120</v>
      </c>
      <c r="Q1341">
        <v>4</v>
      </c>
      <c r="R1341" t="s">
        <v>53</v>
      </c>
      <c r="S1341">
        <v>48057</v>
      </c>
      <c r="T1341" t="s">
        <v>72</v>
      </c>
      <c r="U1341">
        <v>300.36</v>
      </c>
      <c r="V1341">
        <v>2</v>
      </c>
      <c r="W1341" t="s">
        <v>55</v>
      </c>
      <c r="X1341">
        <v>15</v>
      </c>
      <c r="Y1341">
        <v>3</v>
      </c>
      <c r="Z1341">
        <v>4</v>
      </c>
      <c r="AA1341">
        <v>0</v>
      </c>
      <c r="AB1341">
        <v>18</v>
      </c>
      <c r="AC1341">
        <v>2</v>
      </c>
      <c r="AD1341">
        <v>3</v>
      </c>
      <c r="AE1341">
        <v>4</v>
      </c>
      <c r="AF1341">
        <v>2</v>
      </c>
      <c r="AG1341">
        <v>0</v>
      </c>
      <c r="AH1341">
        <v>3</v>
      </c>
      <c r="AI1341">
        <f t="shared" si="140"/>
        <v>1</v>
      </c>
      <c r="AJ1341" t="str">
        <f t="shared" si="141"/>
        <v>4-5 yrs</v>
      </c>
      <c r="AK1341" t="str">
        <f t="shared" si="142"/>
        <v>Recent</v>
      </c>
      <c r="AL1341">
        <f t="shared" si="143"/>
        <v>0</v>
      </c>
      <c r="AM1341" t="str">
        <f t="shared" si="144"/>
        <v>Minimal Risk</v>
      </c>
      <c r="AN1341" s="6">
        <f t="shared" si="145"/>
        <v>8.4922358781398588E-2</v>
      </c>
      <c r="AO1341" s="7">
        <f t="shared" si="146"/>
        <v>576684</v>
      </c>
    </row>
    <row r="1342" spans="1:41" x14ac:dyDescent="0.3">
      <c r="A1342" t="s">
        <v>1407</v>
      </c>
      <c r="B1342">
        <v>51</v>
      </c>
      <c r="C1342" t="s">
        <v>1272</v>
      </c>
      <c r="D1342" t="s">
        <v>55</v>
      </c>
      <c r="E1342" t="s">
        <v>48</v>
      </c>
      <c r="F1342">
        <v>1169</v>
      </c>
      <c r="G1342" t="s">
        <v>735</v>
      </c>
      <c r="H1342">
        <v>7</v>
      </c>
      <c r="I1342">
        <v>4</v>
      </c>
      <c r="J1342" t="s">
        <v>58</v>
      </c>
      <c r="K1342">
        <v>211</v>
      </c>
      <c r="L1342">
        <v>2</v>
      </c>
      <c r="M1342" t="s">
        <v>51</v>
      </c>
      <c r="N1342">
        <v>2</v>
      </c>
      <c r="O1342">
        <v>2</v>
      </c>
      <c r="P1342" t="s">
        <v>120</v>
      </c>
      <c r="Q1342">
        <v>3</v>
      </c>
      <c r="R1342" t="s">
        <v>113</v>
      </c>
      <c r="S1342">
        <v>7150</v>
      </c>
      <c r="T1342" t="s">
        <v>54</v>
      </c>
      <c r="U1342">
        <v>44.69</v>
      </c>
      <c r="V1342">
        <v>2</v>
      </c>
      <c r="W1342" t="s">
        <v>55</v>
      </c>
      <c r="X1342">
        <v>17</v>
      </c>
      <c r="Y1342">
        <v>3</v>
      </c>
      <c r="Z1342">
        <v>3</v>
      </c>
      <c r="AA1342">
        <v>0</v>
      </c>
      <c r="AB1342">
        <v>10</v>
      </c>
      <c r="AC1342">
        <v>2</v>
      </c>
      <c r="AD1342">
        <v>3</v>
      </c>
      <c r="AE1342">
        <v>1</v>
      </c>
      <c r="AF1342">
        <v>0</v>
      </c>
      <c r="AG1342">
        <v>0</v>
      </c>
      <c r="AH1342">
        <v>0</v>
      </c>
      <c r="AI1342">
        <f t="shared" si="140"/>
        <v>0</v>
      </c>
      <c r="AJ1342" t="str">
        <f t="shared" si="141"/>
        <v>0-1 yr</v>
      </c>
      <c r="AK1342" t="str">
        <f t="shared" si="142"/>
        <v>Recent</v>
      </c>
      <c r="AL1342">
        <f t="shared" si="143"/>
        <v>0</v>
      </c>
      <c r="AM1342" t="str">
        <f t="shared" si="144"/>
        <v>Minimal Risk</v>
      </c>
      <c r="AN1342" s="6">
        <f t="shared" si="145"/>
        <v>-0.83858345578610816</v>
      </c>
      <c r="AO1342" s="7">
        <f t="shared" si="146"/>
        <v>85800</v>
      </c>
    </row>
    <row r="1343" spans="1:41" x14ac:dyDescent="0.3">
      <c r="A1343" t="s">
        <v>1408</v>
      </c>
      <c r="B1343">
        <v>51</v>
      </c>
      <c r="C1343" t="s">
        <v>1272</v>
      </c>
      <c r="D1343" t="s">
        <v>55</v>
      </c>
      <c r="E1343" t="s">
        <v>48</v>
      </c>
      <c r="F1343">
        <v>313</v>
      </c>
      <c r="G1343" t="s">
        <v>735</v>
      </c>
      <c r="H1343">
        <v>3</v>
      </c>
      <c r="I1343">
        <v>3</v>
      </c>
      <c r="J1343" t="s">
        <v>58</v>
      </c>
      <c r="K1343">
        <v>258</v>
      </c>
      <c r="L1343">
        <v>4</v>
      </c>
      <c r="M1343" t="s">
        <v>59</v>
      </c>
      <c r="N1343">
        <v>3</v>
      </c>
      <c r="O1343">
        <v>4</v>
      </c>
      <c r="P1343" t="s">
        <v>168</v>
      </c>
      <c r="Q1343">
        <v>2</v>
      </c>
      <c r="R1343" t="s">
        <v>53</v>
      </c>
      <c r="S1343">
        <v>5425</v>
      </c>
      <c r="T1343" t="s">
        <v>54</v>
      </c>
      <c r="U1343">
        <v>33.909999999999997</v>
      </c>
      <c r="V1343">
        <v>3</v>
      </c>
      <c r="W1343" t="s">
        <v>55</v>
      </c>
      <c r="X1343">
        <v>18</v>
      </c>
      <c r="Y1343">
        <v>3</v>
      </c>
      <c r="Z1343">
        <v>3</v>
      </c>
      <c r="AA1343">
        <v>0</v>
      </c>
      <c r="AB1343">
        <v>21</v>
      </c>
      <c r="AC1343">
        <v>6</v>
      </c>
      <c r="AD1343">
        <v>3</v>
      </c>
      <c r="AE1343">
        <v>7</v>
      </c>
      <c r="AF1343">
        <v>7</v>
      </c>
      <c r="AG1343">
        <v>1</v>
      </c>
      <c r="AH1343">
        <v>0</v>
      </c>
      <c r="AI1343">
        <f t="shared" si="140"/>
        <v>0</v>
      </c>
      <c r="AJ1343" t="str">
        <f t="shared" si="141"/>
        <v>6-10 yrs</v>
      </c>
      <c r="AK1343" t="str">
        <f t="shared" si="142"/>
        <v>Recent</v>
      </c>
      <c r="AL1343">
        <f t="shared" si="143"/>
        <v>1</v>
      </c>
      <c r="AM1343" t="str">
        <f t="shared" si="144"/>
        <v>Low Risk</v>
      </c>
      <c r="AN1343" s="6">
        <f t="shared" si="145"/>
        <v>-0.8874227745431692</v>
      </c>
      <c r="AO1343" s="7">
        <f t="shared" si="146"/>
        <v>65100</v>
      </c>
    </row>
    <row r="1344" spans="1:41" x14ac:dyDescent="0.3">
      <c r="A1344" t="s">
        <v>1409</v>
      </c>
      <c r="B1344">
        <v>51</v>
      </c>
      <c r="C1344" t="s">
        <v>1272</v>
      </c>
      <c r="D1344" t="s">
        <v>55</v>
      </c>
      <c r="E1344" t="s">
        <v>48</v>
      </c>
      <c r="F1344">
        <v>1469</v>
      </c>
      <c r="G1344" t="s">
        <v>735</v>
      </c>
      <c r="H1344">
        <v>8</v>
      </c>
      <c r="I1344">
        <v>4</v>
      </c>
      <c r="J1344" t="s">
        <v>50</v>
      </c>
      <c r="K1344">
        <v>296</v>
      </c>
      <c r="L1344">
        <v>2</v>
      </c>
      <c r="M1344" t="s">
        <v>51</v>
      </c>
      <c r="N1344">
        <v>2</v>
      </c>
      <c r="O1344">
        <v>3</v>
      </c>
      <c r="P1344" t="s">
        <v>257</v>
      </c>
      <c r="Q1344">
        <v>2</v>
      </c>
      <c r="R1344" t="s">
        <v>113</v>
      </c>
      <c r="S1344">
        <v>17032</v>
      </c>
      <c r="T1344" t="s">
        <v>54</v>
      </c>
      <c r="U1344">
        <v>106.45</v>
      </c>
      <c r="V1344">
        <v>5</v>
      </c>
      <c r="W1344" t="s">
        <v>55</v>
      </c>
      <c r="X1344">
        <v>16</v>
      </c>
      <c r="Y1344">
        <v>3</v>
      </c>
      <c r="Z1344">
        <v>4</v>
      </c>
      <c r="AA1344">
        <v>2</v>
      </c>
      <c r="AB1344">
        <v>16</v>
      </c>
      <c r="AC1344">
        <v>5</v>
      </c>
      <c r="AD1344">
        <v>1</v>
      </c>
      <c r="AE1344">
        <v>10</v>
      </c>
      <c r="AF1344">
        <v>9</v>
      </c>
      <c r="AG1344">
        <v>4</v>
      </c>
      <c r="AH1344">
        <v>7</v>
      </c>
      <c r="AI1344">
        <f t="shared" si="140"/>
        <v>0</v>
      </c>
      <c r="AJ1344" t="str">
        <f t="shared" si="141"/>
        <v>6-10 yrs</v>
      </c>
      <c r="AK1344" t="str">
        <f t="shared" si="142"/>
        <v>Overdue</v>
      </c>
      <c r="AL1344">
        <f t="shared" si="143"/>
        <v>3</v>
      </c>
      <c r="AM1344" t="str">
        <f t="shared" si="144"/>
        <v>High Risk</v>
      </c>
      <c r="AN1344" s="6">
        <f t="shared" si="145"/>
        <v>-0.66381827395988102</v>
      </c>
      <c r="AO1344" s="7">
        <f t="shared" si="146"/>
        <v>204384</v>
      </c>
    </row>
    <row r="1345" spans="1:41" x14ac:dyDescent="0.3">
      <c r="A1345" t="s">
        <v>1410</v>
      </c>
      <c r="B1345">
        <v>51</v>
      </c>
      <c r="C1345" t="s">
        <v>1272</v>
      </c>
      <c r="D1345" t="s">
        <v>55</v>
      </c>
      <c r="E1345" t="s">
        <v>48</v>
      </c>
      <c r="F1345">
        <v>833</v>
      </c>
      <c r="G1345" t="s">
        <v>735</v>
      </c>
      <c r="H1345">
        <v>1</v>
      </c>
      <c r="I1345">
        <v>3</v>
      </c>
      <c r="J1345" t="s">
        <v>50</v>
      </c>
      <c r="K1345">
        <v>353</v>
      </c>
      <c r="L1345">
        <v>3</v>
      </c>
      <c r="M1345" t="s">
        <v>51</v>
      </c>
      <c r="N1345">
        <v>3</v>
      </c>
      <c r="O1345">
        <v>1</v>
      </c>
      <c r="P1345" t="s">
        <v>67</v>
      </c>
      <c r="Q1345">
        <v>4</v>
      </c>
      <c r="R1345" t="s">
        <v>113</v>
      </c>
      <c r="S1345">
        <v>3198</v>
      </c>
      <c r="T1345" t="s">
        <v>54</v>
      </c>
      <c r="U1345">
        <v>19.989999999999998</v>
      </c>
      <c r="V1345">
        <v>1</v>
      </c>
      <c r="W1345" t="s">
        <v>55</v>
      </c>
      <c r="X1345">
        <v>11</v>
      </c>
      <c r="Y1345">
        <v>3</v>
      </c>
      <c r="Z1345">
        <v>2</v>
      </c>
      <c r="AA1345">
        <v>0</v>
      </c>
      <c r="AB1345">
        <v>1</v>
      </c>
      <c r="AC1345">
        <v>0</v>
      </c>
      <c r="AD1345">
        <v>2</v>
      </c>
      <c r="AE1345">
        <v>1</v>
      </c>
      <c r="AF1345">
        <v>0</v>
      </c>
      <c r="AG1345">
        <v>0</v>
      </c>
      <c r="AH1345">
        <v>0</v>
      </c>
      <c r="AI1345">
        <f t="shared" si="140"/>
        <v>0</v>
      </c>
      <c r="AJ1345" t="str">
        <f t="shared" si="141"/>
        <v>0-1 yr</v>
      </c>
      <c r="AK1345" t="str">
        <f t="shared" si="142"/>
        <v>Recent</v>
      </c>
      <c r="AL1345">
        <f t="shared" si="143"/>
        <v>1</v>
      </c>
      <c r="AM1345" t="str">
        <f t="shared" si="144"/>
        <v>Low Risk</v>
      </c>
      <c r="AN1345" s="6">
        <f t="shared" si="145"/>
        <v>-0.93586825825993536</v>
      </c>
      <c r="AO1345" s="7">
        <f t="shared" si="146"/>
        <v>38376</v>
      </c>
    </row>
    <row r="1346" spans="1:41" x14ac:dyDescent="0.3">
      <c r="A1346" t="s">
        <v>1411</v>
      </c>
      <c r="B1346">
        <v>51</v>
      </c>
      <c r="C1346" t="s">
        <v>1272</v>
      </c>
      <c r="D1346" t="s">
        <v>55</v>
      </c>
      <c r="E1346" t="s">
        <v>48</v>
      </c>
      <c r="F1346">
        <v>1302</v>
      </c>
      <c r="G1346" t="s">
        <v>735</v>
      </c>
      <c r="H1346">
        <v>2</v>
      </c>
      <c r="I1346">
        <v>3</v>
      </c>
      <c r="J1346" t="s">
        <v>58</v>
      </c>
      <c r="K1346">
        <v>408</v>
      </c>
      <c r="L1346">
        <v>4</v>
      </c>
      <c r="M1346" t="s">
        <v>51</v>
      </c>
      <c r="N1346">
        <v>1</v>
      </c>
      <c r="O1346">
        <v>2</v>
      </c>
      <c r="P1346" t="s">
        <v>120</v>
      </c>
      <c r="Q1346">
        <v>2</v>
      </c>
      <c r="R1346" t="s">
        <v>113</v>
      </c>
      <c r="S1346">
        <v>61500</v>
      </c>
      <c r="T1346" t="s">
        <v>64</v>
      </c>
      <c r="U1346">
        <v>384.38</v>
      </c>
      <c r="V1346">
        <v>5</v>
      </c>
      <c r="W1346" t="s">
        <v>55</v>
      </c>
      <c r="X1346">
        <v>18</v>
      </c>
      <c r="Y1346">
        <v>3</v>
      </c>
      <c r="Z1346">
        <v>4</v>
      </c>
      <c r="AA1346">
        <v>1</v>
      </c>
      <c r="AB1346">
        <v>13</v>
      </c>
      <c r="AC1346">
        <v>3</v>
      </c>
      <c r="AD1346">
        <v>3</v>
      </c>
      <c r="AE1346">
        <v>4</v>
      </c>
      <c r="AF1346">
        <v>1</v>
      </c>
      <c r="AG1346">
        <v>1</v>
      </c>
      <c r="AH1346">
        <v>2</v>
      </c>
      <c r="AI1346">
        <f t="shared" ref="AI1346:AI1409" si="147">IF(D1346="Yes",1,0)</f>
        <v>0</v>
      </c>
      <c r="AJ1346" t="str">
        <f t="shared" ref="AJ1346:AJ1409" si="148">IF(AE1346&lt;=1,"0-1 yr",IF(AE1346&lt;=3,"2-3 yrs",IF(AE1346&lt;=5,"4-5 yrs",IF(AE1346&lt;=10,"6-10 yrs","10+ yrs"))))</f>
        <v>4-5 yrs</v>
      </c>
      <c r="AK1346" t="str">
        <f t="shared" ref="AK1346:AK1409" si="149">IF(AG1346&gt;=3,"Overdue","Recent")</f>
        <v>Recent</v>
      </c>
      <c r="AL1346">
        <f t="shared" ref="AL1346:AL1409" si="150">IF(W1346="Yes",1,0)+IF(AD1346&lt;=2,1,0)+IF(Q1346&lt;=2,1,0)+IF(AG1346&gt;=3,1,0)</f>
        <v>1</v>
      </c>
      <c r="AM1346" t="str">
        <f t="shared" ref="AM1346:AM1409" si="151">IF(AL1346&gt;=3,"High Risk",IF(AL1346=2,"Medium Risk",IF(AL1346=1,"Low Risk","Minimal Risk")))</f>
        <v>Low Risk</v>
      </c>
      <c r="AN1346" s="6">
        <f t="shared" ref="AN1346:AN1409" si="152">IFERROR((S1346-AVERAGEIF(P$2:P$1479,P1346,S$2:S$1479))/AVERAGEIF(P$2:P$1479,P1346,S$2:S$1479),0)</f>
        <v>0.3884080376439647</v>
      </c>
      <c r="AO1346" s="7">
        <f t="shared" ref="AO1346:AO1409" si="153">S1346*12</f>
        <v>738000</v>
      </c>
    </row>
    <row r="1347" spans="1:41" x14ac:dyDescent="0.3">
      <c r="A1347" t="s">
        <v>1412</v>
      </c>
      <c r="B1347">
        <v>51</v>
      </c>
      <c r="C1347" t="s">
        <v>1272</v>
      </c>
      <c r="D1347" t="s">
        <v>55</v>
      </c>
      <c r="E1347" t="s">
        <v>48</v>
      </c>
      <c r="F1347">
        <v>1178</v>
      </c>
      <c r="G1347" t="s">
        <v>932</v>
      </c>
      <c r="H1347">
        <v>14</v>
      </c>
      <c r="I1347">
        <v>2</v>
      </c>
      <c r="J1347" t="s">
        <v>50</v>
      </c>
      <c r="K1347">
        <v>500</v>
      </c>
      <c r="L1347">
        <v>3</v>
      </c>
      <c r="M1347" t="s">
        <v>59</v>
      </c>
      <c r="N1347">
        <v>3</v>
      </c>
      <c r="O1347">
        <v>2</v>
      </c>
      <c r="P1347" t="s">
        <v>145</v>
      </c>
      <c r="Q1347">
        <v>4</v>
      </c>
      <c r="R1347" t="s">
        <v>113</v>
      </c>
      <c r="S1347">
        <v>54394</v>
      </c>
      <c r="T1347" t="s">
        <v>64</v>
      </c>
      <c r="U1347">
        <v>339.96</v>
      </c>
      <c r="V1347">
        <v>4</v>
      </c>
      <c r="W1347" t="s">
        <v>55</v>
      </c>
      <c r="X1347">
        <v>11</v>
      </c>
      <c r="Y1347">
        <v>3</v>
      </c>
      <c r="Z1347">
        <v>3</v>
      </c>
      <c r="AA1347">
        <v>1</v>
      </c>
      <c r="AB1347">
        <v>18</v>
      </c>
      <c r="AC1347">
        <v>2</v>
      </c>
      <c r="AD1347">
        <v>2</v>
      </c>
      <c r="AE1347">
        <v>7</v>
      </c>
      <c r="AF1347">
        <v>7</v>
      </c>
      <c r="AG1347">
        <v>0</v>
      </c>
      <c r="AH1347">
        <v>7</v>
      </c>
      <c r="AI1347">
        <f t="shared" si="147"/>
        <v>0</v>
      </c>
      <c r="AJ1347" t="str">
        <f t="shared" si="148"/>
        <v>6-10 yrs</v>
      </c>
      <c r="AK1347" t="str">
        <f t="shared" si="149"/>
        <v>Recent</v>
      </c>
      <c r="AL1347">
        <f t="shared" si="150"/>
        <v>1</v>
      </c>
      <c r="AM1347" t="str">
        <f t="shared" si="151"/>
        <v>Low Risk</v>
      </c>
      <c r="AN1347" s="6">
        <f t="shared" si="152"/>
        <v>0.10876989891990561</v>
      </c>
      <c r="AO1347" s="7">
        <f t="shared" si="153"/>
        <v>652728</v>
      </c>
    </row>
    <row r="1348" spans="1:41" x14ac:dyDescent="0.3">
      <c r="A1348" t="s">
        <v>1413</v>
      </c>
      <c r="B1348">
        <v>51</v>
      </c>
      <c r="C1348" t="s">
        <v>1272</v>
      </c>
      <c r="D1348" t="s">
        <v>55</v>
      </c>
      <c r="E1348" t="s">
        <v>48</v>
      </c>
      <c r="F1348">
        <v>1318</v>
      </c>
      <c r="G1348" t="s">
        <v>932</v>
      </c>
      <c r="H1348">
        <v>26</v>
      </c>
      <c r="I1348">
        <v>4</v>
      </c>
      <c r="J1348" t="s">
        <v>63</v>
      </c>
      <c r="K1348">
        <v>851</v>
      </c>
      <c r="L1348">
        <v>1</v>
      </c>
      <c r="M1348" t="s">
        <v>59</v>
      </c>
      <c r="N1348">
        <v>3</v>
      </c>
      <c r="O1348">
        <v>4</v>
      </c>
      <c r="P1348" t="s">
        <v>444</v>
      </c>
      <c r="Q1348">
        <v>3</v>
      </c>
      <c r="R1348" t="s">
        <v>113</v>
      </c>
      <c r="S1348">
        <v>21079</v>
      </c>
      <c r="T1348" t="s">
        <v>54</v>
      </c>
      <c r="U1348">
        <v>131.74</v>
      </c>
      <c r="V1348">
        <v>2</v>
      </c>
      <c r="W1348" t="s">
        <v>55</v>
      </c>
      <c r="X1348">
        <v>14</v>
      </c>
      <c r="Y1348">
        <v>3</v>
      </c>
      <c r="Z1348">
        <v>3</v>
      </c>
      <c r="AA1348">
        <v>1</v>
      </c>
      <c r="AB1348">
        <v>29</v>
      </c>
      <c r="AC1348">
        <v>2</v>
      </c>
      <c r="AD1348">
        <v>2</v>
      </c>
      <c r="AE1348">
        <v>20</v>
      </c>
      <c r="AF1348">
        <v>6</v>
      </c>
      <c r="AG1348">
        <v>4</v>
      </c>
      <c r="AH1348">
        <v>17</v>
      </c>
      <c r="AI1348">
        <f t="shared" si="147"/>
        <v>0</v>
      </c>
      <c r="AJ1348" t="str">
        <f t="shared" si="148"/>
        <v>10+ yrs</v>
      </c>
      <c r="AK1348" t="str">
        <f t="shared" si="149"/>
        <v>Overdue</v>
      </c>
      <c r="AL1348">
        <f t="shared" si="150"/>
        <v>2</v>
      </c>
      <c r="AM1348" t="str">
        <f t="shared" si="151"/>
        <v>Medium Risk</v>
      </c>
      <c r="AN1348" s="6">
        <f t="shared" si="152"/>
        <v>-0.59617469424675273</v>
      </c>
      <c r="AO1348" s="7">
        <f t="shared" si="153"/>
        <v>252948</v>
      </c>
    </row>
    <row r="1349" spans="1:41" x14ac:dyDescent="0.3">
      <c r="A1349" t="s">
        <v>1414</v>
      </c>
      <c r="B1349">
        <v>51</v>
      </c>
      <c r="C1349" t="s">
        <v>1272</v>
      </c>
      <c r="D1349" t="s">
        <v>47</v>
      </c>
      <c r="E1349" t="s">
        <v>48</v>
      </c>
      <c r="F1349">
        <v>1323</v>
      </c>
      <c r="G1349" t="s">
        <v>735</v>
      </c>
      <c r="H1349">
        <v>4</v>
      </c>
      <c r="I1349">
        <v>4</v>
      </c>
      <c r="J1349" t="s">
        <v>50</v>
      </c>
      <c r="K1349">
        <v>1081</v>
      </c>
      <c r="L1349">
        <v>1</v>
      </c>
      <c r="M1349" t="s">
        <v>51</v>
      </c>
      <c r="N1349">
        <v>3</v>
      </c>
      <c r="O1349">
        <v>1</v>
      </c>
      <c r="P1349" t="s">
        <v>67</v>
      </c>
      <c r="Q1349">
        <v>3</v>
      </c>
      <c r="R1349" t="s">
        <v>113</v>
      </c>
      <c r="S1349">
        <v>37220</v>
      </c>
      <c r="T1349" t="s">
        <v>72</v>
      </c>
      <c r="U1349">
        <v>232.62</v>
      </c>
      <c r="V1349">
        <v>9</v>
      </c>
      <c r="W1349" t="s">
        <v>47</v>
      </c>
      <c r="X1349">
        <v>12</v>
      </c>
      <c r="Y1349">
        <v>3</v>
      </c>
      <c r="Z1349">
        <v>3</v>
      </c>
      <c r="AA1349">
        <v>3</v>
      </c>
      <c r="AB1349">
        <v>18</v>
      </c>
      <c r="AC1349">
        <v>2</v>
      </c>
      <c r="AD1349">
        <v>4</v>
      </c>
      <c r="AE1349">
        <v>10</v>
      </c>
      <c r="AF1349">
        <v>0</v>
      </c>
      <c r="AG1349">
        <v>2</v>
      </c>
      <c r="AH1349">
        <v>7</v>
      </c>
      <c r="AI1349">
        <f t="shared" si="147"/>
        <v>1</v>
      </c>
      <c r="AJ1349" t="str">
        <f t="shared" si="148"/>
        <v>6-10 yrs</v>
      </c>
      <c r="AK1349" t="str">
        <f t="shared" si="149"/>
        <v>Recent</v>
      </c>
      <c r="AL1349">
        <f t="shared" si="150"/>
        <v>1</v>
      </c>
      <c r="AM1349" t="str">
        <f t="shared" si="151"/>
        <v>Low Risk</v>
      </c>
      <c r="AN1349" s="6">
        <f t="shared" si="152"/>
        <v>-0.25360117962313827</v>
      </c>
      <c r="AO1349" s="7">
        <f t="shared" si="153"/>
        <v>446640</v>
      </c>
    </row>
    <row r="1350" spans="1:41" x14ac:dyDescent="0.3">
      <c r="A1350" t="s">
        <v>1415</v>
      </c>
      <c r="B1350">
        <v>51</v>
      </c>
      <c r="C1350" t="s">
        <v>1272</v>
      </c>
      <c r="D1350" t="s">
        <v>55</v>
      </c>
      <c r="E1350" t="s">
        <v>62</v>
      </c>
      <c r="F1350">
        <v>237</v>
      </c>
      <c r="G1350" t="s">
        <v>932</v>
      </c>
      <c r="H1350">
        <v>9</v>
      </c>
      <c r="I1350">
        <v>3</v>
      </c>
      <c r="J1350" t="s">
        <v>50</v>
      </c>
      <c r="K1350">
        <v>1282</v>
      </c>
      <c r="L1350">
        <v>4</v>
      </c>
      <c r="M1350" t="s">
        <v>51</v>
      </c>
      <c r="N1350">
        <v>3</v>
      </c>
      <c r="O1350">
        <v>5</v>
      </c>
      <c r="P1350" t="s">
        <v>444</v>
      </c>
      <c r="Q1350">
        <v>2</v>
      </c>
      <c r="R1350" t="s">
        <v>53</v>
      </c>
      <c r="S1350">
        <v>42874</v>
      </c>
      <c r="T1350" t="s">
        <v>72</v>
      </c>
      <c r="U1350">
        <v>267.95999999999998</v>
      </c>
      <c r="V1350">
        <v>4</v>
      </c>
      <c r="W1350" t="s">
        <v>47</v>
      </c>
      <c r="X1350">
        <v>24</v>
      </c>
      <c r="Y1350">
        <v>4</v>
      </c>
      <c r="Z1350">
        <v>1</v>
      </c>
      <c r="AA1350">
        <v>1</v>
      </c>
      <c r="AB1350">
        <v>31</v>
      </c>
      <c r="AC1350">
        <v>5</v>
      </c>
      <c r="AD1350">
        <v>2</v>
      </c>
      <c r="AE1350">
        <v>29</v>
      </c>
      <c r="AF1350">
        <v>10</v>
      </c>
      <c r="AG1350">
        <v>11</v>
      </c>
      <c r="AH1350">
        <v>10</v>
      </c>
      <c r="AI1350">
        <f t="shared" si="147"/>
        <v>0</v>
      </c>
      <c r="AJ1350" t="str">
        <f t="shared" si="148"/>
        <v>10+ yrs</v>
      </c>
      <c r="AK1350" t="str">
        <f t="shared" si="149"/>
        <v>Overdue</v>
      </c>
      <c r="AL1350">
        <f t="shared" si="150"/>
        <v>4</v>
      </c>
      <c r="AM1350" t="str">
        <f t="shared" si="151"/>
        <v>High Risk</v>
      </c>
      <c r="AN1350" s="6">
        <f t="shared" si="152"/>
        <v>-0.17863247028489387</v>
      </c>
      <c r="AO1350" s="7">
        <f t="shared" si="153"/>
        <v>514488</v>
      </c>
    </row>
    <row r="1351" spans="1:41" x14ac:dyDescent="0.3">
      <c r="A1351" t="s">
        <v>1416</v>
      </c>
      <c r="B1351">
        <v>51</v>
      </c>
      <c r="C1351" t="s">
        <v>1272</v>
      </c>
      <c r="D1351" t="s">
        <v>55</v>
      </c>
      <c r="E1351" t="s">
        <v>62</v>
      </c>
      <c r="F1351">
        <v>968</v>
      </c>
      <c r="G1351" t="s">
        <v>735</v>
      </c>
      <c r="H1351">
        <v>6</v>
      </c>
      <c r="I1351">
        <v>2</v>
      </c>
      <c r="J1351" t="s">
        <v>58</v>
      </c>
      <c r="K1351">
        <v>1297</v>
      </c>
      <c r="L1351">
        <v>2</v>
      </c>
      <c r="M1351" t="s">
        <v>59</v>
      </c>
      <c r="N1351">
        <v>2</v>
      </c>
      <c r="O1351">
        <v>1</v>
      </c>
      <c r="P1351" t="s">
        <v>52</v>
      </c>
      <c r="Q1351">
        <v>3</v>
      </c>
      <c r="R1351" t="s">
        <v>53</v>
      </c>
      <c r="S1351">
        <v>14859</v>
      </c>
      <c r="T1351" t="s">
        <v>54</v>
      </c>
      <c r="U1351">
        <v>92.87</v>
      </c>
      <c r="V1351">
        <v>0</v>
      </c>
      <c r="W1351" t="s">
        <v>55</v>
      </c>
      <c r="X1351">
        <v>14</v>
      </c>
      <c r="Y1351">
        <v>3</v>
      </c>
      <c r="Z1351">
        <v>2</v>
      </c>
      <c r="AA1351">
        <v>0</v>
      </c>
      <c r="AB1351">
        <v>8</v>
      </c>
      <c r="AC1351">
        <v>6</v>
      </c>
      <c r="AD1351">
        <v>2</v>
      </c>
      <c r="AE1351">
        <v>7</v>
      </c>
      <c r="AF1351">
        <v>0</v>
      </c>
      <c r="AG1351">
        <v>7</v>
      </c>
      <c r="AH1351">
        <v>7</v>
      </c>
      <c r="AI1351">
        <f t="shared" si="147"/>
        <v>0</v>
      </c>
      <c r="AJ1351" t="str">
        <f t="shared" si="148"/>
        <v>6-10 yrs</v>
      </c>
      <c r="AK1351" t="str">
        <f t="shared" si="149"/>
        <v>Overdue</v>
      </c>
      <c r="AL1351">
        <f t="shared" si="150"/>
        <v>2</v>
      </c>
      <c r="AM1351" t="str">
        <f t="shared" si="151"/>
        <v>Medium Risk</v>
      </c>
      <c r="AN1351" s="6">
        <f t="shared" si="152"/>
        <v>-0.71270634053555504</v>
      </c>
      <c r="AO1351" s="7">
        <f t="shared" si="153"/>
        <v>178308</v>
      </c>
    </row>
    <row r="1352" spans="1:41" x14ac:dyDescent="0.3">
      <c r="A1352" t="s">
        <v>1417</v>
      </c>
      <c r="B1352">
        <v>51</v>
      </c>
      <c r="C1352" t="s">
        <v>1272</v>
      </c>
      <c r="D1352" t="s">
        <v>55</v>
      </c>
      <c r="E1352" t="s">
        <v>48</v>
      </c>
      <c r="F1352">
        <v>770</v>
      </c>
      <c r="G1352" t="s">
        <v>80</v>
      </c>
      <c r="H1352">
        <v>5</v>
      </c>
      <c r="I1352">
        <v>3</v>
      </c>
      <c r="J1352" t="s">
        <v>50</v>
      </c>
      <c r="K1352">
        <v>1352</v>
      </c>
      <c r="L1352">
        <v>3</v>
      </c>
      <c r="M1352" t="s">
        <v>51</v>
      </c>
      <c r="N1352">
        <v>3</v>
      </c>
      <c r="O1352">
        <v>4</v>
      </c>
      <c r="P1352" t="s">
        <v>444</v>
      </c>
      <c r="Q1352">
        <v>2</v>
      </c>
      <c r="R1352" t="s">
        <v>113</v>
      </c>
      <c r="S1352">
        <v>51460</v>
      </c>
      <c r="T1352" t="s">
        <v>64</v>
      </c>
      <c r="U1352">
        <v>321.62</v>
      </c>
      <c r="V1352">
        <v>1</v>
      </c>
      <c r="W1352" t="s">
        <v>47</v>
      </c>
      <c r="X1352">
        <v>11</v>
      </c>
      <c r="Y1352">
        <v>3</v>
      </c>
      <c r="Z1352">
        <v>2</v>
      </c>
      <c r="AA1352">
        <v>1</v>
      </c>
      <c r="AB1352">
        <v>33</v>
      </c>
      <c r="AC1352">
        <v>2</v>
      </c>
      <c r="AD1352">
        <v>3</v>
      </c>
      <c r="AE1352">
        <v>33</v>
      </c>
      <c r="AF1352">
        <v>9</v>
      </c>
      <c r="AG1352">
        <v>0</v>
      </c>
      <c r="AH1352">
        <v>10</v>
      </c>
      <c r="AI1352">
        <f t="shared" si="147"/>
        <v>0</v>
      </c>
      <c r="AJ1352" t="str">
        <f t="shared" si="148"/>
        <v>10+ yrs</v>
      </c>
      <c r="AK1352" t="str">
        <f t="shared" si="149"/>
        <v>Recent</v>
      </c>
      <c r="AL1352">
        <f t="shared" si="150"/>
        <v>2</v>
      </c>
      <c r="AM1352" t="str">
        <f t="shared" si="151"/>
        <v>Medium Risk</v>
      </c>
      <c r="AN1352" s="6">
        <f t="shared" si="152"/>
        <v>-1.414439802352566E-2</v>
      </c>
      <c r="AO1352" s="7">
        <f t="shared" si="153"/>
        <v>617520</v>
      </c>
    </row>
    <row r="1353" spans="1:41" x14ac:dyDescent="0.3">
      <c r="A1353" t="s">
        <v>1418</v>
      </c>
      <c r="B1353">
        <v>51</v>
      </c>
      <c r="C1353" t="s">
        <v>1272</v>
      </c>
      <c r="D1353" t="s">
        <v>55</v>
      </c>
      <c r="E1353" t="s">
        <v>48</v>
      </c>
      <c r="F1353">
        <v>1405</v>
      </c>
      <c r="G1353" t="s">
        <v>735</v>
      </c>
      <c r="H1353">
        <v>11</v>
      </c>
      <c r="I1353">
        <v>2</v>
      </c>
      <c r="J1353" t="s">
        <v>77</v>
      </c>
      <c r="K1353">
        <v>1367</v>
      </c>
      <c r="L1353">
        <v>4</v>
      </c>
      <c r="M1353" t="s">
        <v>59</v>
      </c>
      <c r="N1353">
        <v>2</v>
      </c>
      <c r="O1353">
        <v>4</v>
      </c>
      <c r="P1353" t="s">
        <v>120</v>
      </c>
      <c r="Q1353">
        <v>2</v>
      </c>
      <c r="R1353" t="s">
        <v>53</v>
      </c>
      <c r="S1353">
        <v>32419</v>
      </c>
      <c r="T1353" t="s">
        <v>72</v>
      </c>
      <c r="U1353">
        <v>202.62</v>
      </c>
      <c r="V1353">
        <v>3</v>
      </c>
      <c r="W1353" t="s">
        <v>55</v>
      </c>
      <c r="X1353">
        <v>16</v>
      </c>
      <c r="Y1353">
        <v>3</v>
      </c>
      <c r="Z1353">
        <v>2</v>
      </c>
      <c r="AA1353">
        <v>0</v>
      </c>
      <c r="AB1353">
        <v>29</v>
      </c>
      <c r="AC1353">
        <v>1</v>
      </c>
      <c r="AD1353">
        <v>2</v>
      </c>
      <c r="AE1353">
        <v>5</v>
      </c>
      <c r="AF1353">
        <v>2</v>
      </c>
      <c r="AG1353">
        <v>0</v>
      </c>
      <c r="AH1353">
        <v>3</v>
      </c>
      <c r="AI1353">
        <f t="shared" si="147"/>
        <v>0</v>
      </c>
      <c r="AJ1353" t="str">
        <f t="shared" si="148"/>
        <v>4-5 yrs</v>
      </c>
      <c r="AK1353" t="str">
        <f t="shared" si="149"/>
        <v>Recent</v>
      </c>
      <c r="AL1353">
        <f t="shared" si="150"/>
        <v>2</v>
      </c>
      <c r="AM1353" t="str">
        <f t="shared" si="151"/>
        <v>Medium Risk</v>
      </c>
      <c r="AN1353" s="6">
        <f t="shared" si="152"/>
        <v>-0.26811707036780991</v>
      </c>
      <c r="AO1353" s="7">
        <f t="shared" si="153"/>
        <v>389028</v>
      </c>
    </row>
    <row r="1354" spans="1:41" x14ac:dyDescent="0.3">
      <c r="A1354" t="s">
        <v>1419</v>
      </c>
      <c r="B1354">
        <v>51</v>
      </c>
      <c r="C1354" t="s">
        <v>1272</v>
      </c>
      <c r="D1354" t="s">
        <v>55</v>
      </c>
      <c r="E1354" t="s">
        <v>62</v>
      </c>
      <c r="F1354">
        <v>541</v>
      </c>
      <c r="G1354" t="s">
        <v>932</v>
      </c>
      <c r="H1354">
        <v>2</v>
      </c>
      <c r="I1354">
        <v>3</v>
      </c>
      <c r="J1354" t="s">
        <v>63</v>
      </c>
      <c r="K1354">
        <v>1391</v>
      </c>
      <c r="L1354">
        <v>2</v>
      </c>
      <c r="M1354" t="s">
        <v>51</v>
      </c>
      <c r="N1354">
        <v>3</v>
      </c>
      <c r="O1354">
        <v>3</v>
      </c>
      <c r="P1354" t="s">
        <v>145</v>
      </c>
      <c r="Q1354">
        <v>2</v>
      </c>
      <c r="R1354" t="s">
        <v>113</v>
      </c>
      <c r="S1354">
        <v>9705</v>
      </c>
      <c r="T1354" t="s">
        <v>54</v>
      </c>
      <c r="U1354">
        <v>60.66</v>
      </c>
      <c r="V1354">
        <v>2</v>
      </c>
      <c r="W1354" t="s">
        <v>55</v>
      </c>
      <c r="X1354">
        <v>11</v>
      </c>
      <c r="Y1354">
        <v>3</v>
      </c>
      <c r="Z1354">
        <v>2</v>
      </c>
      <c r="AA1354">
        <v>0</v>
      </c>
      <c r="AB1354">
        <v>14</v>
      </c>
      <c r="AC1354">
        <v>5</v>
      </c>
      <c r="AD1354">
        <v>3</v>
      </c>
      <c r="AE1354">
        <v>4</v>
      </c>
      <c r="AF1354">
        <v>2</v>
      </c>
      <c r="AG1354">
        <v>3</v>
      </c>
      <c r="AH1354">
        <v>2</v>
      </c>
      <c r="AI1354">
        <f t="shared" si="147"/>
        <v>0</v>
      </c>
      <c r="AJ1354" t="str">
        <f t="shared" si="148"/>
        <v>4-5 yrs</v>
      </c>
      <c r="AK1354" t="str">
        <f t="shared" si="149"/>
        <v>Overdue</v>
      </c>
      <c r="AL1354">
        <f t="shared" si="150"/>
        <v>2</v>
      </c>
      <c r="AM1354" t="str">
        <f t="shared" si="151"/>
        <v>Medium Risk</v>
      </c>
      <c r="AN1354" s="6">
        <f t="shared" si="152"/>
        <v>-0.80217281558595277</v>
      </c>
      <c r="AO1354" s="7">
        <f t="shared" si="153"/>
        <v>116460</v>
      </c>
    </row>
    <row r="1355" spans="1:41" x14ac:dyDescent="0.3">
      <c r="A1355" t="s">
        <v>1420</v>
      </c>
      <c r="B1355">
        <v>51</v>
      </c>
      <c r="C1355" t="s">
        <v>1272</v>
      </c>
      <c r="D1355" t="s">
        <v>55</v>
      </c>
      <c r="E1355" t="s">
        <v>48</v>
      </c>
      <c r="F1355">
        <v>942</v>
      </c>
      <c r="G1355" t="s">
        <v>735</v>
      </c>
      <c r="H1355">
        <v>3</v>
      </c>
      <c r="I1355">
        <v>3</v>
      </c>
      <c r="J1355" t="s">
        <v>77</v>
      </c>
      <c r="K1355">
        <v>1786</v>
      </c>
      <c r="L1355">
        <v>1</v>
      </c>
      <c r="M1355" t="s">
        <v>59</v>
      </c>
      <c r="N1355">
        <v>3</v>
      </c>
      <c r="O1355">
        <v>3</v>
      </c>
      <c r="P1355" t="s">
        <v>444</v>
      </c>
      <c r="Q1355">
        <v>3</v>
      </c>
      <c r="R1355" t="s">
        <v>113</v>
      </c>
      <c r="S1355">
        <v>43880</v>
      </c>
      <c r="T1355" t="s">
        <v>72</v>
      </c>
      <c r="U1355">
        <v>274.25</v>
      </c>
      <c r="V1355">
        <v>2</v>
      </c>
      <c r="W1355" t="s">
        <v>55</v>
      </c>
      <c r="X1355">
        <v>11</v>
      </c>
      <c r="Y1355">
        <v>3</v>
      </c>
      <c r="Z1355">
        <v>4</v>
      </c>
      <c r="AA1355">
        <v>0</v>
      </c>
      <c r="AB1355">
        <v>15</v>
      </c>
      <c r="AC1355">
        <v>2</v>
      </c>
      <c r="AD1355">
        <v>3</v>
      </c>
      <c r="AE1355">
        <v>2</v>
      </c>
      <c r="AF1355">
        <v>2</v>
      </c>
      <c r="AG1355">
        <v>2</v>
      </c>
      <c r="AH1355">
        <v>2</v>
      </c>
      <c r="AI1355">
        <f t="shared" si="147"/>
        <v>0</v>
      </c>
      <c r="AJ1355" t="str">
        <f t="shared" si="148"/>
        <v>2-3 yrs</v>
      </c>
      <c r="AK1355" t="str">
        <f t="shared" si="149"/>
        <v>Recent</v>
      </c>
      <c r="AL1355">
        <f t="shared" si="150"/>
        <v>0</v>
      </c>
      <c r="AM1355" t="str">
        <f t="shared" si="151"/>
        <v>Minimal Risk</v>
      </c>
      <c r="AN1355" s="6">
        <f t="shared" si="152"/>
        <v>-0.15935981704765462</v>
      </c>
      <c r="AO1355" s="7">
        <f t="shared" si="153"/>
        <v>526560</v>
      </c>
    </row>
    <row r="1356" spans="1:41" x14ac:dyDescent="0.3">
      <c r="A1356" t="s">
        <v>1421</v>
      </c>
      <c r="B1356">
        <v>52</v>
      </c>
      <c r="C1356" t="s">
        <v>1272</v>
      </c>
      <c r="D1356" t="s">
        <v>55</v>
      </c>
      <c r="E1356" t="s">
        <v>48</v>
      </c>
      <c r="F1356">
        <v>699</v>
      </c>
      <c r="G1356" t="s">
        <v>735</v>
      </c>
      <c r="H1356">
        <v>1</v>
      </c>
      <c r="I1356">
        <v>4</v>
      </c>
      <c r="J1356" t="s">
        <v>50</v>
      </c>
      <c r="K1356">
        <v>259</v>
      </c>
      <c r="L1356">
        <v>3</v>
      </c>
      <c r="M1356" t="s">
        <v>51</v>
      </c>
      <c r="N1356">
        <v>2</v>
      </c>
      <c r="O1356">
        <v>5</v>
      </c>
      <c r="P1356" t="s">
        <v>444</v>
      </c>
      <c r="Q1356">
        <v>3</v>
      </c>
      <c r="R1356" t="s">
        <v>113</v>
      </c>
      <c r="S1356">
        <v>24236</v>
      </c>
      <c r="T1356" t="s">
        <v>54</v>
      </c>
      <c r="U1356">
        <v>151.47999999999999</v>
      </c>
      <c r="V1356">
        <v>0</v>
      </c>
      <c r="W1356" t="s">
        <v>55</v>
      </c>
      <c r="X1356">
        <v>14</v>
      </c>
      <c r="Y1356">
        <v>3</v>
      </c>
      <c r="Z1356">
        <v>1</v>
      </c>
      <c r="AA1356">
        <v>1</v>
      </c>
      <c r="AB1356">
        <v>34</v>
      </c>
      <c r="AC1356">
        <v>5</v>
      </c>
      <c r="AD1356">
        <v>3</v>
      </c>
      <c r="AE1356">
        <v>33</v>
      </c>
      <c r="AF1356">
        <v>18</v>
      </c>
      <c r="AG1356">
        <v>11</v>
      </c>
      <c r="AH1356">
        <v>9</v>
      </c>
      <c r="AI1356">
        <f t="shared" si="147"/>
        <v>0</v>
      </c>
      <c r="AJ1356" t="str">
        <f t="shared" si="148"/>
        <v>10+ yrs</v>
      </c>
      <c r="AK1356" t="str">
        <f t="shared" si="149"/>
        <v>Overdue</v>
      </c>
      <c r="AL1356">
        <f t="shared" si="150"/>
        <v>1</v>
      </c>
      <c r="AM1356" t="str">
        <f t="shared" si="151"/>
        <v>Low Risk</v>
      </c>
      <c r="AN1356" s="6">
        <f t="shared" si="152"/>
        <v>-0.53569381326269272</v>
      </c>
      <c r="AO1356" s="7">
        <f t="shared" si="153"/>
        <v>290832</v>
      </c>
    </row>
    <row r="1357" spans="1:41" x14ac:dyDescent="0.3">
      <c r="A1357" t="s">
        <v>1422</v>
      </c>
      <c r="B1357">
        <v>52</v>
      </c>
      <c r="C1357" t="s">
        <v>1272</v>
      </c>
      <c r="D1357" t="s">
        <v>55</v>
      </c>
      <c r="E1357" t="s">
        <v>48</v>
      </c>
      <c r="F1357">
        <v>1323</v>
      </c>
      <c r="G1357" t="s">
        <v>735</v>
      </c>
      <c r="H1357">
        <v>2</v>
      </c>
      <c r="I1357">
        <v>3</v>
      </c>
      <c r="J1357" t="s">
        <v>50</v>
      </c>
      <c r="K1357">
        <v>316</v>
      </c>
      <c r="L1357">
        <v>3</v>
      </c>
      <c r="M1357" t="s">
        <v>59</v>
      </c>
      <c r="N1357">
        <v>2</v>
      </c>
      <c r="O1357">
        <v>1</v>
      </c>
      <c r="P1357" t="s">
        <v>52</v>
      </c>
      <c r="Q1357">
        <v>4</v>
      </c>
      <c r="R1357" t="s">
        <v>53</v>
      </c>
      <c r="S1357">
        <v>88955</v>
      </c>
      <c r="T1357" t="s">
        <v>70</v>
      </c>
      <c r="U1357">
        <v>555.97</v>
      </c>
      <c r="V1357">
        <v>7</v>
      </c>
      <c r="W1357" t="s">
        <v>55</v>
      </c>
      <c r="X1357">
        <v>15</v>
      </c>
      <c r="Y1357">
        <v>3</v>
      </c>
      <c r="Z1357">
        <v>2</v>
      </c>
      <c r="AA1357">
        <v>0</v>
      </c>
      <c r="AB1357">
        <v>6</v>
      </c>
      <c r="AC1357">
        <v>3</v>
      </c>
      <c r="AD1357">
        <v>2</v>
      </c>
      <c r="AE1357">
        <v>2</v>
      </c>
      <c r="AF1357">
        <v>2</v>
      </c>
      <c r="AG1357">
        <v>2</v>
      </c>
      <c r="AH1357">
        <v>2</v>
      </c>
      <c r="AI1357">
        <f t="shared" si="147"/>
        <v>0</v>
      </c>
      <c r="AJ1357" t="str">
        <f t="shared" si="148"/>
        <v>2-3 yrs</v>
      </c>
      <c r="AK1357" t="str">
        <f t="shared" si="149"/>
        <v>Recent</v>
      </c>
      <c r="AL1357">
        <f t="shared" si="150"/>
        <v>1</v>
      </c>
      <c r="AM1357" t="str">
        <f t="shared" si="151"/>
        <v>Low Risk</v>
      </c>
      <c r="AN1357" s="6">
        <f t="shared" si="152"/>
        <v>0.71991436016284416</v>
      </c>
      <c r="AO1357" s="7">
        <f t="shared" si="153"/>
        <v>1067460</v>
      </c>
    </row>
    <row r="1358" spans="1:41" x14ac:dyDescent="0.3">
      <c r="A1358" t="s">
        <v>1423</v>
      </c>
      <c r="B1358">
        <v>52</v>
      </c>
      <c r="C1358" t="s">
        <v>1272</v>
      </c>
      <c r="D1358" t="s">
        <v>55</v>
      </c>
      <c r="E1358" t="s">
        <v>66</v>
      </c>
      <c r="F1358">
        <v>771</v>
      </c>
      <c r="G1358" t="s">
        <v>932</v>
      </c>
      <c r="H1358">
        <v>2</v>
      </c>
      <c r="I1358">
        <v>4</v>
      </c>
      <c r="J1358" t="s">
        <v>50</v>
      </c>
      <c r="K1358">
        <v>329</v>
      </c>
      <c r="L1358">
        <v>1</v>
      </c>
      <c r="M1358" t="s">
        <v>51</v>
      </c>
      <c r="N1358">
        <v>2</v>
      </c>
      <c r="O1358">
        <v>5</v>
      </c>
      <c r="P1358" t="s">
        <v>444</v>
      </c>
      <c r="Q1358">
        <v>3</v>
      </c>
      <c r="R1358" t="s">
        <v>53</v>
      </c>
      <c r="S1358">
        <v>86514</v>
      </c>
      <c r="T1358" t="s">
        <v>70</v>
      </c>
      <c r="U1358">
        <v>540.71</v>
      </c>
      <c r="V1358">
        <v>1</v>
      </c>
      <c r="W1358" t="s">
        <v>47</v>
      </c>
      <c r="X1358">
        <v>18</v>
      </c>
      <c r="Y1358">
        <v>3</v>
      </c>
      <c r="Z1358">
        <v>4</v>
      </c>
      <c r="AA1358">
        <v>0</v>
      </c>
      <c r="AB1358">
        <v>33</v>
      </c>
      <c r="AC1358">
        <v>2</v>
      </c>
      <c r="AD1358">
        <v>4</v>
      </c>
      <c r="AE1358">
        <v>33</v>
      </c>
      <c r="AF1358">
        <v>7</v>
      </c>
      <c r="AG1358">
        <v>15</v>
      </c>
      <c r="AH1358">
        <v>12</v>
      </c>
      <c r="AI1358">
        <f t="shared" si="147"/>
        <v>0</v>
      </c>
      <c r="AJ1358" t="str">
        <f t="shared" si="148"/>
        <v>10+ yrs</v>
      </c>
      <c r="AK1358" t="str">
        <f t="shared" si="149"/>
        <v>Overdue</v>
      </c>
      <c r="AL1358">
        <f t="shared" si="150"/>
        <v>2</v>
      </c>
      <c r="AM1358" t="str">
        <f t="shared" si="151"/>
        <v>Medium Risk</v>
      </c>
      <c r="AN1358" s="6">
        <f t="shared" si="152"/>
        <v>0.65740986298858728</v>
      </c>
      <c r="AO1358" s="7">
        <f t="shared" si="153"/>
        <v>1038168</v>
      </c>
    </row>
    <row r="1359" spans="1:41" x14ac:dyDescent="0.3">
      <c r="A1359" t="s">
        <v>1424</v>
      </c>
      <c r="B1359">
        <v>52</v>
      </c>
      <c r="C1359" t="s">
        <v>1272</v>
      </c>
      <c r="D1359" t="s">
        <v>47</v>
      </c>
      <c r="E1359" t="s">
        <v>48</v>
      </c>
      <c r="F1359">
        <v>723</v>
      </c>
      <c r="G1359" t="s">
        <v>735</v>
      </c>
      <c r="H1359">
        <v>8</v>
      </c>
      <c r="I1359">
        <v>4</v>
      </c>
      <c r="J1359" t="s">
        <v>58</v>
      </c>
      <c r="K1359">
        <v>433</v>
      </c>
      <c r="L1359">
        <v>3</v>
      </c>
      <c r="M1359" t="s">
        <v>51</v>
      </c>
      <c r="N1359">
        <v>2</v>
      </c>
      <c r="O1359">
        <v>2</v>
      </c>
      <c r="P1359" t="s">
        <v>67</v>
      </c>
      <c r="Q1359">
        <v>2</v>
      </c>
      <c r="R1359" t="s">
        <v>113</v>
      </c>
      <c r="S1359">
        <v>16358</v>
      </c>
      <c r="T1359" t="s">
        <v>54</v>
      </c>
      <c r="U1359">
        <v>102.24</v>
      </c>
      <c r="V1359">
        <v>2</v>
      </c>
      <c r="W1359" t="s">
        <v>55</v>
      </c>
      <c r="X1359">
        <v>15</v>
      </c>
      <c r="Y1359">
        <v>3</v>
      </c>
      <c r="Z1359">
        <v>1</v>
      </c>
      <c r="AA1359">
        <v>0</v>
      </c>
      <c r="AB1359">
        <v>11</v>
      </c>
      <c r="AC1359">
        <v>3</v>
      </c>
      <c r="AD1359">
        <v>2</v>
      </c>
      <c r="AE1359">
        <v>8</v>
      </c>
      <c r="AF1359">
        <v>2</v>
      </c>
      <c r="AG1359">
        <v>7</v>
      </c>
      <c r="AH1359">
        <v>7</v>
      </c>
      <c r="AI1359">
        <f t="shared" si="147"/>
        <v>1</v>
      </c>
      <c r="AJ1359" t="str">
        <f t="shared" si="148"/>
        <v>6-10 yrs</v>
      </c>
      <c r="AK1359" t="str">
        <f t="shared" si="149"/>
        <v>Overdue</v>
      </c>
      <c r="AL1359">
        <f t="shared" si="150"/>
        <v>3</v>
      </c>
      <c r="AM1359" t="str">
        <f t="shared" si="151"/>
        <v>High Risk</v>
      </c>
      <c r="AN1359" s="6">
        <f t="shared" si="152"/>
        <v>-0.67196152864791225</v>
      </c>
      <c r="AO1359" s="7">
        <f t="shared" si="153"/>
        <v>196296</v>
      </c>
    </row>
    <row r="1360" spans="1:41" x14ac:dyDescent="0.3">
      <c r="A1360" t="s">
        <v>1425</v>
      </c>
      <c r="B1360">
        <v>52</v>
      </c>
      <c r="C1360" t="s">
        <v>1272</v>
      </c>
      <c r="D1360" t="s">
        <v>55</v>
      </c>
      <c r="E1360" t="s">
        <v>48</v>
      </c>
      <c r="F1360">
        <v>319</v>
      </c>
      <c r="G1360" t="s">
        <v>735</v>
      </c>
      <c r="H1360">
        <v>3</v>
      </c>
      <c r="I1360">
        <v>3</v>
      </c>
      <c r="J1360" t="s">
        <v>58</v>
      </c>
      <c r="K1360">
        <v>543</v>
      </c>
      <c r="L1360">
        <v>4</v>
      </c>
      <c r="M1360" t="s">
        <v>51</v>
      </c>
      <c r="N1360">
        <v>2</v>
      </c>
      <c r="O1360">
        <v>3</v>
      </c>
      <c r="P1360" t="s">
        <v>120</v>
      </c>
      <c r="Q1360">
        <v>3</v>
      </c>
      <c r="R1360" t="s">
        <v>113</v>
      </c>
      <c r="S1360">
        <v>95914</v>
      </c>
      <c r="T1360" t="s">
        <v>70</v>
      </c>
      <c r="U1360">
        <v>599.46</v>
      </c>
      <c r="V1360">
        <v>2</v>
      </c>
      <c r="W1360" t="s">
        <v>47</v>
      </c>
      <c r="X1360">
        <v>14</v>
      </c>
      <c r="Y1360">
        <v>3</v>
      </c>
      <c r="Z1360">
        <v>3</v>
      </c>
      <c r="AA1360">
        <v>0</v>
      </c>
      <c r="AB1360">
        <v>28</v>
      </c>
      <c r="AC1360">
        <v>4</v>
      </c>
      <c r="AD1360">
        <v>3</v>
      </c>
      <c r="AE1360">
        <v>5</v>
      </c>
      <c r="AF1360">
        <v>4</v>
      </c>
      <c r="AG1360">
        <v>0</v>
      </c>
      <c r="AH1360">
        <v>4</v>
      </c>
      <c r="AI1360">
        <f t="shared" si="147"/>
        <v>0</v>
      </c>
      <c r="AJ1360" t="str">
        <f t="shared" si="148"/>
        <v>4-5 yrs</v>
      </c>
      <c r="AK1360" t="str">
        <f t="shared" si="149"/>
        <v>Recent</v>
      </c>
      <c r="AL1360">
        <f t="shared" si="150"/>
        <v>1</v>
      </c>
      <c r="AM1360" t="str">
        <f t="shared" si="151"/>
        <v>Low Risk</v>
      </c>
      <c r="AN1360" s="6">
        <f t="shared" si="152"/>
        <v>1.165329569472898</v>
      </c>
      <c r="AO1360" s="7">
        <f t="shared" si="153"/>
        <v>1150968</v>
      </c>
    </row>
    <row r="1361" spans="1:41" x14ac:dyDescent="0.3">
      <c r="A1361" t="s">
        <v>1426</v>
      </c>
      <c r="B1361">
        <v>52</v>
      </c>
      <c r="C1361" t="s">
        <v>1272</v>
      </c>
      <c r="D1361" t="s">
        <v>55</v>
      </c>
      <c r="E1361" t="s">
        <v>48</v>
      </c>
      <c r="F1361">
        <v>1490</v>
      </c>
      <c r="G1361" t="s">
        <v>735</v>
      </c>
      <c r="H1361">
        <v>4</v>
      </c>
      <c r="I1361">
        <v>2</v>
      </c>
      <c r="J1361" t="s">
        <v>50</v>
      </c>
      <c r="K1361">
        <v>546</v>
      </c>
      <c r="L1361">
        <v>4</v>
      </c>
      <c r="M1361" t="s">
        <v>59</v>
      </c>
      <c r="N1361">
        <v>3</v>
      </c>
      <c r="O1361">
        <v>4</v>
      </c>
      <c r="P1361" t="s">
        <v>444</v>
      </c>
      <c r="Q1361">
        <v>4</v>
      </c>
      <c r="R1361" t="s">
        <v>113</v>
      </c>
      <c r="S1361">
        <v>77918</v>
      </c>
      <c r="T1361" t="s">
        <v>64</v>
      </c>
      <c r="U1361">
        <v>486.99</v>
      </c>
      <c r="V1361">
        <v>2</v>
      </c>
      <c r="W1361" t="s">
        <v>55</v>
      </c>
      <c r="X1361">
        <v>13</v>
      </c>
      <c r="Y1361">
        <v>3</v>
      </c>
      <c r="Z1361">
        <v>4</v>
      </c>
      <c r="AA1361">
        <v>0</v>
      </c>
      <c r="AB1361">
        <v>31</v>
      </c>
      <c r="AC1361">
        <v>2</v>
      </c>
      <c r="AD1361">
        <v>1</v>
      </c>
      <c r="AE1361">
        <v>5</v>
      </c>
      <c r="AF1361">
        <v>2</v>
      </c>
      <c r="AG1361">
        <v>1</v>
      </c>
      <c r="AH1361">
        <v>4</v>
      </c>
      <c r="AI1361">
        <f t="shared" si="147"/>
        <v>0</v>
      </c>
      <c r="AJ1361" t="str">
        <f t="shared" si="148"/>
        <v>4-5 yrs</v>
      </c>
      <c r="AK1361" t="str">
        <f t="shared" si="149"/>
        <v>Recent</v>
      </c>
      <c r="AL1361">
        <f t="shared" si="150"/>
        <v>1</v>
      </c>
      <c r="AM1361" t="str">
        <f t="shared" si="151"/>
        <v>Low Risk</v>
      </c>
      <c r="AN1361" s="6">
        <f t="shared" si="152"/>
        <v>0.49273021365726638</v>
      </c>
      <c r="AO1361" s="7">
        <f t="shared" si="153"/>
        <v>935016</v>
      </c>
    </row>
    <row r="1362" spans="1:41" x14ac:dyDescent="0.3">
      <c r="A1362" t="s">
        <v>1427</v>
      </c>
      <c r="B1362">
        <v>52</v>
      </c>
      <c r="C1362" t="s">
        <v>1272</v>
      </c>
      <c r="D1362" t="s">
        <v>55</v>
      </c>
      <c r="E1362" t="s">
        <v>48</v>
      </c>
      <c r="F1362">
        <v>956</v>
      </c>
      <c r="G1362" t="s">
        <v>735</v>
      </c>
      <c r="H1362">
        <v>6</v>
      </c>
      <c r="I1362">
        <v>2</v>
      </c>
      <c r="J1362" t="s">
        <v>77</v>
      </c>
      <c r="K1362">
        <v>630</v>
      </c>
      <c r="L1362">
        <v>4</v>
      </c>
      <c r="M1362" t="s">
        <v>51</v>
      </c>
      <c r="N1362">
        <v>3</v>
      </c>
      <c r="O1362">
        <v>2</v>
      </c>
      <c r="P1362" t="s">
        <v>67</v>
      </c>
      <c r="Q1362">
        <v>1</v>
      </c>
      <c r="R1362" t="s">
        <v>113</v>
      </c>
      <c r="S1362">
        <v>15596</v>
      </c>
      <c r="T1362" t="s">
        <v>54</v>
      </c>
      <c r="U1362">
        <v>97.48</v>
      </c>
      <c r="V1362">
        <v>3</v>
      </c>
      <c r="W1362" t="s">
        <v>47</v>
      </c>
      <c r="X1362">
        <v>12</v>
      </c>
      <c r="Y1362">
        <v>3</v>
      </c>
      <c r="Z1362">
        <v>2</v>
      </c>
      <c r="AA1362">
        <v>2</v>
      </c>
      <c r="AB1362">
        <v>18</v>
      </c>
      <c r="AC1362">
        <v>3</v>
      </c>
      <c r="AD1362">
        <v>3</v>
      </c>
      <c r="AE1362">
        <v>10</v>
      </c>
      <c r="AF1362">
        <v>9</v>
      </c>
      <c r="AG1362">
        <v>6</v>
      </c>
      <c r="AH1362">
        <v>9</v>
      </c>
      <c r="AI1362">
        <f t="shared" si="147"/>
        <v>0</v>
      </c>
      <c r="AJ1362" t="str">
        <f t="shared" si="148"/>
        <v>6-10 yrs</v>
      </c>
      <c r="AK1362" t="str">
        <f t="shared" si="149"/>
        <v>Overdue</v>
      </c>
      <c r="AL1362">
        <f t="shared" si="150"/>
        <v>3</v>
      </c>
      <c r="AM1362" t="str">
        <f t="shared" si="151"/>
        <v>High Risk</v>
      </c>
      <c r="AN1362" s="6">
        <f t="shared" si="152"/>
        <v>-0.68724245022575137</v>
      </c>
      <c r="AO1362" s="7">
        <f t="shared" si="153"/>
        <v>187152</v>
      </c>
    </row>
    <row r="1363" spans="1:41" x14ac:dyDescent="0.3">
      <c r="A1363" t="s">
        <v>1428</v>
      </c>
      <c r="B1363">
        <v>52</v>
      </c>
      <c r="C1363" t="s">
        <v>1272</v>
      </c>
      <c r="D1363" t="s">
        <v>55</v>
      </c>
      <c r="E1363" t="s">
        <v>48</v>
      </c>
      <c r="F1363">
        <v>621</v>
      </c>
      <c r="G1363" t="s">
        <v>932</v>
      </c>
      <c r="H1363">
        <v>3</v>
      </c>
      <c r="I1363">
        <v>4</v>
      </c>
      <c r="J1363" t="s">
        <v>63</v>
      </c>
      <c r="K1363">
        <v>776</v>
      </c>
      <c r="L1363">
        <v>3</v>
      </c>
      <c r="M1363" t="s">
        <v>51</v>
      </c>
      <c r="N1363">
        <v>2</v>
      </c>
      <c r="O1363">
        <v>4</v>
      </c>
      <c r="P1363" t="s">
        <v>444</v>
      </c>
      <c r="Q1363">
        <v>1</v>
      </c>
      <c r="R1363" t="s">
        <v>113</v>
      </c>
      <c r="S1363">
        <v>34572</v>
      </c>
      <c r="T1363" t="s">
        <v>72</v>
      </c>
      <c r="U1363">
        <v>216.08</v>
      </c>
      <c r="V1363">
        <v>1</v>
      </c>
      <c r="W1363" t="s">
        <v>55</v>
      </c>
      <c r="X1363">
        <v>11</v>
      </c>
      <c r="Y1363">
        <v>3</v>
      </c>
      <c r="Z1363">
        <v>1</v>
      </c>
      <c r="AA1363">
        <v>0</v>
      </c>
      <c r="AB1363">
        <v>34</v>
      </c>
      <c r="AC1363">
        <v>3</v>
      </c>
      <c r="AD1363">
        <v>4</v>
      </c>
      <c r="AE1363">
        <v>34</v>
      </c>
      <c r="AF1363">
        <v>6</v>
      </c>
      <c r="AG1363">
        <v>1</v>
      </c>
      <c r="AH1363">
        <v>16</v>
      </c>
      <c r="AI1363">
        <f t="shared" si="147"/>
        <v>0</v>
      </c>
      <c r="AJ1363" t="str">
        <f t="shared" si="148"/>
        <v>10+ yrs</v>
      </c>
      <c r="AK1363" t="str">
        <f t="shared" si="149"/>
        <v>Recent</v>
      </c>
      <c r="AL1363">
        <f t="shared" si="150"/>
        <v>1</v>
      </c>
      <c r="AM1363" t="str">
        <f t="shared" si="151"/>
        <v>Low Risk</v>
      </c>
      <c r="AN1363" s="6">
        <f t="shared" si="152"/>
        <v>-0.33767975375960607</v>
      </c>
      <c r="AO1363" s="7">
        <f t="shared" si="153"/>
        <v>414864</v>
      </c>
    </row>
    <row r="1364" spans="1:41" x14ac:dyDescent="0.3">
      <c r="A1364" t="s">
        <v>1429</v>
      </c>
      <c r="B1364">
        <v>52</v>
      </c>
      <c r="C1364" t="s">
        <v>1272</v>
      </c>
      <c r="D1364" t="s">
        <v>55</v>
      </c>
      <c r="E1364" t="s">
        <v>66</v>
      </c>
      <c r="F1364">
        <v>715</v>
      </c>
      <c r="G1364" t="s">
        <v>735</v>
      </c>
      <c r="H1364">
        <v>19</v>
      </c>
      <c r="I1364">
        <v>4</v>
      </c>
      <c r="J1364" t="s">
        <v>58</v>
      </c>
      <c r="K1364">
        <v>791</v>
      </c>
      <c r="L1364">
        <v>4</v>
      </c>
      <c r="M1364" t="s">
        <v>51</v>
      </c>
      <c r="N1364">
        <v>3</v>
      </c>
      <c r="O1364">
        <v>1</v>
      </c>
      <c r="P1364" t="s">
        <v>67</v>
      </c>
      <c r="Q1364">
        <v>4</v>
      </c>
      <c r="R1364" t="s">
        <v>113</v>
      </c>
      <c r="S1364">
        <v>79757</v>
      </c>
      <c r="T1364" t="s">
        <v>64</v>
      </c>
      <c r="U1364">
        <v>498.48</v>
      </c>
      <c r="V1364">
        <v>0</v>
      </c>
      <c r="W1364" t="s">
        <v>55</v>
      </c>
      <c r="X1364">
        <v>18</v>
      </c>
      <c r="Y1364">
        <v>3</v>
      </c>
      <c r="Z1364">
        <v>1</v>
      </c>
      <c r="AA1364">
        <v>1</v>
      </c>
      <c r="AB1364">
        <v>5</v>
      </c>
      <c r="AC1364">
        <v>3</v>
      </c>
      <c r="AD1364">
        <v>3</v>
      </c>
      <c r="AE1364">
        <v>4</v>
      </c>
      <c r="AF1364">
        <v>3</v>
      </c>
      <c r="AG1364">
        <v>1</v>
      </c>
      <c r="AH1364">
        <v>2</v>
      </c>
      <c r="AI1364">
        <f t="shared" si="147"/>
        <v>0</v>
      </c>
      <c r="AJ1364" t="str">
        <f t="shared" si="148"/>
        <v>4-5 yrs</v>
      </c>
      <c r="AK1364" t="str">
        <f t="shared" si="149"/>
        <v>Recent</v>
      </c>
      <c r="AL1364">
        <f t="shared" si="150"/>
        <v>0</v>
      </c>
      <c r="AM1364" t="str">
        <f t="shared" si="151"/>
        <v>Minimal Risk</v>
      </c>
      <c r="AN1364" s="6">
        <f t="shared" si="152"/>
        <v>0.59942317885000973</v>
      </c>
      <c r="AO1364" s="7">
        <f t="shared" si="153"/>
        <v>957084</v>
      </c>
    </row>
    <row r="1365" spans="1:41" x14ac:dyDescent="0.3">
      <c r="A1365" t="s">
        <v>1430</v>
      </c>
      <c r="B1365">
        <v>52</v>
      </c>
      <c r="C1365" t="s">
        <v>1272</v>
      </c>
      <c r="D1365" t="s">
        <v>55</v>
      </c>
      <c r="E1365" t="s">
        <v>48</v>
      </c>
      <c r="F1365">
        <v>1325</v>
      </c>
      <c r="G1365" t="s">
        <v>735</v>
      </c>
      <c r="H1365">
        <v>11</v>
      </c>
      <c r="I1365">
        <v>4</v>
      </c>
      <c r="J1365" t="s">
        <v>50</v>
      </c>
      <c r="K1365">
        <v>813</v>
      </c>
      <c r="L1365">
        <v>4</v>
      </c>
      <c r="M1365" t="s">
        <v>59</v>
      </c>
      <c r="N1365">
        <v>3</v>
      </c>
      <c r="O1365">
        <v>2</v>
      </c>
      <c r="P1365" t="s">
        <v>52</v>
      </c>
      <c r="Q1365">
        <v>3</v>
      </c>
      <c r="R1365" t="s">
        <v>113</v>
      </c>
      <c r="S1365">
        <v>2279</v>
      </c>
      <c r="T1365" t="s">
        <v>54</v>
      </c>
      <c r="U1365">
        <v>14.24</v>
      </c>
      <c r="V1365">
        <v>8</v>
      </c>
      <c r="W1365" t="s">
        <v>55</v>
      </c>
      <c r="X1365">
        <v>20</v>
      </c>
      <c r="Y1365">
        <v>4</v>
      </c>
      <c r="Z1365">
        <v>2</v>
      </c>
      <c r="AA1365">
        <v>1</v>
      </c>
      <c r="AB1365">
        <v>9</v>
      </c>
      <c r="AC1365">
        <v>3</v>
      </c>
      <c r="AD1365">
        <v>3</v>
      </c>
      <c r="AE1365">
        <v>5</v>
      </c>
      <c r="AF1365">
        <v>2</v>
      </c>
      <c r="AG1365">
        <v>1</v>
      </c>
      <c r="AH1365">
        <v>4</v>
      </c>
      <c r="AI1365">
        <f t="shared" si="147"/>
        <v>0</v>
      </c>
      <c r="AJ1365" t="str">
        <f t="shared" si="148"/>
        <v>4-5 yrs</v>
      </c>
      <c r="AK1365" t="str">
        <f t="shared" si="149"/>
        <v>Recent</v>
      </c>
      <c r="AL1365">
        <f t="shared" si="150"/>
        <v>0</v>
      </c>
      <c r="AM1365" t="str">
        <f t="shared" si="151"/>
        <v>Minimal Risk</v>
      </c>
      <c r="AN1365" s="6">
        <f t="shared" si="152"/>
        <v>-0.95593631806181645</v>
      </c>
      <c r="AO1365" s="7">
        <f t="shared" si="153"/>
        <v>27348</v>
      </c>
    </row>
    <row r="1366" spans="1:41" x14ac:dyDescent="0.3">
      <c r="A1366" t="s">
        <v>1431</v>
      </c>
      <c r="B1366">
        <v>52</v>
      </c>
      <c r="C1366" t="s">
        <v>1272</v>
      </c>
      <c r="D1366" t="s">
        <v>55</v>
      </c>
      <c r="E1366" t="s">
        <v>62</v>
      </c>
      <c r="F1366">
        <v>890</v>
      </c>
      <c r="G1366" t="s">
        <v>735</v>
      </c>
      <c r="H1366">
        <v>25</v>
      </c>
      <c r="I1366">
        <v>4</v>
      </c>
      <c r="J1366" t="s">
        <v>58</v>
      </c>
      <c r="K1366">
        <v>867</v>
      </c>
      <c r="L1366">
        <v>3</v>
      </c>
      <c r="M1366" t="s">
        <v>59</v>
      </c>
      <c r="N1366">
        <v>2</v>
      </c>
      <c r="O1366">
        <v>4</v>
      </c>
      <c r="P1366" t="s">
        <v>120</v>
      </c>
      <c r="Q1366">
        <v>4</v>
      </c>
      <c r="R1366" t="s">
        <v>113</v>
      </c>
      <c r="S1366">
        <v>64197</v>
      </c>
      <c r="T1366" t="s">
        <v>64</v>
      </c>
      <c r="U1366">
        <v>401.23</v>
      </c>
      <c r="V1366">
        <v>3</v>
      </c>
      <c r="W1366" t="s">
        <v>55</v>
      </c>
      <c r="X1366">
        <v>22</v>
      </c>
      <c r="Y1366">
        <v>4</v>
      </c>
      <c r="Z1366">
        <v>3</v>
      </c>
      <c r="AA1366">
        <v>0</v>
      </c>
      <c r="AB1366">
        <v>31</v>
      </c>
      <c r="AC1366">
        <v>3</v>
      </c>
      <c r="AD1366">
        <v>3</v>
      </c>
      <c r="AE1366">
        <v>9</v>
      </c>
      <c r="AF1366">
        <v>8</v>
      </c>
      <c r="AG1366">
        <v>0</v>
      </c>
      <c r="AH1366">
        <v>0</v>
      </c>
      <c r="AI1366">
        <f t="shared" si="147"/>
        <v>0</v>
      </c>
      <c r="AJ1366" t="str">
        <f t="shared" si="148"/>
        <v>6-10 yrs</v>
      </c>
      <c r="AK1366" t="str">
        <f t="shared" si="149"/>
        <v>Recent</v>
      </c>
      <c r="AL1366">
        <f t="shared" si="150"/>
        <v>0</v>
      </c>
      <c r="AM1366" t="str">
        <f t="shared" si="151"/>
        <v>Minimal Risk</v>
      </c>
      <c r="AN1366" s="6">
        <f t="shared" si="152"/>
        <v>0.44929480963625373</v>
      </c>
      <c r="AO1366" s="7">
        <f t="shared" si="153"/>
        <v>770364</v>
      </c>
    </row>
    <row r="1367" spans="1:41" x14ac:dyDescent="0.3">
      <c r="A1367" t="s">
        <v>1432</v>
      </c>
      <c r="B1367">
        <v>52</v>
      </c>
      <c r="C1367" t="s">
        <v>1272</v>
      </c>
      <c r="D1367" t="s">
        <v>55</v>
      </c>
      <c r="E1367" t="s">
        <v>48</v>
      </c>
      <c r="F1367">
        <v>1053</v>
      </c>
      <c r="G1367" t="s">
        <v>735</v>
      </c>
      <c r="H1367">
        <v>1</v>
      </c>
      <c r="I1367">
        <v>2</v>
      </c>
      <c r="J1367" t="s">
        <v>50</v>
      </c>
      <c r="K1367">
        <v>976</v>
      </c>
      <c r="L1367">
        <v>4</v>
      </c>
      <c r="M1367" t="s">
        <v>51</v>
      </c>
      <c r="N1367">
        <v>3</v>
      </c>
      <c r="O1367">
        <v>4</v>
      </c>
      <c r="P1367" t="s">
        <v>444</v>
      </c>
      <c r="Q1367">
        <v>4</v>
      </c>
      <c r="R1367" t="s">
        <v>113</v>
      </c>
      <c r="S1367">
        <v>63516</v>
      </c>
      <c r="T1367" t="s">
        <v>64</v>
      </c>
      <c r="U1367">
        <v>396.98</v>
      </c>
      <c r="V1367">
        <v>2</v>
      </c>
      <c r="W1367" t="s">
        <v>55</v>
      </c>
      <c r="X1367">
        <v>15</v>
      </c>
      <c r="Y1367">
        <v>3</v>
      </c>
      <c r="Z1367">
        <v>2</v>
      </c>
      <c r="AA1367">
        <v>1</v>
      </c>
      <c r="AB1367">
        <v>26</v>
      </c>
      <c r="AC1367">
        <v>2</v>
      </c>
      <c r="AD1367">
        <v>2</v>
      </c>
      <c r="AE1367">
        <v>9</v>
      </c>
      <c r="AF1367">
        <v>8</v>
      </c>
      <c r="AG1367">
        <v>7</v>
      </c>
      <c r="AH1367">
        <v>8</v>
      </c>
      <c r="AI1367">
        <f t="shared" si="147"/>
        <v>0</v>
      </c>
      <c r="AJ1367" t="str">
        <f t="shared" si="148"/>
        <v>6-10 yrs</v>
      </c>
      <c r="AK1367" t="str">
        <f t="shared" si="149"/>
        <v>Overdue</v>
      </c>
      <c r="AL1367">
        <f t="shared" si="150"/>
        <v>2</v>
      </c>
      <c r="AM1367" t="str">
        <f t="shared" si="151"/>
        <v>Medium Risk</v>
      </c>
      <c r="AN1367" s="6">
        <f t="shared" si="152"/>
        <v>0.21682091751142138</v>
      </c>
      <c r="AO1367" s="7">
        <f t="shared" si="153"/>
        <v>762192</v>
      </c>
    </row>
    <row r="1368" spans="1:41" x14ac:dyDescent="0.3">
      <c r="A1368" t="s">
        <v>1433</v>
      </c>
      <c r="B1368">
        <v>52</v>
      </c>
      <c r="C1368" t="s">
        <v>1272</v>
      </c>
      <c r="D1368" t="s">
        <v>47</v>
      </c>
      <c r="E1368" t="s">
        <v>48</v>
      </c>
      <c r="F1368">
        <v>266</v>
      </c>
      <c r="G1368" t="s">
        <v>932</v>
      </c>
      <c r="H1368">
        <v>2</v>
      </c>
      <c r="I1368">
        <v>1</v>
      </c>
      <c r="J1368" t="s">
        <v>63</v>
      </c>
      <c r="K1368">
        <v>1038</v>
      </c>
      <c r="L1368">
        <v>1</v>
      </c>
      <c r="M1368" t="s">
        <v>59</v>
      </c>
      <c r="N1368">
        <v>1</v>
      </c>
      <c r="O1368">
        <v>5</v>
      </c>
      <c r="P1368" t="s">
        <v>444</v>
      </c>
      <c r="Q1368">
        <v>4</v>
      </c>
      <c r="R1368" t="s">
        <v>113</v>
      </c>
      <c r="S1368">
        <v>8083</v>
      </c>
      <c r="T1368" t="s">
        <v>54</v>
      </c>
      <c r="U1368">
        <v>50.52</v>
      </c>
      <c r="V1368">
        <v>1</v>
      </c>
      <c r="W1368" t="s">
        <v>55</v>
      </c>
      <c r="X1368">
        <v>15</v>
      </c>
      <c r="Y1368">
        <v>3</v>
      </c>
      <c r="Z1368">
        <v>4</v>
      </c>
      <c r="AA1368">
        <v>1</v>
      </c>
      <c r="AB1368">
        <v>33</v>
      </c>
      <c r="AC1368">
        <v>3</v>
      </c>
      <c r="AD1368">
        <v>3</v>
      </c>
      <c r="AE1368">
        <v>32</v>
      </c>
      <c r="AF1368">
        <v>14</v>
      </c>
      <c r="AG1368">
        <v>6</v>
      </c>
      <c r="AH1368">
        <v>9</v>
      </c>
      <c r="AI1368">
        <f t="shared" si="147"/>
        <v>1</v>
      </c>
      <c r="AJ1368" t="str">
        <f t="shared" si="148"/>
        <v>10+ yrs</v>
      </c>
      <c r="AK1368" t="str">
        <f t="shared" si="149"/>
        <v>Overdue</v>
      </c>
      <c r="AL1368">
        <f t="shared" si="150"/>
        <v>1</v>
      </c>
      <c r="AM1368" t="str">
        <f t="shared" si="151"/>
        <v>Low Risk</v>
      </c>
      <c r="AN1368" s="6">
        <f t="shared" si="152"/>
        <v>-0.84514825435725138</v>
      </c>
      <c r="AO1368" s="7">
        <f t="shared" si="153"/>
        <v>96996</v>
      </c>
    </row>
    <row r="1369" spans="1:41" x14ac:dyDescent="0.3">
      <c r="A1369" t="s">
        <v>1434</v>
      </c>
      <c r="B1369">
        <v>52</v>
      </c>
      <c r="C1369" t="s">
        <v>1272</v>
      </c>
      <c r="D1369" t="s">
        <v>55</v>
      </c>
      <c r="E1369" t="s">
        <v>48</v>
      </c>
      <c r="F1369">
        <v>994</v>
      </c>
      <c r="G1369" t="s">
        <v>735</v>
      </c>
      <c r="H1369">
        <v>7</v>
      </c>
      <c r="I1369">
        <v>4</v>
      </c>
      <c r="J1369" t="s">
        <v>50</v>
      </c>
      <c r="K1369">
        <v>1118</v>
      </c>
      <c r="L1369">
        <v>2</v>
      </c>
      <c r="M1369" t="s">
        <v>51</v>
      </c>
      <c r="N1369">
        <v>3</v>
      </c>
      <c r="O1369">
        <v>3</v>
      </c>
      <c r="P1369" t="s">
        <v>168</v>
      </c>
      <c r="Q1369">
        <v>2</v>
      </c>
      <c r="R1369" t="s">
        <v>53</v>
      </c>
      <c r="S1369">
        <v>18771</v>
      </c>
      <c r="T1369" t="s">
        <v>54</v>
      </c>
      <c r="U1369">
        <v>117.32</v>
      </c>
      <c r="V1369">
        <v>7</v>
      </c>
      <c r="W1369" t="s">
        <v>55</v>
      </c>
      <c r="X1369">
        <v>19</v>
      </c>
      <c r="Y1369">
        <v>3</v>
      </c>
      <c r="Z1369">
        <v>4</v>
      </c>
      <c r="AA1369">
        <v>0</v>
      </c>
      <c r="AB1369">
        <v>18</v>
      </c>
      <c r="AC1369">
        <v>4</v>
      </c>
      <c r="AD1369">
        <v>3</v>
      </c>
      <c r="AE1369">
        <v>8</v>
      </c>
      <c r="AF1369">
        <v>6</v>
      </c>
      <c r="AG1369">
        <v>4</v>
      </c>
      <c r="AH1369">
        <v>0</v>
      </c>
      <c r="AI1369">
        <f t="shared" si="147"/>
        <v>0</v>
      </c>
      <c r="AJ1369" t="str">
        <f t="shared" si="148"/>
        <v>6-10 yrs</v>
      </c>
      <c r="AK1369" t="str">
        <f t="shared" si="149"/>
        <v>Overdue</v>
      </c>
      <c r="AL1369">
        <f t="shared" si="150"/>
        <v>2</v>
      </c>
      <c r="AM1369" t="str">
        <f t="shared" si="151"/>
        <v>Medium Risk</v>
      </c>
      <c r="AN1369" s="6">
        <f t="shared" si="152"/>
        <v>-0.61047242413821723</v>
      </c>
      <c r="AO1369" s="7">
        <f t="shared" si="153"/>
        <v>225252</v>
      </c>
    </row>
    <row r="1370" spans="1:41" x14ac:dyDescent="0.3">
      <c r="A1370" t="s">
        <v>1435</v>
      </c>
      <c r="B1370">
        <v>52</v>
      </c>
      <c r="C1370" t="s">
        <v>1272</v>
      </c>
      <c r="D1370" t="s">
        <v>47</v>
      </c>
      <c r="E1370" t="s">
        <v>48</v>
      </c>
      <c r="F1370">
        <v>1030</v>
      </c>
      <c r="G1370" t="s">
        <v>932</v>
      </c>
      <c r="H1370">
        <v>5</v>
      </c>
      <c r="I1370">
        <v>3</v>
      </c>
      <c r="J1370" t="s">
        <v>50</v>
      </c>
      <c r="K1370">
        <v>1319</v>
      </c>
      <c r="L1370">
        <v>2</v>
      </c>
      <c r="M1370" t="s">
        <v>51</v>
      </c>
      <c r="N1370">
        <v>3</v>
      </c>
      <c r="O1370">
        <v>3</v>
      </c>
      <c r="P1370" t="s">
        <v>145</v>
      </c>
      <c r="Q1370">
        <v>2</v>
      </c>
      <c r="R1370" t="s">
        <v>53</v>
      </c>
      <c r="S1370">
        <v>30975</v>
      </c>
      <c r="T1370" t="s">
        <v>72</v>
      </c>
      <c r="U1370">
        <v>193.59</v>
      </c>
      <c r="V1370">
        <v>9</v>
      </c>
      <c r="W1370" t="s">
        <v>47</v>
      </c>
      <c r="X1370">
        <v>19</v>
      </c>
      <c r="Y1370">
        <v>3</v>
      </c>
      <c r="Z1370">
        <v>3</v>
      </c>
      <c r="AA1370">
        <v>0</v>
      </c>
      <c r="AB1370">
        <v>10</v>
      </c>
      <c r="AC1370">
        <v>2</v>
      </c>
      <c r="AD1370">
        <v>2</v>
      </c>
      <c r="AE1370">
        <v>8</v>
      </c>
      <c r="AF1370">
        <v>7</v>
      </c>
      <c r="AG1370">
        <v>7</v>
      </c>
      <c r="AH1370">
        <v>7</v>
      </c>
      <c r="AI1370">
        <f t="shared" si="147"/>
        <v>1</v>
      </c>
      <c r="AJ1370" t="str">
        <f t="shared" si="148"/>
        <v>6-10 yrs</v>
      </c>
      <c r="AK1370" t="str">
        <f t="shared" si="149"/>
        <v>Overdue</v>
      </c>
      <c r="AL1370">
        <f t="shared" si="150"/>
        <v>4</v>
      </c>
      <c r="AM1370" t="str">
        <f t="shared" si="151"/>
        <v>High Risk</v>
      </c>
      <c r="AN1370" s="6">
        <f t="shared" si="152"/>
        <v>-0.3686041177511476</v>
      </c>
      <c r="AO1370" s="7">
        <f t="shared" si="153"/>
        <v>371700</v>
      </c>
    </row>
    <row r="1371" spans="1:41" x14ac:dyDescent="0.3">
      <c r="A1371" t="s">
        <v>1436</v>
      </c>
      <c r="B1371">
        <v>52</v>
      </c>
      <c r="C1371" t="s">
        <v>1272</v>
      </c>
      <c r="D1371" t="s">
        <v>55</v>
      </c>
      <c r="E1371" t="s">
        <v>62</v>
      </c>
      <c r="F1371">
        <v>322</v>
      </c>
      <c r="G1371" t="s">
        <v>735</v>
      </c>
      <c r="H1371">
        <v>28</v>
      </c>
      <c r="I1371">
        <v>2</v>
      </c>
      <c r="J1371" t="s">
        <v>58</v>
      </c>
      <c r="K1371">
        <v>1401</v>
      </c>
      <c r="L1371">
        <v>4</v>
      </c>
      <c r="M1371" t="s">
        <v>59</v>
      </c>
      <c r="N1371">
        <v>4</v>
      </c>
      <c r="O1371">
        <v>4</v>
      </c>
      <c r="P1371" t="s">
        <v>120</v>
      </c>
      <c r="Q1371">
        <v>3</v>
      </c>
      <c r="R1371" t="s">
        <v>113</v>
      </c>
      <c r="S1371">
        <v>46648</v>
      </c>
      <c r="T1371" t="s">
        <v>72</v>
      </c>
      <c r="U1371">
        <v>291.55</v>
      </c>
      <c r="V1371">
        <v>2</v>
      </c>
      <c r="W1371" t="s">
        <v>47</v>
      </c>
      <c r="X1371">
        <v>11</v>
      </c>
      <c r="Y1371">
        <v>3</v>
      </c>
      <c r="Z1371">
        <v>2</v>
      </c>
      <c r="AA1371">
        <v>1</v>
      </c>
      <c r="AB1371">
        <v>24</v>
      </c>
      <c r="AC1371">
        <v>3</v>
      </c>
      <c r="AD1371">
        <v>2</v>
      </c>
      <c r="AE1371">
        <v>5</v>
      </c>
      <c r="AF1371">
        <v>3</v>
      </c>
      <c r="AG1371">
        <v>0</v>
      </c>
      <c r="AH1371">
        <v>2</v>
      </c>
      <c r="AI1371">
        <f t="shared" si="147"/>
        <v>0</v>
      </c>
      <c r="AJ1371" t="str">
        <f t="shared" si="148"/>
        <v>4-5 yrs</v>
      </c>
      <c r="AK1371" t="str">
        <f t="shared" si="149"/>
        <v>Recent</v>
      </c>
      <c r="AL1371">
        <f t="shared" si="150"/>
        <v>2</v>
      </c>
      <c r="AM1371" t="str">
        <f t="shared" si="151"/>
        <v>Medium Risk</v>
      </c>
      <c r="AN1371" s="6">
        <f t="shared" si="152"/>
        <v>5.3113140488059617E-2</v>
      </c>
      <c r="AO1371" s="7">
        <f t="shared" si="153"/>
        <v>559776</v>
      </c>
    </row>
    <row r="1372" spans="1:41" x14ac:dyDescent="0.3">
      <c r="A1372" t="s">
        <v>1437</v>
      </c>
      <c r="B1372">
        <v>52</v>
      </c>
      <c r="C1372" t="s">
        <v>1272</v>
      </c>
      <c r="D1372" t="s">
        <v>55</v>
      </c>
      <c r="E1372" t="s">
        <v>48</v>
      </c>
      <c r="F1372">
        <v>258</v>
      </c>
      <c r="G1372" t="s">
        <v>735</v>
      </c>
      <c r="H1372">
        <v>8</v>
      </c>
      <c r="I1372">
        <v>4</v>
      </c>
      <c r="J1372" t="s">
        <v>82</v>
      </c>
      <c r="K1372">
        <v>1409</v>
      </c>
      <c r="L1372">
        <v>3</v>
      </c>
      <c r="M1372" t="s">
        <v>59</v>
      </c>
      <c r="N1372">
        <v>3</v>
      </c>
      <c r="O1372">
        <v>1</v>
      </c>
      <c r="P1372" t="s">
        <v>52</v>
      </c>
      <c r="Q1372">
        <v>1</v>
      </c>
      <c r="R1372" t="s">
        <v>113</v>
      </c>
      <c r="S1372">
        <v>49285</v>
      </c>
      <c r="T1372" t="s">
        <v>72</v>
      </c>
      <c r="U1372">
        <v>308.02999999999997</v>
      </c>
      <c r="V1372">
        <v>9</v>
      </c>
      <c r="W1372" t="s">
        <v>55</v>
      </c>
      <c r="X1372">
        <v>13</v>
      </c>
      <c r="Y1372">
        <v>3</v>
      </c>
      <c r="Z1372">
        <v>3</v>
      </c>
      <c r="AA1372">
        <v>0</v>
      </c>
      <c r="AB1372">
        <v>12</v>
      </c>
      <c r="AC1372">
        <v>2</v>
      </c>
      <c r="AD1372">
        <v>1</v>
      </c>
      <c r="AE1372">
        <v>5</v>
      </c>
      <c r="AF1372">
        <v>4</v>
      </c>
      <c r="AG1372">
        <v>0</v>
      </c>
      <c r="AH1372">
        <v>4</v>
      </c>
      <c r="AI1372">
        <f t="shared" si="147"/>
        <v>0</v>
      </c>
      <c r="AJ1372" t="str">
        <f t="shared" si="148"/>
        <v>4-5 yrs</v>
      </c>
      <c r="AK1372" t="str">
        <f t="shared" si="149"/>
        <v>Recent</v>
      </c>
      <c r="AL1372">
        <f t="shared" si="150"/>
        <v>2</v>
      </c>
      <c r="AM1372" t="str">
        <f t="shared" si="151"/>
        <v>Medium Risk</v>
      </c>
      <c r="AN1372" s="6">
        <f t="shared" si="152"/>
        <v>-4.7091459270127894E-2</v>
      </c>
      <c r="AO1372" s="7">
        <f t="shared" si="153"/>
        <v>591420</v>
      </c>
    </row>
    <row r="1373" spans="1:41" x14ac:dyDescent="0.3">
      <c r="A1373" t="s">
        <v>1438</v>
      </c>
      <c r="B1373">
        <v>52</v>
      </c>
      <c r="C1373" t="s">
        <v>1272</v>
      </c>
      <c r="D1373" t="s">
        <v>55</v>
      </c>
      <c r="E1373" t="s">
        <v>66</v>
      </c>
      <c r="F1373">
        <v>585</v>
      </c>
      <c r="G1373" t="s">
        <v>932</v>
      </c>
      <c r="H1373">
        <v>29</v>
      </c>
      <c r="I1373">
        <v>4</v>
      </c>
      <c r="J1373" t="s">
        <v>50</v>
      </c>
      <c r="K1373">
        <v>2019</v>
      </c>
      <c r="L1373">
        <v>1</v>
      </c>
      <c r="M1373" t="s">
        <v>51</v>
      </c>
      <c r="N1373">
        <v>3</v>
      </c>
      <c r="O1373">
        <v>1</v>
      </c>
      <c r="P1373" t="s">
        <v>60</v>
      </c>
      <c r="Q1373">
        <v>4</v>
      </c>
      <c r="R1373" t="s">
        <v>53</v>
      </c>
      <c r="S1373">
        <v>20063</v>
      </c>
      <c r="T1373" t="s">
        <v>54</v>
      </c>
      <c r="U1373">
        <v>125.39</v>
      </c>
      <c r="V1373">
        <v>2</v>
      </c>
      <c r="W1373" t="s">
        <v>55</v>
      </c>
      <c r="X1373">
        <v>15</v>
      </c>
      <c r="Y1373">
        <v>3</v>
      </c>
      <c r="Z1373">
        <v>2</v>
      </c>
      <c r="AA1373">
        <v>2</v>
      </c>
      <c r="AB1373">
        <v>16</v>
      </c>
      <c r="AC1373">
        <v>3</v>
      </c>
      <c r="AD1373">
        <v>2</v>
      </c>
      <c r="AE1373">
        <v>9</v>
      </c>
      <c r="AF1373">
        <v>8</v>
      </c>
      <c r="AG1373">
        <v>0</v>
      </c>
      <c r="AH1373">
        <v>0</v>
      </c>
      <c r="AI1373">
        <f t="shared" si="147"/>
        <v>0</v>
      </c>
      <c r="AJ1373" t="str">
        <f t="shared" si="148"/>
        <v>6-10 yrs</v>
      </c>
      <c r="AK1373" t="str">
        <f t="shared" si="149"/>
        <v>Recent</v>
      </c>
      <c r="AL1373">
        <f t="shared" si="150"/>
        <v>1</v>
      </c>
      <c r="AM1373" t="str">
        <f t="shared" si="151"/>
        <v>Low Risk</v>
      </c>
      <c r="AN1373" s="6">
        <f t="shared" si="152"/>
        <v>-0.59326368285759867</v>
      </c>
      <c r="AO1373" s="7">
        <f t="shared" si="153"/>
        <v>240756</v>
      </c>
    </row>
    <row r="1374" spans="1:41" x14ac:dyDescent="0.3">
      <c r="A1374" t="s">
        <v>1439</v>
      </c>
      <c r="B1374">
        <v>53</v>
      </c>
      <c r="C1374" t="s">
        <v>1272</v>
      </c>
      <c r="D1374" t="s">
        <v>55</v>
      </c>
      <c r="E1374" t="s">
        <v>48</v>
      </c>
      <c r="F1374">
        <v>1219</v>
      </c>
      <c r="G1374" t="s">
        <v>932</v>
      </c>
      <c r="H1374">
        <v>2</v>
      </c>
      <c r="I1374">
        <v>4</v>
      </c>
      <c r="J1374" t="s">
        <v>50</v>
      </c>
      <c r="K1374">
        <v>23</v>
      </c>
      <c r="L1374">
        <v>1</v>
      </c>
      <c r="M1374" t="s">
        <v>59</v>
      </c>
      <c r="N1374">
        <v>2</v>
      </c>
      <c r="O1374">
        <v>4</v>
      </c>
      <c r="P1374" t="s">
        <v>444</v>
      </c>
      <c r="Q1374">
        <v>4</v>
      </c>
      <c r="R1374" t="s">
        <v>113</v>
      </c>
      <c r="S1374">
        <v>68642</v>
      </c>
      <c r="T1374" t="s">
        <v>64</v>
      </c>
      <c r="U1374">
        <v>429.01</v>
      </c>
      <c r="V1374">
        <v>2</v>
      </c>
      <c r="W1374" t="s">
        <v>55</v>
      </c>
      <c r="X1374">
        <v>16</v>
      </c>
      <c r="Y1374">
        <v>3</v>
      </c>
      <c r="Z1374">
        <v>3</v>
      </c>
      <c r="AA1374">
        <v>0</v>
      </c>
      <c r="AB1374">
        <v>31</v>
      </c>
      <c r="AC1374">
        <v>3</v>
      </c>
      <c r="AD1374">
        <v>3</v>
      </c>
      <c r="AE1374">
        <v>25</v>
      </c>
      <c r="AF1374">
        <v>8</v>
      </c>
      <c r="AG1374">
        <v>3</v>
      </c>
      <c r="AH1374">
        <v>7</v>
      </c>
      <c r="AI1374">
        <f t="shared" si="147"/>
        <v>0</v>
      </c>
      <c r="AJ1374" t="str">
        <f t="shared" si="148"/>
        <v>10+ yrs</v>
      </c>
      <c r="AK1374" t="str">
        <f t="shared" si="149"/>
        <v>Overdue</v>
      </c>
      <c r="AL1374">
        <f t="shared" si="150"/>
        <v>1</v>
      </c>
      <c r="AM1374" t="str">
        <f t="shared" si="151"/>
        <v>Low Risk</v>
      </c>
      <c r="AN1374" s="6">
        <f t="shared" si="152"/>
        <v>0.31502332356916346</v>
      </c>
      <c r="AO1374" s="7">
        <f t="shared" si="153"/>
        <v>823704</v>
      </c>
    </row>
    <row r="1375" spans="1:41" x14ac:dyDescent="0.3">
      <c r="A1375" t="s">
        <v>1440</v>
      </c>
      <c r="B1375">
        <v>53</v>
      </c>
      <c r="C1375" t="s">
        <v>1272</v>
      </c>
      <c r="D1375" t="s">
        <v>55</v>
      </c>
      <c r="E1375" t="s">
        <v>48</v>
      </c>
      <c r="F1375">
        <v>1282</v>
      </c>
      <c r="G1375" t="s">
        <v>735</v>
      </c>
      <c r="H1375">
        <v>5</v>
      </c>
      <c r="I1375">
        <v>3</v>
      </c>
      <c r="J1375" t="s">
        <v>82</v>
      </c>
      <c r="K1375">
        <v>32</v>
      </c>
      <c r="L1375">
        <v>3</v>
      </c>
      <c r="M1375" t="s">
        <v>59</v>
      </c>
      <c r="N1375">
        <v>3</v>
      </c>
      <c r="O1375">
        <v>5</v>
      </c>
      <c r="P1375" t="s">
        <v>444</v>
      </c>
      <c r="Q1375">
        <v>3</v>
      </c>
      <c r="R1375" t="s">
        <v>113</v>
      </c>
      <c r="S1375">
        <v>91093</v>
      </c>
      <c r="T1375" t="s">
        <v>70</v>
      </c>
      <c r="U1375">
        <v>569.33000000000004</v>
      </c>
      <c r="V1375">
        <v>4</v>
      </c>
      <c r="W1375" t="s">
        <v>55</v>
      </c>
      <c r="X1375">
        <v>11</v>
      </c>
      <c r="Y1375">
        <v>3</v>
      </c>
      <c r="Z1375">
        <v>4</v>
      </c>
      <c r="AA1375">
        <v>1</v>
      </c>
      <c r="AB1375">
        <v>26</v>
      </c>
      <c r="AC1375">
        <v>3</v>
      </c>
      <c r="AD1375">
        <v>2</v>
      </c>
      <c r="AE1375">
        <v>14</v>
      </c>
      <c r="AF1375">
        <v>13</v>
      </c>
      <c r="AG1375">
        <v>4</v>
      </c>
      <c r="AH1375">
        <v>13</v>
      </c>
      <c r="AI1375">
        <f t="shared" si="147"/>
        <v>0</v>
      </c>
      <c r="AJ1375" t="str">
        <f t="shared" si="148"/>
        <v>10+ yrs</v>
      </c>
      <c r="AK1375" t="str">
        <f t="shared" si="149"/>
        <v>Overdue</v>
      </c>
      <c r="AL1375">
        <f t="shared" si="150"/>
        <v>2</v>
      </c>
      <c r="AM1375" t="str">
        <f t="shared" si="151"/>
        <v>Medium Risk</v>
      </c>
      <c r="AN1375" s="6">
        <f t="shared" si="152"/>
        <v>0.74513300331991794</v>
      </c>
      <c r="AO1375" s="7">
        <f t="shared" si="153"/>
        <v>1093116</v>
      </c>
    </row>
    <row r="1376" spans="1:41" x14ac:dyDescent="0.3">
      <c r="A1376" t="s">
        <v>1441</v>
      </c>
      <c r="B1376">
        <v>53</v>
      </c>
      <c r="C1376" t="s">
        <v>1272</v>
      </c>
      <c r="D1376" t="s">
        <v>55</v>
      </c>
      <c r="E1376" t="s">
        <v>48</v>
      </c>
      <c r="F1376">
        <v>1436</v>
      </c>
      <c r="G1376" t="s">
        <v>932</v>
      </c>
      <c r="H1376">
        <v>6</v>
      </c>
      <c r="I1376">
        <v>2</v>
      </c>
      <c r="J1376" t="s">
        <v>63</v>
      </c>
      <c r="K1376">
        <v>205</v>
      </c>
      <c r="L1376">
        <v>2</v>
      </c>
      <c r="M1376" t="s">
        <v>51</v>
      </c>
      <c r="N1376">
        <v>3</v>
      </c>
      <c r="O1376">
        <v>2</v>
      </c>
      <c r="P1376" t="s">
        <v>60</v>
      </c>
      <c r="Q1376">
        <v>3</v>
      </c>
      <c r="R1376" t="s">
        <v>113</v>
      </c>
      <c r="S1376">
        <v>87143</v>
      </c>
      <c r="T1376" t="s">
        <v>70</v>
      </c>
      <c r="U1376">
        <v>544.64</v>
      </c>
      <c r="V1376">
        <v>2</v>
      </c>
      <c r="W1376" t="s">
        <v>47</v>
      </c>
      <c r="X1376">
        <v>20</v>
      </c>
      <c r="Y1376">
        <v>4</v>
      </c>
      <c r="Z1376">
        <v>4</v>
      </c>
      <c r="AA1376">
        <v>1</v>
      </c>
      <c r="AB1376">
        <v>13</v>
      </c>
      <c r="AC1376">
        <v>3</v>
      </c>
      <c r="AD1376">
        <v>1</v>
      </c>
      <c r="AE1376">
        <v>7</v>
      </c>
      <c r="AF1376">
        <v>7</v>
      </c>
      <c r="AG1376">
        <v>4</v>
      </c>
      <c r="AH1376">
        <v>5</v>
      </c>
      <c r="AI1376">
        <f t="shared" si="147"/>
        <v>0</v>
      </c>
      <c r="AJ1376" t="str">
        <f t="shared" si="148"/>
        <v>6-10 yrs</v>
      </c>
      <c r="AK1376" t="str">
        <f t="shared" si="149"/>
        <v>Overdue</v>
      </c>
      <c r="AL1376">
        <f t="shared" si="150"/>
        <v>3</v>
      </c>
      <c r="AM1376" t="str">
        <f t="shared" si="151"/>
        <v>High Risk</v>
      </c>
      <c r="AN1376" s="6">
        <f t="shared" si="152"/>
        <v>0.76664620867967304</v>
      </c>
      <c r="AO1376" s="7">
        <f t="shared" si="153"/>
        <v>1045716</v>
      </c>
    </row>
    <row r="1377" spans="1:41" x14ac:dyDescent="0.3">
      <c r="A1377" t="s">
        <v>1442</v>
      </c>
      <c r="B1377">
        <v>53</v>
      </c>
      <c r="C1377" t="s">
        <v>1272</v>
      </c>
      <c r="D1377" t="s">
        <v>55</v>
      </c>
      <c r="E1377" t="s">
        <v>48</v>
      </c>
      <c r="F1377">
        <v>1084</v>
      </c>
      <c r="G1377" t="s">
        <v>735</v>
      </c>
      <c r="H1377">
        <v>13</v>
      </c>
      <c r="I1377">
        <v>2</v>
      </c>
      <c r="J1377" t="s">
        <v>58</v>
      </c>
      <c r="K1377">
        <v>250</v>
      </c>
      <c r="L1377">
        <v>4</v>
      </c>
      <c r="M1377" t="s">
        <v>59</v>
      </c>
      <c r="N1377">
        <v>4</v>
      </c>
      <c r="O1377">
        <v>2</v>
      </c>
      <c r="P1377" t="s">
        <v>120</v>
      </c>
      <c r="Q1377">
        <v>1</v>
      </c>
      <c r="R1377" t="s">
        <v>113</v>
      </c>
      <c r="S1377">
        <v>38599</v>
      </c>
      <c r="T1377" t="s">
        <v>72</v>
      </c>
      <c r="U1377">
        <v>241.24</v>
      </c>
      <c r="V1377">
        <v>1</v>
      </c>
      <c r="W1377" t="s">
        <v>55</v>
      </c>
      <c r="X1377">
        <v>11</v>
      </c>
      <c r="Y1377">
        <v>3</v>
      </c>
      <c r="Z1377">
        <v>3</v>
      </c>
      <c r="AA1377">
        <v>2</v>
      </c>
      <c r="AB1377">
        <v>5</v>
      </c>
      <c r="AC1377">
        <v>3</v>
      </c>
      <c r="AD1377">
        <v>3</v>
      </c>
      <c r="AE1377">
        <v>4</v>
      </c>
      <c r="AF1377">
        <v>2</v>
      </c>
      <c r="AG1377">
        <v>1</v>
      </c>
      <c r="AH1377">
        <v>3</v>
      </c>
      <c r="AI1377">
        <f t="shared" si="147"/>
        <v>0</v>
      </c>
      <c r="AJ1377" t="str">
        <f t="shared" si="148"/>
        <v>4-5 yrs</v>
      </c>
      <c r="AK1377" t="str">
        <f t="shared" si="149"/>
        <v>Recent</v>
      </c>
      <c r="AL1377">
        <f t="shared" si="150"/>
        <v>1</v>
      </c>
      <c r="AM1377" t="str">
        <f t="shared" si="151"/>
        <v>Low Risk</v>
      </c>
      <c r="AN1377" s="6">
        <f t="shared" si="152"/>
        <v>-0.12859899438992856</v>
      </c>
      <c r="AO1377" s="7">
        <f t="shared" si="153"/>
        <v>463188</v>
      </c>
    </row>
    <row r="1378" spans="1:41" x14ac:dyDescent="0.3">
      <c r="A1378" t="s">
        <v>1443</v>
      </c>
      <c r="B1378">
        <v>53</v>
      </c>
      <c r="C1378" t="s">
        <v>1272</v>
      </c>
      <c r="D1378" t="s">
        <v>55</v>
      </c>
      <c r="E1378" t="s">
        <v>48</v>
      </c>
      <c r="F1378">
        <v>1070</v>
      </c>
      <c r="G1378" t="s">
        <v>735</v>
      </c>
      <c r="H1378">
        <v>3</v>
      </c>
      <c r="I1378">
        <v>4</v>
      </c>
      <c r="J1378" t="s">
        <v>58</v>
      </c>
      <c r="K1378">
        <v>386</v>
      </c>
      <c r="L1378">
        <v>3</v>
      </c>
      <c r="M1378" t="s">
        <v>51</v>
      </c>
      <c r="N1378">
        <v>3</v>
      </c>
      <c r="O1378">
        <v>4</v>
      </c>
      <c r="P1378" t="s">
        <v>257</v>
      </c>
      <c r="Q1378">
        <v>3</v>
      </c>
      <c r="R1378" t="s">
        <v>113</v>
      </c>
      <c r="S1378">
        <v>52920</v>
      </c>
      <c r="T1378" t="s">
        <v>64</v>
      </c>
      <c r="U1378">
        <v>330.75</v>
      </c>
      <c r="V1378">
        <v>3</v>
      </c>
      <c r="W1378" t="s">
        <v>47</v>
      </c>
      <c r="X1378">
        <v>16</v>
      </c>
      <c r="Y1378">
        <v>3</v>
      </c>
      <c r="Z1378">
        <v>4</v>
      </c>
      <c r="AA1378">
        <v>3</v>
      </c>
      <c r="AB1378">
        <v>21</v>
      </c>
      <c r="AC1378">
        <v>5</v>
      </c>
      <c r="AD1378">
        <v>2</v>
      </c>
      <c r="AE1378">
        <v>5</v>
      </c>
      <c r="AF1378">
        <v>3</v>
      </c>
      <c r="AG1378">
        <v>1</v>
      </c>
      <c r="AH1378">
        <v>3</v>
      </c>
      <c r="AI1378">
        <f t="shared" si="147"/>
        <v>0</v>
      </c>
      <c r="AJ1378" t="str">
        <f t="shared" si="148"/>
        <v>4-5 yrs</v>
      </c>
      <c r="AK1378" t="str">
        <f t="shared" si="149"/>
        <v>Recent</v>
      </c>
      <c r="AL1378">
        <f t="shared" si="150"/>
        <v>2</v>
      </c>
      <c r="AM1378" t="str">
        <f t="shared" si="151"/>
        <v>Medium Risk</v>
      </c>
      <c r="AN1378" s="6">
        <f t="shared" si="152"/>
        <v>4.4547730274958695E-2</v>
      </c>
      <c r="AO1378" s="7">
        <f t="shared" si="153"/>
        <v>635040</v>
      </c>
    </row>
    <row r="1379" spans="1:41" x14ac:dyDescent="0.3">
      <c r="A1379" t="s">
        <v>1444</v>
      </c>
      <c r="B1379">
        <v>53</v>
      </c>
      <c r="C1379" t="s">
        <v>1272</v>
      </c>
      <c r="D1379" t="s">
        <v>55</v>
      </c>
      <c r="E1379" t="s">
        <v>48</v>
      </c>
      <c r="F1379">
        <v>238</v>
      </c>
      <c r="G1379" t="s">
        <v>932</v>
      </c>
      <c r="H1379">
        <v>1</v>
      </c>
      <c r="I1379">
        <v>1</v>
      </c>
      <c r="J1379" t="s">
        <v>58</v>
      </c>
      <c r="K1379">
        <v>682</v>
      </c>
      <c r="L1379">
        <v>4</v>
      </c>
      <c r="M1379" t="s">
        <v>59</v>
      </c>
      <c r="N1379">
        <v>3</v>
      </c>
      <c r="O1379">
        <v>2</v>
      </c>
      <c r="P1379" t="s">
        <v>145</v>
      </c>
      <c r="Q1379">
        <v>1</v>
      </c>
      <c r="R1379" t="s">
        <v>53</v>
      </c>
      <c r="S1379">
        <v>29529</v>
      </c>
      <c r="T1379" t="s">
        <v>72</v>
      </c>
      <c r="U1379">
        <v>184.56</v>
      </c>
      <c r="V1379">
        <v>7</v>
      </c>
      <c r="W1379" t="s">
        <v>55</v>
      </c>
      <c r="X1379">
        <v>20</v>
      </c>
      <c r="Y1379">
        <v>4</v>
      </c>
      <c r="Z1379">
        <v>4</v>
      </c>
      <c r="AA1379">
        <v>0</v>
      </c>
      <c r="AB1379">
        <v>18</v>
      </c>
      <c r="AC1379">
        <v>2</v>
      </c>
      <c r="AD1379">
        <v>4</v>
      </c>
      <c r="AE1379">
        <v>14</v>
      </c>
      <c r="AF1379">
        <v>7</v>
      </c>
      <c r="AG1379">
        <v>8</v>
      </c>
      <c r="AH1379">
        <v>10</v>
      </c>
      <c r="AI1379">
        <f t="shared" si="147"/>
        <v>0</v>
      </c>
      <c r="AJ1379" t="str">
        <f t="shared" si="148"/>
        <v>10+ yrs</v>
      </c>
      <c r="AK1379" t="str">
        <f t="shared" si="149"/>
        <v>Overdue</v>
      </c>
      <c r="AL1379">
        <f t="shared" si="150"/>
        <v>2</v>
      </c>
      <c r="AM1379" t="str">
        <f t="shared" si="151"/>
        <v>Medium Risk</v>
      </c>
      <c r="AN1379" s="6">
        <f t="shared" si="152"/>
        <v>-0.39807945094668729</v>
      </c>
      <c r="AO1379" s="7">
        <f t="shared" si="153"/>
        <v>354348</v>
      </c>
    </row>
    <row r="1380" spans="1:41" x14ac:dyDescent="0.3">
      <c r="A1380" t="s">
        <v>1445</v>
      </c>
      <c r="B1380">
        <v>53</v>
      </c>
      <c r="C1380" t="s">
        <v>1272</v>
      </c>
      <c r="D1380" t="s">
        <v>55</v>
      </c>
      <c r="E1380" t="s">
        <v>48</v>
      </c>
      <c r="F1380">
        <v>970</v>
      </c>
      <c r="G1380" t="s">
        <v>735</v>
      </c>
      <c r="H1380">
        <v>7</v>
      </c>
      <c r="I1380">
        <v>3</v>
      </c>
      <c r="J1380" t="s">
        <v>50</v>
      </c>
      <c r="K1380">
        <v>730</v>
      </c>
      <c r="L1380">
        <v>3</v>
      </c>
      <c r="M1380" t="s">
        <v>51</v>
      </c>
      <c r="N1380">
        <v>4</v>
      </c>
      <c r="O1380">
        <v>4</v>
      </c>
      <c r="P1380" t="s">
        <v>257</v>
      </c>
      <c r="Q1380">
        <v>3</v>
      </c>
      <c r="R1380" t="s">
        <v>113</v>
      </c>
      <c r="S1380">
        <v>36954</v>
      </c>
      <c r="T1380" t="s">
        <v>72</v>
      </c>
      <c r="U1380">
        <v>230.96</v>
      </c>
      <c r="V1380">
        <v>3</v>
      </c>
      <c r="W1380" t="s">
        <v>55</v>
      </c>
      <c r="X1380">
        <v>19</v>
      </c>
      <c r="Y1380">
        <v>3</v>
      </c>
      <c r="Z1380">
        <v>3</v>
      </c>
      <c r="AA1380">
        <v>0</v>
      </c>
      <c r="AB1380">
        <v>32</v>
      </c>
      <c r="AC1380">
        <v>3</v>
      </c>
      <c r="AD1380">
        <v>3</v>
      </c>
      <c r="AE1380">
        <v>5</v>
      </c>
      <c r="AF1380">
        <v>1</v>
      </c>
      <c r="AG1380">
        <v>1</v>
      </c>
      <c r="AH1380">
        <v>3</v>
      </c>
      <c r="AI1380">
        <f t="shared" si="147"/>
        <v>0</v>
      </c>
      <c r="AJ1380" t="str">
        <f t="shared" si="148"/>
        <v>4-5 yrs</v>
      </c>
      <c r="AK1380" t="str">
        <f t="shared" si="149"/>
        <v>Recent</v>
      </c>
      <c r="AL1380">
        <f t="shared" si="150"/>
        <v>0</v>
      </c>
      <c r="AM1380" t="str">
        <f t="shared" si="151"/>
        <v>Minimal Risk</v>
      </c>
      <c r="AN1380" s="6">
        <f t="shared" si="152"/>
        <v>-0.27059303052568362</v>
      </c>
      <c r="AO1380" s="7">
        <f t="shared" si="153"/>
        <v>443448</v>
      </c>
    </row>
    <row r="1381" spans="1:41" x14ac:dyDescent="0.3">
      <c r="A1381" t="s">
        <v>1446</v>
      </c>
      <c r="B1381">
        <v>53</v>
      </c>
      <c r="C1381" t="s">
        <v>1272</v>
      </c>
      <c r="D1381" t="s">
        <v>55</v>
      </c>
      <c r="E1381" t="s">
        <v>48</v>
      </c>
      <c r="F1381">
        <v>346</v>
      </c>
      <c r="G1381" t="s">
        <v>735</v>
      </c>
      <c r="H1381">
        <v>6</v>
      </c>
      <c r="I1381">
        <v>3</v>
      </c>
      <c r="J1381" t="s">
        <v>50</v>
      </c>
      <c r="K1381">
        <v>769</v>
      </c>
      <c r="L1381">
        <v>4</v>
      </c>
      <c r="M1381" t="s">
        <v>51</v>
      </c>
      <c r="N1381">
        <v>3</v>
      </c>
      <c r="O1381">
        <v>2</v>
      </c>
      <c r="P1381" t="s">
        <v>52</v>
      </c>
      <c r="Q1381">
        <v>4</v>
      </c>
      <c r="R1381" t="s">
        <v>53</v>
      </c>
      <c r="S1381">
        <v>28856</v>
      </c>
      <c r="T1381" t="s">
        <v>72</v>
      </c>
      <c r="U1381">
        <v>180.35</v>
      </c>
      <c r="V1381">
        <v>2</v>
      </c>
      <c r="W1381" t="s">
        <v>55</v>
      </c>
      <c r="X1381">
        <v>17</v>
      </c>
      <c r="Y1381">
        <v>3</v>
      </c>
      <c r="Z1381">
        <v>4</v>
      </c>
      <c r="AA1381">
        <v>0</v>
      </c>
      <c r="AB1381">
        <v>19</v>
      </c>
      <c r="AC1381">
        <v>4</v>
      </c>
      <c r="AD1381">
        <v>3</v>
      </c>
      <c r="AE1381">
        <v>2</v>
      </c>
      <c r="AF1381">
        <v>2</v>
      </c>
      <c r="AG1381">
        <v>2</v>
      </c>
      <c r="AH1381">
        <v>2</v>
      </c>
      <c r="AI1381">
        <f t="shared" si="147"/>
        <v>0</v>
      </c>
      <c r="AJ1381" t="str">
        <f t="shared" si="148"/>
        <v>2-3 yrs</v>
      </c>
      <c r="AK1381" t="str">
        <f t="shared" si="149"/>
        <v>Recent</v>
      </c>
      <c r="AL1381">
        <f t="shared" si="150"/>
        <v>0</v>
      </c>
      <c r="AM1381" t="str">
        <f t="shared" si="151"/>
        <v>Minimal Risk</v>
      </c>
      <c r="AN1381" s="6">
        <f t="shared" si="152"/>
        <v>-0.44207915488888727</v>
      </c>
      <c r="AO1381" s="7">
        <f t="shared" si="153"/>
        <v>346272</v>
      </c>
    </row>
    <row r="1382" spans="1:41" x14ac:dyDescent="0.3">
      <c r="A1382" t="s">
        <v>1447</v>
      </c>
      <c r="B1382">
        <v>53</v>
      </c>
      <c r="C1382" t="s">
        <v>1272</v>
      </c>
      <c r="D1382" t="s">
        <v>55</v>
      </c>
      <c r="E1382" t="s">
        <v>48</v>
      </c>
      <c r="F1382">
        <v>661</v>
      </c>
      <c r="G1382" t="s">
        <v>932</v>
      </c>
      <c r="H1382">
        <v>7</v>
      </c>
      <c r="I1382">
        <v>2</v>
      </c>
      <c r="J1382" t="s">
        <v>63</v>
      </c>
      <c r="K1382">
        <v>862</v>
      </c>
      <c r="L1382">
        <v>1</v>
      </c>
      <c r="M1382" t="s">
        <v>59</v>
      </c>
      <c r="N1382">
        <v>2</v>
      </c>
      <c r="O1382">
        <v>3</v>
      </c>
      <c r="P1382" t="s">
        <v>145</v>
      </c>
      <c r="Q1382">
        <v>4</v>
      </c>
      <c r="R1382" t="s">
        <v>113</v>
      </c>
      <c r="S1382">
        <v>3573</v>
      </c>
      <c r="T1382" t="s">
        <v>54</v>
      </c>
      <c r="U1382">
        <v>22.33</v>
      </c>
      <c r="V1382">
        <v>7</v>
      </c>
      <c r="W1382" t="s">
        <v>47</v>
      </c>
      <c r="X1382">
        <v>18</v>
      </c>
      <c r="Y1382">
        <v>3</v>
      </c>
      <c r="Z1382">
        <v>4</v>
      </c>
      <c r="AA1382">
        <v>1</v>
      </c>
      <c r="AB1382">
        <v>35</v>
      </c>
      <c r="AC1382">
        <v>3</v>
      </c>
      <c r="AD1382">
        <v>3</v>
      </c>
      <c r="AE1382">
        <v>5</v>
      </c>
      <c r="AF1382">
        <v>2</v>
      </c>
      <c r="AG1382">
        <v>0</v>
      </c>
      <c r="AH1382">
        <v>4</v>
      </c>
      <c r="AI1382">
        <f t="shared" si="147"/>
        <v>0</v>
      </c>
      <c r="AJ1382" t="str">
        <f t="shared" si="148"/>
        <v>4-5 yrs</v>
      </c>
      <c r="AK1382" t="str">
        <f t="shared" si="149"/>
        <v>Recent</v>
      </c>
      <c r="AL1382">
        <f t="shared" si="150"/>
        <v>1</v>
      </c>
      <c r="AM1382" t="str">
        <f t="shared" si="151"/>
        <v>Low Risk</v>
      </c>
      <c r="AN1382" s="6">
        <f t="shared" si="152"/>
        <v>-0.92716779702097984</v>
      </c>
      <c r="AO1382" s="7">
        <f t="shared" si="153"/>
        <v>42876</v>
      </c>
    </row>
    <row r="1383" spans="1:41" x14ac:dyDescent="0.3">
      <c r="A1383" t="s">
        <v>1448</v>
      </c>
      <c r="B1383">
        <v>53</v>
      </c>
      <c r="C1383" t="s">
        <v>1272</v>
      </c>
      <c r="D1383" t="s">
        <v>55</v>
      </c>
      <c r="E1383" t="s">
        <v>48</v>
      </c>
      <c r="F1383">
        <v>868</v>
      </c>
      <c r="G1383" t="s">
        <v>932</v>
      </c>
      <c r="H1383">
        <v>8</v>
      </c>
      <c r="I1383">
        <v>3</v>
      </c>
      <c r="J1383" t="s">
        <v>63</v>
      </c>
      <c r="K1383">
        <v>897</v>
      </c>
      <c r="L1383">
        <v>1</v>
      </c>
      <c r="M1383" t="s">
        <v>51</v>
      </c>
      <c r="N1383">
        <v>3</v>
      </c>
      <c r="O1383">
        <v>4</v>
      </c>
      <c r="P1383" t="s">
        <v>145</v>
      </c>
      <c r="Q1383">
        <v>4</v>
      </c>
      <c r="R1383" t="s">
        <v>113</v>
      </c>
      <c r="S1383">
        <v>79344</v>
      </c>
      <c r="T1383" t="s">
        <v>64</v>
      </c>
      <c r="U1383">
        <v>495.9</v>
      </c>
      <c r="V1383">
        <v>5</v>
      </c>
      <c r="W1383" t="s">
        <v>55</v>
      </c>
      <c r="X1383">
        <v>14</v>
      </c>
      <c r="Y1383">
        <v>3</v>
      </c>
      <c r="Z1383">
        <v>3</v>
      </c>
      <c r="AA1383">
        <v>1</v>
      </c>
      <c r="AB1383">
        <v>28</v>
      </c>
      <c r="AC1383">
        <v>3</v>
      </c>
      <c r="AD1383">
        <v>3</v>
      </c>
      <c r="AE1383">
        <v>2</v>
      </c>
      <c r="AF1383">
        <v>0</v>
      </c>
      <c r="AG1383">
        <v>2</v>
      </c>
      <c r="AH1383">
        <v>2</v>
      </c>
      <c r="AI1383">
        <f t="shared" si="147"/>
        <v>0</v>
      </c>
      <c r="AJ1383" t="str">
        <f t="shared" si="148"/>
        <v>2-3 yrs</v>
      </c>
      <c r="AK1383" t="str">
        <f t="shared" si="149"/>
        <v>Recent</v>
      </c>
      <c r="AL1383">
        <f t="shared" si="150"/>
        <v>0</v>
      </c>
      <c r="AM1383" t="str">
        <f t="shared" si="151"/>
        <v>Minimal Risk</v>
      </c>
      <c r="AN1383" s="6">
        <f t="shared" si="152"/>
        <v>0.61735189285400949</v>
      </c>
      <c r="AO1383" s="7">
        <f t="shared" si="153"/>
        <v>952128</v>
      </c>
    </row>
    <row r="1384" spans="1:41" x14ac:dyDescent="0.3">
      <c r="A1384" t="s">
        <v>1449</v>
      </c>
      <c r="B1384">
        <v>53</v>
      </c>
      <c r="C1384" t="s">
        <v>1272</v>
      </c>
      <c r="D1384" t="s">
        <v>55</v>
      </c>
      <c r="E1384" t="s">
        <v>48</v>
      </c>
      <c r="F1384">
        <v>102</v>
      </c>
      <c r="G1384" t="s">
        <v>735</v>
      </c>
      <c r="H1384">
        <v>23</v>
      </c>
      <c r="I1384">
        <v>4</v>
      </c>
      <c r="J1384" t="s">
        <v>50</v>
      </c>
      <c r="K1384">
        <v>901</v>
      </c>
      <c r="L1384">
        <v>4</v>
      </c>
      <c r="M1384" t="s">
        <v>59</v>
      </c>
      <c r="N1384">
        <v>3</v>
      </c>
      <c r="O1384">
        <v>4</v>
      </c>
      <c r="P1384" t="s">
        <v>257</v>
      </c>
      <c r="Q1384">
        <v>4</v>
      </c>
      <c r="R1384" t="s">
        <v>53</v>
      </c>
      <c r="S1384">
        <v>36367</v>
      </c>
      <c r="T1384" t="s">
        <v>72</v>
      </c>
      <c r="U1384">
        <v>227.29</v>
      </c>
      <c r="V1384">
        <v>6</v>
      </c>
      <c r="W1384" t="s">
        <v>55</v>
      </c>
      <c r="X1384">
        <v>18</v>
      </c>
      <c r="Y1384">
        <v>3</v>
      </c>
      <c r="Z1384">
        <v>3</v>
      </c>
      <c r="AA1384">
        <v>0</v>
      </c>
      <c r="AB1384">
        <v>33</v>
      </c>
      <c r="AC1384">
        <v>0</v>
      </c>
      <c r="AD1384">
        <v>3</v>
      </c>
      <c r="AE1384">
        <v>12</v>
      </c>
      <c r="AF1384">
        <v>9</v>
      </c>
      <c r="AG1384">
        <v>3</v>
      </c>
      <c r="AH1384">
        <v>8</v>
      </c>
      <c r="AI1384">
        <f t="shared" si="147"/>
        <v>0</v>
      </c>
      <c r="AJ1384" t="str">
        <f t="shared" si="148"/>
        <v>10+ yrs</v>
      </c>
      <c r="AK1384" t="str">
        <f t="shared" si="149"/>
        <v>Overdue</v>
      </c>
      <c r="AL1384">
        <f t="shared" si="150"/>
        <v>1</v>
      </c>
      <c r="AM1384" t="str">
        <f t="shared" si="151"/>
        <v>Low Risk</v>
      </c>
      <c r="AN1384" s="6">
        <f t="shared" si="152"/>
        <v>-0.28217937817631478</v>
      </c>
      <c r="AO1384" s="7">
        <f t="shared" si="153"/>
        <v>436404</v>
      </c>
    </row>
    <row r="1385" spans="1:41" x14ac:dyDescent="0.3">
      <c r="A1385" t="s">
        <v>1450</v>
      </c>
      <c r="B1385">
        <v>53</v>
      </c>
      <c r="C1385" t="s">
        <v>1272</v>
      </c>
      <c r="D1385" t="s">
        <v>55</v>
      </c>
      <c r="E1385" t="s">
        <v>48</v>
      </c>
      <c r="F1385">
        <v>1376</v>
      </c>
      <c r="G1385" t="s">
        <v>932</v>
      </c>
      <c r="H1385">
        <v>2</v>
      </c>
      <c r="I1385">
        <v>2</v>
      </c>
      <c r="J1385" t="s">
        <v>58</v>
      </c>
      <c r="K1385">
        <v>981</v>
      </c>
      <c r="L1385">
        <v>3</v>
      </c>
      <c r="M1385" t="s">
        <v>51</v>
      </c>
      <c r="N1385">
        <v>3</v>
      </c>
      <c r="O1385">
        <v>4</v>
      </c>
      <c r="P1385" t="s">
        <v>444</v>
      </c>
      <c r="Q1385">
        <v>3</v>
      </c>
      <c r="R1385" t="s">
        <v>113</v>
      </c>
      <c r="S1385">
        <v>61774</v>
      </c>
      <c r="T1385" t="s">
        <v>64</v>
      </c>
      <c r="U1385">
        <v>386.09</v>
      </c>
      <c r="V1385">
        <v>6</v>
      </c>
      <c r="W1385" t="s">
        <v>55</v>
      </c>
      <c r="X1385">
        <v>13</v>
      </c>
      <c r="Y1385">
        <v>3</v>
      </c>
      <c r="Z1385">
        <v>3</v>
      </c>
      <c r="AA1385">
        <v>1</v>
      </c>
      <c r="AB1385">
        <v>22</v>
      </c>
      <c r="AC1385">
        <v>3</v>
      </c>
      <c r="AD1385">
        <v>4</v>
      </c>
      <c r="AE1385">
        <v>17</v>
      </c>
      <c r="AF1385">
        <v>13</v>
      </c>
      <c r="AG1385">
        <v>15</v>
      </c>
      <c r="AH1385">
        <v>2</v>
      </c>
      <c r="AI1385">
        <f t="shared" si="147"/>
        <v>0</v>
      </c>
      <c r="AJ1385" t="str">
        <f t="shared" si="148"/>
        <v>10+ yrs</v>
      </c>
      <c r="AK1385" t="str">
        <f t="shared" si="149"/>
        <v>Overdue</v>
      </c>
      <c r="AL1385">
        <f t="shared" si="150"/>
        <v>1</v>
      </c>
      <c r="AM1385" t="str">
        <f t="shared" si="151"/>
        <v>Low Risk</v>
      </c>
      <c r="AN1385" s="6">
        <f t="shared" si="152"/>
        <v>0.18344819192566511</v>
      </c>
      <c r="AO1385" s="7">
        <f t="shared" si="153"/>
        <v>741288</v>
      </c>
    </row>
    <row r="1386" spans="1:41" x14ac:dyDescent="0.3">
      <c r="A1386" t="s">
        <v>1451</v>
      </c>
      <c r="B1386">
        <v>53</v>
      </c>
      <c r="C1386" t="s">
        <v>1272</v>
      </c>
      <c r="D1386" t="s">
        <v>55</v>
      </c>
      <c r="E1386" t="s">
        <v>62</v>
      </c>
      <c r="F1386">
        <v>124</v>
      </c>
      <c r="G1386" t="s">
        <v>932</v>
      </c>
      <c r="H1386">
        <v>2</v>
      </c>
      <c r="I1386">
        <v>3</v>
      </c>
      <c r="J1386" t="s">
        <v>63</v>
      </c>
      <c r="K1386">
        <v>1050</v>
      </c>
      <c r="L1386">
        <v>3</v>
      </c>
      <c r="M1386" t="s">
        <v>59</v>
      </c>
      <c r="N1386">
        <v>2</v>
      </c>
      <c r="O1386">
        <v>3</v>
      </c>
      <c r="P1386" t="s">
        <v>145</v>
      </c>
      <c r="Q1386">
        <v>2</v>
      </c>
      <c r="R1386" t="s">
        <v>113</v>
      </c>
      <c r="S1386">
        <v>24752</v>
      </c>
      <c r="T1386" t="s">
        <v>54</v>
      </c>
      <c r="U1386">
        <v>154.69999999999999</v>
      </c>
      <c r="V1386">
        <v>2</v>
      </c>
      <c r="W1386" t="s">
        <v>55</v>
      </c>
      <c r="X1386">
        <v>12</v>
      </c>
      <c r="Y1386">
        <v>3</v>
      </c>
      <c r="Z1386">
        <v>1</v>
      </c>
      <c r="AA1386">
        <v>1</v>
      </c>
      <c r="AB1386">
        <v>30</v>
      </c>
      <c r="AC1386">
        <v>2</v>
      </c>
      <c r="AD1386">
        <v>3</v>
      </c>
      <c r="AE1386">
        <v>15</v>
      </c>
      <c r="AF1386">
        <v>7</v>
      </c>
      <c r="AG1386">
        <v>6</v>
      </c>
      <c r="AH1386">
        <v>12</v>
      </c>
      <c r="AI1386">
        <f t="shared" si="147"/>
        <v>0</v>
      </c>
      <c r="AJ1386" t="str">
        <f t="shared" si="148"/>
        <v>10+ yrs</v>
      </c>
      <c r="AK1386" t="str">
        <f t="shared" si="149"/>
        <v>Overdue</v>
      </c>
      <c r="AL1386">
        <f t="shared" si="150"/>
        <v>2</v>
      </c>
      <c r="AM1386" t="str">
        <f t="shared" si="151"/>
        <v>Medium Risk</v>
      </c>
      <c r="AN1386" s="6">
        <f t="shared" si="152"/>
        <v>-0.49545404754080408</v>
      </c>
      <c r="AO1386" s="7">
        <f t="shared" si="153"/>
        <v>297024</v>
      </c>
    </row>
    <row r="1387" spans="1:41" x14ac:dyDescent="0.3">
      <c r="A1387" t="s">
        <v>1452</v>
      </c>
      <c r="B1387">
        <v>53</v>
      </c>
      <c r="C1387" t="s">
        <v>1272</v>
      </c>
      <c r="D1387" t="s">
        <v>55</v>
      </c>
      <c r="E1387" t="s">
        <v>48</v>
      </c>
      <c r="F1387">
        <v>1223</v>
      </c>
      <c r="G1387" t="s">
        <v>735</v>
      </c>
      <c r="H1387">
        <v>7</v>
      </c>
      <c r="I1387">
        <v>2</v>
      </c>
      <c r="J1387" t="s">
        <v>58</v>
      </c>
      <c r="K1387">
        <v>1201</v>
      </c>
      <c r="L1387">
        <v>4</v>
      </c>
      <c r="M1387" t="s">
        <v>59</v>
      </c>
      <c r="N1387">
        <v>3</v>
      </c>
      <c r="O1387">
        <v>5</v>
      </c>
      <c r="P1387" t="s">
        <v>444</v>
      </c>
      <c r="Q1387">
        <v>3</v>
      </c>
      <c r="R1387" t="s">
        <v>113</v>
      </c>
      <c r="S1387">
        <v>56029</v>
      </c>
      <c r="T1387" t="s">
        <v>64</v>
      </c>
      <c r="U1387">
        <v>350.18</v>
      </c>
      <c r="V1387">
        <v>3</v>
      </c>
      <c r="W1387" t="s">
        <v>55</v>
      </c>
      <c r="X1387">
        <v>18</v>
      </c>
      <c r="Y1387">
        <v>3</v>
      </c>
      <c r="Z1387">
        <v>2</v>
      </c>
      <c r="AA1387">
        <v>1</v>
      </c>
      <c r="AB1387">
        <v>26</v>
      </c>
      <c r="AC1387">
        <v>6</v>
      </c>
      <c r="AD1387">
        <v>3</v>
      </c>
      <c r="AE1387">
        <v>7</v>
      </c>
      <c r="AF1387">
        <v>7</v>
      </c>
      <c r="AG1387">
        <v>4</v>
      </c>
      <c r="AH1387">
        <v>7</v>
      </c>
      <c r="AI1387">
        <f t="shared" si="147"/>
        <v>0</v>
      </c>
      <c r="AJ1387" t="str">
        <f t="shared" si="148"/>
        <v>6-10 yrs</v>
      </c>
      <c r="AK1387" t="str">
        <f t="shared" si="149"/>
        <v>Overdue</v>
      </c>
      <c r="AL1387">
        <f t="shared" si="150"/>
        <v>1</v>
      </c>
      <c r="AM1387" t="str">
        <f t="shared" si="151"/>
        <v>Low Risk</v>
      </c>
      <c r="AN1387" s="6">
        <f t="shared" si="152"/>
        <v>7.3387165237852325E-2</v>
      </c>
      <c r="AO1387" s="7">
        <f t="shared" si="153"/>
        <v>672348</v>
      </c>
    </row>
    <row r="1388" spans="1:41" x14ac:dyDescent="0.3">
      <c r="A1388" t="s">
        <v>1453</v>
      </c>
      <c r="B1388">
        <v>53</v>
      </c>
      <c r="C1388" t="s">
        <v>1272</v>
      </c>
      <c r="D1388" t="s">
        <v>55</v>
      </c>
      <c r="E1388" t="s">
        <v>48</v>
      </c>
      <c r="F1388">
        <v>447</v>
      </c>
      <c r="G1388" t="s">
        <v>735</v>
      </c>
      <c r="H1388">
        <v>2</v>
      </c>
      <c r="I1388">
        <v>3</v>
      </c>
      <c r="J1388" t="s">
        <v>58</v>
      </c>
      <c r="K1388">
        <v>1472</v>
      </c>
      <c r="L1388">
        <v>4</v>
      </c>
      <c r="M1388" t="s">
        <v>51</v>
      </c>
      <c r="N1388">
        <v>4</v>
      </c>
      <c r="O1388">
        <v>4</v>
      </c>
      <c r="P1388" t="s">
        <v>257</v>
      </c>
      <c r="Q1388">
        <v>2</v>
      </c>
      <c r="R1388" t="s">
        <v>53</v>
      </c>
      <c r="S1388">
        <v>18685</v>
      </c>
      <c r="T1388" t="s">
        <v>54</v>
      </c>
      <c r="U1388">
        <v>116.78</v>
      </c>
      <c r="V1388">
        <v>4</v>
      </c>
      <c r="W1388" t="s">
        <v>55</v>
      </c>
      <c r="X1388">
        <v>12</v>
      </c>
      <c r="Y1388">
        <v>3</v>
      </c>
      <c r="Z1388">
        <v>2</v>
      </c>
      <c r="AA1388">
        <v>0</v>
      </c>
      <c r="AB1388">
        <v>35</v>
      </c>
      <c r="AC1388">
        <v>2</v>
      </c>
      <c r="AD1388">
        <v>2</v>
      </c>
      <c r="AE1388">
        <v>9</v>
      </c>
      <c r="AF1388">
        <v>8</v>
      </c>
      <c r="AG1388">
        <v>8</v>
      </c>
      <c r="AH1388">
        <v>8</v>
      </c>
      <c r="AI1388">
        <f t="shared" si="147"/>
        <v>0</v>
      </c>
      <c r="AJ1388" t="str">
        <f t="shared" si="148"/>
        <v>6-10 yrs</v>
      </c>
      <c r="AK1388" t="str">
        <f t="shared" si="149"/>
        <v>Overdue</v>
      </c>
      <c r="AL1388">
        <f t="shared" si="150"/>
        <v>3</v>
      </c>
      <c r="AM1388" t="str">
        <f t="shared" si="151"/>
        <v>High Risk</v>
      </c>
      <c r="AN1388" s="6">
        <f t="shared" si="152"/>
        <v>-0.63119096106977313</v>
      </c>
      <c r="AO1388" s="7">
        <f t="shared" si="153"/>
        <v>224220</v>
      </c>
    </row>
    <row r="1389" spans="1:41" x14ac:dyDescent="0.3">
      <c r="A1389" t="s">
        <v>1454</v>
      </c>
      <c r="B1389">
        <v>53</v>
      </c>
      <c r="C1389" t="s">
        <v>1272</v>
      </c>
      <c r="D1389" t="s">
        <v>47</v>
      </c>
      <c r="E1389" t="s">
        <v>48</v>
      </c>
      <c r="F1389">
        <v>607</v>
      </c>
      <c r="G1389" t="s">
        <v>735</v>
      </c>
      <c r="H1389">
        <v>2</v>
      </c>
      <c r="I1389">
        <v>5</v>
      </c>
      <c r="J1389" t="s">
        <v>77</v>
      </c>
      <c r="K1389">
        <v>1572</v>
      </c>
      <c r="L1389">
        <v>3</v>
      </c>
      <c r="M1389" t="s">
        <v>59</v>
      </c>
      <c r="N1389">
        <v>2</v>
      </c>
      <c r="O1389">
        <v>3</v>
      </c>
      <c r="P1389" t="s">
        <v>120</v>
      </c>
      <c r="Q1389">
        <v>4</v>
      </c>
      <c r="R1389" t="s">
        <v>113</v>
      </c>
      <c r="S1389">
        <v>52693</v>
      </c>
      <c r="T1389" t="s">
        <v>64</v>
      </c>
      <c r="U1389">
        <v>329.33</v>
      </c>
      <c r="V1389">
        <v>0</v>
      </c>
      <c r="W1389" t="s">
        <v>55</v>
      </c>
      <c r="X1389">
        <v>16</v>
      </c>
      <c r="Y1389">
        <v>3</v>
      </c>
      <c r="Z1389">
        <v>2</v>
      </c>
      <c r="AA1389">
        <v>1</v>
      </c>
      <c r="AB1389">
        <v>34</v>
      </c>
      <c r="AC1389">
        <v>4</v>
      </c>
      <c r="AD1389">
        <v>3</v>
      </c>
      <c r="AE1389">
        <v>33</v>
      </c>
      <c r="AF1389">
        <v>7</v>
      </c>
      <c r="AG1389">
        <v>1</v>
      </c>
      <c r="AH1389">
        <v>9</v>
      </c>
      <c r="AI1389">
        <f t="shared" si="147"/>
        <v>1</v>
      </c>
      <c r="AJ1389" t="str">
        <f t="shared" si="148"/>
        <v>10+ yrs</v>
      </c>
      <c r="AK1389" t="str">
        <f t="shared" si="149"/>
        <v>Recent</v>
      </c>
      <c r="AL1389">
        <f t="shared" si="150"/>
        <v>0</v>
      </c>
      <c r="AM1389" t="str">
        <f t="shared" si="151"/>
        <v>Minimal Risk</v>
      </c>
      <c r="AN1389" s="6">
        <f t="shared" si="152"/>
        <v>0.18958349150525908</v>
      </c>
      <c r="AO1389" s="7">
        <f t="shared" si="153"/>
        <v>632316</v>
      </c>
    </row>
    <row r="1390" spans="1:41" x14ac:dyDescent="0.3">
      <c r="A1390" t="s">
        <v>1455</v>
      </c>
      <c r="B1390">
        <v>53</v>
      </c>
      <c r="C1390" t="s">
        <v>1272</v>
      </c>
      <c r="D1390" t="s">
        <v>55</v>
      </c>
      <c r="E1390" t="s">
        <v>48</v>
      </c>
      <c r="F1390">
        <v>1395</v>
      </c>
      <c r="G1390" t="s">
        <v>735</v>
      </c>
      <c r="H1390">
        <v>24</v>
      </c>
      <c r="I1390">
        <v>4</v>
      </c>
      <c r="J1390" t="s">
        <v>58</v>
      </c>
      <c r="K1390">
        <v>1689</v>
      </c>
      <c r="L1390">
        <v>2</v>
      </c>
      <c r="M1390" t="s">
        <v>51</v>
      </c>
      <c r="N1390">
        <v>4</v>
      </c>
      <c r="O1390">
        <v>3</v>
      </c>
      <c r="P1390" t="s">
        <v>168</v>
      </c>
      <c r="Q1390">
        <v>4</v>
      </c>
      <c r="R1390" t="s">
        <v>113</v>
      </c>
      <c r="S1390">
        <v>56961</v>
      </c>
      <c r="T1390" t="s">
        <v>64</v>
      </c>
      <c r="U1390">
        <v>356.01</v>
      </c>
      <c r="V1390">
        <v>3</v>
      </c>
      <c r="W1390" t="s">
        <v>55</v>
      </c>
      <c r="X1390">
        <v>15</v>
      </c>
      <c r="Y1390">
        <v>3</v>
      </c>
      <c r="Z1390">
        <v>3</v>
      </c>
      <c r="AA1390">
        <v>0</v>
      </c>
      <c r="AB1390">
        <v>11</v>
      </c>
      <c r="AC1390">
        <v>2</v>
      </c>
      <c r="AD1390">
        <v>3</v>
      </c>
      <c r="AE1390">
        <v>4</v>
      </c>
      <c r="AF1390">
        <v>3</v>
      </c>
      <c r="AG1390">
        <v>1</v>
      </c>
      <c r="AH1390">
        <v>2</v>
      </c>
      <c r="AI1390">
        <f t="shared" si="147"/>
        <v>0</v>
      </c>
      <c r="AJ1390" t="str">
        <f t="shared" si="148"/>
        <v>4-5 yrs</v>
      </c>
      <c r="AK1390" t="str">
        <f t="shared" si="149"/>
        <v>Recent</v>
      </c>
      <c r="AL1390">
        <f t="shared" si="150"/>
        <v>0</v>
      </c>
      <c r="AM1390" t="str">
        <f t="shared" si="151"/>
        <v>Minimal Risk</v>
      </c>
      <c r="AN1390" s="6">
        <f t="shared" si="152"/>
        <v>0.1820297399532794</v>
      </c>
      <c r="AO1390" s="7">
        <f t="shared" si="153"/>
        <v>683532</v>
      </c>
    </row>
    <row r="1391" spans="1:41" x14ac:dyDescent="0.3">
      <c r="A1391" t="s">
        <v>1456</v>
      </c>
      <c r="B1391">
        <v>53</v>
      </c>
      <c r="C1391" t="s">
        <v>1272</v>
      </c>
      <c r="D1391" t="s">
        <v>55</v>
      </c>
      <c r="E1391" t="s">
        <v>66</v>
      </c>
      <c r="F1391">
        <v>661</v>
      </c>
      <c r="G1391" t="s">
        <v>735</v>
      </c>
      <c r="H1391">
        <v>1</v>
      </c>
      <c r="I1391">
        <v>4</v>
      </c>
      <c r="J1391" t="s">
        <v>58</v>
      </c>
      <c r="K1391">
        <v>1775</v>
      </c>
      <c r="L1391">
        <v>1</v>
      </c>
      <c r="M1391" t="s">
        <v>59</v>
      </c>
      <c r="N1391">
        <v>2</v>
      </c>
      <c r="O1391">
        <v>4</v>
      </c>
      <c r="P1391" t="s">
        <v>120</v>
      </c>
      <c r="Q1391">
        <v>3</v>
      </c>
      <c r="R1391" t="s">
        <v>113</v>
      </c>
      <c r="S1391">
        <v>77908</v>
      </c>
      <c r="T1391" t="s">
        <v>64</v>
      </c>
      <c r="U1391">
        <v>486.92</v>
      </c>
      <c r="V1391">
        <v>4</v>
      </c>
      <c r="W1391" t="s">
        <v>47</v>
      </c>
      <c r="X1391">
        <v>20</v>
      </c>
      <c r="Y1391">
        <v>4</v>
      </c>
      <c r="Z1391">
        <v>4</v>
      </c>
      <c r="AA1391">
        <v>3</v>
      </c>
      <c r="AB1391">
        <v>27</v>
      </c>
      <c r="AC1391">
        <v>2</v>
      </c>
      <c r="AD1391">
        <v>2</v>
      </c>
      <c r="AE1391">
        <v>3</v>
      </c>
      <c r="AF1391">
        <v>2</v>
      </c>
      <c r="AG1391">
        <v>0</v>
      </c>
      <c r="AH1391">
        <v>2</v>
      </c>
      <c r="AI1391">
        <f t="shared" si="147"/>
        <v>0</v>
      </c>
      <c r="AJ1391" t="str">
        <f t="shared" si="148"/>
        <v>2-3 yrs</v>
      </c>
      <c r="AK1391" t="str">
        <f t="shared" si="149"/>
        <v>Recent</v>
      </c>
      <c r="AL1391">
        <f t="shared" si="150"/>
        <v>2</v>
      </c>
      <c r="AM1391" t="str">
        <f t="shared" si="151"/>
        <v>Medium Risk</v>
      </c>
      <c r="AN1391" s="6">
        <f t="shared" si="152"/>
        <v>0.75883078693928463</v>
      </c>
      <c r="AO1391" s="7">
        <f t="shared" si="153"/>
        <v>934896</v>
      </c>
    </row>
    <row r="1392" spans="1:41" x14ac:dyDescent="0.3">
      <c r="A1392" t="s">
        <v>1457</v>
      </c>
      <c r="B1392">
        <v>53</v>
      </c>
      <c r="C1392" t="s">
        <v>1272</v>
      </c>
      <c r="D1392" t="s">
        <v>47</v>
      </c>
      <c r="E1392" t="s">
        <v>48</v>
      </c>
      <c r="F1392">
        <v>1168</v>
      </c>
      <c r="G1392" t="s">
        <v>932</v>
      </c>
      <c r="H1392">
        <v>24</v>
      </c>
      <c r="I1392">
        <v>4</v>
      </c>
      <c r="J1392" t="s">
        <v>50</v>
      </c>
      <c r="K1392">
        <v>1968</v>
      </c>
      <c r="L1392">
        <v>1</v>
      </c>
      <c r="M1392" t="s">
        <v>51</v>
      </c>
      <c r="N1392">
        <v>3</v>
      </c>
      <c r="O1392">
        <v>3</v>
      </c>
      <c r="P1392" t="s">
        <v>145</v>
      </c>
      <c r="Q1392">
        <v>1</v>
      </c>
      <c r="R1392" t="s">
        <v>53</v>
      </c>
      <c r="S1392">
        <v>75532</v>
      </c>
      <c r="T1392" t="s">
        <v>64</v>
      </c>
      <c r="U1392">
        <v>472.08</v>
      </c>
      <c r="V1392">
        <v>6</v>
      </c>
      <c r="W1392" t="s">
        <v>47</v>
      </c>
      <c r="X1392">
        <v>13</v>
      </c>
      <c r="Y1392">
        <v>3</v>
      </c>
      <c r="Z1392">
        <v>2</v>
      </c>
      <c r="AA1392">
        <v>0</v>
      </c>
      <c r="AB1392">
        <v>15</v>
      </c>
      <c r="AC1392">
        <v>2</v>
      </c>
      <c r="AD1392">
        <v>2</v>
      </c>
      <c r="AE1392">
        <v>2</v>
      </c>
      <c r="AF1392">
        <v>2</v>
      </c>
      <c r="AG1392">
        <v>2</v>
      </c>
      <c r="AH1392">
        <v>2</v>
      </c>
      <c r="AI1392">
        <f t="shared" si="147"/>
        <v>1</v>
      </c>
      <c r="AJ1392" t="str">
        <f t="shared" si="148"/>
        <v>2-3 yrs</v>
      </c>
      <c r="AK1392" t="str">
        <f t="shared" si="149"/>
        <v>Recent</v>
      </c>
      <c r="AL1392">
        <f t="shared" si="150"/>
        <v>3</v>
      </c>
      <c r="AM1392" t="str">
        <f t="shared" si="151"/>
        <v>High Risk</v>
      </c>
      <c r="AN1392" s="6">
        <f t="shared" si="152"/>
        <v>0.53964790243810545</v>
      </c>
      <c r="AO1392" s="7">
        <f t="shared" si="153"/>
        <v>906384</v>
      </c>
    </row>
    <row r="1393" spans="1:41" x14ac:dyDescent="0.3">
      <c r="A1393" t="s">
        <v>1458</v>
      </c>
      <c r="B1393">
        <v>54</v>
      </c>
      <c r="C1393" t="s">
        <v>1272</v>
      </c>
      <c r="D1393" t="s">
        <v>55</v>
      </c>
      <c r="E1393" t="s">
        <v>48</v>
      </c>
      <c r="F1393">
        <v>1217</v>
      </c>
      <c r="G1393" t="s">
        <v>735</v>
      </c>
      <c r="H1393">
        <v>2</v>
      </c>
      <c r="I1393">
        <v>4</v>
      </c>
      <c r="J1393" t="s">
        <v>77</v>
      </c>
      <c r="K1393">
        <v>126</v>
      </c>
      <c r="L1393">
        <v>1</v>
      </c>
      <c r="M1393" t="s">
        <v>59</v>
      </c>
      <c r="N1393">
        <v>3</v>
      </c>
      <c r="O1393">
        <v>3</v>
      </c>
      <c r="P1393" t="s">
        <v>257</v>
      </c>
      <c r="Q1393">
        <v>3</v>
      </c>
      <c r="R1393" t="s">
        <v>113</v>
      </c>
      <c r="S1393">
        <v>82994</v>
      </c>
      <c r="T1393" t="s">
        <v>64</v>
      </c>
      <c r="U1393">
        <v>518.71</v>
      </c>
      <c r="V1393">
        <v>9</v>
      </c>
      <c r="W1393" t="s">
        <v>55</v>
      </c>
      <c r="X1393">
        <v>12</v>
      </c>
      <c r="Y1393">
        <v>3</v>
      </c>
      <c r="Z1393">
        <v>1</v>
      </c>
      <c r="AA1393">
        <v>1</v>
      </c>
      <c r="AB1393">
        <v>16</v>
      </c>
      <c r="AC1393">
        <v>5</v>
      </c>
      <c r="AD1393">
        <v>1</v>
      </c>
      <c r="AE1393">
        <v>4</v>
      </c>
      <c r="AF1393">
        <v>3</v>
      </c>
      <c r="AG1393">
        <v>0</v>
      </c>
      <c r="AH1393">
        <v>3</v>
      </c>
      <c r="AI1393">
        <f t="shared" si="147"/>
        <v>0</v>
      </c>
      <c r="AJ1393" t="str">
        <f t="shared" si="148"/>
        <v>4-5 yrs</v>
      </c>
      <c r="AK1393" t="str">
        <f t="shared" si="149"/>
        <v>Recent</v>
      </c>
      <c r="AL1393">
        <f t="shared" si="150"/>
        <v>1</v>
      </c>
      <c r="AM1393" t="str">
        <f t="shared" si="151"/>
        <v>Low Risk</v>
      </c>
      <c r="AN1393" s="6">
        <f t="shared" si="152"/>
        <v>0.63815559951700529</v>
      </c>
      <c r="AO1393" s="7">
        <f t="shared" si="153"/>
        <v>995928</v>
      </c>
    </row>
    <row r="1394" spans="1:41" x14ac:dyDescent="0.3">
      <c r="A1394" t="s">
        <v>1459</v>
      </c>
      <c r="B1394">
        <v>54</v>
      </c>
      <c r="C1394" t="s">
        <v>1272</v>
      </c>
      <c r="D1394" t="s">
        <v>55</v>
      </c>
      <c r="E1394" t="s">
        <v>66</v>
      </c>
      <c r="F1394">
        <v>142</v>
      </c>
      <c r="G1394" t="s">
        <v>80</v>
      </c>
      <c r="H1394">
        <v>26</v>
      </c>
      <c r="I1394">
        <v>3</v>
      </c>
      <c r="J1394" t="s">
        <v>80</v>
      </c>
      <c r="K1394">
        <v>148</v>
      </c>
      <c r="L1394">
        <v>4</v>
      </c>
      <c r="M1394" t="s">
        <v>59</v>
      </c>
      <c r="N1394">
        <v>4</v>
      </c>
      <c r="O1394">
        <v>4</v>
      </c>
      <c r="P1394" t="s">
        <v>444</v>
      </c>
      <c r="Q1394">
        <v>4</v>
      </c>
      <c r="R1394" t="s">
        <v>53</v>
      </c>
      <c r="S1394">
        <v>57133</v>
      </c>
      <c r="T1394" t="s">
        <v>64</v>
      </c>
      <c r="U1394">
        <v>357.08</v>
      </c>
      <c r="V1394">
        <v>2</v>
      </c>
      <c r="W1394" t="s">
        <v>47</v>
      </c>
      <c r="X1394">
        <v>12</v>
      </c>
      <c r="Y1394">
        <v>3</v>
      </c>
      <c r="Z1394">
        <v>3</v>
      </c>
      <c r="AA1394">
        <v>0</v>
      </c>
      <c r="AB1394">
        <v>23</v>
      </c>
      <c r="AC1394">
        <v>3</v>
      </c>
      <c r="AD1394">
        <v>3</v>
      </c>
      <c r="AE1394">
        <v>5</v>
      </c>
      <c r="AF1394">
        <v>3</v>
      </c>
      <c r="AG1394">
        <v>4</v>
      </c>
      <c r="AH1394">
        <v>4</v>
      </c>
      <c r="AI1394">
        <f t="shared" si="147"/>
        <v>0</v>
      </c>
      <c r="AJ1394" t="str">
        <f t="shared" si="148"/>
        <v>4-5 yrs</v>
      </c>
      <c r="AK1394" t="str">
        <f t="shared" si="149"/>
        <v>Overdue</v>
      </c>
      <c r="AL1394">
        <f t="shared" si="150"/>
        <v>2</v>
      </c>
      <c r="AM1394" t="str">
        <f t="shared" si="151"/>
        <v>Medium Risk</v>
      </c>
      <c r="AN1394" s="6">
        <f t="shared" si="152"/>
        <v>9.4537273760627843E-2</v>
      </c>
      <c r="AO1394" s="7">
        <f t="shared" si="153"/>
        <v>685596</v>
      </c>
    </row>
    <row r="1395" spans="1:41" x14ac:dyDescent="0.3">
      <c r="A1395" t="s">
        <v>1460</v>
      </c>
      <c r="B1395">
        <v>54</v>
      </c>
      <c r="C1395" t="s">
        <v>1272</v>
      </c>
      <c r="D1395" t="s">
        <v>55</v>
      </c>
      <c r="E1395" t="s">
        <v>48</v>
      </c>
      <c r="F1395">
        <v>1147</v>
      </c>
      <c r="G1395" t="s">
        <v>932</v>
      </c>
      <c r="H1395">
        <v>3</v>
      </c>
      <c r="I1395">
        <v>3</v>
      </c>
      <c r="J1395" t="s">
        <v>63</v>
      </c>
      <c r="K1395">
        <v>303</v>
      </c>
      <c r="L1395">
        <v>4</v>
      </c>
      <c r="M1395" t="s">
        <v>59</v>
      </c>
      <c r="N1395">
        <v>3</v>
      </c>
      <c r="O1395">
        <v>2</v>
      </c>
      <c r="P1395" t="s">
        <v>145</v>
      </c>
      <c r="Q1395">
        <v>1</v>
      </c>
      <c r="R1395" t="s">
        <v>113</v>
      </c>
      <c r="S1395">
        <v>98425</v>
      </c>
      <c r="T1395" t="s">
        <v>70</v>
      </c>
      <c r="U1395">
        <v>615.16</v>
      </c>
      <c r="V1395">
        <v>2</v>
      </c>
      <c r="W1395" t="s">
        <v>55</v>
      </c>
      <c r="X1395">
        <v>14</v>
      </c>
      <c r="Y1395">
        <v>3</v>
      </c>
      <c r="Z1395">
        <v>4</v>
      </c>
      <c r="AA1395">
        <v>1</v>
      </c>
      <c r="AB1395">
        <v>16</v>
      </c>
      <c r="AC1395">
        <v>4</v>
      </c>
      <c r="AD1395">
        <v>3</v>
      </c>
      <c r="AE1395">
        <v>6</v>
      </c>
      <c r="AF1395">
        <v>2</v>
      </c>
      <c r="AG1395">
        <v>0</v>
      </c>
      <c r="AH1395">
        <v>5</v>
      </c>
      <c r="AI1395">
        <f t="shared" si="147"/>
        <v>0</v>
      </c>
      <c r="AJ1395" t="str">
        <f t="shared" si="148"/>
        <v>6-10 yrs</v>
      </c>
      <c r="AK1395" t="str">
        <f t="shared" si="149"/>
        <v>Recent</v>
      </c>
      <c r="AL1395">
        <f t="shared" si="150"/>
        <v>1</v>
      </c>
      <c r="AM1395" t="str">
        <f t="shared" si="151"/>
        <v>Low Risk</v>
      </c>
      <c r="AN1395" s="6">
        <f t="shared" si="152"/>
        <v>1.0062999099384438</v>
      </c>
      <c r="AO1395" s="7">
        <f t="shared" si="153"/>
        <v>1181100</v>
      </c>
    </row>
    <row r="1396" spans="1:41" x14ac:dyDescent="0.3">
      <c r="A1396" t="s">
        <v>1461</v>
      </c>
      <c r="B1396">
        <v>54</v>
      </c>
      <c r="C1396" t="s">
        <v>1272</v>
      </c>
      <c r="D1396" t="s">
        <v>55</v>
      </c>
      <c r="E1396" t="s">
        <v>62</v>
      </c>
      <c r="F1396">
        <v>928</v>
      </c>
      <c r="G1396" t="s">
        <v>735</v>
      </c>
      <c r="H1396">
        <v>20</v>
      </c>
      <c r="I1396">
        <v>4</v>
      </c>
      <c r="J1396" t="s">
        <v>50</v>
      </c>
      <c r="K1396">
        <v>450</v>
      </c>
      <c r="L1396">
        <v>4</v>
      </c>
      <c r="M1396" t="s">
        <v>59</v>
      </c>
      <c r="N1396">
        <v>3</v>
      </c>
      <c r="O1396">
        <v>2</v>
      </c>
      <c r="P1396" t="s">
        <v>67</v>
      </c>
      <c r="Q1396">
        <v>3</v>
      </c>
      <c r="R1396" t="s">
        <v>53</v>
      </c>
      <c r="S1396">
        <v>62268</v>
      </c>
      <c r="T1396" t="s">
        <v>64</v>
      </c>
      <c r="U1396">
        <v>389.18</v>
      </c>
      <c r="V1396">
        <v>3</v>
      </c>
      <c r="W1396" t="s">
        <v>55</v>
      </c>
      <c r="X1396">
        <v>12</v>
      </c>
      <c r="Y1396">
        <v>3</v>
      </c>
      <c r="Z1396">
        <v>4</v>
      </c>
      <c r="AA1396">
        <v>0</v>
      </c>
      <c r="AB1396">
        <v>20</v>
      </c>
      <c r="AC1396">
        <v>4</v>
      </c>
      <c r="AD1396">
        <v>2</v>
      </c>
      <c r="AE1396">
        <v>4</v>
      </c>
      <c r="AF1396">
        <v>3</v>
      </c>
      <c r="AG1396">
        <v>0</v>
      </c>
      <c r="AH1396">
        <v>3</v>
      </c>
      <c r="AI1396">
        <f t="shared" si="147"/>
        <v>0</v>
      </c>
      <c r="AJ1396" t="str">
        <f t="shared" si="148"/>
        <v>4-5 yrs</v>
      </c>
      <c r="AK1396" t="str">
        <f t="shared" si="149"/>
        <v>Recent</v>
      </c>
      <c r="AL1396">
        <f t="shared" si="150"/>
        <v>1</v>
      </c>
      <c r="AM1396" t="str">
        <f t="shared" si="151"/>
        <v>Low Risk</v>
      </c>
      <c r="AN1396" s="6">
        <f t="shared" si="152"/>
        <v>0.24870396956546018</v>
      </c>
      <c r="AO1396" s="7">
        <f t="shared" si="153"/>
        <v>747216</v>
      </c>
    </row>
    <row r="1397" spans="1:41" x14ac:dyDescent="0.3">
      <c r="A1397" t="s">
        <v>1462</v>
      </c>
      <c r="B1397">
        <v>54</v>
      </c>
      <c r="C1397" t="s">
        <v>1272</v>
      </c>
      <c r="D1397" t="s">
        <v>55</v>
      </c>
      <c r="E1397" t="s">
        <v>48</v>
      </c>
      <c r="F1397">
        <v>821</v>
      </c>
      <c r="G1397" t="s">
        <v>735</v>
      </c>
      <c r="H1397">
        <v>5</v>
      </c>
      <c r="I1397">
        <v>2</v>
      </c>
      <c r="J1397" t="s">
        <v>58</v>
      </c>
      <c r="K1397">
        <v>522</v>
      </c>
      <c r="L1397">
        <v>1</v>
      </c>
      <c r="M1397" t="s">
        <v>51</v>
      </c>
      <c r="N1397">
        <v>3</v>
      </c>
      <c r="O1397">
        <v>5</v>
      </c>
      <c r="P1397" t="s">
        <v>257</v>
      </c>
      <c r="Q1397">
        <v>1</v>
      </c>
      <c r="R1397" t="s">
        <v>113</v>
      </c>
      <c r="S1397">
        <v>93201</v>
      </c>
      <c r="T1397" t="s">
        <v>70</v>
      </c>
      <c r="U1397">
        <v>582.51</v>
      </c>
      <c r="V1397">
        <v>4</v>
      </c>
      <c r="W1397" t="s">
        <v>55</v>
      </c>
      <c r="X1397">
        <v>11</v>
      </c>
      <c r="Y1397">
        <v>3</v>
      </c>
      <c r="Z1397">
        <v>3</v>
      </c>
      <c r="AA1397">
        <v>1</v>
      </c>
      <c r="AB1397">
        <v>24</v>
      </c>
      <c r="AC1397">
        <v>4</v>
      </c>
      <c r="AD1397">
        <v>2</v>
      </c>
      <c r="AE1397">
        <v>4</v>
      </c>
      <c r="AF1397">
        <v>2</v>
      </c>
      <c r="AG1397">
        <v>1</v>
      </c>
      <c r="AH1397">
        <v>2</v>
      </c>
      <c r="AI1397">
        <f t="shared" si="147"/>
        <v>0</v>
      </c>
      <c r="AJ1397" t="str">
        <f t="shared" si="148"/>
        <v>4-5 yrs</v>
      </c>
      <c r="AK1397" t="str">
        <f t="shared" si="149"/>
        <v>Recent</v>
      </c>
      <c r="AL1397">
        <f t="shared" si="150"/>
        <v>2</v>
      </c>
      <c r="AM1397" t="str">
        <f t="shared" si="151"/>
        <v>Medium Risk</v>
      </c>
      <c r="AN1397" s="6">
        <f t="shared" si="152"/>
        <v>0.8396238285970602</v>
      </c>
      <c r="AO1397" s="7">
        <f t="shared" si="153"/>
        <v>1118412</v>
      </c>
    </row>
    <row r="1398" spans="1:41" x14ac:dyDescent="0.3">
      <c r="A1398" t="s">
        <v>1463</v>
      </c>
      <c r="B1398">
        <v>54</v>
      </c>
      <c r="C1398" t="s">
        <v>1272</v>
      </c>
      <c r="D1398" t="s">
        <v>55</v>
      </c>
      <c r="E1398" t="s">
        <v>48</v>
      </c>
      <c r="F1398">
        <v>548</v>
      </c>
      <c r="G1398" t="s">
        <v>735</v>
      </c>
      <c r="H1398">
        <v>8</v>
      </c>
      <c r="I1398">
        <v>4</v>
      </c>
      <c r="J1398" t="s">
        <v>50</v>
      </c>
      <c r="K1398">
        <v>578</v>
      </c>
      <c r="L1398">
        <v>3</v>
      </c>
      <c r="M1398" t="s">
        <v>59</v>
      </c>
      <c r="N1398">
        <v>3</v>
      </c>
      <c r="O1398">
        <v>2</v>
      </c>
      <c r="P1398" t="s">
        <v>52</v>
      </c>
      <c r="Q1398">
        <v>3</v>
      </c>
      <c r="R1398" t="s">
        <v>53</v>
      </c>
      <c r="S1398">
        <v>39243</v>
      </c>
      <c r="T1398" t="s">
        <v>72</v>
      </c>
      <c r="U1398">
        <v>245.27</v>
      </c>
      <c r="V1398">
        <v>7</v>
      </c>
      <c r="W1398" t="s">
        <v>55</v>
      </c>
      <c r="X1398">
        <v>11</v>
      </c>
      <c r="Y1398">
        <v>3</v>
      </c>
      <c r="Z1398">
        <v>3</v>
      </c>
      <c r="AA1398">
        <v>0</v>
      </c>
      <c r="AB1398">
        <v>19</v>
      </c>
      <c r="AC1398">
        <v>3</v>
      </c>
      <c r="AD1398">
        <v>3</v>
      </c>
      <c r="AE1398">
        <v>1</v>
      </c>
      <c r="AF1398">
        <v>0</v>
      </c>
      <c r="AG1398">
        <v>0</v>
      </c>
      <c r="AH1398">
        <v>0</v>
      </c>
      <c r="AI1398">
        <f t="shared" si="147"/>
        <v>0</v>
      </c>
      <c r="AJ1398" t="str">
        <f t="shared" si="148"/>
        <v>0-1 yr</v>
      </c>
      <c r="AK1398" t="str">
        <f t="shared" si="149"/>
        <v>Recent</v>
      </c>
      <c r="AL1398">
        <f t="shared" si="150"/>
        <v>0</v>
      </c>
      <c r="AM1398" t="str">
        <f t="shared" si="151"/>
        <v>Minimal Risk</v>
      </c>
      <c r="AN1398" s="6">
        <f t="shared" si="152"/>
        <v>-0.24125007885031205</v>
      </c>
      <c r="AO1398" s="7">
        <f t="shared" si="153"/>
        <v>470916</v>
      </c>
    </row>
    <row r="1399" spans="1:41" x14ac:dyDescent="0.3">
      <c r="A1399" t="s">
        <v>1464</v>
      </c>
      <c r="B1399">
        <v>54</v>
      </c>
      <c r="C1399" t="s">
        <v>1272</v>
      </c>
      <c r="D1399" t="s">
        <v>55</v>
      </c>
      <c r="E1399" t="s">
        <v>48</v>
      </c>
      <c r="F1399">
        <v>397</v>
      </c>
      <c r="G1399" t="s">
        <v>80</v>
      </c>
      <c r="H1399">
        <v>19</v>
      </c>
      <c r="I1399">
        <v>4</v>
      </c>
      <c r="J1399" t="s">
        <v>58</v>
      </c>
      <c r="K1399">
        <v>698</v>
      </c>
      <c r="L1399">
        <v>3</v>
      </c>
      <c r="M1399" t="s">
        <v>51</v>
      </c>
      <c r="N1399">
        <v>3</v>
      </c>
      <c r="O1399">
        <v>3</v>
      </c>
      <c r="P1399" t="s">
        <v>80</v>
      </c>
      <c r="Q1399">
        <v>2</v>
      </c>
      <c r="R1399" t="s">
        <v>113</v>
      </c>
      <c r="S1399">
        <v>58384</v>
      </c>
      <c r="T1399" t="s">
        <v>64</v>
      </c>
      <c r="U1399">
        <v>364.9</v>
      </c>
      <c r="V1399">
        <v>2</v>
      </c>
      <c r="W1399" t="s">
        <v>55</v>
      </c>
      <c r="X1399">
        <v>15</v>
      </c>
      <c r="Y1399">
        <v>3</v>
      </c>
      <c r="Z1399">
        <v>3</v>
      </c>
      <c r="AA1399">
        <v>1</v>
      </c>
      <c r="AB1399">
        <v>16</v>
      </c>
      <c r="AC1399">
        <v>1</v>
      </c>
      <c r="AD1399">
        <v>4</v>
      </c>
      <c r="AE1399">
        <v>9</v>
      </c>
      <c r="AF1399">
        <v>7</v>
      </c>
      <c r="AG1399">
        <v>7</v>
      </c>
      <c r="AH1399">
        <v>1</v>
      </c>
      <c r="AI1399">
        <f t="shared" si="147"/>
        <v>0</v>
      </c>
      <c r="AJ1399" t="str">
        <f t="shared" si="148"/>
        <v>6-10 yrs</v>
      </c>
      <c r="AK1399" t="str">
        <f t="shared" si="149"/>
        <v>Overdue</v>
      </c>
      <c r="AL1399">
        <f t="shared" si="150"/>
        <v>2</v>
      </c>
      <c r="AM1399" t="str">
        <f t="shared" si="151"/>
        <v>Medium Risk</v>
      </c>
      <c r="AN1399" s="6">
        <f t="shared" si="152"/>
        <v>0.15055880001061134</v>
      </c>
      <c r="AO1399" s="7">
        <f t="shared" si="153"/>
        <v>700608</v>
      </c>
    </row>
    <row r="1400" spans="1:41" x14ac:dyDescent="0.3">
      <c r="A1400" t="s">
        <v>1465</v>
      </c>
      <c r="B1400">
        <v>54</v>
      </c>
      <c r="C1400" t="s">
        <v>1272</v>
      </c>
      <c r="D1400" t="s">
        <v>55</v>
      </c>
      <c r="E1400" t="s">
        <v>48</v>
      </c>
      <c r="F1400">
        <v>376</v>
      </c>
      <c r="G1400" t="s">
        <v>735</v>
      </c>
      <c r="H1400">
        <v>19</v>
      </c>
      <c r="I1400">
        <v>4</v>
      </c>
      <c r="J1400" t="s">
        <v>58</v>
      </c>
      <c r="K1400">
        <v>799</v>
      </c>
      <c r="L1400">
        <v>4</v>
      </c>
      <c r="M1400" t="s">
        <v>59</v>
      </c>
      <c r="N1400">
        <v>3</v>
      </c>
      <c r="O1400">
        <v>2</v>
      </c>
      <c r="P1400" t="s">
        <v>120</v>
      </c>
      <c r="Q1400">
        <v>1</v>
      </c>
      <c r="R1400" t="s">
        <v>113</v>
      </c>
      <c r="S1400">
        <v>32653</v>
      </c>
      <c r="T1400" t="s">
        <v>72</v>
      </c>
      <c r="U1400">
        <v>204.08</v>
      </c>
      <c r="V1400">
        <v>9</v>
      </c>
      <c r="W1400" t="s">
        <v>47</v>
      </c>
      <c r="X1400">
        <v>11</v>
      </c>
      <c r="Y1400">
        <v>3</v>
      </c>
      <c r="Z1400">
        <v>2</v>
      </c>
      <c r="AA1400">
        <v>2</v>
      </c>
      <c r="AB1400">
        <v>9</v>
      </c>
      <c r="AC1400">
        <v>4</v>
      </c>
      <c r="AD1400">
        <v>3</v>
      </c>
      <c r="AE1400">
        <v>5</v>
      </c>
      <c r="AF1400">
        <v>3</v>
      </c>
      <c r="AG1400">
        <v>1</v>
      </c>
      <c r="AH1400">
        <v>4</v>
      </c>
      <c r="AI1400">
        <f t="shared" si="147"/>
        <v>0</v>
      </c>
      <c r="AJ1400" t="str">
        <f t="shared" si="148"/>
        <v>4-5 yrs</v>
      </c>
      <c r="AK1400" t="str">
        <f t="shared" si="149"/>
        <v>Recent</v>
      </c>
      <c r="AL1400">
        <f t="shared" si="150"/>
        <v>2</v>
      </c>
      <c r="AM1400" t="str">
        <f t="shared" si="151"/>
        <v>Medium Risk</v>
      </c>
      <c r="AN1400" s="6">
        <f t="shared" si="152"/>
        <v>-0.26283434710262799</v>
      </c>
      <c r="AO1400" s="7">
        <f t="shared" si="153"/>
        <v>391836</v>
      </c>
    </row>
    <row r="1401" spans="1:41" x14ac:dyDescent="0.3">
      <c r="A1401" t="s">
        <v>1466</v>
      </c>
      <c r="B1401">
        <v>54</v>
      </c>
      <c r="C1401" t="s">
        <v>1272</v>
      </c>
      <c r="D1401" t="s">
        <v>55</v>
      </c>
      <c r="E1401" t="s">
        <v>48</v>
      </c>
      <c r="F1401">
        <v>1441</v>
      </c>
      <c r="G1401" t="s">
        <v>735</v>
      </c>
      <c r="H1401">
        <v>17</v>
      </c>
      <c r="I1401">
        <v>3</v>
      </c>
      <c r="J1401" t="s">
        <v>77</v>
      </c>
      <c r="K1401">
        <v>1013</v>
      </c>
      <c r="L1401">
        <v>3</v>
      </c>
      <c r="M1401" t="s">
        <v>59</v>
      </c>
      <c r="N1401">
        <v>3</v>
      </c>
      <c r="O1401">
        <v>3</v>
      </c>
      <c r="P1401" t="s">
        <v>120</v>
      </c>
      <c r="Q1401">
        <v>3</v>
      </c>
      <c r="R1401" t="s">
        <v>113</v>
      </c>
      <c r="S1401">
        <v>27657</v>
      </c>
      <c r="T1401" t="s">
        <v>72</v>
      </c>
      <c r="U1401">
        <v>172.86</v>
      </c>
      <c r="V1401">
        <v>8</v>
      </c>
      <c r="W1401" t="s">
        <v>55</v>
      </c>
      <c r="X1401">
        <v>11</v>
      </c>
      <c r="Y1401">
        <v>3</v>
      </c>
      <c r="Z1401">
        <v>3</v>
      </c>
      <c r="AA1401">
        <v>1</v>
      </c>
      <c r="AB1401">
        <v>22</v>
      </c>
      <c r="AC1401">
        <v>2</v>
      </c>
      <c r="AD1401">
        <v>3</v>
      </c>
      <c r="AE1401">
        <v>10</v>
      </c>
      <c r="AF1401">
        <v>7</v>
      </c>
      <c r="AG1401">
        <v>0</v>
      </c>
      <c r="AH1401">
        <v>8</v>
      </c>
      <c r="AI1401">
        <f t="shared" si="147"/>
        <v>0</v>
      </c>
      <c r="AJ1401" t="str">
        <f t="shared" si="148"/>
        <v>6-10 yrs</v>
      </c>
      <c r="AK1401" t="str">
        <f t="shared" si="149"/>
        <v>Recent</v>
      </c>
      <c r="AL1401">
        <f t="shared" si="150"/>
        <v>0</v>
      </c>
      <c r="AM1401" t="str">
        <f t="shared" si="151"/>
        <v>Minimal Risk</v>
      </c>
      <c r="AN1401" s="6">
        <f t="shared" si="152"/>
        <v>-0.37562274638830678</v>
      </c>
      <c r="AO1401" s="7">
        <f t="shared" si="153"/>
        <v>331884</v>
      </c>
    </row>
    <row r="1402" spans="1:41" x14ac:dyDescent="0.3">
      <c r="A1402" t="s">
        <v>1467</v>
      </c>
      <c r="B1402">
        <v>54</v>
      </c>
      <c r="C1402" t="s">
        <v>1272</v>
      </c>
      <c r="D1402" t="s">
        <v>55</v>
      </c>
      <c r="E1402" t="s">
        <v>48</v>
      </c>
      <c r="F1402">
        <v>1082</v>
      </c>
      <c r="G1402" t="s">
        <v>932</v>
      </c>
      <c r="H1402">
        <v>2</v>
      </c>
      <c r="I1402">
        <v>4</v>
      </c>
      <c r="J1402" t="s">
        <v>50</v>
      </c>
      <c r="K1402">
        <v>1070</v>
      </c>
      <c r="L1402">
        <v>3</v>
      </c>
      <c r="M1402" t="s">
        <v>59</v>
      </c>
      <c r="N1402">
        <v>2</v>
      </c>
      <c r="O1402">
        <v>3</v>
      </c>
      <c r="P1402" t="s">
        <v>145</v>
      </c>
      <c r="Q1402">
        <v>3</v>
      </c>
      <c r="R1402" t="s">
        <v>113</v>
      </c>
      <c r="S1402">
        <v>40952</v>
      </c>
      <c r="T1402" t="s">
        <v>72</v>
      </c>
      <c r="U1402">
        <v>255.95</v>
      </c>
      <c r="V1402">
        <v>6</v>
      </c>
      <c r="W1402" t="s">
        <v>55</v>
      </c>
      <c r="X1402">
        <v>11</v>
      </c>
      <c r="Y1402">
        <v>3</v>
      </c>
      <c r="Z1402">
        <v>2</v>
      </c>
      <c r="AA1402">
        <v>1</v>
      </c>
      <c r="AB1402">
        <v>13</v>
      </c>
      <c r="AC1402">
        <v>4</v>
      </c>
      <c r="AD1402">
        <v>3</v>
      </c>
      <c r="AE1402">
        <v>9</v>
      </c>
      <c r="AF1402">
        <v>4</v>
      </c>
      <c r="AG1402">
        <v>7</v>
      </c>
      <c r="AH1402">
        <v>0</v>
      </c>
      <c r="AI1402">
        <f t="shared" si="147"/>
        <v>0</v>
      </c>
      <c r="AJ1402" t="str">
        <f t="shared" si="148"/>
        <v>6-10 yrs</v>
      </c>
      <c r="AK1402" t="str">
        <f t="shared" si="149"/>
        <v>Overdue</v>
      </c>
      <c r="AL1402">
        <f t="shared" si="150"/>
        <v>1</v>
      </c>
      <c r="AM1402" t="str">
        <f t="shared" si="151"/>
        <v>Low Risk</v>
      </c>
      <c r="AN1402" s="6">
        <f t="shared" si="152"/>
        <v>-0.16523247232106528</v>
      </c>
      <c r="AO1402" s="7">
        <f t="shared" si="153"/>
        <v>491424</v>
      </c>
    </row>
    <row r="1403" spans="1:41" x14ac:dyDescent="0.3">
      <c r="A1403" t="s">
        <v>1468</v>
      </c>
      <c r="B1403">
        <v>54</v>
      </c>
      <c r="C1403" t="s">
        <v>1272</v>
      </c>
      <c r="D1403" t="s">
        <v>55</v>
      </c>
      <c r="E1403" t="s">
        <v>62</v>
      </c>
      <c r="F1403">
        <v>966</v>
      </c>
      <c r="G1403" t="s">
        <v>735</v>
      </c>
      <c r="H1403">
        <v>1</v>
      </c>
      <c r="I1403">
        <v>4</v>
      </c>
      <c r="J1403" t="s">
        <v>50</v>
      </c>
      <c r="K1403">
        <v>1245</v>
      </c>
      <c r="L1403">
        <v>4</v>
      </c>
      <c r="M1403" t="s">
        <v>59</v>
      </c>
      <c r="N1403">
        <v>3</v>
      </c>
      <c r="O1403">
        <v>3</v>
      </c>
      <c r="P1403" t="s">
        <v>120</v>
      </c>
      <c r="Q1403">
        <v>3</v>
      </c>
      <c r="R1403" t="s">
        <v>53</v>
      </c>
      <c r="S1403">
        <v>23180</v>
      </c>
      <c r="T1403" t="s">
        <v>54</v>
      </c>
      <c r="U1403">
        <v>144.88</v>
      </c>
      <c r="V1403">
        <v>7</v>
      </c>
      <c r="W1403" t="s">
        <v>55</v>
      </c>
      <c r="X1403">
        <v>17</v>
      </c>
      <c r="Y1403">
        <v>3</v>
      </c>
      <c r="Z1403">
        <v>1</v>
      </c>
      <c r="AA1403">
        <v>1</v>
      </c>
      <c r="AB1403">
        <v>33</v>
      </c>
      <c r="AC1403">
        <v>2</v>
      </c>
      <c r="AD1403">
        <v>1</v>
      </c>
      <c r="AE1403">
        <v>5</v>
      </c>
      <c r="AF1403">
        <v>4</v>
      </c>
      <c r="AG1403">
        <v>1</v>
      </c>
      <c r="AH1403">
        <v>4</v>
      </c>
      <c r="AI1403">
        <f t="shared" si="147"/>
        <v>0</v>
      </c>
      <c r="AJ1403" t="str">
        <f t="shared" si="148"/>
        <v>4-5 yrs</v>
      </c>
      <c r="AK1403" t="str">
        <f t="shared" si="149"/>
        <v>Recent</v>
      </c>
      <c r="AL1403">
        <f t="shared" si="150"/>
        <v>1</v>
      </c>
      <c r="AM1403" t="str">
        <f t="shared" si="151"/>
        <v>Low Risk</v>
      </c>
      <c r="AN1403" s="6">
        <f t="shared" si="152"/>
        <v>-0.47669433638069753</v>
      </c>
      <c r="AO1403" s="7">
        <f t="shared" si="153"/>
        <v>278160</v>
      </c>
    </row>
    <row r="1404" spans="1:41" x14ac:dyDescent="0.3">
      <c r="A1404" t="s">
        <v>1469</v>
      </c>
      <c r="B1404">
        <v>54</v>
      </c>
      <c r="C1404" t="s">
        <v>1272</v>
      </c>
      <c r="D1404" t="s">
        <v>55</v>
      </c>
      <c r="E1404" t="s">
        <v>48</v>
      </c>
      <c r="F1404">
        <v>685</v>
      </c>
      <c r="G1404" t="s">
        <v>735</v>
      </c>
      <c r="H1404">
        <v>3</v>
      </c>
      <c r="I1404">
        <v>3</v>
      </c>
      <c r="J1404" t="s">
        <v>50</v>
      </c>
      <c r="K1404">
        <v>1250</v>
      </c>
      <c r="L1404">
        <v>4</v>
      </c>
      <c r="M1404" t="s">
        <v>51</v>
      </c>
      <c r="N1404">
        <v>3</v>
      </c>
      <c r="O1404">
        <v>4</v>
      </c>
      <c r="P1404" t="s">
        <v>257</v>
      </c>
      <c r="Q1404">
        <v>4</v>
      </c>
      <c r="R1404" t="s">
        <v>113</v>
      </c>
      <c r="S1404">
        <v>98432</v>
      </c>
      <c r="T1404" t="s">
        <v>70</v>
      </c>
      <c r="U1404">
        <v>615.20000000000005</v>
      </c>
      <c r="V1404">
        <v>3</v>
      </c>
      <c r="W1404" t="s">
        <v>55</v>
      </c>
      <c r="X1404">
        <v>14</v>
      </c>
      <c r="Y1404">
        <v>3</v>
      </c>
      <c r="Z1404">
        <v>1</v>
      </c>
      <c r="AA1404">
        <v>0</v>
      </c>
      <c r="AB1404">
        <v>36</v>
      </c>
      <c r="AC1404">
        <v>2</v>
      </c>
      <c r="AD1404">
        <v>3</v>
      </c>
      <c r="AE1404">
        <v>10</v>
      </c>
      <c r="AF1404">
        <v>9</v>
      </c>
      <c r="AG1404">
        <v>0</v>
      </c>
      <c r="AH1404">
        <v>9</v>
      </c>
      <c r="AI1404">
        <f t="shared" si="147"/>
        <v>0</v>
      </c>
      <c r="AJ1404" t="str">
        <f t="shared" si="148"/>
        <v>6-10 yrs</v>
      </c>
      <c r="AK1404" t="str">
        <f t="shared" si="149"/>
        <v>Recent</v>
      </c>
      <c r="AL1404">
        <f t="shared" si="150"/>
        <v>0</v>
      </c>
      <c r="AM1404" t="str">
        <f t="shared" si="151"/>
        <v>Minimal Risk</v>
      </c>
      <c r="AN1404" s="6">
        <f t="shared" si="152"/>
        <v>0.94287456890447341</v>
      </c>
      <c r="AO1404" s="7">
        <f t="shared" si="153"/>
        <v>1181184</v>
      </c>
    </row>
    <row r="1405" spans="1:41" x14ac:dyDescent="0.3">
      <c r="A1405" t="s">
        <v>1470</v>
      </c>
      <c r="B1405">
        <v>54</v>
      </c>
      <c r="C1405" t="s">
        <v>1272</v>
      </c>
      <c r="D1405" t="s">
        <v>55</v>
      </c>
      <c r="E1405" t="s">
        <v>48</v>
      </c>
      <c r="F1405">
        <v>971</v>
      </c>
      <c r="G1405" t="s">
        <v>735</v>
      </c>
      <c r="H1405">
        <v>1</v>
      </c>
      <c r="I1405">
        <v>3</v>
      </c>
      <c r="J1405" t="s">
        <v>58</v>
      </c>
      <c r="K1405">
        <v>1422</v>
      </c>
      <c r="L1405">
        <v>4</v>
      </c>
      <c r="M1405" t="s">
        <v>59</v>
      </c>
      <c r="N1405">
        <v>3</v>
      </c>
      <c r="O1405">
        <v>4</v>
      </c>
      <c r="P1405" t="s">
        <v>257</v>
      </c>
      <c r="Q1405">
        <v>4</v>
      </c>
      <c r="R1405" t="s">
        <v>53</v>
      </c>
      <c r="S1405">
        <v>79411</v>
      </c>
      <c r="T1405" t="s">
        <v>64</v>
      </c>
      <c r="U1405">
        <v>496.32</v>
      </c>
      <c r="V1405">
        <v>6</v>
      </c>
      <c r="W1405" t="s">
        <v>55</v>
      </c>
      <c r="X1405">
        <v>19</v>
      </c>
      <c r="Y1405">
        <v>3</v>
      </c>
      <c r="Z1405">
        <v>4</v>
      </c>
      <c r="AA1405">
        <v>0</v>
      </c>
      <c r="AB1405">
        <v>29</v>
      </c>
      <c r="AC1405">
        <v>3</v>
      </c>
      <c r="AD1405">
        <v>2</v>
      </c>
      <c r="AE1405">
        <v>20</v>
      </c>
      <c r="AF1405">
        <v>7</v>
      </c>
      <c r="AG1405">
        <v>12</v>
      </c>
      <c r="AH1405">
        <v>7</v>
      </c>
      <c r="AI1405">
        <f t="shared" si="147"/>
        <v>0</v>
      </c>
      <c r="AJ1405" t="str">
        <f t="shared" si="148"/>
        <v>10+ yrs</v>
      </c>
      <c r="AK1405" t="str">
        <f t="shared" si="149"/>
        <v>Overdue</v>
      </c>
      <c r="AL1405">
        <f t="shared" si="150"/>
        <v>2</v>
      </c>
      <c r="AM1405" t="str">
        <f t="shared" si="151"/>
        <v>Medium Risk</v>
      </c>
      <c r="AN1405" s="6">
        <f t="shared" si="152"/>
        <v>0.56743348089313572</v>
      </c>
      <c r="AO1405" s="7">
        <f t="shared" si="153"/>
        <v>952932</v>
      </c>
    </row>
    <row r="1406" spans="1:41" x14ac:dyDescent="0.3">
      <c r="A1406" t="s">
        <v>1471</v>
      </c>
      <c r="B1406">
        <v>54</v>
      </c>
      <c r="C1406" t="s">
        <v>1272</v>
      </c>
      <c r="D1406" t="s">
        <v>55</v>
      </c>
      <c r="E1406" t="s">
        <v>62</v>
      </c>
      <c r="F1406">
        <v>1050</v>
      </c>
      <c r="G1406" t="s">
        <v>735</v>
      </c>
      <c r="H1406">
        <v>11</v>
      </c>
      <c r="I1406">
        <v>4</v>
      </c>
      <c r="J1406" t="s">
        <v>58</v>
      </c>
      <c r="K1406">
        <v>1520</v>
      </c>
      <c r="L1406">
        <v>2</v>
      </c>
      <c r="M1406" t="s">
        <v>59</v>
      </c>
      <c r="N1406">
        <v>3</v>
      </c>
      <c r="O1406">
        <v>4</v>
      </c>
      <c r="P1406" t="s">
        <v>444</v>
      </c>
      <c r="Q1406">
        <v>4</v>
      </c>
      <c r="R1406" t="s">
        <v>53</v>
      </c>
      <c r="S1406">
        <v>2622</v>
      </c>
      <c r="T1406" t="s">
        <v>54</v>
      </c>
      <c r="U1406">
        <v>16.39</v>
      </c>
      <c r="V1406">
        <v>3</v>
      </c>
      <c r="W1406" t="s">
        <v>55</v>
      </c>
      <c r="X1406">
        <v>20</v>
      </c>
      <c r="Y1406">
        <v>4</v>
      </c>
      <c r="Z1406">
        <v>1</v>
      </c>
      <c r="AA1406">
        <v>1</v>
      </c>
      <c r="AB1406">
        <v>26</v>
      </c>
      <c r="AC1406">
        <v>2</v>
      </c>
      <c r="AD1406">
        <v>3</v>
      </c>
      <c r="AE1406">
        <v>14</v>
      </c>
      <c r="AF1406">
        <v>9</v>
      </c>
      <c r="AG1406">
        <v>1</v>
      </c>
      <c r="AH1406">
        <v>12</v>
      </c>
      <c r="AI1406">
        <f t="shared" si="147"/>
        <v>0</v>
      </c>
      <c r="AJ1406" t="str">
        <f t="shared" si="148"/>
        <v>10+ yrs</v>
      </c>
      <c r="AK1406" t="str">
        <f t="shared" si="149"/>
        <v>Recent</v>
      </c>
      <c r="AL1406">
        <f t="shared" si="150"/>
        <v>0</v>
      </c>
      <c r="AM1406" t="str">
        <f t="shared" si="151"/>
        <v>Minimal Risk</v>
      </c>
      <c r="AN1406" s="6">
        <f t="shared" si="152"/>
        <v>-0.9497684922584082</v>
      </c>
      <c r="AO1406" s="7">
        <f t="shared" si="153"/>
        <v>31464</v>
      </c>
    </row>
    <row r="1407" spans="1:41" x14ac:dyDescent="0.3">
      <c r="A1407" t="s">
        <v>1472</v>
      </c>
      <c r="B1407">
        <v>54</v>
      </c>
      <c r="C1407" t="s">
        <v>1272</v>
      </c>
      <c r="D1407" t="s">
        <v>55</v>
      </c>
      <c r="E1407" t="s">
        <v>48</v>
      </c>
      <c r="F1407">
        <v>584</v>
      </c>
      <c r="G1407" t="s">
        <v>735</v>
      </c>
      <c r="H1407">
        <v>22</v>
      </c>
      <c r="I1407">
        <v>5</v>
      </c>
      <c r="J1407" t="s">
        <v>58</v>
      </c>
      <c r="K1407">
        <v>1665</v>
      </c>
      <c r="L1407">
        <v>2</v>
      </c>
      <c r="M1407" t="s">
        <v>59</v>
      </c>
      <c r="N1407">
        <v>3</v>
      </c>
      <c r="O1407">
        <v>4</v>
      </c>
      <c r="P1407" t="s">
        <v>444</v>
      </c>
      <c r="Q1407">
        <v>3</v>
      </c>
      <c r="R1407" t="s">
        <v>113</v>
      </c>
      <c r="S1407">
        <v>49756</v>
      </c>
      <c r="T1407" t="s">
        <v>72</v>
      </c>
      <c r="U1407">
        <v>310.98</v>
      </c>
      <c r="V1407">
        <v>3</v>
      </c>
      <c r="W1407" t="s">
        <v>55</v>
      </c>
      <c r="X1407">
        <v>25</v>
      </c>
      <c r="Y1407">
        <v>4</v>
      </c>
      <c r="Z1407">
        <v>3</v>
      </c>
      <c r="AA1407">
        <v>1</v>
      </c>
      <c r="AB1407">
        <v>36</v>
      </c>
      <c r="AC1407">
        <v>6</v>
      </c>
      <c r="AD1407">
        <v>3</v>
      </c>
      <c r="AE1407">
        <v>10</v>
      </c>
      <c r="AF1407">
        <v>8</v>
      </c>
      <c r="AG1407">
        <v>4</v>
      </c>
      <c r="AH1407">
        <v>7</v>
      </c>
      <c r="AI1407">
        <f t="shared" si="147"/>
        <v>0</v>
      </c>
      <c r="AJ1407" t="str">
        <f t="shared" si="148"/>
        <v>6-10 yrs</v>
      </c>
      <c r="AK1407" t="str">
        <f t="shared" si="149"/>
        <v>Overdue</v>
      </c>
      <c r="AL1407">
        <f t="shared" si="150"/>
        <v>1</v>
      </c>
      <c r="AM1407" t="str">
        <f t="shared" si="151"/>
        <v>Low Risk</v>
      </c>
      <c r="AN1407" s="6">
        <f t="shared" si="152"/>
        <v>-4.678913074346177E-2</v>
      </c>
      <c r="AO1407" s="7">
        <f t="shared" si="153"/>
        <v>597072</v>
      </c>
    </row>
    <row r="1408" spans="1:41" x14ac:dyDescent="0.3">
      <c r="A1408" t="s">
        <v>1473</v>
      </c>
      <c r="B1408">
        <v>54</v>
      </c>
      <c r="C1408" t="s">
        <v>1272</v>
      </c>
      <c r="D1408" t="s">
        <v>55</v>
      </c>
      <c r="E1408" t="s">
        <v>48</v>
      </c>
      <c r="F1408">
        <v>431</v>
      </c>
      <c r="G1408" t="s">
        <v>735</v>
      </c>
      <c r="H1408">
        <v>7</v>
      </c>
      <c r="I1408">
        <v>4</v>
      </c>
      <c r="J1408" t="s">
        <v>58</v>
      </c>
      <c r="K1408">
        <v>1830</v>
      </c>
      <c r="L1408">
        <v>4</v>
      </c>
      <c r="M1408" t="s">
        <v>59</v>
      </c>
      <c r="N1408">
        <v>3</v>
      </c>
      <c r="O1408">
        <v>2</v>
      </c>
      <c r="P1408" t="s">
        <v>67</v>
      </c>
      <c r="Q1408">
        <v>4</v>
      </c>
      <c r="R1408" t="s">
        <v>113</v>
      </c>
      <c r="S1408">
        <v>41809</v>
      </c>
      <c r="T1408" t="s">
        <v>72</v>
      </c>
      <c r="U1408">
        <v>261.31</v>
      </c>
      <c r="V1408">
        <v>4</v>
      </c>
      <c r="W1408" t="s">
        <v>55</v>
      </c>
      <c r="X1408">
        <v>15</v>
      </c>
      <c r="Y1408">
        <v>3</v>
      </c>
      <c r="Z1408">
        <v>2</v>
      </c>
      <c r="AA1408">
        <v>1</v>
      </c>
      <c r="AB1408">
        <v>14</v>
      </c>
      <c r="AC1408">
        <v>2</v>
      </c>
      <c r="AD1408">
        <v>2</v>
      </c>
      <c r="AE1408">
        <v>7</v>
      </c>
      <c r="AF1408">
        <v>1</v>
      </c>
      <c r="AG1408">
        <v>1</v>
      </c>
      <c r="AH1408">
        <v>7</v>
      </c>
      <c r="AI1408">
        <f t="shared" si="147"/>
        <v>0</v>
      </c>
      <c r="AJ1408" t="str">
        <f t="shared" si="148"/>
        <v>6-10 yrs</v>
      </c>
      <c r="AK1408" t="str">
        <f t="shared" si="149"/>
        <v>Recent</v>
      </c>
      <c r="AL1408">
        <f t="shared" si="150"/>
        <v>1</v>
      </c>
      <c r="AM1408" t="str">
        <f t="shared" si="151"/>
        <v>Low Risk</v>
      </c>
      <c r="AN1408" s="6">
        <f t="shared" si="152"/>
        <v>-0.16157473720751711</v>
      </c>
      <c r="AO1408" s="7">
        <f t="shared" si="153"/>
        <v>501708</v>
      </c>
    </row>
    <row r="1409" spans="1:41" x14ac:dyDescent="0.3">
      <c r="A1409" t="s">
        <v>1474</v>
      </c>
      <c r="B1409">
        <v>54</v>
      </c>
      <c r="C1409" t="s">
        <v>1272</v>
      </c>
      <c r="D1409" t="s">
        <v>55</v>
      </c>
      <c r="E1409" t="s">
        <v>48</v>
      </c>
      <c r="F1409">
        <v>155</v>
      </c>
      <c r="G1409" t="s">
        <v>735</v>
      </c>
      <c r="H1409">
        <v>9</v>
      </c>
      <c r="I1409">
        <v>2</v>
      </c>
      <c r="J1409" t="s">
        <v>50</v>
      </c>
      <c r="K1409">
        <v>1969</v>
      </c>
      <c r="L1409">
        <v>1</v>
      </c>
      <c r="M1409" t="s">
        <v>59</v>
      </c>
      <c r="N1409">
        <v>3</v>
      </c>
      <c r="O1409">
        <v>2</v>
      </c>
      <c r="P1409" t="s">
        <v>67</v>
      </c>
      <c r="Q1409">
        <v>3</v>
      </c>
      <c r="R1409" t="s">
        <v>113</v>
      </c>
      <c r="S1409">
        <v>17725</v>
      </c>
      <c r="T1409" t="s">
        <v>54</v>
      </c>
      <c r="U1409">
        <v>110.78</v>
      </c>
      <c r="V1409">
        <v>3</v>
      </c>
      <c r="W1409" t="s">
        <v>55</v>
      </c>
      <c r="X1409">
        <v>11</v>
      </c>
      <c r="Y1409">
        <v>3</v>
      </c>
      <c r="Z1409">
        <v>3</v>
      </c>
      <c r="AA1409">
        <v>2</v>
      </c>
      <c r="AB1409">
        <v>9</v>
      </c>
      <c r="AC1409">
        <v>6</v>
      </c>
      <c r="AD1409">
        <v>2</v>
      </c>
      <c r="AE1409">
        <v>4</v>
      </c>
      <c r="AF1409">
        <v>3</v>
      </c>
      <c r="AG1409">
        <v>2</v>
      </c>
      <c r="AH1409">
        <v>3</v>
      </c>
      <c r="AI1409">
        <f t="shared" si="147"/>
        <v>0</v>
      </c>
      <c r="AJ1409" t="str">
        <f t="shared" si="148"/>
        <v>4-5 yrs</v>
      </c>
      <c r="AK1409" t="str">
        <f t="shared" si="149"/>
        <v>Recent</v>
      </c>
      <c r="AL1409">
        <f t="shared" si="150"/>
        <v>1</v>
      </c>
      <c r="AM1409" t="str">
        <f t="shared" si="151"/>
        <v>Low Risk</v>
      </c>
      <c r="AN1409" s="6">
        <f t="shared" si="152"/>
        <v>-0.64454811684094915</v>
      </c>
      <c r="AO1409" s="7">
        <f t="shared" si="153"/>
        <v>212700</v>
      </c>
    </row>
    <row r="1410" spans="1:41" x14ac:dyDescent="0.3">
      <c r="A1410" t="s">
        <v>1475</v>
      </c>
      <c r="B1410">
        <v>54</v>
      </c>
      <c r="C1410" t="s">
        <v>1272</v>
      </c>
      <c r="D1410" t="s">
        <v>55</v>
      </c>
      <c r="E1410" t="s">
        <v>48</v>
      </c>
      <c r="F1410">
        <v>157</v>
      </c>
      <c r="G1410" t="s">
        <v>735</v>
      </c>
      <c r="H1410">
        <v>10</v>
      </c>
      <c r="I1410">
        <v>3</v>
      </c>
      <c r="J1410" t="s">
        <v>58</v>
      </c>
      <c r="K1410">
        <v>1980</v>
      </c>
      <c r="L1410">
        <v>3</v>
      </c>
      <c r="M1410" t="s">
        <v>59</v>
      </c>
      <c r="N1410">
        <v>3</v>
      </c>
      <c r="O1410">
        <v>2</v>
      </c>
      <c r="P1410" t="s">
        <v>120</v>
      </c>
      <c r="Q1410">
        <v>1</v>
      </c>
      <c r="R1410" t="s">
        <v>53</v>
      </c>
      <c r="S1410">
        <v>62396</v>
      </c>
      <c r="T1410" t="s">
        <v>64</v>
      </c>
      <c r="U1410">
        <v>389.98</v>
      </c>
      <c r="V1410">
        <v>6</v>
      </c>
      <c r="W1410" t="s">
        <v>47</v>
      </c>
      <c r="X1410">
        <v>19</v>
      </c>
      <c r="Y1410">
        <v>3</v>
      </c>
      <c r="Z1410">
        <v>4</v>
      </c>
      <c r="AA1410">
        <v>0</v>
      </c>
      <c r="AB1410">
        <v>9</v>
      </c>
      <c r="AC1410">
        <v>3</v>
      </c>
      <c r="AD1410">
        <v>3</v>
      </c>
      <c r="AE1410">
        <v>5</v>
      </c>
      <c r="AF1410">
        <v>2</v>
      </c>
      <c r="AG1410">
        <v>1</v>
      </c>
      <c r="AH1410">
        <v>4</v>
      </c>
      <c r="AI1410">
        <f t="shared" ref="AI1410:AI1473" si="154">IF(D1410="Yes",1,0)</f>
        <v>0</v>
      </c>
      <c r="AJ1410" t="str">
        <f t="shared" ref="AJ1410:AJ1473" si="155">IF(AE1410&lt;=1,"0-1 yr",IF(AE1410&lt;=3,"2-3 yrs",IF(AE1410&lt;=5,"4-5 yrs",IF(AE1410&lt;=10,"6-10 yrs","10+ yrs"))))</f>
        <v>4-5 yrs</v>
      </c>
      <c r="AK1410" t="str">
        <f t="shared" ref="AK1410:AK1473" si="156">IF(AG1410&gt;=3,"Overdue","Recent")</f>
        <v>Recent</v>
      </c>
      <c r="AL1410">
        <f t="shared" ref="AL1410:AL1473" si="157">IF(W1410="Yes",1,0)+IF(AD1410&lt;=2,1,0)+IF(Q1410&lt;=2,1,0)+IF(AG1410&gt;=3,1,0)</f>
        <v>2</v>
      </c>
      <c r="AM1410" t="str">
        <f t="shared" ref="AM1410:AM1473" si="158">IF(AL1410&gt;=3,"High Risk",IF(AL1410=2,"Medium Risk",IF(AL1410=1,"Low Risk","Minimal Risk")))</f>
        <v>Medium Risk</v>
      </c>
      <c r="AN1410" s="6">
        <f t="shared" ref="AN1410:AN1473" si="159">IFERROR((S1410-AVERAGEIF(P$2:P$1479,P1410,S$2:S$1479))/AVERAGEIF(P$2:P$1479,P1410,S$2:S$1479),0)</f>
        <v>0.40863590108671255</v>
      </c>
      <c r="AO1410" s="7">
        <f t="shared" ref="AO1410:AO1473" si="160">S1410*12</f>
        <v>748752</v>
      </c>
    </row>
    <row r="1411" spans="1:41" x14ac:dyDescent="0.3">
      <c r="A1411" t="s">
        <v>1476</v>
      </c>
      <c r="B1411">
        <v>55</v>
      </c>
      <c r="C1411" t="s">
        <v>1272</v>
      </c>
      <c r="D1411" t="s">
        <v>55</v>
      </c>
      <c r="E1411" t="s">
        <v>48</v>
      </c>
      <c r="F1411">
        <v>836</v>
      </c>
      <c r="G1411" t="s">
        <v>735</v>
      </c>
      <c r="H1411">
        <v>8</v>
      </c>
      <c r="I1411">
        <v>3</v>
      </c>
      <c r="J1411" t="s">
        <v>58</v>
      </c>
      <c r="K1411">
        <v>84</v>
      </c>
      <c r="L1411">
        <v>4</v>
      </c>
      <c r="M1411" t="s">
        <v>59</v>
      </c>
      <c r="N1411">
        <v>3</v>
      </c>
      <c r="O1411">
        <v>4</v>
      </c>
      <c r="P1411" t="s">
        <v>444</v>
      </c>
      <c r="Q1411">
        <v>3</v>
      </c>
      <c r="R1411" t="s">
        <v>113</v>
      </c>
      <c r="S1411">
        <v>52226</v>
      </c>
      <c r="T1411" t="s">
        <v>64</v>
      </c>
      <c r="U1411">
        <v>326.41000000000003</v>
      </c>
      <c r="V1411">
        <v>2</v>
      </c>
      <c r="W1411" t="s">
        <v>47</v>
      </c>
      <c r="X1411">
        <v>14</v>
      </c>
      <c r="Y1411">
        <v>3</v>
      </c>
      <c r="Z1411">
        <v>3</v>
      </c>
      <c r="AA1411">
        <v>3</v>
      </c>
      <c r="AB1411">
        <v>21</v>
      </c>
      <c r="AC1411">
        <v>2</v>
      </c>
      <c r="AD1411">
        <v>3</v>
      </c>
      <c r="AE1411">
        <v>5</v>
      </c>
      <c r="AF1411">
        <v>0</v>
      </c>
      <c r="AG1411">
        <v>0</v>
      </c>
      <c r="AH1411">
        <v>2</v>
      </c>
      <c r="AI1411">
        <f t="shared" si="154"/>
        <v>0</v>
      </c>
      <c r="AJ1411" t="str">
        <f t="shared" si="155"/>
        <v>4-5 yrs</v>
      </c>
      <c r="AK1411" t="str">
        <f t="shared" si="156"/>
        <v>Recent</v>
      </c>
      <c r="AL1411">
        <f t="shared" si="157"/>
        <v>1</v>
      </c>
      <c r="AM1411" t="str">
        <f t="shared" si="158"/>
        <v>Low Risk</v>
      </c>
      <c r="AN1411" s="6">
        <f t="shared" si="159"/>
        <v>5.304055348493771E-4</v>
      </c>
      <c r="AO1411" s="7">
        <f t="shared" si="160"/>
        <v>626712</v>
      </c>
    </row>
    <row r="1412" spans="1:41" x14ac:dyDescent="0.3">
      <c r="A1412" t="s">
        <v>1477</v>
      </c>
      <c r="B1412">
        <v>55</v>
      </c>
      <c r="C1412" t="s">
        <v>1272</v>
      </c>
      <c r="D1412" t="s">
        <v>55</v>
      </c>
      <c r="E1412" t="s">
        <v>48</v>
      </c>
      <c r="F1412">
        <v>111</v>
      </c>
      <c r="G1412" t="s">
        <v>932</v>
      </c>
      <c r="H1412">
        <v>1</v>
      </c>
      <c r="I1412">
        <v>2</v>
      </c>
      <c r="J1412" t="s">
        <v>50</v>
      </c>
      <c r="K1412">
        <v>106</v>
      </c>
      <c r="L1412">
        <v>1</v>
      </c>
      <c r="M1412" t="s">
        <v>51</v>
      </c>
      <c r="N1412">
        <v>3</v>
      </c>
      <c r="O1412">
        <v>3</v>
      </c>
      <c r="P1412" t="s">
        <v>145</v>
      </c>
      <c r="Q1412">
        <v>4</v>
      </c>
      <c r="R1412" t="s">
        <v>113</v>
      </c>
      <c r="S1412">
        <v>82182</v>
      </c>
      <c r="T1412" t="s">
        <v>64</v>
      </c>
      <c r="U1412">
        <v>513.64</v>
      </c>
      <c r="V1412">
        <v>3</v>
      </c>
      <c r="W1412" t="s">
        <v>55</v>
      </c>
      <c r="X1412">
        <v>14</v>
      </c>
      <c r="Y1412">
        <v>3</v>
      </c>
      <c r="Z1412">
        <v>4</v>
      </c>
      <c r="AA1412">
        <v>1</v>
      </c>
      <c r="AB1412">
        <v>24</v>
      </c>
      <c r="AC1412">
        <v>4</v>
      </c>
      <c r="AD1412">
        <v>3</v>
      </c>
      <c r="AE1412">
        <v>1</v>
      </c>
      <c r="AF1412">
        <v>0</v>
      </c>
      <c r="AG1412">
        <v>1</v>
      </c>
      <c r="AH1412">
        <v>0</v>
      </c>
      <c r="AI1412">
        <f t="shared" si="154"/>
        <v>0</v>
      </c>
      <c r="AJ1412" t="str">
        <f t="shared" si="155"/>
        <v>0-1 yr</v>
      </c>
      <c r="AK1412" t="str">
        <f t="shared" si="156"/>
        <v>Recent</v>
      </c>
      <c r="AL1412">
        <f t="shared" si="157"/>
        <v>0</v>
      </c>
      <c r="AM1412" t="str">
        <f t="shared" si="158"/>
        <v>Minimal Risk</v>
      </c>
      <c r="AN1412" s="6">
        <f t="shared" si="159"/>
        <v>0.67520182066102297</v>
      </c>
      <c r="AO1412" s="7">
        <f t="shared" si="160"/>
        <v>986184</v>
      </c>
    </row>
    <row r="1413" spans="1:41" x14ac:dyDescent="0.3">
      <c r="A1413" t="s">
        <v>1478</v>
      </c>
      <c r="B1413">
        <v>55</v>
      </c>
      <c r="C1413" t="s">
        <v>1272</v>
      </c>
      <c r="D1413" t="s">
        <v>55</v>
      </c>
      <c r="E1413" t="s">
        <v>48</v>
      </c>
      <c r="F1413">
        <v>692</v>
      </c>
      <c r="G1413" t="s">
        <v>735</v>
      </c>
      <c r="H1413">
        <v>14</v>
      </c>
      <c r="I1413">
        <v>4</v>
      </c>
      <c r="J1413" t="s">
        <v>58</v>
      </c>
      <c r="K1413">
        <v>254</v>
      </c>
      <c r="L1413">
        <v>3</v>
      </c>
      <c r="M1413" t="s">
        <v>51</v>
      </c>
      <c r="N1413">
        <v>4</v>
      </c>
      <c r="O1413">
        <v>5</v>
      </c>
      <c r="P1413" t="s">
        <v>257</v>
      </c>
      <c r="Q1413">
        <v>2</v>
      </c>
      <c r="R1413" t="s">
        <v>53</v>
      </c>
      <c r="S1413">
        <v>83565</v>
      </c>
      <c r="T1413" t="s">
        <v>70</v>
      </c>
      <c r="U1413">
        <v>522.28</v>
      </c>
      <c r="V1413">
        <v>8</v>
      </c>
      <c r="W1413" t="s">
        <v>55</v>
      </c>
      <c r="X1413">
        <v>11</v>
      </c>
      <c r="Y1413">
        <v>3</v>
      </c>
      <c r="Z1413">
        <v>4</v>
      </c>
      <c r="AA1413">
        <v>0</v>
      </c>
      <c r="AB1413">
        <v>36</v>
      </c>
      <c r="AC1413">
        <v>3</v>
      </c>
      <c r="AD1413">
        <v>3</v>
      </c>
      <c r="AE1413">
        <v>24</v>
      </c>
      <c r="AF1413">
        <v>15</v>
      </c>
      <c r="AG1413">
        <v>2</v>
      </c>
      <c r="AH1413">
        <v>15</v>
      </c>
      <c r="AI1413">
        <f t="shared" si="154"/>
        <v>0</v>
      </c>
      <c r="AJ1413" t="str">
        <f t="shared" si="155"/>
        <v>10+ yrs</v>
      </c>
      <c r="AK1413" t="str">
        <f t="shared" si="156"/>
        <v>Recent</v>
      </c>
      <c r="AL1413">
        <f t="shared" si="157"/>
        <v>1</v>
      </c>
      <c r="AM1413" t="str">
        <f t="shared" si="158"/>
        <v>Low Risk</v>
      </c>
      <c r="AN1413" s="6">
        <f t="shared" si="159"/>
        <v>0.64942613530663118</v>
      </c>
      <c r="AO1413" s="7">
        <f t="shared" si="160"/>
        <v>1002780</v>
      </c>
    </row>
    <row r="1414" spans="1:41" x14ac:dyDescent="0.3">
      <c r="A1414" t="s">
        <v>1479</v>
      </c>
      <c r="B1414">
        <v>55</v>
      </c>
      <c r="C1414" t="s">
        <v>1272</v>
      </c>
      <c r="D1414" t="s">
        <v>55</v>
      </c>
      <c r="E1414" t="s">
        <v>48</v>
      </c>
      <c r="F1414">
        <v>452</v>
      </c>
      <c r="G1414" t="s">
        <v>735</v>
      </c>
      <c r="H1414">
        <v>1</v>
      </c>
      <c r="I1414">
        <v>3</v>
      </c>
      <c r="J1414" t="s">
        <v>58</v>
      </c>
      <c r="K1414">
        <v>374</v>
      </c>
      <c r="L1414">
        <v>4</v>
      </c>
      <c r="M1414" t="s">
        <v>51</v>
      </c>
      <c r="N1414">
        <v>3</v>
      </c>
      <c r="O1414">
        <v>5</v>
      </c>
      <c r="P1414" t="s">
        <v>444</v>
      </c>
      <c r="Q1414">
        <v>1</v>
      </c>
      <c r="R1414" t="s">
        <v>53</v>
      </c>
      <c r="S1414">
        <v>30402</v>
      </c>
      <c r="T1414" t="s">
        <v>72</v>
      </c>
      <c r="U1414">
        <v>190.01</v>
      </c>
      <c r="V1414">
        <v>0</v>
      </c>
      <c r="W1414" t="s">
        <v>47</v>
      </c>
      <c r="X1414">
        <v>14</v>
      </c>
      <c r="Y1414">
        <v>3</v>
      </c>
      <c r="Z1414">
        <v>3</v>
      </c>
      <c r="AA1414">
        <v>0</v>
      </c>
      <c r="AB1414">
        <v>37</v>
      </c>
      <c r="AC1414">
        <v>2</v>
      </c>
      <c r="AD1414">
        <v>3</v>
      </c>
      <c r="AE1414">
        <v>36</v>
      </c>
      <c r="AF1414">
        <v>10</v>
      </c>
      <c r="AG1414">
        <v>4</v>
      </c>
      <c r="AH1414">
        <v>13</v>
      </c>
      <c r="AI1414">
        <f t="shared" si="154"/>
        <v>0</v>
      </c>
      <c r="AJ1414" t="str">
        <f t="shared" si="155"/>
        <v>10+ yrs</v>
      </c>
      <c r="AK1414" t="str">
        <f t="shared" si="156"/>
        <v>Overdue</v>
      </c>
      <c r="AL1414">
        <f t="shared" si="157"/>
        <v>3</v>
      </c>
      <c r="AM1414" t="str">
        <f t="shared" si="158"/>
        <v>High Risk</v>
      </c>
      <c r="AN1414" s="6">
        <f t="shared" si="159"/>
        <v>-0.41756739192987224</v>
      </c>
      <c r="AO1414" s="7">
        <f t="shared" si="160"/>
        <v>364824</v>
      </c>
    </row>
    <row r="1415" spans="1:41" x14ac:dyDescent="0.3">
      <c r="A1415" t="s">
        <v>1480</v>
      </c>
      <c r="B1415">
        <v>55</v>
      </c>
      <c r="C1415" t="s">
        <v>1272</v>
      </c>
      <c r="D1415" t="s">
        <v>55</v>
      </c>
      <c r="E1415" t="s">
        <v>48</v>
      </c>
      <c r="F1415">
        <v>147</v>
      </c>
      <c r="G1415" t="s">
        <v>735</v>
      </c>
      <c r="H1415">
        <v>20</v>
      </c>
      <c r="I1415">
        <v>2</v>
      </c>
      <c r="J1415" t="s">
        <v>77</v>
      </c>
      <c r="K1415">
        <v>389</v>
      </c>
      <c r="L1415">
        <v>2</v>
      </c>
      <c r="M1415" t="s">
        <v>51</v>
      </c>
      <c r="N1415">
        <v>3</v>
      </c>
      <c r="O1415">
        <v>2</v>
      </c>
      <c r="P1415" t="s">
        <v>52</v>
      </c>
      <c r="Q1415">
        <v>4</v>
      </c>
      <c r="R1415" t="s">
        <v>113</v>
      </c>
      <c r="S1415">
        <v>5263</v>
      </c>
      <c r="T1415" t="s">
        <v>54</v>
      </c>
      <c r="U1415">
        <v>32.89</v>
      </c>
      <c r="V1415">
        <v>3</v>
      </c>
      <c r="W1415" t="s">
        <v>47</v>
      </c>
      <c r="X1415">
        <v>19</v>
      </c>
      <c r="Y1415">
        <v>3</v>
      </c>
      <c r="Z1415">
        <v>4</v>
      </c>
      <c r="AA1415">
        <v>1</v>
      </c>
      <c r="AB1415">
        <v>12</v>
      </c>
      <c r="AC1415">
        <v>4</v>
      </c>
      <c r="AD1415">
        <v>3</v>
      </c>
      <c r="AE1415">
        <v>10</v>
      </c>
      <c r="AF1415">
        <v>7</v>
      </c>
      <c r="AG1415">
        <v>0</v>
      </c>
      <c r="AH1415">
        <v>8</v>
      </c>
      <c r="AI1415">
        <f t="shared" si="154"/>
        <v>0</v>
      </c>
      <c r="AJ1415" t="str">
        <f t="shared" si="155"/>
        <v>6-10 yrs</v>
      </c>
      <c r="AK1415" t="str">
        <f t="shared" si="156"/>
        <v>Recent</v>
      </c>
      <c r="AL1415">
        <f t="shared" si="157"/>
        <v>1</v>
      </c>
      <c r="AM1415" t="str">
        <f t="shared" si="158"/>
        <v>Low Risk</v>
      </c>
      <c r="AN1415" s="6">
        <f t="shared" si="159"/>
        <v>-0.89824170336083353</v>
      </c>
      <c r="AO1415" s="7">
        <f t="shared" si="160"/>
        <v>63156</v>
      </c>
    </row>
    <row r="1416" spans="1:41" x14ac:dyDescent="0.3">
      <c r="A1416" t="s">
        <v>1481</v>
      </c>
      <c r="B1416">
        <v>55</v>
      </c>
      <c r="C1416" t="s">
        <v>1272</v>
      </c>
      <c r="D1416" t="s">
        <v>55</v>
      </c>
      <c r="E1416" t="s">
        <v>48</v>
      </c>
      <c r="F1416">
        <v>1311</v>
      </c>
      <c r="G1416" t="s">
        <v>735</v>
      </c>
      <c r="H1416">
        <v>2</v>
      </c>
      <c r="I1416">
        <v>3</v>
      </c>
      <c r="J1416" t="s">
        <v>50</v>
      </c>
      <c r="K1416">
        <v>505</v>
      </c>
      <c r="L1416">
        <v>3</v>
      </c>
      <c r="M1416" t="s">
        <v>59</v>
      </c>
      <c r="N1416">
        <v>3</v>
      </c>
      <c r="O1416">
        <v>4</v>
      </c>
      <c r="P1416" t="s">
        <v>444</v>
      </c>
      <c r="Q1416">
        <v>4</v>
      </c>
      <c r="R1416" t="s">
        <v>53</v>
      </c>
      <c r="S1416">
        <v>97523</v>
      </c>
      <c r="T1416" t="s">
        <v>70</v>
      </c>
      <c r="U1416">
        <v>609.52</v>
      </c>
      <c r="V1416">
        <v>2</v>
      </c>
      <c r="W1416" t="s">
        <v>47</v>
      </c>
      <c r="X1416">
        <v>13</v>
      </c>
      <c r="Y1416">
        <v>3</v>
      </c>
      <c r="Z1416">
        <v>3</v>
      </c>
      <c r="AA1416">
        <v>0</v>
      </c>
      <c r="AB1416">
        <v>30</v>
      </c>
      <c r="AC1416">
        <v>2</v>
      </c>
      <c r="AD1416">
        <v>3</v>
      </c>
      <c r="AE1416">
        <v>5</v>
      </c>
      <c r="AF1416">
        <v>4</v>
      </c>
      <c r="AG1416">
        <v>1</v>
      </c>
      <c r="AH1416">
        <v>2</v>
      </c>
      <c r="AI1416">
        <f t="shared" si="154"/>
        <v>0</v>
      </c>
      <c r="AJ1416" t="str">
        <f t="shared" si="155"/>
        <v>4-5 yrs</v>
      </c>
      <c r="AK1416" t="str">
        <f t="shared" si="156"/>
        <v>Recent</v>
      </c>
      <c r="AL1416">
        <f t="shared" si="157"/>
        <v>1</v>
      </c>
      <c r="AM1416" t="str">
        <f t="shared" si="158"/>
        <v>Low Risk</v>
      </c>
      <c r="AN1416" s="6">
        <f t="shared" si="159"/>
        <v>0.8683170592994891</v>
      </c>
      <c r="AO1416" s="7">
        <f t="shared" si="160"/>
        <v>1170276</v>
      </c>
    </row>
    <row r="1417" spans="1:41" x14ac:dyDescent="0.3">
      <c r="A1417" t="s">
        <v>1482</v>
      </c>
      <c r="B1417">
        <v>55</v>
      </c>
      <c r="C1417" t="s">
        <v>1272</v>
      </c>
      <c r="D1417" t="s">
        <v>55</v>
      </c>
      <c r="E1417" t="s">
        <v>48</v>
      </c>
      <c r="F1417">
        <v>1117</v>
      </c>
      <c r="G1417" t="s">
        <v>932</v>
      </c>
      <c r="H1417">
        <v>18</v>
      </c>
      <c r="I1417">
        <v>5</v>
      </c>
      <c r="J1417" t="s">
        <v>50</v>
      </c>
      <c r="K1417">
        <v>597</v>
      </c>
      <c r="L1417">
        <v>1</v>
      </c>
      <c r="M1417" t="s">
        <v>59</v>
      </c>
      <c r="N1417">
        <v>3</v>
      </c>
      <c r="O1417">
        <v>4</v>
      </c>
      <c r="P1417" t="s">
        <v>444</v>
      </c>
      <c r="Q1417">
        <v>2</v>
      </c>
      <c r="R1417" t="s">
        <v>53</v>
      </c>
      <c r="S1417">
        <v>47828</v>
      </c>
      <c r="T1417" t="s">
        <v>72</v>
      </c>
      <c r="U1417">
        <v>298.92</v>
      </c>
      <c r="V1417">
        <v>3</v>
      </c>
      <c r="W1417" t="s">
        <v>55</v>
      </c>
      <c r="X1417">
        <v>23</v>
      </c>
      <c r="Y1417">
        <v>4</v>
      </c>
      <c r="Z1417">
        <v>4</v>
      </c>
      <c r="AA1417">
        <v>0</v>
      </c>
      <c r="AB1417">
        <v>37</v>
      </c>
      <c r="AC1417">
        <v>2</v>
      </c>
      <c r="AD1417">
        <v>3</v>
      </c>
      <c r="AE1417">
        <v>10</v>
      </c>
      <c r="AF1417">
        <v>9</v>
      </c>
      <c r="AG1417">
        <v>7</v>
      </c>
      <c r="AH1417">
        <v>7</v>
      </c>
      <c r="AI1417">
        <f t="shared" si="154"/>
        <v>0</v>
      </c>
      <c r="AJ1417" t="str">
        <f t="shared" si="155"/>
        <v>6-10 yrs</v>
      </c>
      <c r="AK1417" t="str">
        <f t="shared" si="156"/>
        <v>Overdue</v>
      </c>
      <c r="AL1417">
        <f t="shared" si="157"/>
        <v>2</v>
      </c>
      <c r="AM1417" t="str">
        <f t="shared" si="158"/>
        <v>Medium Risk</v>
      </c>
      <c r="AN1417" s="6">
        <f t="shared" si="159"/>
        <v>-8.3725189830337846E-2</v>
      </c>
      <c r="AO1417" s="7">
        <f t="shared" si="160"/>
        <v>573936</v>
      </c>
    </row>
    <row r="1418" spans="1:41" x14ac:dyDescent="0.3">
      <c r="A1418" t="s">
        <v>1483</v>
      </c>
      <c r="B1418">
        <v>55</v>
      </c>
      <c r="C1418" t="s">
        <v>1272</v>
      </c>
      <c r="D1418" t="s">
        <v>47</v>
      </c>
      <c r="E1418" t="s">
        <v>48</v>
      </c>
      <c r="F1418">
        <v>725</v>
      </c>
      <c r="G1418" t="s">
        <v>735</v>
      </c>
      <c r="H1418">
        <v>2</v>
      </c>
      <c r="I1418">
        <v>3</v>
      </c>
      <c r="J1418" t="s">
        <v>58</v>
      </c>
      <c r="K1418">
        <v>787</v>
      </c>
      <c r="L1418">
        <v>4</v>
      </c>
      <c r="M1418" t="s">
        <v>51</v>
      </c>
      <c r="N1418">
        <v>3</v>
      </c>
      <c r="O1418">
        <v>5</v>
      </c>
      <c r="P1418" t="s">
        <v>444</v>
      </c>
      <c r="Q1418">
        <v>1</v>
      </c>
      <c r="R1418" t="s">
        <v>113</v>
      </c>
      <c r="S1418">
        <v>48924</v>
      </c>
      <c r="T1418" t="s">
        <v>72</v>
      </c>
      <c r="U1418">
        <v>305.77</v>
      </c>
      <c r="V1418">
        <v>5</v>
      </c>
      <c r="W1418" t="s">
        <v>47</v>
      </c>
      <c r="X1418">
        <v>13</v>
      </c>
      <c r="Y1418">
        <v>3</v>
      </c>
      <c r="Z1418">
        <v>4</v>
      </c>
      <c r="AA1418">
        <v>1</v>
      </c>
      <c r="AB1418">
        <v>24</v>
      </c>
      <c r="AC1418">
        <v>2</v>
      </c>
      <c r="AD1418">
        <v>3</v>
      </c>
      <c r="AE1418">
        <v>5</v>
      </c>
      <c r="AF1418">
        <v>2</v>
      </c>
      <c r="AG1418">
        <v>1</v>
      </c>
      <c r="AH1418">
        <v>4</v>
      </c>
      <c r="AI1418">
        <f t="shared" si="154"/>
        <v>1</v>
      </c>
      <c r="AJ1418" t="str">
        <f t="shared" si="155"/>
        <v>4-5 yrs</v>
      </c>
      <c r="AK1418" t="str">
        <f t="shared" si="156"/>
        <v>Recent</v>
      </c>
      <c r="AL1418">
        <f t="shared" si="157"/>
        <v>2</v>
      </c>
      <c r="AM1418" t="str">
        <f t="shared" si="158"/>
        <v>Medium Risk</v>
      </c>
      <c r="AN1418" s="6">
        <f t="shared" si="159"/>
        <v>-6.2728342963524475E-2</v>
      </c>
      <c r="AO1418" s="7">
        <f t="shared" si="160"/>
        <v>587088</v>
      </c>
    </row>
    <row r="1419" spans="1:41" x14ac:dyDescent="0.3">
      <c r="A1419" t="s">
        <v>1484</v>
      </c>
      <c r="B1419">
        <v>55</v>
      </c>
      <c r="C1419" t="s">
        <v>1272</v>
      </c>
      <c r="D1419" t="s">
        <v>47</v>
      </c>
      <c r="E1419" t="s">
        <v>48</v>
      </c>
      <c r="F1419">
        <v>436</v>
      </c>
      <c r="G1419" t="s">
        <v>932</v>
      </c>
      <c r="H1419">
        <v>2</v>
      </c>
      <c r="I1419">
        <v>1</v>
      </c>
      <c r="J1419" t="s">
        <v>58</v>
      </c>
      <c r="K1419">
        <v>842</v>
      </c>
      <c r="L1419">
        <v>3</v>
      </c>
      <c r="M1419" t="s">
        <v>51</v>
      </c>
      <c r="N1419">
        <v>3</v>
      </c>
      <c r="O1419">
        <v>2</v>
      </c>
      <c r="P1419" t="s">
        <v>145</v>
      </c>
      <c r="Q1419">
        <v>4</v>
      </c>
      <c r="R1419" t="s">
        <v>53</v>
      </c>
      <c r="S1419">
        <v>75182</v>
      </c>
      <c r="T1419" t="s">
        <v>64</v>
      </c>
      <c r="U1419">
        <v>469.89</v>
      </c>
      <c r="V1419">
        <v>4</v>
      </c>
      <c r="W1419" t="s">
        <v>55</v>
      </c>
      <c r="X1419">
        <v>16</v>
      </c>
      <c r="Y1419">
        <v>3</v>
      </c>
      <c r="Z1419">
        <v>3</v>
      </c>
      <c r="AA1419">
        <v>0</v>
      </c>
      <c r="AB1419">
        <v>12</v>
      </c>
      <c r="AC1419">
        <v>3</v>
      </c>
      <c r="AD1419">
        <v>2</v>
      </c>
      <c r="AE1419">
        <v>9</v>
      </c>
      <c r="AF1419">
        <v>7</v>
      </c>
      <c r="AG1419">
        <v>7</v>
      </c>
      <c r="AH1419">
        <v>3</v>
      </c>
      <c r="AI1419">
        <f t="shared" si="154"/>
        <v>1</v>
      </c>
      <c r="AJ1419" t="str">
        <f t="shared" si="155"/>
        <v>6-10 yrs</v>
      </c>
      <c r="AK1419" t="str">
        <f t="shared" si="156"/>
        <v>Overdue</v>
      </c>
      <c r="AL1419">
        <f t="shared" si="157"/>
        <v>2</v>
      </c>
      <c r="AM1419" t="str">
        <f t="shared" si="158"/>
        <v>Medium Risk</v>
      </c>
      <c r="AN1419" s="6">
        <f t="shared" si="159"/>
        <v>0.53251348568953094</v>
      </c>
      <c r="AO1419" s="7">
        <f t="shared" si="160"/>
        <v>902184</v>
      </c>
    </row>
    <row r="1420" spans="1:41" x14ac:dyDescent="0.3">
      <c r="A1420" t="s">
        <v>1485</v>
      </c>
      <c r="B1420">
        <v>55</v>
      </c>
      <c r="C1420" t="s">
        <v>1272</v>
      </c>
      <c r="D1420" t="s">
        <v>55</v>
      </c>
      <c r="E1420" t="s">
        <v>62</v>
      </c>
      <c r="F1420">
        <v>135</v>
      </c>
      <c r="G1420" t="s">
        <v>735</v>
      </c>
      <c r="H1420">
        <v>18</v>
      </c>
      <c r="I1420">
        <v>4</v>
      </c>
      <c r="J1420" t="s">
        <v>58</v>
      </c>
      <c r="K1420">
        <v>1034</v>
      </c>
      <c r="L1420">
        <v>3</v>
      </c>
      <c r="M1420" t="s">
        <v>51</v>
      </c>
      <c r="N1420">
        <v>3</v>
      </c>
      <c r="O1420">
        <v>2</v>
      </c>
      <c r="P1420" t="s">
        <v>168</v>
      </c>
      <c r="Q1420">
        <v>2</v>
      </c>
      <c r="R1420" t="s">
        <v>113</v>
      </c>
      <c r="S1420">
        <v>94065</v>
      </c>
      <c r="T1420" t="s">
        <v>70</v>
      </c>
      <c r="U1420">
        <v>587.91</v>
      </c>
      <c r="V1420">
        <v>3</v>
      </c>
      <c r="W1420" t="s">
        <v>47</v>
      </c>
      <c r="X1420">
        <v>14</v>
      </c>
      <c r="Y1420">
        <v>3</v>
      </c>
      <c r="Z1420">
        <v>4</v>
      </c>
      <c r="AA1420">
        <v>2</v>
      </c>
      <c r="AB1420">
        <v>17</v>
      </c>
      <c r="AC1420">
        <v>3</v>
      </c>
      <c r="AD1420">
        <v>3</v>
      </c>
      <c r="AE1420">
        <v>8</v>
      </c>
      <c r="AF1420">
        <v>7</v>
      </c>
      <c r="AG1420">
        <v>6</v>
      </c>
      <c r="AH1420">
        <v>7</v>
      </c>
      <c r="AI1420">
        <f t="shared" si="154"/>
        <v>0</v>
      </c>
      <c r="AJ1420" t="str">
        <f t="shared" si="155"/>
        <v>6-10 yrs</v>
      </c>
      <c r="AK1420" t="str">
        <f t="shared" si="156"/>
        <v>Overdue</v>
      </c>
      <c r="AL1420">
        <f t="shared" si="157"/>
        <v>3</v>
      </c>
      <c r="AM1420" t="str">
        <f t="shared" si="158"/>
        <v>High Risk</v>
      </c>
      <c r="AN1420" s="6">
        <f t="shared" si="159"/>
        <v>0.95199570739111372</v>
      </c>
      <c r="AO1420" s="7">
        <f t="shared" si="160"/>
        <v>1128780</v>
      </c>
    </row>
    <row r="1421" spans="1:41" x14ac:dyDescent="0.3">
      <c r="A1421" t="s">
        <v>1486</v>
      </c>
      <c r="B1421">
        <v>55</v>
      </c>
      <c r="C1421" t="s">
        <v>1272</v>
      </c>
      <c r="D1421" t="s">
        <v>55</v>
      </c>
      <c r="E1421" t="s">
        <v>66</v>
      </c>
      <c r="F1421">
        <v>444</v>
      </c>
      <c r="G1421" t="s">
        <v>735</v>
      </c>
      <c r="H1421">
        <v>2</v>
      </c>
      <c r="I1421">
        <v>1</v>
      </c>
      <c r="J1421" t="s">
        <v>58</v>
      </c>
      <c r="K1421">
        <v>1074</v>
      </c>
      <c r="L1421">
        <v>3</v>
      </c>
      <c r="M1421" t="s">
        <v>51</v>
      </c>
      <c r="N1421">
        <v>2</v>
      </c>
      <c r="O1421">
        <v>4</v>
      </c>
      <c r="P1421" t="s">
        <v>444</v>
      </c>
      <c r="Q1421">
        <v>1</v>
      </c>
      <c r="R1421" t="s">
        <v>53</v>
      </c>
      <c r="S1421">
        <v>60052</v>
      </c>
      <c r="T1421" t="s">
        <v>64</v>
      </c>
      <c r="U1421">
        <v>375.32</v>
      </c>
      <c r="V1421">
        <v>7</v>
      </c>
      <c r="W1421" t="s">
        <v>55</v>
      </c>
      <c r="X1421">
        <v>15</v>
      </c>
      <c r="Y1421">
        <v>3</v>
      </c>
      <c r="Z1421">
        <v>2</v>
      </c>
      <c r="AA1421">
        <v>0</v>
      </c>
      <c r="AB1421">
        <v>31</v>
      </c>
      <c r="AC1421">
        <v>3</v>
      </c>
      <c r="AD1421">
        <v>4</v>
      </c>
      <c r="AE1421">
        <v>9</v>
      </c>
      <c r="AF1421">
        <v>7</v>
      </c>
      <c r="AG1421">
        <v>6</v>
      </c>
      <c r="AH1421">
        <v>2</v>
      </c>
      <c r="AI1421">
        <f t="shared" si="154"/>
        <v>0</v>
      </c>
      <c r="AJ1421" t="str">
        <f t="shared" si="155"/>
        <v>6-10 yrs</v>
      </c>
      <c r="AK1421" t="str">
        <f t="shared" si="156"/>
        <v>Overdue</v>
      </c>
      <c r="AL1421">
        <f t="shared" si="157"/>
        <v>2</v>
      </c>
      <c r="AM1421" t="str">
        <f t="shared" si="158"/>
        <v>Medium Risk</v>
      </c>
      <c r="AN1421" s="6">
        <f t="shared" si="159"/>
        <v>0.15045862047981418</v>
      </c>
      <c r="AO1421" s="7">
        <f t="shared" si="160"/>
        <v>720624</v>
      </c>
    </row>
    <row r="1422" spans="1:41" x14ac:dyDescent="0.3">
      <c r="A1422" t="s">
        <v>1487</v>
      </c>
      <c r="B1422">
        <v>55</v>
      </c>
      <c r="C1422" t="s">
        <v>1272</v>
      </c>
      <c r="D1422" t="s">
        <v>55</v>
      </c>
      <c r="E1422" t="s">
        <v>62</v>
      </c>
      <c r="F1422">
        <v>1091</v>
      </c>
      <c r="G1422" t="s">
        <v>735</v>
      </c>
      <c r="H1422">
        <v>2</v>
      </c>
      <c r="I1422">
        <v>1</v>
      </c>
      <c r="J1422" t="s">
        <v>50</v>
      </c>
      <c r="K1422">
        <v>1096</v>
      </c>
      <c r="L1422">
        <v>4</v>
      </c>
      <c r="M1422" t="s">
        <v>51</v>
      </c>
      <c r="N1422">
        <v>3</v>
      </c>
      <c r="O1422">
        <v>3</v>
      </c>
      <c r="P1422" t="s">
        <v>120</v>
      </c>
      <c r="Q1422">
        <v>2</v>
      </c>
      <c r="R1422" t="s">
        <v>113</v>
      </c>
      <c r="S1422">
        <v>12664</v>
      </c>
      <c r="T1422" t="s">
        <v>54</v>
      </c>
      <c r="U1422">
        <v>79.150000000000006</v>
      </c>
      <c r="V1422">
        <v>3</v>
      </c>
      <c r="W1422" t="s">
        <v>55</v>
      </c>
      <c r="X1422">
        <v>18</v>
      </c>
      <c r="Y1422">
        <v>3</v>
      </c>
      <c r="Z1422">
        <v>2</v>
      </c>
      <c r="AA1422">
        <v>1</v>
      </c>
      <c r="AB1422">
        <v>23</v>
      </c>
      <c r="AC1422">
        <v>4</v>
      </c>
      <c r="AD1422">
        <v>3</v>
      </c>
      <c r="AE1422">
        <v>3</v>
      </c>
      <c r="AF1422">
        <v>2</v>
      </c>
      <c r="AG1422">
        <v>1</v>
      </c>
      <c r="AH1422">
        <v>2</v>
      </c>
      <c r="AI1422">
        <f t="shared" si="154"/>
        <v>0</v>
      </c>
      <c r="AJ1422" t="str">
        <f t="shared" si="155"/>
        <v>2-3 yrs</v>
      </c>
      <c r="AK1422" t="str">
        <f t="shared" si="156"/>
        <v>Recent</v>
      </c>
      <c r="AL1422">
        <f t="shared" si="157"/>
        <v>1</v>
      </c>
      <c r="AM1422" t="str">
        <f t="shared" si="158"/>
        <v>Low Risk</v>
      </c>
      <c r="AN1422" s="6">
        <f t="shared" si="159"/>
        <v>-0.7141008229475907</v>
      </c>
      <c r="AO1422" s="7">
        <f t="shared" si="160"/>
        <v>151968</v>
      </c>
    </row>
    <row r="1423" spans="1:41" x14ac:dyDescent="0.3">
      <c r="A1423" t="s">
        <v>1488</v>
      </c>
      <c r="B1423">
        <v>55</v>
      </c>
      <c r="C1423" t="s">
        <v>1272</v>
      </c>
      <c r="D1423" t="s">
        <v>55</v>
      </c>
      <c r="E1423" t="s">
        <v>66</v>
      </c>
      <c r="F1423">
        <v>177</v>
      </c>
      <c r="G1423" t="s">
        <v>735</v>
      </c>
      <c r="H1423">
        <v>8</v>
      </c>
      <c r="I1423">
        <v>1</v>
      </c>
      <c r="J1423" t="s">
        <v>58</v>
      </c>
      <c r="K1423">
        <v>1278</v>
      </c>
      <c r="L1423">
        <v>4</v>
      </c>
      <c r="M1423" t="s">
        <v>51</v>
      </c>
      <c r="N1423">
        <v>2</v>
      </c>
      <c r="O1423">
        <v>4</v>
      </c>
      <c r="P1423" t="s">
        <v>168</v>
      </c>
      <c r="Q1423">
        <v>2</v>
      </c>
      <c r="R1423" t="s">
        <v>53</v>
      </c>
      <c r="S1423">
        <v>36737</v>
      </c>
      <c r="T1423" t="s">
        <v>72</v>
      </c>
      <c r="U1423">
        <v>229.61</v>
      </c>
      <c r="V1423">
        <v>1</v>
      </c>
      <c r="W1423" t="s">
        <v>47</v>
      </c>
      <c r="X1423">
        <v>15</v>
      </c>
      <c r="Y1423">
        <v>3</v>
      </c>
      <c r="Z1423">
        <v>4</v>
      </c>
      <c r="AA1423">
        <v>1</v>
      </c>
      <c r="AB1423">
        <v>34</v>
      </c>
      <c r="AC1423">
        <v>3</v>
      </c>
      <c r="AD1423">
        <v>3</v>
      </c>
      <c r="AE1423">
        <v>33</v>
      </c>
      <c r="AF1423">
        <v>9</v>
      </c>
      <c r="AG1423">
        <v>15</v>
      </c>
      <c r="AH1423">
        <v>0</v>
      </c>
      <c r="AI1423">
        <f t="shared" si="154"/>
        <v>0</v>
      </c>
      <c r="AJ1423" t="str">
        <f t="shared" si="155"/>
        <v>10+ yrs</v>
      </c>
      <c r="AK1423" t="str">
        <f t="shared" si="156"/>
        <v>Overdue</v>
      </c>
      <c r="AL1423">
        <f t="shared" si="157"/>
        <v>3</v>
      </c>
      <c r="AM1423" t="str">
        <f t="shared" si="158"/>
        <v>High Risk</v>
      </c>
      <c r="AN1423" s="6">
        <f t="shared" si="159"/>
        <v>-0.23764985592486745</v>
      </c>
      <c r="AO1423" s="7">
        <f t="shared" si="160"/>
        <v>440844</v>
      </c>
    </row>
    <row r="1424" spans="1:41" x14ac:dyDescent="0.3">
      <c r="A1424" t="s">
        <v>1489</v>
      </c>
      <c r="B1424">
        <v>55</v>
      </c>
      <c r="C1424" t="s">
        <v>1272</v>
      </c>
      <c r="D1424" t="s">
        <v>55</v>
      </c>
      <c r="E1424" t="s">
        <v>48</v>
      </c>
      <c r="F1424">
        <v>282</v>
      </c>
      <c r="G1424" t="s">
        <v>735</v>
      </c>
      <c r="H1424">
        <v>2</v>
      </c>
      <c r="I1424">
        <v>2</v>
      </c>
      <c r="J1424" t="s">
        <v>58</v>
      </c>
      <c r="K1424">
        <v>1336</v>
      </c>
      <c r="L1424">
        <v>4</v>
      </c>
      <c r="M1424" t="s">
        <v>59</v>
      </c>
      <c r="N1424">
        <v>1</v>
      </c>
      <c r="O1424">
        <v>5</v>
      </c>
      <c r="P1424" t="s">
        <v>444</v>
      </c>
      <c r="Q1424">
        <v>3</v>
      </c>
      <c r="R1424" t="s">
        <v>113</v>
      </c>
      <c r="S1424">
        <v>90563</v>
      </c>
      <c r="T1424" t="s">
        <v>70</v>
      </c>
      <c r="U1424">
        <v>566.02</v>
      </c>
      <c r="V1424">
        <v>4</v>
      </c>
      <c r="W1424" t="s">
        <v>55</v>
      </c>
      <c r="X1424">
        <v>14</v>
      </c>
      <c r="Y1424">
        <v>3</v>
      </c>
      <c r="Z1424">
        <v>4</v>
      </c>
      <c r="AA1424">
        <v>1</v>
      </c>
      <c r="AB1424">
        <v>23</v>
      </c>
      <c r="AC1424">
        <v>5</v>
      </c>
      <c r="AD1424">
        <v>3</v>
      </c>
      <c r="AE1424">
        <v>19</v>
      </c>
      <c r="AF1424">
        <v>9</v>
      </c>
      <c r="AG1424">
        <v>9</v>
      </c>
      <c r="AH1424">
        <v>11</v>
      </c>
      <c r="AI1424">
        <f t="shared" si="154"/>
        <v>0</v>
      </c>
      <c r="AJ1424" t="str">
        <f t="shared" si="155"/>
        <v>10+ yrs</v>
      </c>
      <c r="AK1424" t="str">
        <f t="shared" si="156"/>
        <v>Overdue</v>
      </c>
      <c r="AL1424">
        <f t="shared" si="157"/>
        <v>1</v>
      </c>
      <c r="AM1424" t="str">
        <f t="shared" si="158"/>
        <v>Low Risk</v>
      </c>
      <c r="AN1424" s="6">
        <f t="shared" si="159"/>
        <v>0.73497941861242611</v>
      </c>
      <c r="AO1424" s="7">
        <f t="shared" si="160"/>
        <v>1086756</v>
      </c>
    </row>
    <row r="1425" spans="1:41" x14ac:dyDescent="0.3">
      <c r="A1425" t="s">
        <v>1490</v>
      </c>
      <c r="B1425">
        <v>55</v>
      </c>
      <c r="C1425" t="s">
        <v>1272</v>
      </c>
      <c r="D1425" t="s">
        <v>47</v>
      </c>
      <c r="E1425" t="s">
        <v>48</v>
      </c>
      <c r="F1425">
        <v>267</v>
      </c>
      <c r="G1425" t="s">
        <v>932</v>
      </c>
      <c r="H1425">
        <v>13</v>
      </c>
      <c r="I1425">
        <v>4</v>
      </c>
      <c r="J1425" t="s">
        <v>63</v>
      </c>
      <c r="K1425">
        <v>1372</v>
      </c>
      <c r="L1425">
        <v>1</v>
      </c>
      <c r="M1425" t="s">
        <v>51</v>
      </c>
      <c r="N1425">
        <v>4</v>
      </c>
      <c r="O1425">
        <v>4</v>
      </c>
      <c r="P1425" t="s">
        <v>145</v>
      </c>
      <c r="Q1425">
        <v>3</v>
      </c>
      <c r="R1425" t="s">
        <v>53</v>
      </c>
      <c r="S1425">
        <v>30373</v>
      </c>
      <c r="T1425" t="s">
        <v>72</v>
      </c>
      <c r="U1425">
        <v>189.83</v>
      </c>
      <c r="V1425">
        <v>6</v>
      </c>
      <c r="W1425" t="s">
        <v>47</v>
      </c>
      <c r="X1425">
        <v>17</v>
      </c>
      <c r="Y1425">
        <v>3</v>
      </c>
      <c r="Z1425">
        <v>3</v>
      </c>
      <c r="AA1425">
        <v>0</v>
      </c>
      <c r="AB1425">
        <v>24</v>
      </c>
      <c r="AC1425">
        <v>2</v>
      </c>
      <c r="AD1425">
        <v>2</v>
      </c>
      <c r="AE1425">
        <v>19</v>
      </c>
      <c r="AF1425">
        <v>7</v>
      </c>
      <c r="AG1425">
        <v>3</v>
      </c>
      <c r="AH1425">
        <v>8</v>
      </c>
      <c r="AI1425">
        <f t="shared" si="154"/>
        <v>1</v>
      </c>
      <c r="AJ1425" t="str">
        <f t="shared" si="155"/>
        <v>10+ yrs</v>
      </c>
      <c r="AK1425" t="str">
        <f t="shared" si="156"/>
        <v>Overdue</v>
      </c>
      <c r="AL1425">
        <f t="shared" si="157"/>
        <v>3</v>
      </c>
      <c r="AM1425" t="str">
        <f t="shared" si="158"/>
        <v>High Risk</v>
      </c>
      <c r="AN1425" s="6">
        <f t="shared" si="159"/>
        <v>-0.38087531455869594</v>
      </c>
      <c r="AO1425" s="7">
        <f t="shared" si="160"/>
        <v>364476</v>
      </c>
    </row>
    <row r="1426" spans="1:41" x14ac:dyDescent="0.3">
      <c r="A1426" t="s">
        <v>1491</v>
      </c>
      <c r="B1426">
        <v>55</v>
      </c>
      <c r="C1426" t="s">
        <v>1272</v>
      </c>
      <c r="D1426" t="s">
        <v>55</v>
      </c>
      <c r="E1426" t="s">
        <v>48</v>
      </c>
      <c r="F1426">
        <v>1136</v>
      </c>
      <c r="G1426" t="s">
        <v>735</v>
      </c>
      <c r="H1426">
        <v>1</v>
      </c>
      <c r="I1426">
        <v>4</v>
      </c>
      <c r="J1426" t="s">
        <v>58</v>
      </c>
      <c r="K1426">
        <v>1424</v>
      </c>
      <c r="L1426">
        <v>2</v>
      </c>
      <c r="M1426" t="s">
        <v>51</v>
      </c>
      <c r="N1426">
        <v>4</v>
      </c>
      <c r="O1426">
        <v>4</v>
      </c>
      <c r="P1426" t="s">
        <v>257</v>
      </c>
      <c r="Q1426">
        <v>4</v>
      </c>
      <c r="R1426" t="s">
        <v>113</v>
      </c>
      <c r="S1426">
        <v>37397</v>
      </c>
      <c r="T1426" t="s">
        <v>72</v>
      </c>
      <c r="U1426">
        <v>233.73</v>
      </c>
      <c r="V1426">
        <v>2</v>
      </c>
      <c r="W1426" t="s">
        <v>55</v>
      </c>
      <c r="X1426">
        <v>13</v>
      </c>
      <c r="Y1426">
        <v>3</v>
      </c>
      <c r="Z1426">
        <v>4</v>
      </c>
      <c r="AA1426">
        <v>2</v>
      </c>
      <c r="AB1426">
        <v>31</v>
      </c>
      <c r="AC1426">
        <v>4</v>
      </c>
      <c r="AD1426">
        <v>4</v>
      </c>
      <c r="AE1426">
        <v>7</v>
      </c>
      <c r="AF1426">
        <v>7</v>
      </c>
      <c r="AG1426">
        <v>0</v>
      </c>
      <c r="AH1426">
        <v>0</v>
      </c>
      <c r="AI1426">
        <f t="shared" si="154"/>
        <v>0</v>
      </c>
      <c r="AJ1426" t="str">
        <f t="shared" si="155"/>
        <v>6-10 yrs</v>
      </c>
      <c r="AK1426" t="str">
        <f t="shared" si="156"/>
        <v>Recent</v>
      </c>
      <c r="AL1426">
        <f t="shared" si="157"/>
        <v>0</v>
      </c>
      <c r="AM1426" t="str">
        <f t="shared" si="158"/>
        <v>Minimal Risk</v>
      </c>
      <c r="AN1426" s="6">
        <f t="shared" si="159"/>
        <v>-0.26184898962409997</v>
      </c>
      <c r="AO1426" s="7">
        <f t="shared" si="160"/>
        <v>448764</v>
      </c>
    </row>
    <row r="1427" spans="1:41" x14ac:dyDescent="0.3">
      <c r="A1427" t="s">
        <v>1492</v>
      </c>
      <c r="B1427">
        <v>55</v>
      </c>
      <c r="C1427" t="s">
        <v>1272</v>
      </c>
      <c r="D1427" t="s">
        <v>55</v>
      </c>
      <c r="E1427" t="s">
        <v>48</v>
      </c>
      <c r="F1427">
        <v>1229</v>
      </c>
      <c r="G1427" t="s">
        <v>735</v>
      </c>
      <c r="H1427">
        <v>4</v>
      </c>
      <c r="I1427">
        <v>4</v>
      </c>
      <c r="J1427" t="s">
        <v>50</v>
      </c>
      <c r="K1427">
        <v>1501</v>
      </c>
      <c r="L1427">
        <v>4</v>
      </c>
      <c r="M1427" t="s">
        <v>51</v>
      </c>
      <c r="N1427">
        <v>3</v>
      </c>
      <c r="O1427">
        <v>2</v>
      </c>
      <c r="P1427" t="s">
        <v>168</v>
      </c>
      <c r="Q1427">
        <v>3</v>
      </c>
      <c r="R1427" t="s">
        <v>113</v>
      </c>
      <c r="S1427">
        <v>87145</v>
      </c>
      <c r="T1427" t="s">
        <v>70</v>
      </c>
      <c r="U1427">
        <v>544.66</v>
      </c>
      <c r="V1427">
        <v>0</v>
      </c>
      <c r="W1427" t="s">
        <v>47</v>
      </c>
      <c r="X1427">
        <v>16</v>
      </c>
      <c r="Y1427">
        <v>3</v>
      </c>
      <c r="Z1427">
        <v>2</v>
      </c>
      <c r="AA1427">
        <v>0</v>
      </c>
      <c r="AB1427">
        <v>4</v>
      </c>
      <c r="AC1427">
        <v>2</v>
      </c>
      <c r="AD1427">
        <v>3</v>
      </c>
      <c r="AE1427">
        <v>3</v>
      </c>
      <c r="AF1427">
        <v>2</v>
      </c>
      <c r="AG1427">
        <v>1</v>
      </c>
      <c r="AH1427">
        <v>2</v>
      </c>
      <c r="AI1427">
        <f t="shared" si="154"/>
        <v>0</v>
      </c>
      <c r="AJ1427" t="str">
        <f t="shared" si="155"/>
        <v>2-3 yrs</v>
      </c>
      <c r="AK1427" t="str">
        <f t="shared" si="156"/>
        <v>Recent</v>
      </c>
      <c r="AL1427">
        <f t="shared" si="157"/>
        <v>1</v>
      </c>
      <c r="AM1427" t="str">
        <f t="shared" si="158"/>
        <v>Low Risk</v>
      </c>
      <c r="AN1427" s="6">
        <f t="shared" si="159"/>
        <v>0.80839489630147876</v>
      </c>
      <c r="AO1427" s="7">
        <f t="shared" si="160"/>
        <v>1045740</v>
      </c>
    </row>
    <row r="1428" spans="1:41" x14ac:dyDescent="0.3">
      <c r="A1428" t="s">
        <v>1493</v>
      </c>
      <c r="B1428">
        <v>55</v>
      </c>
      <c r="C1428" t="s">
        <v>1272</v>
      </c>
      <c r="D1428" t="s">
        <v>55</v>
      </c>
      <c r="E1428" t="s">
        <v>48</v>
      </c>
      <c r="F1428">
        <v>685</v>
      </c>
      <c r="G1428" t="s">
        <v>932</v>
      </c>
      <c r="H1428">
        <v>26</v>
      </c>
      <c r="I1428">
        <v>5</v>
      </c>
      <c r="J1428" t="s">
        <v>63</v>
      </c>
      <c r="K1428">
        <v>1578</v>
      </c>
      <c r="L1428">
        <v>3</v>
      </c>
      <c r="M1428" t="s">
        <v>51</v>
      </c>
      <c r="N1428">
        <v>2</v>
      </c>
      <c r="O1428">
        <v>5</v>
      </c>
      <c r="P1428" t="s">
        <v>444</v>
      </c>
      <c r="Q1428">
        <v>4</v>
      </c>
      <c r="R1428" t="s">
        <v>113</v>
      </c>
      <c r="S1428">
        <v>39709</v>
      </c>
      <c r="T1428" t="s">
        <v>72</v>
      </c>
      <c r="U1428">
        <v>248.18</v>
      </c>
      <c r="V1428">
        <v>1</v>
      </c>
      <c r="W1428" t="s">
        <v>55</v>
      </c>
      <c r="X1428">
        <v>21</v>
      </c>
      <c r="Y1428">
        <v>4</v>
      </c>
      <c r="Z1428">
        <v>3</v>
      </c>
      <c r="AA1428">
        <v>1</v>
      </c>
      <c r="AB1428">
        <v>36</v>
      </c>
      <c r="AC1428">
        <v>3</v>
      </c>
      <c r="AD1428">
        <v>3</v>
      </c>
      <c r="AE1428">
        <v>36</v>
      </c>
      <c r="AF1428">
        <v>6</v>
      </c>
      <c r="AG1428">
        <v>2</v>
      </c>
      <c r="AH1428">
        <v>13</v>
      </c>
      <c r="AI1428">
        <f t="shared" si="154"/>
        <v>0</v>
      </c>
      <c r="AJ1428" t="str">
        <f t="shared" si="155"/>
        <v>10+ yrs</v>
      </c>
      <c r="AK1428" t="str">
        <f t="shared" si="156"/>
        <v>Recent</v>
      </c>
      <c r="AL1428">
        <f t="shared" si="157"/>
        <v>0</v>
      </c>
      <c r="AM1428" t="str">
        <f t="shared" si="158"/>
        <v>Minimal Risk</v>
      </c>
      <c r="AN1428" s="6">
        <f t="shared" si="159"/>
        <v>-0.23926661292491605</v>
      </c>
      <c r="AO1428" s="7">
        <f t="shared" si="160"/>
        <v>476508</v>
      </c>
    </row>
    <row r="1429" spans="1:41" x14ac:dyDescent="0.3">
      <c r="A1429" t="s">
        <v>1494</v>
      </c>
      <c r="B1429">
        <v>55</v>
      </c>
      <c r="C1429" t="s">
        <v>1272</v>
      </c>
      <c r="D1429" t="s">
        <v>55</v>
      </c>
      <c r="E1429" t="s">
        <v>48</v>
      </c>
      <c r="F1429">
        <v>1441</v>
      </c>
      <c r="G1429" t="s">
        <v>735</v>
      </c>
      <c r="H1429">
        <v>22</v>
      </c>
      <c r="I1429">
        <v>3</v>
      </c>
      <c r="J1429" t="s">
        <v>77</v>
      </c>
      <c r="K1429">
        <v>1694</v>
      </c>
      <c r="L1429">
        <v>1</v>
      </c>
      <c r="M1429" t="s">
        <v>51</v>
      </c>
      <c r="N1429">
        <v>2</v>
      </c>
      <c r="O1429">
        <v>1</v>
      </c>
      <c r="P1429" t="s">
        <v>67</v>
      </c>
      <c r="Q1429">
        <v>2</v>
      </c>
      <c r="R1429" t="s">
        <v>113</v>
      </c>
      <c r="S1429">
        <v>62120</v>
      </c>
      <c r="T1429" t="s">
        <v>64</v>
      </c>
      <c r="U1429">
        <v>388.25</v>
      </c>
      <c r="V1429">
        <v>5</v>
      </c>
      <c r="W1429" t="s">
        <v>55</v>
      </c>
      <c r="X1429">
        <v>12</v>
      </c>
      <c r="Y1429">
        <v>3</v>
      </c>
      <c r="Z1429">
        <v>4</v>
      </c>
      <c r="AA1429">
        <v>1</v>
      </c>
      <c r="AB1429">
        <v>8</v>
      </c>
      <c r="AC1429">
        <v>1</v>
      </c>
      <c r="AD1429">
        <v>3</v>
      </c>
      <c r="AE1429">
        <v>4</v>
      </c>
      <c r="AF1429">
        <v>2</v>
      </c>
      <c r="AG1429">
        <v>1</v>
      </c>
      <c r="AH1429">
        <v>2</v>
      </c>
      <c r="AI1429">
        <f t="shared" si="154"/>
        <v>0</v>
      </c>
      <c r="AJ1429" t="str">
        <f t="shared" si="155"/>
        <v>4-5 yrs</v>
      </c>
      <c r="AK1429" t="str">
        <f t="shared" si="156"/>
        <v>Recent</v>
      </c>
      <c r="AL1429">
        <f t="shared" si="157"/>
        <v>1</v>
      </c>
      <c r="AM1429" t="str">
        <f t="shared" si="158"/>
        <v>Low Risk</v>
      </c>
      <c r="AN1429" s="6">
        <f t="shared" si="159"/>
        <v>0.24573602154246782</v>
      </c>
      <c r="AO1429" s="7">
        <f t="shared" si="160"/>
        <v>745440</v>
      </c>
    </row>
    <row r="1430" spans="1:41" x14ac:dyDescent="0.3">
      <c r="A1430" t="s">
        <v>1495</v>
      </c>
      <c r="B1430">
        <v>55</v>
      </c>
      <c r="C1430" t="s">
        <v>1272</v>
      </c>
      <c r="D1430" t="s">
        <v>55</v>
      </c>
      <c r="E1430" t="s">
        <v>48</v>
      </c>
      <c r="F1430">
        <v>478</v>
      </c>
      <c r="G1430" t="s">
        <v>735</v>
      </c>
      <c r="H1430">
        <v>2</v>
      </c>
      <c r="I1430">
        <v>3</v>
      </c>
      <c r="J1430" t="s">
        <v>58</v>
      </c>
      <c r="K1430">
        <v>1770</v>
      </c>
      <c r="L1430">
        <v>3</v>
      </c>
      <c r="M1430" t="s">
        <v>51</v>
      </c>
      <c r="N1430">
        <v>2</v>
      </c>
      <c r="O1430">
        <v>5</v>
      </c>
      <c r="P1430" t="s">
        <v>257</v>
      </c>
      <c r="Q1430">
        <v>1</v>
      </c>
      <c r="R1430" t="s">
        <v>113</v>
      </c>
      <c r="S1430">
        <v>20250</v>
      </c>
      <c r="T1430" t="s">
        <v>54</v>
      </c>
      <c r="U1430">
        <v>126.56</v>
      </c>
      <c r="V1430">
        <v>8</v>
      </c>
      <c r="W1430" t="s">
        <v>55</v>
      </c>
      <c r="X1430">
        <v>12</v>
      </c>
      <c r="Y1430">
        <v>3</v>
      </c>
      <c r="Z1430">
        <v>2</v>
      </c>
      <c r="AA1430">
        <v>3</v>
      </c>
      <c r="AB1430">
        <v>34</v>
      </c>
      <c r="AC1430">
        <v>2</v>
      </c>
      <c r="AD1430">
        <v>3</v>
      </c>
      <c r="AE1430">
        <v>1</v>
      </c>
      <c r="AF1430">
        <v>0</v>
      </c>
      <c r="AG1430">
        <v>0</v>
      </c>
      <c r="AH1430">
        <v>0</v>
      </c>
      <c r="AI1430">
        <f t="shared" si="154"/>
        <v>0</v>
      </c>
      <c r="AJ1430" t="str">
        <f t="shared" si="155"/>
        <v>0-1 yr</v>
      </c>
      <c r="AK1430" t="str">
        <f t="shared" si="156"/>
        <v>Recent</v>
      </c>
      <c r="AL1430">
        <f t="shared" si="157"/>
        <v>1</v>
      </c>
      <c r="AM1430" t="str">
        <f t="shared" si="158"/>
        <v>Low Risk</v>
      </c>
      <c r="AN1430" s="6">
        <f t="shared" si="159"/>
        <v>-0.60030061341519436</v>
      </c>
      <c r="AO1430" s="7">
        <f t="shared" si="160"/>
        <v>243000</v>
      </c>
    </row>
    <row r="1431" spans="1:41" x14ac:dyDescent="0.3">
      <c r="A1431" t="s">
        <v>1496</v>
      </c>
      <c r="B1431">
        <v>55</v>
      </c>
      <c r="C1431" t="s">
        <v>1272</v>
      </c>
      <c r="D1431" t="s">
        <v>55</v>
      </c>
      <c r="E1431" t="s">
        <v>48</v>
      </c>
      <c r="F1431">
        <v>836</v>
      </c>
      <c r="G1431" t="s">
        <v>735</v>
      </c>
      <c r="H1431">
        <v>2</v>
      </c>
      <c r="I1431">
        <v>4</v>
      </c>
      <c r="J1431" t="s">
        <v>77</v>
      </c>
      <c r="K1431">
        <v>1873</v>
      </c>
      <c r="L1431">
        <v>2</v>
      </c>
      <c r="M1431" t="s">
        <v>51</v>
      </c>
      <c r="N1431">
        <v>2</v>
      </c>
      <c r="O1431">
        <v>1</v>
      </c>
      <c r="P1431" t="s">
        <v>67</v>
      </c>
      <c r="Q1431">
        <v>4</v>
      </c>
      <c r="R1431" t="s">
        <v>113</v>
      </c>
      <c r="S1431">
        <v>22172</v>
      </c>
      <c r="T1431" t="s">
        <v>54</v>
      </c>
      <c r="U1431">
        <v>138.57</v>
      </c>
      <c r="V1431">
        <v>8</v>
      </c>
      <c r="W1431" t="s">
        <v>55</v>
      </c>
      <c r="X1431">
        <v>20</v>
      </c>
      <c r="Y1431">
        <v>4</v>
      </c>
      <c r="Z1431">
        <v>2</v>
      </c>
      <c r="AA1431">
        <v>1</v>
      </c>
      <c r="AB1431">
        <v>19</v>
      </c>
      <c r="AC1431">
        <v>2</v>
      </c>
      <c r="AD1431">
        <v>4</v>
      </c>
      <c r="AE1431">
        <v>5</v>
      </c>
      <c r="AF1431">
        <v>2</v>
      </c>
      <c r="AG1431">
        <v>0</v>
      </c>
      <c r="AH1431">
        <v>4</v>
      </c>
      <c r="AI1431">
        <f t="shared" si="154"/>
        <v>0</v>
      </c>
      <c r="AJ1431" t="str">
        <f t="shared" si="155"/>
        <v>4-5 yrs</v>
      </c>
      <c r="AK1431" t="str">
        <f t="shared" si="156"/>
        <v>Recent</v>
      </c>
      <c r="AL1431">
        <f t="shared" si="157"/>
        <v>0</v>
      </c>
      <c r="AM1431" t="str">
        <f t="shared" si="158"/>
        <v>Minimal Risk</v>
      </c>
      <c r="AN1431" s="6">
        <f t="shared" si="159"/>
        <v>-0.55536930023117204</v>
      </c>
      <c r="AO1431" s="7">
        <f t="shared" si="160"/>
        <v>266064</v>
      </c>
    </row>
    <row r="1432" spans="1:41" x14ac:dyDescent="0.3">
      <c r="A1432" t="s">
        <v>1497</v>
      </c>
      <c r="B1432">
        <v>55</v>
      </c>
      <c r="C1432" t="s">
        <v>1272</v>
      </c>
      <c r="D1432" t="s">
        <v>55</v>
      </c>
      <c r="E1432" t="s">
        <v>48</v>
      </c>
      <c r="F1432">
        <v>189</v>
      </c>
      <c r="G1432" t="s">
        <v>80</v>
      </c>
      <c r="H1432">
        <v>26</v>
      </c>
      <c r="I1432">
        <v>4</v>
      </c>
      <c r="J1432" t="s">
        <v>80</v>
      </c>
      <c r="K1432">
        <v>1973</v>
      </c>
      <c r="L1432">
        <v>3</v>
      </c>
      <c r="M1432" t="s">
        <v>51</v>
      </c>
      <c r="N1432">
        <v>4</v>
      </c>
      <c r="O1432">
        <v>5</v>
      </c>
      <c r="P1432" t="s">
        <v>444</v>
      </c>
      <c r="Q1432">
        <v>2</v>
      </c>
      <c r="R1432" t="s">
        <v>113</v>
      </c>
      <c r="S1432">
        <v>12555</v>
      </c>
      <c r="T1432" t="s">
        <v>54</v>
      </c>
      <c r="U1432">
        <v>78.47</v>
      </c>
      <c r="V1432">
        <v>4</v>
      </c>
      <c r="W1432" t="s">
        <v>47</v>
      </c>
      <c r="X1432">
        <v>18</v>
      </c>
      <c r="Y1432">
        <v>3</v>
      </c>
      <c r="Z1432">
        <v>1</v>
      </c>
      <c r="AA1432">
        <v>1</v>
      </c>
      <c r="AB1432">
        <v>35</v>
      </c>
      <c r="AC1432">
        <v>0</v>
      </c>
      <c r="AD1432">
        <v>3</v>
      </c>
      <c r="AE1432">
        <v>10</v>
      </c>
      <c r="AF1432">
        <v>9</v>
      </c>
      <c r="AG1432">
        <v>1</v>
      </c>
      <c r="AH1432">
        <v>4</v>
      </c>
      <c r="AI1432">
        <f t="shared" si="154"/>
        <v>0</v>
      </c>
      <c r="AJ1432" t="str">
        <f t="shared" si="155"/>
        <v>6-10 yrs</v>
      </c>
      <c r="AK1432" t="str">
        <f t="shared" si="156"/>
        <v>Recent</v>
      </c>
      <c r="AL1432">
        <f t="shared" si="157"/>
        <v>2</v>
      </c>
      <c r="AM1432" t="str">
        <f t="shared" si="158"/>
        <v>Medium Risk</v>
      </c>
      <c r="AN1432" s="6">
        <f t="shared" si="159"/>
        <v>-0.75947498867441443</v>
      </c>
      <c r="AO1432" s="7">
        <f t="shared" si="160"/>
        <v>150660</v>
      </c>
    </row>
    <row r="1433" spans="1:41" x14ac:dyDescent="0.3">
      <c r="A1433" t="s">
        <v>1498</v>
      </c>
      <c r="B1433">
        <v>56</v>
      </c>
      <c r="C1433" t="s">
        <v>1499</v>
      </c>
      <c r="D1433" t="s">
        <v>55</v>
      </c>
      <c r="E1433" t="s">
        <v>48</v>
      </c>
      <c r="F1433">
        <v>1400</v>
      </c>
      <c r="G1433" t="s">
        <v>735</v>
      </c>
      <c r="H1433">
        <v>7</v>
      </c>
      <c r="I1433">
        <v>3</v>
      </c>
      <c r="J1433" t="s">
        <v>50</v>
      </c>
      <c r="K1433">
        <v>112</v>
      </c>
      <c r="L1433">
        <v>4</v>
      </c>
      <c r="M1433" t="s">
        <v>51</v>
      </c>
      <c r="N1433">
        <v>1</v>
      </c>
      <c r="O1433">
        <v>3</v>
      </c>
      <c r="P1433" t="s">
        <v>120</v>
      </c>
      <c r="Q1433">
        <v>4</v>
      </c>
      <c r="R1433" t="s">
        <v>53</v>
      </c>
      <c r="S1433">
        <v>88410</v>
      </c>
      <c r="T1433" t="s">
        <v>70</v>
      </c>
      <c r="U1433">
        <v>552.55999999999995</v>
      </c>
      <c r="V1433">
        <v>4</v>
      </c>
      <c r="W1433" t="s">
        <v>55</v>
      </c>
      <c r="X1433">
        <v>11</v>
      </c>
      <c r="Y1433">
        <v>3</v>
      </c>
      <c r="Z1433">
        <v>1</v>
      </c>
      <c r="AA1433">
        <v>0</v>
      </c>
      <c r="AB1433">
        <v>37</v>
      </c>
      <c r="AC1433">
        <v>3</v>
      </c>
      <c r="AD1433">
        <v>2</v>
      </c>
      <c r="AE1433">
        <v>6</v>
      </c>
      <c r="AF1433">
        <v>4</v>
      </c>
      <c r="AG1433">
        <v>0</v>
      </c>
      <c r="AH1433">
        <v>2</v>
      </c>
      <c r="AI1433">
        <f t="shared" si="154"/>
        <v>0</v>
      </c>
      <c r="AJ1433" t="str">
        <f t="shared" si="155"/>
        <v>6-10 yrs</v>
      </c>
      <c r="AK1433" t="str">
        <f t="shared" si="156"/>
        <v>Recent</v>
      </c>
      <c r="AL1433">
        <f t="shared" si="157"/>
        <v>1</v>
      </c>
      <c r="AM1433" t="str">
        <f t="shared" si="158"/>
        <v>Low Risk</v>
      </c>
      <c r="AN1433" s="6">
        <f t="shared" si="159"/>
        <v>0.99592121313988491</v>
      </c>
      <c r="AO1433" s="7">
        <f t="shared" si="160"/>
        <v>1060920</v>
      </c>
    </row>
    <row r="1434" spans="1:41" x14ac:dyDescent="0.3">
      <c r="A1434" t="s">
        <v>1500</v>
      </c>
      <c r="B1434">
        <v>56</v>
      </c>
      <c r="C1434" t="s">
        <v>1499</v>
      </c>
      <c r="D1434" t="s">
        <v>47</v>
      </c>
      <c r="E1434" t="s">
        <v>48</v>
      </c>
      <c r="F1434">
        <v>441</v>
      </c>
      <c r="G1434" t="s">
        <v>735</v>
      </c>
      <c r="H1434">
        <v>14</v>
      </c>
      <c r="I1434">
        <v>4</v>
      </c>
      <c r="J1434" t="s">
        <v>50</v>
      </c>
      <c r="K1434">
        <v>161</v>
      </c>
      <c r="L1434">
        <v>2</v>
      </c>
      <c r="M1434" t="s">
        <v>59</v>
      </c>
      <c r="N1434">
        <v>3</v>
      </c>
      <c r="O1434">
        <v>1</v>
      </c>
      <c r="P1434" t="s">
        <v>67</v>
      </c>
      <c r="Q1434">
        <v>2</v>
      </c>
      <c r="R1434" t="s">
        <v>113</v>
      </c>
      <c r="S1434">
        <v>79617</v>
      </c>
      <c r="T1434" t="s">
        <v>64</v>
      </c>
      <c r="U1434">
        <v>497.61</v>
      </c>
      <c r="V1434">
        <v>9</v>
      </c>
      <c r="W1434" t="s">
        <v>47</v>
      </c>
      <c r="X1434">
        <v>18</v>
      </c>
      <c r="Y1434">
        <v>3</v>
      </c>
      <c r="Z1434">
        <v>1</v>
      </c>
      <c r="AA1434">
        <v>3</v>
      </c>
      <c r="AB1434">
        <v>7</v>
      </c>
      <c r="AC1434">
        <v>2</v>
      </c>
      <c r="AD1434">
        <v>3</v>
      </c>
      <c r="AE1434">
        <v>5</v>
      </c>
      <c r="AF1434">
        <v>4</v>
      </c>
      <c r="AG1434">
        <v>4</v>
      </c>
      <c r="AH1434">
        <v>3</v>
      </c>
      <c r="AI1434">
        <f t="shared" si="154"/>
        <v>1</v>
      </c>
      <c r="AJ1434" t="str">
        <f t="shared" si="155"/>
        <v>4-5 yrs</v>
      </c>
      <c r="AK1434" t="str">
        <f t="shared" si="156"/>
        <v>Overdue</v>
      </c>
      <c r="AL1434">
        <f t="shared" si="157"/>
        <v>3</v>
      </c>
      <c r="AM1434" t="str">
        <f t="shared" si="158"/>
        <v>High Risk</v>
      </c>
      <c r="AN1434" s="6">
        <f t="shared" si="159"/>
        <v>0.59661566044988179</v>
      </c>
      <c r="AO1434" s="7">
        <f t="shared" si="160"/>
        <v>955404</v>
      </c>
    </row>
    <row r="1435" spans="1:41" x14ac:dyDescent="0.3">
      <c r="A1435" t="s">
        <v>1501</v>
      </c>
      <c r="B1435">
        <v>56</v>
      </c>
      <c r="C1435" t="s">
        <v>1499</v>
      </c>
      <c r="D1435" t="s">
        <v>55</v>
      </c>
      <c r="E1435" t="s">
        <v>48</v>
      </c>
      <c r="F1435">
        <v>713</v>
      </c>
      <c r="G1435" t="s">
        <v>735</v>
      </c>
      <c r="H1435">
        <v>8</v>
      </c>
      <c r="I1435">
        <v>3</v>
      </c>
      <c r="J1435" t="s">
        <v>50</v>
      </c>
      <c r="K1435">
        <v>241</v>
      </c>
      <c r="L1435">
        <v>3</v>
      </c>
      <c r="M1435" t="s">
        <v>59</v>
      </c>
      <c r="N1435">
        <v>3</v>
      </c>
      <c r="O1435">
        <v>1</v>
      </c>
      <c r="P1435" t="s">
        <v>67</v>
      </c>
      <c r="Q1435">
        <v>1</v>
      </c>
      <c r="R1435" t="s">
        <v>113</v>
      </c>
      <c r="S1435">
        <v>54276</v>
      </c>
      <c r="T1435" t="s">
        <v>64</v>
      </c>
      <c r="U1435">
        <v>339.22</v>
      </c>
      <c r="V1435">
        <v>4</v>
      </c>
      <c r="W1435" t="s">
        <v>47</v>
      </c>
      <c r="X1435">
        <v>18</v>
      </c>
      <c r="Y1435">
        <v>3</v>
      </c>
      <c r="Z1435">
        <v>3</v>
      </c>
      <c r="AA1435">
        <v>1</v>
      </c>
      <c r="AB1435">
        <v>19</v>
      </c>
      <c r="AC1435">
        <v>3</v>
      </c>
      <c r="AD1435">
        <v>3</v>
      </c>
      <c r="AE1435">
        <v>2</v>
      </c>
      <c r="AF1435">
        <v>2</v>
      </c>
      <c r="AG1435">
        <v>2</v>
      </c>
      <c r="AH1435">
        <v>2</v>
      </c>
      <c r="AI1435">
        <f t="shared" si="154"/>
        <v>0</v>
      </c>
      <c r="AJ1435" t="str">
        <f t="shared" si="155"/>
        <v>2-3 yrs</v>
      </c>
      <c r="AK1435" t="str">
        <f t="shared" si="156"/>
        <v>Recent</v>
      </c>
      <c r="AL1435">
        <f t="shared" si="157"/>
        <v>2</v>
      </c>
      <c r="AM1435" t="str">
        <f t="shared" si="158"/>
        <v>Medium Risk</v>
      </c>
      <c r="AN1435" s="6">
        <f t="shared" si="159"/>
        <v>8.843477632387288E-2</v>
      </c>
      <c r="AO1435" s="7">
        <f t="shared" si="160"/>
        <v>651312</v>
      </c>
    </row>
    <row r="1436" spans="1:41" x14ac:dyDescent="0.3">
      <c r="A1436" t="s">
        <v>1502</v>
      </c>
      <c r="B1436">
        <v>56</v>
      </c>
      <c r="C1436" t="s">
        <v>1499</v>
      </c>
      <c r="D1436" t="s">
        <v>55</v>
      </c>
      <c r="E1436" t="s">
        <v>62</v>
      </c>
      <c r="F1436">
        <v>906</v>
      </c>
      <c r="G1436" t="s">
        <v>932</v>
      </c>
      <c r="H1436">
        <v>6</v>
      </c>
      <c r="I1436">
        <v>3</v>
      </c>
      <c r="J1436" t="s">
        <v>50</v>
      </c>
      <c r="K1436">
        <v>532</v>
      </c>
      <c r="L1436">
        <v>3</v>
      </c>
      <c r="M1436" t="s">
        <v>59</v>
      </c>
      <c r="N1436">
        <v>4</v>
      </c>
      <c r="O1436">
        <v>4</v>
      </c>
      <c r="P1436" t="s">
        <v>145</v>
      </c>
      <c r="Q1436">
        <v>1</v>
      </c>
      <c r="R1436" t="s">
        <v>113</v>
      </c>
      <c r="S1436">
        <v>58492</v>
      </c>
      <c r="T1436" t="s">
        <v>64</v>
      </c>
      <c r="U1436">
        <v>365.58</v>
      </c>
      <c r="V1436">
        <v>9</v>
      </c>
      <c r="W1436" t="s">
        <v>55</v>
      </c>
      <c r="X1436">
        <v>11</v>
      </c>
      <c r="Y1436">
        <v>3</v>
      </c>
      <c r="Z1436">
        <v>4</v>
      </c>
      <c r="AA1436">
        <v>3</v>
      </c>
      <c r="AB1436">
        <v>36</v>
      </c>
      <c r="AC1436">
        <v>0</v>
      </c>
      <c r="AD1436">
        <v>2</v>
      </c>
      <c r="AE1436">
        <v>7</v>
      </c>
      <c r="AF1436">
        <v>7</v>
      </c>
      <c r="AG1436">
        <v>7</v>
      </c>
      <c r="AH1436">
        <v>7</v>
      </c>
      <c r="AI1436">
        <f t="shared" si="154"/>
        <v>0</v>
      </c>
      <c r="AJ1436" t="str">
        <f t="shared" si="155"/>
        <v>6-10 yrs</v>
      </c>
      <c r="AK1436" t="str">
        <f t="shared" si="156"/>
        <v>Overdue</v>
      </c>
      <c r="AL1436">
        <f t="shared" si="157"/>
        <v>3</v>
      </c>
      <c r="AM1436" t="str">
        <f t="shared" si="158"/>
        <v>High Risk</v>
      </c>
      <c r="AN1436" s="6">
        <f t="shared" si="159"/>
        <v>0.19230372702178769</v>
      </c>
      <c r="AO1436" s="7">
        <f t="shared" si="160"/>
        <v>701904</v>
      </c>
    </row>
    <row r="1437" spans="1:41" x14ac:dyDescent="0.3">
      <c r="A1437" t="s">
        <v>1503</v>
      </c>
      <c r="B1437">
        <v>56</v>
      </c>
      <c r="C1437" t="s">
        <v>1499</v>
      </c>
      <c r="D1437" t="s">
        <v>55</v>
      </c>
      <c r="E1437" t="s">
        <v>48</v>
      </c>
      <c r="F1437">
        <v>832</v>
      </c>
      <c r="G1437" t="s">
        <v>735</v>
      </c>
      <c r="H1437">
        <v>9</v>
      </c>
      <c r="I1437">
        <v>3</v>
      </c>
      <c r="J1437" t="s">
        <v>58</v>
      </c>
      <c r="K1437">
        <v>762</v>
      </c>
      <c r="L1437">
        <v>3</v>
      </c>
      <c r="M1437" t="s">
        <v>51</v>
      </c>
      <c r="N1437">
        <v>3</v>
      </c>
      <c r="O1437">
        <v>4</v>
      </c>
      <c r="P1437" t="s">
        <v>168</v>
      </c>
      <c r="Q1437">
        <v>4</v>
      </c>
      <c r="R1437" t="s">
        <v>113</v>
      </c>
      <c r="S1437">
        <v>54002</v>
      </c>
      <c r="T1437" t="s">
        <v>64</v>
      </c>
      <c r="U1437">
        <v>337.51</v>
      </c>
      <c r="V1437">
        <v>7</v>
      </c>
      <c r="W1437" t="s">
        <v>55</v>
      </c>
      <c r="X1437">
        <v>11</v>
      </c>
      <c r="Y1437">
        <v>3</v>
      </c>
      <c r="Z1437">
        <v>3</v>
      </c>
      <c r="AA1437">
        <v>0</v>
      </c>
      <c r="AB1437">
        <v>30</v>
      </c>
      <c r="AC1437">
        <v>1</v>
      </c>
      <c r="AD1437">
        <v>2</v>
      </c>
      <c r="AE1437">
        <v>10</v>
      </c>
      <c r="AF1437">
        <v>7</v>
      </c>
      <c r="AG1437">
        <v>1</v>
      </c>
      <c r="AH1437">
        <v>1</v>
      </c>
      <c r="AI1437">
        <f t="shared" si="154"/>
        <v>0</v>
      </c>
      <c r="AJ1437" t="str">
        <f t="shared" si="155"/>
        <v>6-10 yrs</v>
      </c>
      <c r="AK1437" t="str">
        <f t="shared" si="156"/>
        <v>Recent</v>
      </c>
      <c r="AL1437">
        <f t="shared" si="157"/>
        <v>1</v>
      </c>
      <c r="AM1437" t="str">
        <f t="shared" si="158"/>
        <v>Low Risk</v>
      </c>
      <c r="AN1437" s="6">
        <f t="shared" si="159"/>
        <v>0.12062586711885313</v>
      </c>
      <c r="AO1437" s="7">
        <f t="shared" si="160"/>
        <v>648024</v>
      </c>
    </row>
    <row r="1438" spans="1:41" x14ac:dyDescent="0.3">
      <c r="A1438" t="s">
        <v>1504</v>
      </c>
      <c r="B1438">
        <v>56</v>
      </c>
      <c r="C1438" t="s">
        <v>1499</v>
      </c>
      <c r="D1438" t="s">
        <v>55</v>
      </c>
      <c r="E1438" t="s">
        <v>62</v>
      </c>
      <c r="F1438">
        <v>1240</v>
      </c>
      <c r="G1438" t="s">
        <v>735</v>
      </c>
      <c r="H1438">
        <v>9</v>
      </c>
      <c r="I1438">
        <v>3</v>
      </c>
      <c r="J1438" t="s">
        <v>58</v>
      </c>
      <c r="K1438">
        <v>1071</v>
      </c>
      <c r="L1438">
        <v>1</v>
      </c>
      <c r="M1438" t="s">
        <v>59</v>
      </c>
      <c r="N1438">
        <v>3</v>
      </c>
      <c r="O1438">
        <v>1</v>
      </c>
      <c r="P1438" t="s">
        <v>67</v>
      </c>
      <c r="Q1438">
        <v>3</v>
      </c>
      <c r="R1438" t="s">
        <v>113</v>
      </c>
      <c r="S1438">
        <v>90599</v>
      </c>
      <c r="T1438" t="s">
        <v>70</v>
      </c>
      <c r="U1438">
        <v>566.24</v>
      </c>
      <c r="V1438">
        <v>2</v>
      </c>
      <c r="W1438" t="s">
        <v>55</v>
      </c>
      <c r="X1438">
        <v>19</v>
      </c>
      <c r="Y1438">
        <v>3</v>
      </c>
      <c r="Z1438">
        <v>2</v>
      </c>
      <c r="AA1438">
        <v>1</v>
      </c>
      <c r="AB1438">
        <v>18</v>
      </c>
      <c r="AC1438">
        <v>4</v>
      </c>
      <c r="AD1438">
        <v>3</v>
      </c>
      <c r="AE1438">
        <v>5</v>
      </c>
      <c r="AF1438">
        <v>4</v>
      </c>
      <c r="AG1438">
        <v>0</v>
      </c>
      <c r="AH1438">
        <v>3</v>
      </c>
      <c r="AI1438">
        <f t="shared" si="154"/>
        <v>0</v>
      </c>
      <c r="AJ1438" t="str">
        <f t="shared" si="155"/>
        <v>4-5 yrs</v>
      </c>
      <c r="AK1438" t="str">
        <f t="shared" si="156"/>
        <v>Recent</v>
      </c>
      <c r="AL1438">
        <f t="shared" si="157"/>
        <v>0</v>
      </c>
      <c r="AM1438" t="str">
        <f t="shared" si="158"/>
        <v>Minimal Risk</v>
      </c>
      <c r="AN1438" s="6">
        <f t="shared" si="159"/>
        <v>0.81684542523705794</v>
      </c>
      <c r="AO1438" s="7">
        <f t="shared" si="160"/>
        <v>1087188</v>
      </c>
    </row>
    <row r="1439" spans="1:41" x14ac:dyDescent="0.3">
      <c r="A1439" t="s">
        <v>1505</v>
      </c>
      <c r="B1439">
        <v>56</v>
      </c>
      <c r="C1439" t="s">
        <v>1499</v>
      </c>
      <c r="D1439" t="s">
        <v>55</v>
      </c>
      <c r="E1439" t="s">
        <v>48</v>
      </c>
      <c r="F1439">
        <v>718</v>
      </c>
      <c r="G1439" t="s">
        <v>735</v>
      </c>
      <c r="H1439">
        <v>4</v>
      </c>
      <c r="I1439">
        <v>4</v>
      </c>
      <c r="J1439" t="s">
        <v>77</v>
      </c>
      <c r="K1439">
        <v>1191</v>
      </c>
      <c r="L1439">
        <v>4</v>
      </c>
      <c r="M1439" t="s">
        <v>59</v>
      </c>
      <c r="N1439">
        <v>3</v>
      </c>
      <c r="O1439">
        <v>5</v>
      </c>
      <c r="P1439" t="s">
        <v>444</v>
      </c>
      <c r="Q1439">
        <v>1</v>
      </c>
      <c r="R1439" t="s">
        <v>113</v>
      </c>
      <c r="S1439">
        <v>73355</v>
      </c>
      <c r="T1439" t="s">
        <v>64</v>
      </c>
      <c r="U1439">
        <v>458.47</v>
      </c>
      <c r="V1439">
        <v>4</v>
      </c>
      <c r="W1439" t="s">
        <v>55</v>
      </c>
      <c r="X1439">
        <v>13</v>
      </c>
      <c r="Y1439">
        <v>3</v>
      </c>
      <c r="Z1439">
        <v>4</v>
      </c>
      <c r="AA1439">
        <v>1</v>
      </c>
      <c r="AB1439">
        <v>28</v>
      </c>
      <c r="AC1439">
        <v>2</v>
      </c>
      <c r="AD1439">
        <v>3</v>
      </c>
      <c r="AE1439">
        <v>5</v>
      </c>
      <c r="AF1439">
        <v>2</v>
      </c>
      <c r="AG1439">
        <v>4</v>
      </c>
      <c r="AH1439">
        <v>2</v>
      </c>
      <c r="AI1439">
        <f t="shared" si="154"/>
        <v>0</v>
      </c>
      <c r="AJ1439" t="str">
        <f t="shared" si="155"/>
        <v>4-5 yrs</v>
      </c>
      <c r="AK1439" t="str">
        <f t="shared" si="156"/>
        <v>Overdue</v>
      </c>
      <c r="AL1439">
        <f t="shared" si="157"/>
        <v>2</v>
      </c>
      <c r="AM1439" t="str">
        <f t="shared" si="158"/>
        <v>Medium Risk</v>
      </c>
      <c r="AN1439" s="6">
        <f t="shared" si="159"/>
        <v>0.40531359663785999</v>
      </c>
      <c r="AO1439" s="7">
        <f t="shared" si="160"/>
        <v>880260</v>
      </c>
    </row>
    <row r="1440" spans="1:41" x14ac:dyDescent="0.3">
      <c r="A1440" t="s">
        <v>1506</v>
      </c>
      <c r="B1440">
        <v>56</v>
      </c>
      <c r="C1440" t="s">
        <v>1499</v>
      </c>
      <c r="D1440" t="s">
        <v>55</v>
      </c>
      <c r="E1440" t="s">
        <v>48</v>
      </c>
      <c r="F1440">
        <v>206</v>
      </c>
      <c r="G1440" t="s">
        <v>80</v>
      </c>
      <c r="H1440">
        <v>8</v>
      </c>
      <c r="I1440">
        <v>4</v>
      </c>
      <c r="J1440" t="s">
        <v>50</v>
      </c>
      <c r="K1440">
        <v>1338</v>
      </c>
      <c r="L1440">
        <v>4</v>
      </c>
      <c r="M1440" t="s">
        <v>51</v>
      </c>
      <c r="N1440">
        <v>3</v>
      </c>
      <c r="O1440">
        <v>5</v>
      </c>
      <c r="P1440" t="s">
        <v>444</v>
      </c>
      <c r="Q1440">
        <v>2</v>
      </c>
      <c r="R1440" t="s">
        <v>53</v>
      </c>
      <c r="S1440">
        <v>92248</v>
      </c>
      <c r="T1440" t="s">
        <v>70</v>
      </c>
      <c r="U1440">
        <v>576.54999999999995</v>
      </c>
      <c r="V1440">
        <v>6</v>
      </c>
      <c r="W1440" t="s">
        <v>55</v>
      </c>
      <c r="X1440">
        <v>14</v>
      </c>
      <c r="Y1440">
        <v>3</v>
      </c>
      <c r="Z1440">
        <v>1</v>
      </c>
      <c r="AA1440">
        <v>0</v>
      </c>
      <c r="AB1440">
        <v>36</v>
      </c>
      <c r="AC1440">
        <v>4</v>
      </c>
      <c r="AD1440">
        <v>3</v>
      </c>
      <c r="AE1440">
        <v>7</v>
      </c>
      <c r="AF1440">
        <v>3</v>
      </c>
      <c r="AG1440">
        <v>7</v>
      </c>
      <c r="AH1440">
        <v>7</v>
      </c>
      <c r="AI1440">
        <f t="shared" si="154"/>
        <v>0</v>
      </c>
      <c r="AJ1440" t="str">
        <f t="shared" si="155"/>
        <v>6-10 yrs</v>
      </c>
      <c r="AK1440" t="str">
        <f t="shared" si="156"/>
        <v>Overdue</v>
      </c>
      <c r="AL1440">
        <f t="shared" si="157"/>
        <v>2</v>
      </c>
      <c r="AM1440" t="str">
        <f t="shared" si="158"/>
        <v>Medium Risk</v>
      </c>
      <c r="AN1440" s="6">
        <f t="shared" si="159"/>
        <v>0.7672601548994521</v>
      </c>
      <c r="AO1440" s="7">
        <f t="shared" si="160"/>
        <v>1106976</v>
      </c>
    </row>
    <row r="1441" spans="1:41" x14ac:dyDescent="0.3">
      <c r="A1441" t="s">
        <v>1507</v>
      </c>
      <c r="B1441">
        <v>56</v>
      </c>
      <c r="C1441" t="s">
        <v>1499</v>
      </c>
      <c r="D1441" t="s">
        <v>55</v>
      </c>
      <c r="E1441" t="s">
        <v>48</v>
      </c>
      <c r="F1441">
        <v>1369</v>
      </c>
      <c r="G1441" t="s">
        <v>735</v>
      </c>
      <c r="H1441">
        <v>23</v>
      </c>
      <c r="I1441">
        <v>3</v>
      </c>
      <c r="J1441" t="s">
        <v>50</v>
      </c>
      <c r="K1441">
        <v>1373</v>
      </c>
      <c r="L1441">
        <v>4</v>
      </c>
      <c r="M1441" t="s">
        <v>51</v>
      </c>
      <c r="N1441">
        <v>3</v>
      </c>
      <c r="O1441">
        <v>4</v>
      </c>
      <c r="P1441" t="s">
        <v>120</v>
      </c>
      <c r="Q1441">
        <v>2</v>
      </c>
      <c r="R1441" t="s">
        <v>113</v>
      </c>
      <c r="S1441">
        <v>25762</v>
      </c>
      <c r="T1441" t="s">
        <v>72</v>
      </c>
      <c r="U1441">
        <v>161.01</v>
      </c>
      <c r="V1441">
        <v>4</v>
      </c>
      <c r="W1441" t="s">
        <v>47</v>
      </c>
      <c r="X1441">
        <v>12</v>
      </c>
      <c r="Y1441">
        <v>3</v>
      </c>
      <c r="Z1441">
        <v>1</v>
      </c>
      <c r="AA1441">
        <v>1</v>
      </c>
      <c r="AB1441">
        <v>33</v>
      </c>
      <c r="AC1441">
        <v>0</v>
      </c>
      <c r="AD1441">
        <v>3</v>
      </c>
      <c r="AE1441">
        <v>19</v>
      </c>
      <c r="AF1441">
        <v>16</v>
      </c>
      <c r="AG1441">
        <v>15</v>
      </c>
      <c r="AH1441">
        <v>9</v>
      </c>
      <c r="AI1441">
        <f t="shared" si="154"/>
        <v>0</v>
      </c>
      <c r="AJ1441" t="str">
        <f t="shared" si="155"/>
        <v>10+ yrs</v>
      </c>
      <c r="AK1441" t="str">
        <f t="shared" si="156"/>
        <v>Overdue</v>
      </c>
      <c r="AL1441">
        <f t="shared" si="157"/>
        <v>3</v>
      </c>
      <c r="AM1441" t="str">
        <f t="shared" si="158"/>
        <v>High Risk</v>
      </c>
      <c r="AN1441" s="6">
        <f t="shared" si="159"/>
        <v>-0.41840377454010053</v>
      </c>
      <c r="AO1441" s="7">
        <f t="shared" si="160"/>
        <v>309144</v>
      </c>
    </row>
    <row r="1442" spans="1:41" x14ac:dyDescent="0.3">
      <c r="A1442" t="s">
        <v>1508</v>
      </c>
      <c r="B1442">
        <v>56</v>
      </c>
      <c r="C1442" t="s">
        <v>1499</v>
      </c>
      <c r="D1442" t="s">
        <v>55</v>
      </c>
      <c r="E1442" t="s">
        <v>48</v>
      </c>
      <c r="F1442">
        <v>1255</v>
      </c>
      <c r="G1442" t="s">
        <v>735</v>
      </c>
      <c r="H1442">
        <v>1</v>
      </c>
      <c r="I1442">
        <v>2</v>
      </c>
      <c r="J1442" t="s">
        <v>50</v>
      </c>
      <c r="K1442">
        <v>1441</v>
      </c>
      <c r="L1442">
        <v>1</v>
      </c>
      <c r="M1442" t="s">
        <v>59</v>
      </c>
      <c r="N1442">
        <v>3</v>
      </c>
      <c r="O1442">
        <v>1</v>
      </c>
      <c r="P1442" t="s">
        <v>67</v>
      </c>
      <c r="Q1442">
        <v>1</v>
      </c>
      <c r="R1442" t="s">
        <v>113</v>
      </c>
      <c r="S1442">
        <v>12046</v>
      </c>
      <c r="T1442" t="s">
        <v>54</v>
      </c>
      <c r="U1442">
        <v>75.290000000000006</v>
      </c>
      <c r="V1442">
        <v>2</v>
      </c>
      <c r="W1442" t="s">
        <v>55</v>
      </c>
      <c r="X1442">
        <v>22</v>
      </c>
      <c r="Y1442">
        <v>4</v>
      </c>
      <c r="Z1442">
        <v>4</v>
      </c>
      <c r="AA1442">
        <v>1</v>
      </c>
      <c r="AB1442">
        <v>5</v>
      </c>
      <c r="AC1442">
        <v>3</v>
      </c>
      <c r="AD1442">
        <v>4</v>
      </c>
      <c r="AE1442">
        <v>3</v>
      </c>
      <c r="AF1442">
        <v>2</v>
      </c>
      <c r="AG1442">
        <v>1</v>
      </c>
      <c r="AH1442">
        <v>0</v>
      </c>
      <c r="AI1442">
        <f t="shared" si="154"/>
        <v>0</v>
      </c>
      <c r="AJ1442" t="str">
        <f t="shared" si="155"/>
        <v>2-3 yrs</v>
      </c>
      <c r="AK1442" t="str">
        <f t="shared" si="156"/>
        <v>Recent</v>
      </c>
      <c r="AL1442">
        <f t="shared" si="157"/>
        <v>1</v>
      </c>
      <c r="AM1442" t="str">
        <f t="shared" si="158"/>
        <v>Low Risk</v>
      </c>
      <c r="AN1442" s="6">
        <f t="shared" si="159"/>
        <v>-0.75843309537185177</v>
      </c>
      <c r="AO1442" s="7">
        <f t="shared" si="160"/>
        <v>144552</v>
      </c>
    </row>
    <row r="1443" spans="1:41" x14ac:dyDescent="0.3">
      <c r="A1443" t="s">
        <v>1509</v>
      </c>
      <c r="B1443">
        <v>56</v>
      </c>
      <c r="C1443" t="s">
        <v>1499</v>
      </c>
      <c r="D1443" t="s">
        <v>47</v>
      </c>
      <c r="E1443" t="s">
        <v>48</v>
      </c>
      <c r="F1443">
        <v>1162</v>
      </c>
      <c r="G1443" t="s">
        <v>735</v>
      </c>
      <c r="H1443">
        <v>24</v>
      </c>
      <c r="I1443">
        <v>2</v>
      </c>
      <c r="J1443" t="s">
        <v>50</v>
      </c>
      <c r="K1443">
        <v>1907</v>
      </c>
      <c r="L1443">
        <v>1</v>
      </c>
      <c r="M1443" t="s">
        <v>51</v>
      </c>
      <c r="N1443">
        <v>3</v>
      </c>
      <c r="O1443">
        <v>1</v>
      </c>
      <c r="P1443" t="s">
        <v>52</v>
      </c>
      <c r="Q1443">
        <v>4</v>
      </c>
      <c r="R1443" t="s">
        <v>53</v>
      </c>
      <c r="S1443">
        <v>97999</v>
      </c>
      <c r="T1443" t="s">
        <v>70</v>
      </c>
      <c r="U1443">
        <v>612.49</v>
      </c>
      <c r="V1443">
        <v>1</v>
      </c>
      <c r="W1443" t="s">
        <v>55</v>
      </c>
      <c r="X1443">
        <v>16</v>
      </c>
      <c r="Y1443">
        <v>3</v>
      </c>
      <c r="Z1443">
        <v>4</v>
      </c>
      <c r="AA1443">
        <v>0</v>
      </c>
      <c r="AB1443">
        <v>5</v>
      </c>
      <c r="AC1443">
        <v>3</v>
      </c>
      <c r="AD1443">
        <v>3</v>
      </c>
      <c r="AE1443">
        <v>4</v>
      </c>
      <c r="AF1443">
        <v>2</v>
      </c>
      <c r="AG1443">
        <v>1</v>
      </c>
      <c r="AH1443">
        <v>0</v>
      </c>
      <c r="AI1443">
        <f t="shared" si="154"/>
        <v>1</v>
      </c>
      <c r="AJ1443" t="str">
        <f t="shared" si="155"/>
        <v>4-5 yrs</v>
      </c>
      <c r="AK1443" t="str">
        <f t="shared" si="156"/>
        <v>Recent</v>
      </c>
      <c r="AL1443">
        <f t="shared" si="157"/>
        <v>0</v>
      </c>
      <c r="AM1443" t="str">
        <f t="shared" si="158"/>
        <v>Minimal Risk</v>
      </c>
      <c r="AN1443" s="6">
        <f t="shared" si="159"/>
        <v>0.8947769926546969</v>
      </c>
      <c r="AO1443" s="7">
        <f t="shared" si="160"/>
        <v>1175988</v>
      </c>
    </row>
    <row r="1444" spans="1:41" x14ac:dyDescent="0.3">
      <c r="A1444" t="s">
        <v>1510</v>
      </c>
      <c r="B1444">
        <v>56</v>
      </c>
      <c r="C1444" t="s">
        <v>1499</v>
      </c>
      <c r="D1444" t="s">
        <v>55</v>
      </c>
      <c r="E1444" t="s">
        <v>48</v>
      </c>
      <c r="F1444">
        <v>1443</v>
      </c>
      <c r="G1444" t="s">
        <v>932</v>
      </c>
      <c r="H1444">
        <v>11</v>
      </c>
      <c r="I1444">
        <v>5</v>
      </c>
      <c r="J1444" t="s">
        <v>63</v>
      </c>
      <c r="K1444">
        <v>1935</v>
      </c>
      <c r="L1444">
        <v>4</v>
      </c>
      <c r="M1444" t="s">
        <v>59</v>
      </c>
      <c r="N1444">
        <v>2</v>
      </c>
      <c r="O1444">
        <v>2</v>
      </c>
      <c r="P1444" t="s">
        <v>145</v>
      </c>
      <c r="Q1444">
        <v>1</v>
      </c>
      <c r="R1444" t="s">
        <v>113</v>
      </c>
      <c r="S1444">
        <v>29769</v>
      </c>
      <c r="T1444" t="s">
        <v>72</v>
      </c>
      <c r="U1444">
        <v>186.06</v>
      </c>
      <c r="V1444">
        <v>4</v>
      </c>
      <c r="W1444" t="s">
        <v>55</v>
      </c>
      <c r="X1444">
        <v>16</v>
      </c>
      <c r="Y1444">
        <v>3</v>
      </c>
      <c r="Z1444">
        <v>3</v>
      </c>
      <c r="AA1444">
        <v>1</v>
      </c>
      <c r="AB1444">
        <v>6</v>
      </c>
      <c r="AC1444">
        <v>3</v>
      </c>
      <c r="AD1444">
        <v>3</v>
      </c>
      <c r="AE1444">
        <v>0</v>
      </c>
      <c r="AF1444">
        <v>0</v>
      </c>
      <c r="AG1444">
        <v>0</v>
      </c>
      <c r="AH1444">
        <v>0</v>
      </c>
      <c r="AI1444">
        <f t="shared" si="154"/>
        <v>0</v>
      </c>
      <c r="AJ1444" t="str">
        <f t="shared" si="155"/>
        <v>0-1 yr</v>
      </c>
      <c r="AK1444" t="str">
        <f t="shared" si="156"/>
        <v>Recent</v>
      </c>
      <c r="AL1444">
        <f t="shared" si="157"/>
        <v>1</v>
      </c>
      <c r="AM1444" t="str">
        <f t="shared" si="158"/>
        <v>Low Risk</v>
      </c>
      <c r="AN1444" s="6">
        <f t="shared" si="159"/>
        <v>-0.39318727946195037</v>
      </c>
      <c r="AO1444" s="7">
        <f t="shared" si="160"/>
        <v>357228</v>
      </c>
    </row>
    <row r="1445" spans="1:41" x14ac:dyDescent="0.3">
      <c r="A1445" t="s">
        <v>1511</v>
      </c>
      <c r="B1445">
        <v>56</v>
      </c>
      <c r="C1445" t="s">
        <v>1499</v>
      </c>
      <c r="D1445" t="s">
        <v>55</v>
      </c>
      <c r="E1445" t="s">
        <v>66</v>
      </c>
      <c r="F1445">
        <v>667</v>
      </c>
      <c r="G1445" t="s">
        <v>735</v>
      </c>
      <c r="H1445">
        <v>1</v>
      </c>
      <c r="I1445">
        <v>4</v>
      </c>
      <c r="J1445" t="s">
        <v>50</v>
      </c>
      <c r="K1445">
        <v>2026</v>
      </c>
      <c r="L1445">
        <v>3</v>
      </c>
      <c r="M1445" t="s">
        <v>51</v>
      </c>
      <c r="N1445">
        <v>3</v>
      </c>
      <c r="O1445">
        <v>2</v>
      </c>
      <c r="P1445" t="s">
        <v>168</v>
      </c>
      <c r="Q1445">
        <v>3</v>
      </c>
      <c r="R1445" t="s">
        <v>53</v>
      </c>
      <c r="S1445">
        <v>54302</v>
      </c>
      <c r="T1445" t="s">
        <v>64</v>
      </c>
      <c r="U1445">
        <v>339.39</v>
      </c>
      <c r="V1445">
        <v>1</v>
      </c>
      <c r="W1445" t="s">
        <v>55</v>
      </c>
      <c r="X1445">
        <v>21</v>
      </c>
      <c r="Y1445">
        <v>4</v>
      </c>
      <c r="Z1445">
        <v>1</v>
      </c>
      <c r="AA1445">
        <v>1</v>
      </c>
      <c r="AB1445">
        <v>13</v>
      </c>
      <c r="AC1445">
        <v>2</v>
      </c>
      <c r="AD1445">
        <v>2</v>
      </c>
      <c r="AE1445">
        <v>13</v>
      </c>
      <c r="AF1445">
        <v>12</v>
      </c>
      <c r="AG1445">
        <v>1</v>
      </c>
      <c r="AH1445">
        <v>9</v>
      </c>
      <c r="AI1445">
        <f t="shared" si="154"/>
        <v>0</v>
      </c>
      <c r="AJ1445" t="str">
        <f t="shared" si="155"/>
        <v>10+ yrs</v>
      </c>
      <c r="AK1445" t="str">
        <f t="shared" si="156"/>
        <v>Recent</v>
      </c>
      <c r="AL1445">
        <f t="shared" si="157"/>
        <v>1</v>
      </c>
      <c r="AM1445" t="str">
        <f t="shared" si="158"/>
        <v>Low Risk</v>
      </c>
      <c r="AN1445" s="6">
        <f t="shared" si="159"/>
        <v>0.12685133580771013</v>
      </c>
      <c r="AO1445" s="7">
        <f t="shared" si="160"/>
        <v>651624</v>
      </c>
    </row>
    <row r="1446" spans="1:41" x14ac:dyDescent="0.3">
      <c r="A1446" t="s">
        <v>1512</v>
      </c>
      <c r="B1446">
        <v>56</v>
      </c>
      <c r="C1446" t="s">
        <v>1499</v>
      </c>
      <c r="D1446" t="s">
        <v>47</v>
      </c>
      <c r="E1446" t="s">
        <v>48</v>
      </c>
      <c r="F1446">
        <v>310</v>
      </c>
      <c r="G1446" t="s">
        <v>735</v>
      </c>
      <c r="H1446">
        <v>7</v>
      </c>
      <c r="I1446">
        <v>2</v>
      </c>
      <c r="J1446" t="s">
        <v>77</v>
      </c>
      <c r="K1446">
        <v>2032</v>
      </c>
      <c r="L1446">
        <v>4</v>
      </c>
      <c r="M1446" t="s">
        <v>51</v>
      </c>
      <c r="N1446">
        <v>3</v>
      </c>
      <c r="O1446">
        <v>1</v>
      </c>
      <c r="P1446" t="s">
        <v>52</v>
      </c>
      <c r="Q1446">
        <v>3</v>
      </c>
      <c r="R1446" t="s">
        <v>113</v>
      </c>
      <c r="S1446">
        <v>24150</v>
      </c>
      <c r="T1446" t="s">
        <v>54</v>
      </c>
      <c r="U1446">
        <v>150.94</v>
      </c>
      <c r="V1446">
        <v>8</v>
      </c>
      <c r="W1446" t="s">
        <v>55</v>
      </c>
      <c r="X1446">
        <v>11</v>
      </c>
      <c r="Y1446">
        <v>3</v>
      </c>
      <c r="Z1446">
        <v>4</v>
      </c>
      <c r="AA1446">
        <v>1</v>
      </c>
      <c r="AB1446">
        <v>14</v>
      </c>
      <c r="AC1446">
        <v>4</v>
      </c>
      <c r="AD1446">
        <v>1</v>
      </c>
      <c r="AE1446">
        <v>10</v>
      </c>
      <c r="AF1446">
        <v>9</v>
      </c>
      <c r="AG1446">
        <v>9</v>
      </c>
      <c r="AH1446">
        <v>8</v>
      </c>
      <c r="AI1446">
        <f t="shared" si="154"/>
        <v>1</v>
      </c>
      <c r="AJ1446" t="str">
        <f t="shared" si="155"/>
        <v>6-10 yrs</v>
      </c>
      <c r="AK1446" t="str">
        <f t="shared" si="156"/>
        <v>Overdue</v>
      </c>
      <c r="AL1446">
        <f t="shared" si="157"/>
        <v>2</v>
      </c>
      <c r="AM1446" t="str">
        <f t="shared" si="158"/>
        <v>Medium Risk</v>
      </c>
      <c r="AN1446" s="6">
        <f t="shared" si="159"/>
        <v>-0.5330680479126223</v>
      </c>
      <c r="AO1446" s="7">
        <f t="shared" si="160"/>
        <v>289800</v>
      </c>
    </row>
    <row r="1447" spans="1:41" x14ac:dyDescent="0.3">
      <c r="A1447" t="s">
        <v>1513</v>
      </c>
      <c r="B1447">
        <v>57</v>
      </c>
      <c r="C1447" t="s">
        <v>1499</v>
      </c>
      <c r="D1447" t="s">
        <v>55</v>
      </c>
      <c r="E1447" t="s">
        <v>48</v>
      </c>
      <c r="F1447">
        <v>334</v>
      </c>
      <c r="G1447" t="s">
        <v>735</v>
      </c>
      <c r="H1447">
        <v>24</v>
      </c>
      <c r="I1447">
        <v>2</v>
      </c>
      <c r="J1447" t="s">
        <v>50</v>
      </c>
      <c r="K1447">
        <v>223</v>
      </c>
      <c r="L1447">
        <v>3</v>
      </c>
      <c r="M1447" t="s">
        <v>51</v>
      </c>
      <c r="N1447">
        <v>4</v>
      </c>
      <c r="O1447">
        <v>3</v>
      </c>
      <c r="P1447" t="s">
        <v>168</v>
      </c>
      <c r="Q1447">
        <v>4</v>
      </c>
      <c r="R1447" t="s">
        <v>113</v>
      </c>
      <c r="S1447">
        <v>69247</v>
      </c>
      <c r="T1447" t="s">
        <v>64</v>
      </c>
      <c r="U1447">
        <v>432.79</v>
      </c>
      <c r="V1447">
        <v>3</v>
      </c>
      <c r="W1447" t="s">
        <v>47</v>
      </c>
      <c r="X1447">
        <v>16</v>
      </c>
      <c r="Y1447">
        <v>3</v>
      </c>
      <c r="Z1447">
        <v>2</v>
      </c>
      <c r="AA1447">
        <v>1</v>
      </c>
      <c r="AB1447">
        <v>12</v>
      </c>
      <c r="AC1447">
        <v>2</v>
      </c>
      <c r="AD1447">
        <v>1</v>
      </c>
      <c r="AE1447">
        <v>5</v>
      </c>
      <c r="AF1447">
        <v>3</v>
      </c>
      <c r="AG1447">
        <v>1</v>
      </c>
      <c r="AH1447">
        <v>4</v>
      </c>
      <c r="AI1447">
        <f t="shared" si="154"/>
        <v>0</v>
      </c>
      <c r="AJ1447" t="str">
        <f t="shared" si="155"/>
        <v>4-5 yrs</v>
      </c>
      <c r="AK1447" t="str">
        <f t="shared" si="156"/>
        <v>Recent</v>
      </c>
      <c r="AL1447">
        <f t="shared" si="157"/>
        <v>2</v>
      </c>
      <c r="AM1447" t="str">
        <f t="shared" si="158"/>
        <v>Medium Risk</v>
      </c>
      <c r="AN1447" s="6">
        <f t="shared" si="159"/>
        <v>0.43698343432426989</v>
      </c>
      <c r="AO1447" s="7">
        <f t="shared" si="160"/>
        <v>830964</v>
      </c>
    </row>
    <row r="1448" spans="1:41" x14ac:dyDescent="0.3">
      <c r="A1448" t="s">
        <v>1514</v>
      </c>
      <c r="B1448">
        <v>57</v>
      </c>
      <c r="C1448" t="s">
        <v>1499</v>
      </c>
      <c r="D1448" t="s">
        <v>55</v>
      </c>
      <c r="E1448" t="s">
        <v>48</v>
      </c>
      <c r="F1448">
        <v>593</v>
      </c>
      <c r="G1448" t="s">
        <v>735</v>
      </c>
      <c r="H1448">
        <v>1</v>
      </c>
      <c r="I1448">
        <v>4</v>
      </c>
      <c r="J1448" t="s">
        <v>58</v>
      </c>
      <c r="K1448">
        <v>482</v>
      </c>
      <c r="L1448">
        <v>4</v>
      </c>
      <c r="M1448" t="s">
        <v>51</v>
      </c>
      <c r="N1448">
        <v>3</v>
      </c>
      <c r="O1448">
        <v>2</v>
      </c>
      <c r="P1448" t="s">
        <v>168</v>
      </c>
      <c r="Q1448">
        <v>3</v>
      </c>
      <c r="R1448" t="s">
        <v>113</v>
      </c>
      <c r="S1448">
        <v>5853</v>
      </c>
      <c r="T1448" t="s">
        <v>54</v>
      </c>
      <c r="U1448">
        <v>36.58</v>
      </c>
      <c r="V1448">
        <v>2</v>
      </c>
      <c r="W1448" t="s">
        <v>55</v>
      </c>
      <c r="X1448">
        <v>11</v>
      </c>
      <c r="Y1448">
        <v>3</v>
      </c>
      <c r="Z1448">
        <v>3</v>
      </c>
      <c r="AA1448">
        <v>0</v>
      </c>
      <c r="AB1448">
        <v>15</v>
      </c>
      <c r="AC1448">
        <v>2</v>
      </c>
      <c r="AD1448">
        <v>3</v>
      </c>
      <c r="AE1448">
        <v>3</v>
      </c>
      <c r="AF1448">
        <v>2</v>
      </c>
      <c r="AG1448">
        <v>1</v>
      </c>
      <c r="AH1448">
        <v>2</v>
      </c>
      <c r="AI1448">
        <f t="shared" si="154"/>
        <v>0</v>
      </c>
      <c r="AJ1448" t="str">
        <f t="shared" si="155"/>
        <v>2-3 yrs</v>
      </c>
      <c r="AK1448" t="str">
        <f t="shared" si="156"/>
        <v>Recent</v>
      </c>
      <c r="AL1448">
        <f t="shared" si="157"/>
        <v>0</v>
      </c>
      <c r="AM1448" t="str">
        <f t="shared" si="158"/>
        <v>Minimal Risk</v>
      </c>
      <c r="AN1448" s="6">
        <f t="shared" si="159"/>
        <v>-0.8785411058803998</v>
      </c>
      <c r="AO1448" s="7">
        <f t="shared" si="160"/>
        <v>70236</v>
      </c>
    </row>
    <row r="1449" spans="1:41" x14ac:dyDescent="0.3">
      <c r="A1449" t="s">
        <v>1515</v>
      </c>
      <c r="B1449">
        <v>57</v>
      </c>
      <c r="C1449" t="s">
        <v>1499</v>
      </c>
      <c r="D1449" t="s">
        <v>55</v>
      </c>
      <c r="E1449" t="s">
        <v>48</v>
      </c>
      <c r="F1449">
        <v>210</v>
      </c>
      <c r="G1449" t="s">
        <v>932</v>
      </c>
      <c r="H1449">
        <v>29</v>
      </c>
      <c r="I1449">
        <v>3</v>
      </c>
      <c r="J1449" t="s">
        <v>63</v>
      </c>
      <c r="K1449">
        <v>568</v>
      </c>
      <c r="L1449">
        <v>1</v>
      </c>
      <c r="M1449" t="s">
        <v>51</v>
      </c>
      <c r="N1449">
        <v>2</v>
      </c>
      <c r="O1449">
        <v>4</v>
      </c>
      <c r="P1449" t="s">
        <v>444</v>
      </c>
      <c r="Q1449">
        <v>4</v>
      </c>
      <c r="R1449" t="s">
        <v>113</v>
      </c>
      <c r="S1449">
        <v>95613</v>
      </c>
      <c r="T1449" t="s">
        <v>70</v>
      </c>
      <c r="U1449">
        <v>597.58000000000004</v>
      </c>
      <c r="V1449">
        <v>3</v>
      </c>
      <c r="W1449" t="s">
        <v>55</v>
      </c>
      <c r="X1449">
        <v>12</v>
      </c>
      <c r="Y1449">
        <v>3</v>
      </c>
      <c r="Z1449">
        <v>3</v>
      </c>
      <c r="AA1449">
        <v>1</v>
      </c>
      <c r="AB1449">
        <v>32</v>
      </c>
      <c r="AC1449">
        <v>3</v>
      </c>
      <c r="AD1449">
        <v>2</v>
      </c>
      <c r="AE1449">
        <v>1</v>
      </c>
      <c r="AF1449">
        <v>0</v>
      </c>
      <c r="AG1449">
        <v>0</v>
      </c>
      <c r="AH1449">
        <v>0</v>
      </c>
      <c r="AI1449">
        <f t="shared" si="154"/>
        <v>0</v>
      </c>
      <c r="AJ1449" t="str">
        <f t="shared" si="155"/>
        <v>0-1 yr</v>
      </c>
      <c r="AK1449" t="str">
        <f t="shared" si="156"/>
        <v>Recent</v>
      </c>
      <c r="AL1449">
        <f t="shared" si="157"/>
        <v>1</v>
      </c>
      <c r="AM1449" t="str">
        <f t="shared" si="158"/>
        <v>Low Risk</v>
      </c>
      <c r="AN1449" s="6">
        <f t="shared" si="159"/>
        <v>0.83172583893852781</v>
      </c>
      <c r="AO1449" s="7">
        <f t="shared" si="160"/>
        <v>1147356</v>
      </c>
    </row>
    <row r="1450" spans="1:41" x14ac:dyDescent="0.3">
      <c r="A1450" t="s">
        <v>1516</v>
      </c>
      <c r="B1450">
        <v>57</v>
      </c>
      <c r="C1450" t="s">
        <v>1499</v>
      </c>
      <c r="D1450" t="s">
        <v>55</v>
      </c>
      <c r="E1450" t="s">
        <v>48</v>
      </c>
      <c r="F1450">
        <v>405</v>
      </c>
      <c r="G1450" t="s">
        <v>735</v>
      </c>
      <c r="H1450">
        <v>1</v>
      </c>
      <c r="I1450">
        <v>2</v>
      </c>
      <c r="J1450" t="s">
        <v>50</v>
      </c>
      <c r="K1450">
        <v>1483</v>
      </c>
      <c r="L1450">
        <v>2</v>
      </c>
      <c r="M1450" t="s">
        <v>51</v>
      </c>
      <c r="N1450">
        <v>4</v>
      </c>
      <c r="O1450">
        <v>2</v>
      </c>
      <c r="P1450" t="s">
        <v>67</v>
      </c>
      <c r="Q1450">
        <v>3</v>
      </c>
      <c r="R1450" t="s">
        <v>113</v>
      </c>
      <c r="S1450">
        <v>90399</v>
      </c>
      <c r="T1450" t="s">
        <v>70</v>
      </c>
      <c r="U1450">
        <v>564.99</v>
      </c>
      <c r="V1450">
        <v>0</v>
      </c>
      <c r="W1450" t="s">
        <v>55</v>
      </c>
      <c r="X1450">
        <v>24</v>
      </c>
      <c r="Y1450">
        <v>4</v>
      </c>
      <c r="Z1450">
        <v>1</v>
      </c>
      <c r="AA1450">
        <v>1</v>
      </c>
      <c r="AB1450">
        <v>13</v>
      </c>
      <c r="AC1450">
        <v>2</v>
      </c>
      <c r="AD1450">
        <v>2</v>
      </c>
      <c r="AE1450">
        <v>12</v>
      </c>
      <c r="AF1450">
        <v>9</v>
      </c>
      <c r="AG1450">
        <v>2</v>
      </c>
      <c r="AH1450">
        <v>8</v>
      </c>
      <c r="AI1450">
        <f t="shared" si="154"/>
        <v>0</v>
      </c>
      <c r="AJ1450" t="str">
        <f t="shared" si="155"/>
        <v>10+ yrs</v>
      </c>
      <c r="AK1450" t="str">
        <f t="shared" si="156"/>
        <v>Recent</v>
      </c>
      <c r="AL1450">
        <f t="shared" si="157"/>
        <v>1</v>
      </c>
      <c r="AM1450" t="str">
        <f t="shared" si="158"/>
        <v>Low Risk</v>
      </c>
      <c r="AN1450" s="6">
        <f t="shared" si="159"/>
        <v>0.81283468466544673</v>
      </c>
      <c r="AO1450" s="7">
        <f t="shared" si="160"/>
        <v>1084788</v>
      </c>
    </row>
    <row r="1451" spans="1:41" x14ac:dyDescent="0.3">
      <c r="A1451" t="s">
        <v>1517</v>
      </c>
      <c r="B1451">
        <v>58</v>
      </c>
      <c r="C1451" t="s">
        <v>1499</v>
      </c>
      <c r="D1451" t="s">
        <v>55</v>
      </c>
      <c r="E1451" t="s">
        <v>48</v>
      </c>
      <c r="F1451">
        <v>682</v>
      </c>
      <c r="G1451" t="s">
        <v>57</v>
      </c>
      <c r="H1451">
        <v>10</v>
      </c>
      <c r="I1451">
        <v>4</v>
      </c>
      <c r="J1451" t="s">
        <v>58</v>
      </c>
      <c r="K1451">
        <v>131</v>
      </c>
      <c r="L1451">
        <v>4</v>
      </c>
      <c r="M1451" t="s">
        <v>51</v>
      </c>
      <c r="N1451">
        <v>3</v>
      </c>
      <c r="O1451">
        <v>4</v>
      </c>
      <c r="P1451" t="s">
        <v>145</v>
      </c>
      <c r="Q1451">
        <v>3</v>
      </c>
      <c r="R1451" t="s">
        <v>53</v>
      </c>
      <c r="S1451">
        <v>22792</v>
      </c>
      <c r="T1451" t="s">
        <v>54</v>
      </c>
      <c r="U1451">
        <v>142.44999999999999</v>
      </c>
      <c r="V1451">
        <v>0</v>
      </c>
      <c r="W1451" t="s">
        <v>55</v>
      </c>
      <c r="X1451">
        <v>13</v>
      </c>
      <c r="Y1451">
        <v>3</v>
      </c>
      <c r="Z1451">
        <v>3</v>
      </c>
      <c r="AA1451">
        <v>0</v>
      </c>
      <c r="AB1451">
        <v>38</v>
      </c>
      <c r="AC1451">
        <v>1</v>
      </c>
      <c r="AD1451">
        <v>2</v>
      </c>
      <c r="AE1451">
        <v>37</v>
      </c>
      <c r="AF1451">
        <v>10</v>
      </c>
      <c r="AG1451">
        <v>1</v>
      </c>
      <c r="AH1451">
        <v>8</v>
      </c>
      <c r="AI1451">
        <f t="shared" si="154"/>
        <v>0</v>
      </c>
      <c r="AJ1451" t="str">
        <f t="shared" si="155"/>
        <v>10+ yrs</v>
      </c>
      <c r="AK1451" t="str">
        <f t="shared" si="156"/>
        <v>Recent</v>
      </c>
      <c r="AL1451">
        <f t="shared" si="157"/>
        <v>1</v>
      </c>
      <c r="AM1451" t="str">
        <f t="shared" si="158"/>
        <v>Low Risk</v>
      </c>
      <c r="AN1451" s="6">
        <f t="shared" si="159"/>
        <v>-0.53540678133282182</v>
      </c>
      <c r="AO1451" s="7">
        <f t="shared" si="160"/>
        <v>273504</v>
      </c>
    </row>
    <row r="1452" spans="1:41" x14ac:dyDescent="0.3">
      <c r="A1452" t="s">
        <v>1518</v>
      </c>
      <c r="B1452">
        <v>58</v>
      </c>
      <c r="C1452" t="s">
        <v>1499</v>
      </c>
      <c r="D1452" t="s">
        <v>47</v>
      </c>
      <c r="E1452" t="s">
        <v>48</v>
      </c>
      <c r="F1452">
        <v>147</v>
      </c>
      <c r="G1452" t="s">
        <v>735</v>
      </c>
      <c r="H1452">
        <v>23</v>
      </c>
      <c r="I1452">
        <v>4</v>
      </c>
      <c r="J1452" t="s">
        <v>58</v>
      </c>
      <c r="K1452">
        <v>165</v>
      </c>
      <c r="L1452">
        <v>4</v>
      </c>
      <c r="M1452" t="s">
        <v>59</v>
      </c>
      <c r="N1452">
        <v>3</v>
      </c>
      <c r="O1452">
        <v>3</v>
      </c>
      <c r="P1452" t="s">
        <v>168</v>
      </c>
      <c r="Q1452">
        <v>4</v>
      </c>
      <c r="R1452" t="s">
        <v>113</v>
      </c>
      <c r="S1452">
        <v>60129</v>
      </c>
      <c r="T1452" t="s">
        <v>64</v>
      </c>
      <c r="U1452">
        <v>375.81</v>
      </c>
      <c r="V1452">
        <v>1</v>
      </c>
      <c r="W1452" t="s">
        <v>55</v>
      </c>
      <c r="X1452">
        <v>12</v>
      </c>
      <c r="Y1452">
        <v>3</v>
      </c>
      <c r="Z1452">
        <v>4</v>
      </c>
      <c r="AA1452">
        <v>1</v>
      </c>
      <c r="AB1452">
        <v>40</v>
      </c>
      <c r="AC1452">
        <v>3</v>
      </c>
      <c r="AD1452">
        <v>2</v>
      </c>
      <c r="AE1452">
        <v>40</v>
      </c>
      <c r="AF1452">
        <v>10</v>
      </c>
      <c r="AG1452">
        <v>15</v>
      </c>
      <c r="AH1452">
        <v>6</v>
      </c>
      <c r="AI1452">
        <f t="shared" si="154"/>
        <v>1</v>
      </c>
      <c r="AJ1452" t="str">
        <f t="shared" si="155"/>
        <v>10+ yrs</v>
      </c>
      <c r="AK1452" t="str">
        <f t="shared" si="156"/>
        <v>Overdue</v>
      </c>
      <c r="AL1452">
        <f t="shared" si="157"/>
        <v>2</v>
      </c>
      <c r="AM1452" t="str">
        <f t="shared" si="158"/>
        <v>Medium Risk</v>
      </c>
      <c r="AN1452" s="6">
        <f t="shared" si="159"/>
        <v>0.24777068930760934</v>
      </c>
      <c r="AO1452" s="7">
        <f t="shared" si="160"/>
        <v>721548</v>
      </c>
    </row>
    <row r="1453" spans="1:41" x14ac:dyDescent="0.3">
      <c r="A1453" t="s">
        <v>1519</v>
      </c>
      <c r="B1453">
        <v>58</v>
      </c>
      <c r="C1453" t="s">
        <v>1499</v>
      </c>
      <c r="D1453" t="s">
        <v>55</v>
      </c>
      <c r="E1453" t="s">
        <v>48</v>
      </c>
      <c r="F1453">
        <v>1145</v>
      </c>
      <c r="G1453" t="s">
        <v>735</v>
      </c>
      <c r="H1453">
        <v>9</v>
      </c>
      <c r="I1453">
        <v>3</v>
      </c>
      <c r="J1453" t="s">
        <v>58</v>
      </c>
      <c r="K1453">
        <v>214</v>
      </c>
      <c r="L1453">
        <v>2</v>
      </c>
      <c r="M1453" t="s">
        <v>59</v>
      </c>
      <c r="N1453">
        <v>2</v>
      </c>
      <c r="O1453">
        <v>1</v>
      </c>
      <c r="P1453" t="s">
        <v>67</v>
      </c>
      <c r="Q1453">
        <v>2</v>
      </c>
      <c r="R1453" t="s">
        <v>113</v>
      </c>
      <c r="S1453">
        <v>75478</v>
      </c>
      <c r="T1453" t="s">
        <v>64</v>
      </c>
      <c r="U1453">
        <v>471.74</v>
      </c>
      <c r="V1453">
        <v>4</v>
      </c>
      <c r="W1453" t="s">
        <v>47</v>
      </c>
      <c r="X1453">
        <v>20</v>
      </c>
      <c r="Y1453">
        <v>4</v>
      </c>
      <c r="Z1453">
        <v>2</v>
      </c>
      <c r="AA1453">
        <v>1</v>
      </c>
      <c r="AB1453">
        <v>9</v>
      </c>
      <c r="AC1453">
        <v>3</v>
      </c>
      <c r="AD1453">
        <v>2</v>
      </c>
      <c r="AE1453">
        <v>1</v>
      </c>
      <c r="AF1453">
        <v>0</v>
      </c>
      <c r="AG1453">
        <v>0</v>
      </c>
      <c r="AH1453">
        <v>0</v>
      </c>
      <c r="AI1453">
        <f t="shared" si="154"/>
        <v>0</v>
      </c>
      <c r="AJ1453" t="str">
        <f t="shared" si="155"/>
        <v>0-1 yr</v>
      </c>
      <c r="AK1453" t="str">
        <f t="shared" si="156"/>
        <v>Recent</v>
      </c>
      <c r="AL1453">
        <f t="shared" si="157"/>
        <v>3</v>
      </c>
      <c r="AM1453" t="str">
        <f t="shared" si="158"/>
        <v>High Risk</v>
      </c>
      <c r="AN1453" s="6">
        <f t="shared" si="159"/>
        <v>0.51361338432038617</v>
      </c>
      <c r="AO1453" s="7">
        <f t="shared" si="160"/>
        <v>905736</v>
      </c>
    </row>
    <row r="1454" spans="1:41" x14ac:dyDescent="0.3">
      <c r="A1454" t="s">
        <v>1520</v>
      </c>
      <c r="B1454">
        <v>58</v>
      </c>
      <c r="C1454" t="s">
        <v>1499</v>
      </c>
      <c r="D1454" t="s">
        <v>55</v>
      </c>
      <c r="E1454" t="s">
        <v>66</v>
      </c>
      <c r="F1454">
        <v>390</v>
      </c>
      <c r="G1454" t="s">
        <v>735</v>
      </c>
      <c r="H1454">
        <v>1</v>
      </c>
      <c r="I1454">
        <v>4</v>
      </c>
      <c r="J1454" t="s">
        <v>50</v>
      </c>
      <c r="K1454">
        <v>422</v>
      </c>
      <c r="L1454">
        <v>4</v>
      </c>
      <c r="M1454" t="s">
        <v>51</v>
      </c>
      <c r="N1454">
        <v>1</v>
      </c>
      <c r="O1454">
        <v>2</v>
      </c>
      <c r="P1454" t="s">
        <v>168</v>
      </c>
      <c r="Q1454">
        <v>3</v>
      </c>
      <c r="R1454" t="s">
        <v>53</v>
      </c>
      <c r="S1454">
        <v>68298</v>
      </c>
      <c r="T1454" t="s">
        <v>64</v>
      </c>
      <c r="U1454">
        <v>426.86</v>
      </c>
      <c r="V1454">
        <v>2</v>
      </c>
      <c r="W1454" t="s">
        <v>47</v>
      </c>
      <c r="X1454">
        <v>13</v>
      </c>
      <c r="Y1454">
        <v>3</v>
      </c>
      <c r="Z1454">
        <v>4</v>
      </c>
      <c r="AA1454">
        <v>1</v>
      </c>
      <c r="AB1454">
        <v>12</v>
      </c>
      <c r="AC1454">
        <v>2</v>
      </c>
      <c r="AD1454">
        <v>3</v>
      </c>
      <c r="AE1454">
        <v>5</v>
      </c>
      <c r="AF1454">
        <v>3</v>
      </c>
      <c r="AG1454">
        <v>1</v>
      </c>
      <c r="AH1454">
        <v>2</v>
      </c>
      <c r="AI1454">
        <f t="shared" si="154"/>
        <v>0</v>
      </c>
      <c r="AJ1454" t="str">
        <f t="shared" si="155"/>
        <v>4-5 yrs</v>
      </c>
      <c r="AK1454" t="str">
        <f t="shared" si="156"/>
        <v>Recent</v>
      </c>
      <c r="AL1454">
        <f t="shared" si="157"/>
        <v>1</v>
      </c>
      <c r="AM1454" t="str">
        <f t="shared" si="158"/>
        <v>Low Risk</v>
      </c>
      <c r="AN1454" s="6">
        <f t="shared" si="159"/>
        <v>0.4172902017051856</v>
      </c>
      <c r="AO1454" s="7">
        <f t="shared" si="160"/>
        <v>819576</v>
      </c>
    </row>
    <row r="1455" spans="1:41" x14ac:dyDescent="0.3">
      <c r="A1455" t="s">
        <v>1521</v>
      </c>
      <c r="B1455">
        <v>58</v>
      </c>
      <c r="C1455" t="s">
        <v>1499</v>
      </c>
      <c r="D1455" t="s">
        <v>47</v>
      </c>
      <c r="E1455" t="s">
        <v>48</v>
      </c>
      <c r="F1455">
        <v>286</v>
      </c>
      <c r="G1455" t="s">
        <v>735</v>
      </c>
      <c r="H1455">
        <v>2</v>
      </c>
      <c r="I1455">
        <v>4</v>
      </c>
      <c r="J1455" t="s">
        <v>50</v>
      </c>
      <c r="K1455">
        <v>825</v>
      </c>
      <c r="L1455">
        <v>4</v>
      </c>
      <c r="M1455" t="s">
        <v>51</v>
      </c>
      <c r="N1455">
        <v>3</v>
      </c>
      <c r="O1455">
        <v>5</v>
      </c>
      <c r="P1455" t="s">
        <v>257</v>
      </c>
      <c r="Q1455">
        <v>2</v>
      </c>
      <c r="R1455" t="s">
        <v>53</v>
      </c>
      <c r="S1455">
        <v>32987</v>
      </c>
      <c r="T1455" t="s">
        <v>72</v>
      </c>
      <c r="U1455">
        <v>206.17</v>
      </c>
      <c r="V1455">
        <v>7</v>
      </c>
      <c r="W1455" t="s">
        <v>47</v>
      </c>
      <c r="X1455">
        <v>12</v>
      </c>
      <c r="Y1455">
        <v>3</v>
      </c>
      <c r="Z1455">
        <v>4</v>
      </c>
      <c r="AA1455">
        <v>0</v>
      </c>
      <c r="AB1455">
        <v>40</v>
      </c>
      <c r="AC1455">
        <v>2</v>
      </c>
      <c r="AD1455">
        <v>3</v>
      </c>
      <c r="AE1455">
        <v>31</v>
      </c>
      <c r="AF1455">
        <v>15</v>
      </c>
      <c r="AG1455">
        <v>13</v>
      </c>
      <c r="AH1455">
        <v>8</v>
      </c>
      <c r="AI1455">
        <f t="shared" si="154"/>
        <v>1</v>
      </c>
      <c r="AJ1455" t="str">
        <f t="shared" si="155"/>
        <v>10+ yrs</v>
      </c>
      <c r="AK1455" t="str">
        <f t="shared" si="156"/>
        <v>Overdue</v>
      </c>
      <c r="AL1455">
        <f t="shared" si="157"/>
        <v>3</v>
      </c>
      <c r="AM1455" t="str">
        <f t="shared" si="158"/>
        <v>High Risk</v>
      </c>
      <c r="AN1455" s="6">
        <f t="shared" si="159"/>
        <v>-0.34889463381367986</v>
      </c>
      <c r="AO1455" s="7">
        <f t="shared" si="160"/>
        <v>395844</v>
      </c>
    </row>
    <row r="1456" spans="1:41" x14ac:dyDescent="0.3">
      <c r="A1456" t="s">
        <v>1522</v>
      </c>
      <c r="B1456">
        <v>58</v>
      </c>
      <c r="C1456" t="s">
        <v>1499</v>
      </c>
      <c r="D1456" t="s">
        <v>47</v>
      </c>
      <c r="E1456" t="s">
        <v>62</v>
      </c>
      <c r="F1456">
        <v>781</v>
      </c>
      <c r="G1456" t="s">
        <v>735</v>
      </c>
      <c r="H1456">
        <v>2</v>
      </c>
      <c r="I1456">
        <v>1</v>
      </c>
      <c r="J1456" t="s">
        <v>50</v>
      </c>
      <c r="K1456">
        <v>918</v>
      </c>
      <c r="L1456">
        <v>4</v>
      </c>
      <c r="M1456" t="s">
        <v>51</v>
      </c>
      <c r="N1456">
        <v>2</v>
      </c>
      <c r="O1456">
        <v>1</v>
      </c>
      <c r="P1456" t="s">
        <v>52</v>
      </c>
      <c r="Q1456">
        <v>4</v>
      </c>
      <c r="R1456" t="s">
        <v>53</v>
      </c>
      <c r="S1456">
        <v>16850</v>
      </c>
      <c r="T1456" t="s">
        <v>54</v>
      </c>
      <c r="U1456">
        <v>105.31</v>
      </c>
      <c r="V1456">
        <v>9</v>
      </c>
      <c r="W1456" t="s">
        <v>47</v>
      </c>
      <c r="X1456">
        <v>14</v>
      </c>
      <c r="Y1456">
        <v>3</v>
      </c>
      <c r="Z1456">
        <v>4</v>
      </c>
      <c r="AA1456">
        <v>1</v>
      </c>
      <c r="AB1456">
        <v>3</v>
      </c>
      <c r="AC1456">
        <v>3</v>
      </c>
      <c r="AD1456">
        <v>2</v>
      </c>
      <c r="AE1456">
        <v>1</v>
      </c>
      <c r="AF1456">
        <v>0</v>
      </c>
      <c r="AG1456">
        <v>0</v>
      </c>
      <c r="AH1456">
        <v>0</v>
      </c>
      <c r="AI1456">
        <f t="shared" si="154"/>
        <v>1</v>
      </c>
      <c r="AJ1456" t="str">
        <f t="shared" si="155"/>
        <v>0-1 yr</v>
      </c>
      <c r="AK1456" t="str">
        <f t="shared" si="156"/>
        <v>Recent</v>
      </c>
      <c r="AL1456">
        <f t="shared" si="157"/>
        <v>2</v>
      </c>
      <c r="AM1456" t="str">
        <f t="shared" si="158"/>
        <v>Medium Risk</v>
      </c>
      <c r="AN1456" s="6">
        <f t="shared" si="159"/>
        <v>-0.6742110396408979</v>
      </c>
      <c r="AO1456" s="7">
        <f t="shared" si="160"/>
        <v>202200</v>
      </c>
    </row>
    <row r="1457" spans="1:41" x14ac:dyDescent="0.3">
      <c r="A1457" t="s">
        <v>1523</v>
      </c>
      <c r="B1457">
        <v>58</v>
      </c>
      <c r="C1457" t="s">
        <v>1499</v>
      </c>
      <c r="D1457" t="s">
        <v>55</v>
      </c>
      <c r="E1457" t="s">
        <v>48</v>
      </c>
      <c r="F1457">
        <v>1272</v>
      </c>
      <c r="G1457" t="s">
        <v>735</v>
      </c>
      <c r="H1457">
        <v>5</v>
      </c>
      <c r="I1457">
        <v>3</v>
      </c>
      <c r="J1457" t="s">
        <v>77</v>
      </c>
      <c r="K1457">
        <v>940</v>
      </c>
      <c r="L1457">
        <v>3</v>
      </c>
      <c r="M1457" t="s">
        <v>59</v>
      </c>
      <c r="N1457">
        <v>2</v>
      </c>
      <c r="O1457">
        <v>3</v>
      </c>
      <c r="P1457" t="s">
        <v>168</v>
      </c>
      <c r="Q1457">
        <v>2</v>
      </c>
      <c r="R1457" t="s">
        <v>53</v>
      </c>
      <c r="S1457">
        <v>13112</v>
      </c>
      <c r="T1457" t="s">
        <v>54</v>
      </c>
      <c r="U1457">
        <v>81.95</v>
      </c>
      <c r="V1457">
        <v>2</v>
      </c>
      <c r="W1457" t="s">
        <v>47</v>
      </c>
      <c r="X1457">
        <v>13</v>
      </c>
      <c r="Y1457">
        <v>3</v>
      </c>
      <c r="Z1457">
        <v>4</v>
      </c>
      <c r="AA1457">
        <v>1</v>
      </c>
      <c r="AB1457">
        <v>24</v>
      </c>
      <c r="AC1457">
        <v>3</v>
      </c>
      <c r="AD1457">
        <v>3</v>
      </c>
      <c r="AE1457">
        <v>6</v>
      </c>
      <c r="AF1457">
        <v>0</v>
      </c>
      <c r="AG1457">
        <v>0</v>
      </c>
      <c r="AH1457">
        <v>4</v>
      </c>
      <c r="AI1457">
        <f t="shared" si="154"/>
        <v>0</v>
      </c>
      <c r="AJ1457" t="str">
        <f t="shared" si="155"/>
        <v>6-10 yrs</v>
      </c>
      <c r="AK1457" t="str">
        <f t="shared" si="156"/>
        <v>Recent</v>
      </c>
      <c r="AL1457">
        <f t="shared" si="157"/>
        <v>2</v>
      </c>
      <c r="AM1457" t="str">
        <f t="shared" si="158"/>
        <v>Medium Risk</v>
      </c>
      <c r="AN1457" s="6">
        <f t="shared" si="159"/>
        <v>-0.72790551517235658</v>
      </c>
      <c r="AO1457" s="7">
        <f t="shared" si="160"/>
        <v>157344</v>
      </c>
    </row>
    <row r="1458" spans="1:41" x14ac:dyDescent="0.3">
      <c r="A1458" t="s">
        <v>1524</v>
      </c>
      <c r="B1458">
        <v>58</v>
      </c>
      <c r="C1458" t="s">
        <v>1499</v>
      </c>
      <c r="D1458" t="s">
        <v>47</v>
      </c>
      <c r="E1458" t="s">
        <v>48</v>
      </c>
      <c r="F1458">
        <v>289</v>
      </c>
      <c r="G1458" t="s">
        <v>735</v>
      </c>
      <c r="H1458">
        <v>2</v>
      </c>
      <c r="I1458">
        <v>3</v>
      </c>
      <c r="J1458" t="s">
        <v>77</v>
      </c>
      <c r="K1458">
        <v>977</v>
      </c>
      <c r="L1458">
        <v>4</v>
      </c>
      <c r="M1458" t="s">
        <v>51</v>
      </c>
      <c r="N1458">
        <v>3</v>
      </c>
      <c r="O1458">
        <v>1</v>
      </c>
      <c r="P1458" t="s">
        <v>67</v>
      </c>
      <c r="Q1458">
        <v>3</v>
      </c>
      <c r="R1458" t="s">
        <v>53</v>
      </c>
      <c r="S1458">
        <v>25058</v>
      </c>
      <c r="T1458" t="s">
        <v>72</v>
      </c>
      <c r="U1458">
        <v>156.61000000000001</v>
      </c>
      <c r="V1458">
        <v>4</v>
      </c>
      <c r="W1458" t="s">
        <v>55</v>
      </c>
      <c r="X1458">
        <v>24</v>
      </c>
      <c r="Y1458">
        <v>4</v>
      </c>
      <c r="Z1458">
        <v>1</v>
      </c>
      <c r="AA1458">
        <v>0</v>
      </c>
      <c r="AB1458">
        <v>7</v>
      </c>
      <c r="AC1458">
        <v>4</v>
      </c>
      <c r="AD1458">
        <v>3</v>
      </c>
      <c r="AE1458">
        <v>1</v>
      </c>
      <c r="AF1458">
        <v>0</v>
      </c>
      <c r="AG1458">
        <v>0</v>
      </c>
      <c r="AH1458">
        <v>0</v>
      </c>
      <c r="AI1458">
        <f t="shared" si="154"/>
        <v>1</v>
      </c>
      <c r="AJ1458" t="str">
        <f t="shared" si="155"/>
        <v>0-1 yr</v>
      </c>
      <c r="AK1458" t="str">
        <f t="shared" si="156"/>
        <v>Recent</v>
      </c>
      <c r="AL1458">
        <f t="shared" si="157"/>
        <v>0</v>
      </c>
      <c r="AM1458" t="str">
        <f t="shared" si="158"/>
        <v>Minimal Risk</v>
      </c>
      <c r="AN1458" s="6">
        <f t="shared" si="159"/>
        <v>-0.497494313782821</v>
      </c>
      <c r="AO1458" s="7">
        <f t="shared" si="160"/>
        <v>300696</v>
      </c>
    </row>
    <row r="1459" spans="1:41" x14ac:dyDescent="0.3">
      <c r="A1459" t="s">
        <v>1525</v>
      </c>
      <c r="B1459">
        <v>58</v>
      </c>
      <c r="C1459" t="s">
        <v>1499</v>
      </c>
      <c r="D1459" t="s">
        <v>55</v>
      </c>
      <c r="E1459" t="s">
        <v>48</v>
      </c>
      <c r="F1459">
        <v>848</v>
      </c>
      <c r="G1459" t="s">
        <v>735</v>
      </c>
      <c r="H1459">
        <v>23</v>
      </c>
      <c r="I1459">
        <v>4</v>
      </c>
      <c r="J1459" t="s">
        <v>50</v>
      </c>
      <c r="K1459">
        <v>1308</v>
      </c>
      <c r="L1459">
        <v>1</v>
      </c>
      <c r="M1459" t="s">
        <v>51</v>
      </c>
      <c r="N1459">
        <v>3</v>
      </c>
      <c r="O1459">
        <v>1</v>
      </c>
      <c r="P1459" t="s">
        <v>67</v>
      </c>
      <c r="Q1459">
        <v>3</v>
      </c>
      <c r="R1459" t="s">
        <v>53</v>
      </c>
      <c r="S1459">
        <v>46420</v>
      </c>
      <c r="T1459" t="s">
        <v>72</v>
      </c>
      <c r="U1459">
        <v>290.12</v>
      </c>
      <c r="V1459">
        <v>1</v>
      </c>
      <c r="W1459" t="s">
        <v>55</v>
      </c>
      <c r="X1459">
        <v>12</v>
      </c>
      <c r="Y1459">
        <v>3</v>
      </c>
      <c r="Z1459">
        <v>4</v>
      </c>
      <c r="AA1459">
        <v>2</v>
      </c>
      <c r="AB1459">
        <v>2</v>
      </c>
      <c r="AC1459">
        <v>3</v>
      </c>
      <c r="AD1459">
        <v>3</v>
      </c>
      <c r="AE1459">
        <v>2</v>
      </c>
      <c r="AF1459">
        <v>2</v>
      </c>
      <c r="AG1459">
        <v>2</v>
      </c>
      <c r="AH1459">
        <v>2</v>
      </c>
      <c r="AI1459">
        <f t="shared" si="154"/>
        <v>0</v>
      </c>
      <c r="AJ1459" t="str">
        <f t="shared" si="155"/>
        <v>2-3 yrs</v>
      </c>
      <c r="AK1459" t="str">
        <f t="shared" si="156"/>
        <v>Recent</v>
      </c>
      <c r="AL1459">
        <f t="shared" si="157"/>
        <v>0</v>
      </c>
      <c r="AM1459" t="str">
        <f t="shared" si="158"/>
        <v>Minimal Risk</v>
      </c>
      <c r="AN1459" s="6">
        <f t="shared" si="159"/>
        <v>-6.9107113329018741E-2</v>
      </c>
      <c r="AO1459" s="7">
        <f t="shared" si="160"/>
        <v>557040</v>
      </c>
    </row>
    <row r="1460" spans="1:41" x14ac:dyDescent="0.3">
      <c r="A1460" t="s">
        <v>1526</v>
      </c>
      <c r="B1460">
        <v>58</v>
      </c>
      <c r="C1460" t="s">
        <v>1499</v>
      </c>
      <c r="D1460" t="s">
        <v>47</v>
      </c>
      <c r="E1460" t="s">
        <v>48</v>
      </c>
      <c r="F1460">
        <v>601</v>
      </c>
      <c r="G1460" t="s">
        <v>735</v>
      </c>
      <c r="H1460">
        <v>7</v>
      </c>
      <c r="I1460">
        <v>4</v>
      </c>
      <c r="J1460" t="s">
        <v>58</v>
      </c>
      <c r="K1460">
        <v>1360</v>
      </c>
      <c r="L1460">
        <v>3</v>
      </c>
      <c r="M1460" t="s">
        <v>59</v>
      </c>
      <c r="N1460">
        <v>2</v>
      </c>
      <c r="O1460">
        <v>3</v>
      </c>
      <c r="P1460" t="s">
        <v>120</v>
      </c>
      <c r="Q1460">
        <v>1</v>
      </c>
      <c r="R1460" t="s">
        <v>113</v>
      </c>
      <c r="S1460">
        <v>39890</v>
      </c>
      <c r="T1460" t="s">
        <v>72</v>
      </c>
      <c r="U1460">
        <v>249.31</v>
      </c>
      <c r="V1460">
        <v>7</v>
      </c>
      <c r="W1460" t="s">
        <v>47</v>
      </c>
      <c r="X1460">
        <v>14</v>
      </c>
      <c r="Y1460">
        <v>3</v>
      </c>
      <c r="Z1460">
        <v>4</v>
      </c>
      <c r="AA1460">
        <v>0</v>
      </c>
      <c r="AB1460">
        <v>31</v>
      </c>
      <c r="AC1460">
        <v>0</v>
      </c>
      <c r="AD1460">
        <v>2</v>
      </c>
      <c r="AE1460">
        <v>10</v>
      </c>
      <c r="AF1460">
        <v>9</v>
      </c>
      <c r="AG1460">
        <v>5</v>
      </c>
      <c r="AH1460">
        <v>9</v>
      </c>
      <c r="AI1460">
        <f t="shared" si="154"/>
        <v>1</v>
      </c>
      <c r="AJ1460" t="str">
        <f t="shared" si="155"/>
        <v>6-10 yrs</v>
      </c>
      <c r="AK1460" t="str">
        <f t="shared" si="156"/>
        <v>Overdue</v>
      </c>
      <c r="AL1460">
        <f t="shared" si="157"/>
        <v>4</v>
      </c>
      <c r="AM1460" t="str">
        <f t="shared" si="158"/>
        <v>High Risk</v>
      </c>
      <c r="AN1460" s="6">
        <f t="shared" si="159"/>
        <v>-9.9453713469630028E-2</v>
      </c>
      <c r="AO1460" s="7">
        <f t="shared" si="160"/>
        <v>478680</v>
      </c>
    </row>
    <row r="1461" spans="1:41" x14ac:dyDescent="0.3">
      <c r="A1461" t="s">
        <v>1527</v>
      </c>
      <c r="B1461">
        <v>58</v>
      </c>
      <c r="C1461" t="s">
        <v>1499</v>
      </c>
      <c r="D1461" t="s">
        <v>55</v>
      </c>
      <c r="E1461" t="s">
        <v>48</v>
      </c>
      <c r="F1461">
        <v>1055</v>
      </c>
      <c r="G1461" t="s">
        <v>735</v>
      </c>
      <c r="H1461">
        <v>1</v>
      </c>
      <c r="I1461">
        <v>3</v>
      </c>
      <c r="J1461" t="s">
        <v>58</v>
      </c>
      <c r="K1461">
        <v>1423</v>
      </c>
      <c r="L1461">
        <v>4</v>
      </c>
      <c r="M1461" t="s">
        <v>59</v>
      </c>
      <c r="N1461">
        <v>3</v>
      </c>
      <c r="O1461">
        <v>5</v>
      </c>
      <c r="P1461" t="s">
        <v>257</v>
      </c>
      <c r="Q1461">
        <v>1</v>
      </c>
      <c r="R1461" t="s">
        <v>113</v>
      </c>
      <c r="S1461">
        <v>67017</v>
      </c>
      <c r="T1461" t="s">
        <v>64</v>
      </c>
      <c r="U1461">
        <v>418.86</v>
      </c>
      <c r="V1461">
        <v>3</v>
      </c>
      <c r="W1461" t="s">
        <v>47</v>
      </c>
      <c r="X1461">
        <v>21</v>
      </c>
      <c r="Y1461">
        <v>4</v>
      </c>
      <c r="Z1461">
        <v>3</v>
      </c>
      <c r="AA1461">
        <v>1</v>
      </c>
      <c r="AB1461">
        <v>32</v>
      </c>
      <c r="AC1461">
        <v>3</v>
      </c>
      <c r="AD1461">
        <v>3</v>
      </c>
      <c r="AE1461">
        <v>9</v>
      </c>
      <c r="AF1461">
        <v>8</v>
      </c>
      <c r="AG1461">
        <v>1</v>
      </c>
      <c r="AH1461">
        <v>5</v>
      </c>
      <c r="AI1461">
        <f t="shared" si="154"/>
        <v>0</v>
      </c>
      <c r="AJ1461" t="str">
        <f t="shared" si="155"/>
        <v>6-10 yrs</v>
      </c>
      <c r="AK1461" t="str">
        <f t="shared" si="156"/>
        <v>Recent</v>
      </c>
      <c r="AL1461">
        <f t="shared" si="157"/>
        <v>2</v>
      </c>
      <c r="AM1461" t="str">
        <f t="shared" si="158"/>
        <v>Medium Risk</v>
      </c>
      <c r="AN1461" s="6">
        <f t="shared" si="159"/>
        <v>0.32279771806192192</v>
      </c>
      <c r="AO1461" s="7">
        <f t="shared" si="160"/>
        <v>804204</v>
      </c>
    </row>
    <row r="1462" spans="1:41" x14ac:dyDescent="0.3">
      <c r="A1462" t="s">
        <v>1528</v>
      </c>
      <c r="B1462">
        <v>58</v>
      </c>
      <c r="C1462" t="s">
        <v>1499</v>
      </c>
      <c r="D1462" t="s">
        <v>55</v>
      </c>
      <c r="E1462" t="s">
        <v>66</v>
      </c>
      <c r="F1462">
        <v>350</v>
      </c>
      <c r="G1462" t="s">
        <v>57</v>
      </c>
      <c r="H1462">
        <v>2</v>
      </c>
      <c r="I1462">
        <v>3</v>
      </c>
      <c r="J1462" t="s">
        <v>58</v>
      </c>
      <c r="K1462">
        <v>1824</v>
      </c>
      <c r="L1462">
        <v>2</v>
      </c>
      <c r="M1462" t="s">
        <v>51</v>
      </c>
      <c r="N1462">
        <v>3</v>
      </c>
      <c r="O1462">
        <v>4</v>
      </c>
      <c r="P1462" t="s">
        <v>444</v>
      </c>
      <c r="Q1462">
        <v>2</v>
      </c>
      <c r="R1462" t="s">
        <v>53</v>
      </c>
      <c r="S1462">
        <v>48304</v>
      </c>
      <c r="T1462" t="s">
        <v>72</v>
      </c>
      <c r="U1462">
        <v>301.89999999999998</v>
      </c>
      <c r="V1462">
        <v>4</v>
      </c>
      <c r="W1462" t="s">
        <v>55</v>
      </c>
      <c r="X1462">
        <v>22</v>
      </c>
      <c r="Y1462">
        <v>4</v>
      </c>
      <c r="Z1462">
        <v>4</v>
      </c>
      <c r="AA1462">
        <v>1</v>
      </c>
      <c r="AB1462">
        <v>37</v>
      </c>
      <c r="AC1462">
        <v>0</v>
      </c>
      <c r="AD1462">
        <v>2</v>
      </c>
      <c r="AE1462">
        <v>16</v>
      </c>
      <c r="AF1462">
        <v>9</v>
      </c>
      <c r="AG1462">
        <v>14</v>
      </c>
      <c r="AH1462">
        <v>14</v>
      </c>
      <c r="AI1462">
        <f t="shared" si="154"/>
        <v>0</v>
      </c>
      <c r="AJ1462" t="str">
        <f t="shared" si="155"/>
        <v>10+ yrs</v>
      </c>
      <c r="AK1462" t="str">
        <f t="shared" si="156"/>
        <v>Overdue</v>
      </c>
      <c r="AL1462">
        <f t="shared" si="157"/>
        <v>3</v>
      </c>
      <c r="AM1462" t="str">
        <f t="shared" si="158"/>
        <v>High Risk</v>
      </c>
      <c r="AN1462" s="6">
        <f t="shared" si="159"/>
        <v>-7.4606121300590425E-2</v>
      </c>
      <c r="AO1462" s="7">
        <f t="shared" si="160"/>
        <v>579648</v>
      </c>
    </row>
    <row r="1463" spans="1:41" x14ac:dyDescent="0.3">
      <c r="A1463" t="s">
        <v>1529</v>
      </c>
      <c r="B1463">
        <v>58</v>
      </c>
      <c r="C1463" t="s">
        <v>1499</v>
      </c>
      <c r="D1463" t="s">
        <v>55</v>
      </c>
      <c r="E1463" t="s">
        <v>62</v>
      </c>
      <c r="F1463">
        <v>1216</v>
      </c>
      <c r="G1463" t="s">
        <v>735</v>
      </c>
      <c r="H1463">
        <v>15</v>
      </c>
      <c r="I1463">
        <v>4</v>
      </c>
      <c r="J1463" t="s">
        <v>50</v>
      </c>
      <c r="K1463">
        <v>1837</v>
      </c>
      <c r="L1463">
        <v>1</v>
      </c>
      <c r="M1463" t="s">
        <v>51</v>
      </c>
      <c r="N1463">
        <v>3</v>
      </c>
      <c r="O1463">
        <v>4</v>
      </c>
      <c r="P1463" t="s">
        <v>257</v>
      </c>
      <c r="Q1463">
        <v>3</v>
      </c>
      <c r="R1463" t="s">
        <v>113</v>
      </c>
      <c r="S1463">
        <v>33921</v>
      </c>
      <c r="T1463" t="s">
        <v>72</v>
      </c>
      <c r="U1463">
        <v>212.01</v>
      </c>
      <c r="V1463">
        <v>2</v>
      </c>
      <c r="W1463" t="s">
        <v>47</v>
      </c>
      <c r="X1463">
        <v>14</v>
      </c>
      <c r="Y1463">
        <v>3</v>
      </c>
      <c r="Z1463">
        <v>2</v>
      </c>
      <c r="AA1463">
        <v>0</v>
      </c>
      <c r="AB1463">
        <v>23</v>
      </c>
      <c r="AC1463">
        <v>3</v>
      </c>
      <c r="AD1463">
        <v>3</v>
      </c>
      <c r="AE1463">
        <v>2</v>
      </c>
      <c r="AF1463">
        <v>2</v>
      </c>
      <c r="AG1463">
        <v>2</v>
      </c>
      <c r="AH1463">
        <v>2</v>
      </c>
      <c r="AI1463">
        <f t="shared" si="154"/>
        <v>0</v>
      </c>
      <c r="AJ1463" t="str">
        <f t="shared" si="155"/>
        <v>2-3 yrs</v>
      </c>
      <c r="AK1463" t="str">
        <f t="shared" si="156"/>
        <v>Recent</v>
      </c>
      <c r="AL1463">
        <f t="shared" si="157"/>
        <v>1</v>
      </c>
      <c r="AM1463" t="str">
        <f t="shared" si="158"/>
        <v>Low Risk</v>
      </c>
      <c r="AN1463" s="6">
        <f t="shared" si="159"/>
        <v>-0.3304591164274967</v>
      </c>
      <c r="AO1463" s="7">
        <f t="shared" si="160"/>
        <v>407052</v>
      </c>
    </row>
    <row r="1464" spans="1:41" x14ac:dyDescent="0.3">
      <c r="A1464" t="s">
        <v>1530</v>
      </c>
      <c r="B1464">
        <v>58</v>
      </c>
      <c r="C1464" t="s">
        <v>1499</v>
      </c>
      <c r="D1464" t="s">
        <v>55</v>
      </c>
      <c r="E1464" t="s">
        <v>48</v>
      </c>
      <c r="F1464">
        <v>605</v>
      </c>
      <c r="G1464" t="s">
        <v>57</v>
      </c>
      <c r="H1464">
        <v>21</v>
      </c>
      <c r="I1464">
        <v>3</v>
      </c>
      <c r="J1464" t="s">
        <v>50</v>
      </c>
      <c r="K1464">
        <v>1938</v>
      </c>
      <c r="L1464">
        <v>4</v>
      </c>
      <c r="M1464" t="s">
        <v>59</v>
      </c>
      <c r="N1464">
        <v>3</v>
      </c>
      <c r="O1464">
        <v>4</v>
      </c>
      <c r="P1464" t="s">
        <v>444</v>
      </c>
      <c r="Q1464">
        <v>4</v>
      </c>
      <c r="R1464" t="s">
        <v>113</v>
      </c>
      <c r="S1464">
        <v>2524</v>
      </c>
      <c r="T1464" t="s">
        <v>54</v>
      </c>
      <c r="U1464">
        <v>15.78</v>
      </c>
      <c r="V1464">
        <v>4</v>
      </c>
      <c r="W1464" t="s">
        <v>47</v>
      </c>
      <c r="X1464">
        <v>13</v>
      </c>
      <c r="Y1464">
        <v>3</v>
      </c>
      <c r="Z1464">
        <v>3</v>
      </c>
      <c r="AA1464">
        <v>1</v>
      </c>
      <c r="AB1464">
        <v>29</v>
      </c>
      <c r="AC1464">
        <v>2</v>
      </c>
      <c r="AD1464">
        <v>2</v>
      </c>
      <c r="AE1464">
        <v>1</v>
      </c>
      <c r="AF1464">
        <v>0</v>
      </c>
      <c r="AG1464">
        <v>0</v>
      </c>
      <c r="AH1464">
        <v>0</v>
      </c>
      <c r="AI1464">
        <f t="shared" si="154"/>
        <v>0</v>
      </c>
      <c r="AJ1464" t="str">
        <f t="shared" si="155"/>
        <v>0-1 yr</v>
      </c>
      <c r="AK1464" t="str">
        <f t="shared" si="156"/>
        <v>Recent</v>
      </c>
      <c r="AL1464">
        <f t="shared" si="157"/>
        <v>2</v>
      </c>
      <c r="AM1464" t="str">
        <f t="shared" si="158"/>
        <v>Medium Risk</v>
      </c>
      <c r="AN1464" s="6">
        <f t="shared" si="159"/>
        <v>-0.95164594754394438</v>
      </c>
      <c r="AO1464" s="7">
        <f t="shared" si="160"/>
        <v>30288</v>
      </c>
    </row>
    <row r="1465" spans="1:41" x14ac:dyDescent="0.3">
      <c r="A1465" t="s">
        <v>1531</v>
      </c>
      <c r="B1465">
        <v>59</v>
      </c>
      <c r="C1465" t="s">
        <v>1499</v>
      </c>
      <c r="D1465" t="s">
        <v>55</v>
      </c>
      <c r="E1465" t="s">
        <v>48</v>
      </c>
      <c r="F1465">
        <v>1324</v>
      </c>
      <c r="G1465" t="s">
        <v>735</v>
      </c>
      <c r="H1465">
        <v>3</v>
      </c>
      <c r="I1465">
        <v>3</v>
      </c>
      <c r="J1465" t="s">
        <v>58</v>
      </c>
      <c r="K1465">
        <v>10</v>
      </c>
      <c r="L1465">
        <v>3</v>
      </c>
      <c r="M1465" t="s">
        <v>59</v>
      </c>
      <c r="N1465">
        <v>4</v>
      </c>
      <c r="O1465">
        <v>1</v>
      </c>
      <c r="P1465" t="s">
        <v>52</v>
      </c>
      <c r="Q1465">
        <v>1</v>
      </c>
      <c r="R1465" t="s">
        <v>113</v>
      </c>
      <c r="S1465">
        <v>16048</v>
      </c>
      <c r="T1465" t="s">
        <v>54</v>
      </c>
      <c r="U1465">
        <v>100.3</v>
      </c>
      <c r="V1465">
        <v>4</v>
      </c>
      <c r="W1465" t="s">
        <v>47</v>
      </c>
      <c r="X1465">
        <v>20</v>
      </c>
      <c r="Y1465">
        <v>4</v>
      </c>
      <c r="Z1465">
        <v>1</v>
      </c>
      <c r="AA1465">
        <v>3</v>
      </c>
      <c r="AB1465">
        <v>12</v>
      </c>
      <c r="AC1465">
        <v>3</v>
      </c>
      <c r="AD1465">
        <v>2</v>
      </c>
      <c r="AE1465">
        <v>1</v>
      </c>
      <c r="AF1465">
        <v>0</v>
      </c>
      <c r="AG1465">
        <v>0</v>
      </c>
      <c r="AH1465">
        <v>0</v>
      </c>
      <c r="AI1465">
        <f t="shared" si="154"/>
        <v>0</v>
      </c>
      <c r="AJ1465" t="str">
        <f t="shared" si="155"/>
        <v>0-1 yr</v>
      </c>
      <c r="AK1465" t="str">
        <f t="shared" si="156"/>
        <v>Recent</v>
      </c>
      <c r="AL1465">
        <f t="shared" si="157"/>
        <v>3</v>
      </c>
      <c r="AM1465" t="str">
        <f t="shared" si="158"/>
        <v>High Risk</v>
      </c>
      <c r="AN1465" s="6">
        <f t="shared" si="159"/>
        <v>-0.68971743407460717</v>
      </c>
      <c r="AO1465" s="7">
        <f t="shared" si="160"/>
        <v>192576</v>
      </c>
    </row>
    <row r="1466" spans="1:41" x14ac:dyDescent="0.3">
      <c r="A1466" t="s">
        <v>1532</v>
      </c>
      <c r="B1466">
        <v>59</v>
      </c>
      <c r="C1466" t="s">
        <v>1499</v>
      </c>
      <c r="D1466" t="s">
        <v>55</v>
      </c>
      <c r="E1466" t="s">
        <v>48</v>
      </c>
      <c r="F1466">
        <v>1435</v>
      </c>
      <c r="G1466" t="s">
        <v>57</v>
      </c>
      <c r="H1466">
        <v>25</v>
      </c>
      <c r="I1466">
        <v>3</v>
      </c>
      <c r="J1466" t="s">
        <v>50</v>
      </c>
      <c r="K1466">
        <v>81</v>
      </c>
      <c r="L1466">
        <v>1</v>
      </c>
      <c r="M1466" t="s">
        <v>59</v>
      </c>
      <c r="N1466">
        <v>3</v>
      </c>
      <c r="O1466">
        <v>3</v>
      </c>
      <c r="P1466" t="s">
        <v>145</v>
      </c>
      <c r="Q1466">
        <v>1</v>
      </c>
      <c r="R1466" t="s">
        <v>53</v>
      </c>
      <c r="S1466">
        <v>36111</v>
      </c>
      <c r="T1466" t="s">
        <v>72</v>
      </c>
      <c r="U1466">
        <v>225.69</v>
      </c>
      <c r="V1466">
        <v>7</v>
      </c>
      <c r="W1466" t="s">
        <v>55</v>
      </c>
      <c r="X1466">
        <v>11</v>
      </c>
      <c r="Y1466">
        <v>3</v>
      </c>
      <c r="Z1466">
        <v>4</v>
      </c>
      <c r="AA1466">
        <v>0</v>
      </c>
      <c r="AB1466">
        <v>28</v>
      </c>
      <c r="AC1466">
        <v>3</v>
      </c>
      <c r="AD1466">
        <v>2</v>
      </c>
      <c r="AE1466">
        <v>21</v>
      </c>
      <c r="AF1466">
        <v>16</v>
      </c>
      <c r="AG1466">
        <v>7</v>
      </c>
      <c r="AH1466">
        <v>9</v>
      </c>
      <c r="AI1466">
        <f t="shared" si="154"/>
        <v>0</v>
      </c>
      <c r="AJ1466" t="str">
        <f t="shared" si="155"/>
        <v>10+ yrs</v>
      </c>
      <c r="AK1466" t="str">
        <f t="shared" si="156"/>
        <v>Overdue</v>
      </c>
      <c r="AL1466">
        <f t="shared" si="157"/>
        <v>3</v>
      </c>
      <c r="AM1466" t="str">
        <f t="shared" si="158"/>
        <v>High Risk</v>
      </c>
      <c r="AN1466" s="6">
        <f t="shared" si="159"/>
        <v>-0.26391164797777861</v>
      </c>
      <c r="AO1466" s="7">
        <f t="shared" si="160"/>
        <v>433332</v>
      </c>
    </row>
    <row r="1467" spans="1:41" x14ac:dyDescent="0.3">
      <c r="A1467" t="s">
        <v>1533</v>
      </c>
      <c r="B1467">
        <v>59</v>
      </c>
      <c r="C1467" t="s">
        <v>1499</v>
      </c>
      <c r="D1467" t="s">
        <v>55</v>
      </c>
      <c r="E1467" t="s">
        <v>62</v>
      </c>
      <c r="F1467">
        <v>1225</v>
      </c>
      <c r="G1467" t="s">
        <v>57</v>
      </c>
      <c r="H1467">
        <v>1</v>
      </c>
      <c r="I1467">
        <v>1</v>
      </c>
      <c r="J1467" t="s">
        <v>50</v>
      </c>
      <c r="K1467">
        <v>91</v>
      </c>
      <c r="L1467">
        <v>1</v>
      </c>
      <c r="M1467" t="s">
        <v>59</v>
      </c>
      <c r="N1467">
        <v>2</v>
      </c>
      <c r="O1467">
        <v>2</v>
      </c>
      <c r="P1467" t="s">
        <v>145</v>
      </c>
      <c r="Q1467">
        <v>3</v>
      </c>
      <c r="R1467" t="s">
        <v>53</v>
      </c>
      <c r="S1467">
        <v>38904</v>
      </c>
      <c r="T1467" t="s">
        <v>72</v>
      </c>
      <c r="U1467">
        <v>243.15</v>
      </c>
      <c r="V1467">
        <v>7</v>
      </c>
      <c r="W1467" t="s">
        <v>55</v>
      </c>
      <c r="X1467">
        <v>11</v>
      </c>
      <c r="Y1467">
        <v>3</v>
      </c>
      <c r="Z1467">
        <v>4</v>
      </c>
      <c r="AA1467">
        <v>0</v>
      </c>
      <c r="AB1467">
        <v>20</v>
      </c>
      <c r="AC1467">
        <v>2</v>
      </c>
      <c r="AD1467">
        <v>2</v>
      </c>
      <c r="AE1467">
        <v>4</v>
      </c>
      <c r="AF1467">
        <v>3</v>
      </c>
      <c r="AG1467">
        <v>1</v>
      </c>
      <c r="AH1467">
        <v>3</v>
      </c>
      <c r="AI1467">
        <f t="shared" si="154"/>
        <v>0</v>
      </c>
      <c r="AJ1467" t="str">
        <f t="shared" si="155"/>
        <v>4-5 yrs</v>
      </c>
      <c r="AK1467" t="str">
        <f t="shared" si="156"/>
        <v>Recent</v>
      </c>
      <c r="AL1467">
        <f t="shared" si="157"/>
        <v>1</v>
      </c>
      <c r="AM1467" t="str">
        <f t="shared" si="158"/>
        <v>Low Risk</v>
      </c>
      <c r="AN1467" s="6">
        <f t="shared" si="159"/>
        <v>-0.20697900232415326</v>
      </c>
      <c r="AO1467" s="7">
        <f t="shared" si="160"/>
        <v>466848</v>
      </c>
    </row>
    <row r="1468" spans="1:41" x14ac:dyDescent="0.3">
      <c r="A1468" t="s">
        <v>1534</v>
      </c>
      <c r="B1468">
        <v>59</v>
      </c>
      <c r="C1468" t="s">
        <v>1499</v>
      </c>
      <c r="D1468" t="s">
        <v>55</v>
      </c>
      <c r="E1468" t="s">
        <v>66</v>
      </c>
      <c r="F1468">
        <v>1420</v>
      </c>
      <c r="G1468" t="s">
        <v>80</v>
      </c>
      <c r="H1468">
        <v>2</v>
      </c>
      <c r="I1468">
        <v>4</v>
      </c>
      <c r="J1468" t="s">
        <v>80</v>
      </c>
      <c r="K1468">
        <v>140</v>
      </c>
      <c r="L1468">
        <v>3</v>
      </c>
      <c r="M1468" t="s">
        <v>59</v>
      </c>
      <c r="N1468">
        <v>2</v>
      </c>
      <c r="O1468">
        <v>5</v>
      </c>
      <c r="P1468" t="s">
        <v>444</v>
      </c>
      <c r="Q1468">
        <v>4</v>
      </c>
      <c r="R1468" t="s">
        <v>113</v>
      </c>
      <c r="S1468">
        <v>55912</v>
      </c>
      <c r="T1468" t="s">
        <v>64</v>
      </c>
      <c r="U1468">
        <v>349.45</v>
      </c>
      <c r="V1468">
        <v>9</v>
      </c>
      <c r="W1468" t="s">
        <v>55</v>
      </c>
      <c r="X1468">
        <v>21</v>
      </c>
      <c r="Y1468">
        <v>4</v>
      </c>
      <c r="Z1468">
        <v>4</v>
      </c>
      <c r="AA1468">
        <v>1</v>
      </c>
      <c r="AB1468">
        <v>30</v>
      </c>
      <c r="AC1468">
        <v>3</v>
      </c>
      <c r="AD1468">
        <v>3</v>
      </c>
      <c r="AE1468">
        <v>3</v>
      </c>
      <c r="AF1468">
        <v>2</v>
      </c>
      <c r="AG1468">
        <v>2</v>
      </c>
      <c r="AH1468">
        <v>2</v>
      </c>
      <c r="AI1468">
        <f t="shared" si="154"/>
        <v>0</v>
      </c>
      <c r="AJ1468" t="str">
        <f t="shared" si="155"/>
        <v>2-3 yrs</v>
      </c>
      <c r="AK1468" t="str">
        <f t="shared" si="156"/>
        <v>Recent</v>
      </c>
      <c r="AL1468">
        <f t="shared" si="157"/>
        <v>0</v>
      </c>
      <c r="AM1468" t="str">
        <f t="shared" si="158"/>
        <v>Minimal Risk</v>
      </c>
      <c r="AN1468" s="6">
        <f t="shared" si="159"/>
        <v>7.1145713519406018E-2</v>
      </c>
      <c r="AO1468" s="7">
        <f t="shared" si="160"/>
        <v>670944</v>
      </c>
    </row>
    <row r="1469" spans="1:41" x14ac:dyDescent="0.3">
      <c r="A1469" t="s">
        <v>1535</v>
      </c>
      <c r="B1469">
        <v>59</v>
      </c>
      <c r="C1469" t="s">
        <v>1499</v>
      </c>
      <c r="D1469" t="s">
        <v>55</v>
      </c>
      <c r="E1469" t="s">
        <v>48</v>
      </c>
      <c r="F1469">
        <v>142</v>
      </c>
      <c r="G1469" t="s">
        <v>735</v>
      </c>
      <c r="H1469">
        <v>3</v>
      </c>
      <c r="I1469">
        <v>3</v>
      </c>
      <c r="J1469" t="s">
        <v>50</v>
      </c>
      <c r="K1469">
        <v>309</v>
      </c>
      <c r="L1469">
        <v>3</v>
      </c>
      <c r="M1469" t="s">
        <v>51</v>
      </c>
      <c r="N1469">
        <v>2</v>
      </c>
      <c r="O1469">
        <v>1</v>
      </c>
      <c r="P1469" t="s">
        <v>67</v>
      </c>
      <c r="Q1469">
        <v>4</v>
      </c>
      <c r="R1469" t="s">
        <v>113</v>
      </c>
      <c r="S1469">
        <v>35008</v>
      </c>
      <c r="T1469" t="s">
        <v>72</v>
      </c>
      <c r="U1469">
        <v>218.8</v>
      </c>
      <c r="V1469">
        <v>3</v>
      </c>
      <c r="W1469" t="s">
        <v>55</v>
      </c>
      <c r="X1469">
        <v>17</v>
      </c>
      <c r="Y1469">
        <v>3</v>
      </c>
      <c r="Z1469">
        <v>1</v>
      </c>
      <c r="AA1469">
        <v>1</v>
      </c>
      <c r="AB1469">
        <v>7</v>
      </c>
      <c r="AC1469">
        <v>6</v>
      </c>
      <c r="AD1469">
        <v>3</v>
      </c>
      <c r="AE1469">
        <v>1</v>
      </c>
      <c r="AF1469">
        <v>0</v>
      </c>
      <c r="AG1469">
        <v>0</v>
      </c>
      <c r="AH1469">
        <v>0</v>
      </c>
      <c r="AI1469">
        <f t="shared" si="154"/>
        <v>0</v>
      </c>
      <c r="AJ1469" t="str">
        <f t="shared" si="155"/>
        <v>0-1 yr</v>
      </c>
      <c r="AK1469" t="str">
        <f t="shared" si="156"/>
        <v>Recent</v>
      </c>
      <c r="AL1469">
        <f t="shared" si="157"/>
        <v>0</v>
      </c>
      <c r="AM1469" t="str">
        <f t="shared" si="158"/>
        <v>Minimal Risk</v>
      </c>
      <c r="AN1469" s="6">
        <f t="shared" si="159"/>
        <v>-0.29795997034515914</v>
      </c>
      <c r="AO1469" s="7">
        <f t="shared" si="160"/>
        <v>420096</v>
      </c>
    </row>
    <row r="1470" spans="1:41" x14ac:dyDescent="0.3">
      <c r="A1470" t="s">
        <v>1536</v>
      </c>
      <c r="B1470">
        <v>59</v>
      </c>
      <c r="C1470" t="s">
        <v>1499</v>
      </c>
      <c r="D1470" t="s">
        <v>55</v>
      </c>
      <c r="E1470" t="s">
        <v>48</v>
      </c>
      <c r="F1470">
        <v>818</v>
      </c>
      <c r="G1470" t="s">
        <v>80</v>
      </c>
      <c r="H1470">
        <v>6</v>
      </c>
      <c r="I1470">
        <v>2</v>
      </c>
      <c r="J1470" t="s">
        <v>58</v>
      </c>
      <c r="K1470">
        <v>321</v>
      </c>
      <c r="L1470">
        <v>2</v>
      </c>
      <c r="M1470" t="s">
        <v>51</v>
      </c>
      <c r="N1470">
        <v>3</v>
      </c>
      <c r="O1470">
        <v>1</v>
      </c>
      <c r="P1470" t="s">
        <v>80</v>
      </c>
      <c r="Q1470">
        <v>3</v>
      </c>
      <c r="R1470" t="s">
        <v>113</v>
      </c>
      <c r="S1470">
        <v>1060</v>
      </c>
      <c r="T1470" t="s">
        <v>54</v>
      </c>
      <c r="U1470">
        <v>6.62</v>
      </c>
      <c r="V1470">
        <v>8</v>
      </c>
      <c r="W1470" t="s">
        <v>55</v>
      </c>
      <c r="X1470">
        <v>17</v>
      </c>
      <c r="Y1470">
        <v>3</v>
      </c>
      <c r="Z1470">
        <v>4</v>
      </c>
      <c r="AA1470">
        <v>0</v>
      </c>
      <c r="AB1470">
        <v>7</v>
      </c>
      <c r="AC1470">
        <v>2</v>
      </c>
      <c r="AD1470">
        <v>2</v>
      </c>
      <c r="AE1470">
        <v>2</v>
      </c>
      <c r="AF1470">
        <v>2</v>
      </c>
      <c r="AG1470">
        <v>2</v>
      </c>
      <c r="AH1470">
        <v>2</v>
      </c>
      <c r="AI1470">
        <f t="shared" si="154"/>
        <v>0</v>
      </c>
      <c r="AJ1470" t="str">
        <f t="shared" si="155"/>
        <v>2-3 yrs</v>
      </c>
      <c r="AK1470" t="str">
        <f t="shared" si="156"/>
        <v>Recent</v>
      </c>
      <c r="AL1470">
        <f t="shared" si="157"/>
        <v>1</v>
      </c>
      <c r="AM1470" t="str">
        <f t="shared" si="158"/>
        <v>Low Risk</v>
      </c>
      <c r="AN1470" s="6">
        <f t="shared" si="159"/>
        <v>-0.97911084667012793</v>
      </c>
      <c r="AO1470" s="7">
        <f t="shared" si="160"/>
        <v>12720</v>
      </c>
    </row>
    <row r="1471" spans="1:41" x14ac:dyDescent="0.3">
      <c r="A1471" t="s">
        <v>1537</v>
      </c>
      <c r="B1471">
        <v>59</v>
      </c>
      <c r="C1471" t="s">
        <v>1499</v>
      </c>
      <c r="D1471" t="s">
        <v>55</v>
      </c>
      <c r="E1471" t="s">
        <v>48</v>
      </c>
      <c r="F1471">
        <v>715</v>
      </c>
      <c r="G1471" t="s">
        <v>735</v>
      </c>
      <c r="H1471">
        <v>2</v>
      </c>
      <c r="I1471">
        <v>3</v>
      </c>
      <c r="J1471" t="s">
        <v>50</v>
      </c>
      <c r="K1471">
        <v>1032</v>
      </c>
      <c r="L1471">
        <v>3</v>
      </c>
      <c r="M1471" t="s">
        <v>59</v>
      </c>
      <c r="N1471">
        <v>2</v>
      </c>
      <c r="O1471">
        <v>4</v>
      </c>
      <c r="P1471" t="s">
        <v>120</v>
      </c>
      <c r="Q1471">
        <v>4</v>
      </c>
      <c r="R1471" t="s">
        <v>53</v>
      </c>
      <c r="S1471">
        <v>75666</v>
      </c>
      <c r="T1471" t="s">
        <v>64</v>
      </c>
      <c r="U1471">
        <v>472.91</v>
      </c>
      <c r="V1471">
        <v>3</v>
      </c>
      <c r="W1471" t="s">
        <v>47</v>
      </c>
      <c r="X1471">
        <v>13</v>
      </c>
      <c r="Y1471">
        <v>3</v>
      </c>
      <c r="Z1471">
        <v>1</v>
      </c>
      <c r="AA1471">
        <v>0</v>
      </c>
      <c r="AB1471">
        <v>30</v>
      </c>
      <c r="AC1471">
        <v>4</v>
      </c>
      <c r="AD1471">
        <v>3</v>
      </c>
      <c r="AE1471">
        <v>5</v>
      </c>
      <c r="AF1471">
        <v>3</v>
      </c>
      <c r="AG1471">
        <v>4</v>
      </c>
      <c r="AH1471">
        <v>3</v>
      </c>
      <c r="AI1471">
        <f t="shared" si="154"/>
        <v>0</v>
      </c>
      <c r="AJ1471" t="str">
        <f t="shared" si="155"/>
        <v>4-5 yrs</v>
      </c>
      <c r="AK1471" t="str">
        <f t="shared" si="156"/>
        <v>Overdue</v>
      </c>
      <c r="AL1471">
        <f t="shared" si="157"/>
        <v>2</v>
      </c>
      <c r="AM1471" t="str">
        <f t="shared" si="158"/>
        <v>Medium Risk</v>
      </c>
      <c r="AN1471" s="6">
        <f t="shared" si="159"/>
        <v>0.70821597685151605</v>
      </c>
      <c r="AO1471" s="7">
        <f t="shared" si="160"/>
        <v>907992</v>
      </c>
    </row>
    <row r="1472" spans="1:41" x14ac:dyDescent="0.3">
      <c r="A1472" t="s">
        <v>1538</v>
      </c>
      <c r="B1472">
        <v>59</v>
      </c>
      <c r="C1472" t="s">
        <v>1499</v>
      </c>
      <c r="D1472" t="s">
        <v>55</v>
      </c>
      <c r="E1472" t="s">
        <v>48</v>
      </c>
      <c r="F1472">
        <v>1089</v>
      </c>
      <c r="G1472" t="s">
        <v>57</v>
      </c>
      <c r="H1472">
        <v>1</v>
      </c>
      <c r="I1472">
        <v>2</v>
      </c>
      <c r="J1472" t="s">
        <v>77</v>
      </c>
      <c r="K1472">
        <v>1048</v>
      </c>
      <c r="L1472">
        <v>2</v>
      </c>
      <c r="M1472" t="s">
        <v>51</v>
      </c>
      <c r="N1472">
        <v>3</v>
      </c>
      <c r="O1472">
        <v>3</v>
      </c>
      <c r="P1472" t="s">
        <v>444</v>
      </c>
      <c r="Q1472">
        <v>4</v>
      </c>
      <c r="R1472" t="s">
        <v>113</v>
      </c>
      <c r="S1472">
        <v>84559</v>
      </c>
      <c r="T1472" t="s">
        <v>70</v>
      </c>
      <c r="U1472">
        <v>528.49</v>
      </c>
      <c r="V1472">
        <v>3</v>
      </c>
      <c r="W1472" t="s">
        <v>47</v>
      </c>
      <c r="X1472">
        <v>14</v>
      </c>
      <c r="Y1472">
        <v>3</v>
      </c>
      <c r="Z1472">
        <v>3</v>
      </c>
      <c r="AA1472">
        <v>1</v>
      </c>
      <c r="AB1472">
        <v>14</v>
      </c>
      <c r="AC1472">
        <v>1</v>
      </c>
      <c r="AD1472">
        <v>1</v>
      </c>
      <c r="AE1472">
        <v>6</v>
      </c>
      <c r="AF1472">
        <v>4</v>
      </c>
      <c r="AG1472">
        <v>0</v>
      </c>
      <c r="AH1472">
        <v>4</v>
      </c>
      <c r="AI1472">
        <f t="shared" si="154"/>
        <v>0</v>
      </c>
      <c r="AJ1472" t="str">
        <f t="shared" si="155"/>
        <v>6-10 yrs</v>
      </c>
      <c r="AK1472" t="str">
        <f t="shared" si="156"/>
        <v>Recent</v>
      </c>
      <c r="AL1472">
        <f t="shared" si="157"/>
        <v>2</v>
      </c>
      <c r="AM1472" t="str">
        <f t="shared" si="158"/>
        <v>Medium Risk</v>
      </c>
      <c r="AN1472" s="6">
        <f t="shared" si="159"/>
        <v>0.61995654581283899</v>
      </c>
      <c r="AO1472" s="7">
        <f t="shared" si="160"/>
        <v>1014708</v>
      </c>
    </row>
    <row r="1473" spans="1:41" x14ac:dyDescent="0.3">
      <c r="A1473" t="s">
        <v>1539</v>
      </c>
      <c r="B1473">
        <v>59</v>
      </c>
      <c r="C1473" t="s">
        <v>1499</v>
      </c>
      <c r="D1473" t="s">
        <v>55</v>
      </c>
      <c r="E1473" t="s">
        <v>48</v>
      </c>
      <c r="F1473">
        <v>326</v>
      </c>
      <c r="G1473" t="s">
        <v>57</v>
      </c>
      <c r="H1473">
        <v>3</v>
      </c>
      <c r="I1473">
        <v>3</v>
      </c>
      <c r="J1473" t="s">
        <v>50</v>
      </c>
      <c r="K1473">
        <v>1254</v>
      </c>
      <c r="L1473">
        <v>3</v>
      </c>
      <c r="M1473" t="s">
        <v>59</v>
      </c>
      <c r="N1473">
        <v>2</v>
      </c>
      <c r="O1473">
        <v>2</v>
      </c>
      <c r="P1473" t="s">
        <v>145</v>
      </c>
      <c r="Q1473">
        <v>4</v>
      </c>
      <c r="R1473" t="s">
        <v>53</v>
      </c>
      <c r="S1473">
        <v>56337</v>
      </c>
      <c r="T1473" t="s">
        <v>64</v>
      </c>
      <c r="U1473">
        <v>352.11</v>
      </c>
      <c r="V1473">
        <v>5</v>
      </c>
      <c r="W1473" t="s">
        <v>55</v>
      </c>
      <c r="X1473">
        <v>17</v>
      </c>
      <c r="Y1473">
        <v>3</v>
      </c>
      <c r="Z1473">
        <v>4</v>
      </c>
      <c r="AA1473">
        <v>0</v>
      </c>
      <c r="AB1473">
        <v>13</v>
      </c>
      <c r="AC1473">
        <v>2</v>
      </c>
      <c r="AD1473">
        <v>3</v>
      </c>
      <c r="AE1473">
        <v>6</v>
      </c>
      <c r="AF1473">
        <v>1</v>
      </c>
      <c r="AG1473">
        <v>0</v>
      </c>
      <c r="AH1473">
        <v>5</v>
      </c>
      <c r="AI1473">
        <f t="shared" si="154"/>
        <v>0</v>
      </c>
      <c r="AJ1473" t="str">
        <f t="shared" si="155"/>
        <v>6-10 yrs</v>
      </c>
      <c r="AK1473" t="str">
        <f t="shared" si="156"/>
        <v>Recent</v>
      </c>
      <c r="AL1473">
        <f t="shared" si="157"/>
        <v>0</v>
      </c>
      <c r="AM1473" t="str">
        <f t="shared" si="158"/>
        <v>Minimal Risk</v>
      </c>
      <c r="AN1473" s="6">
        <f t="shared" si="159"/>
        <v>0.14837610389842121</v>
      </c>
      <c r="AO1473" s="7">
        <f t="shared" si="160"/>
        <v>676044</v>
      </c>
    </row>
    <row r="1474" spans="1:41" x14ac:dyDescent="0.3">
      <c r="A1474" t="s">
        <v>1540</v>
      </c>
      <c r="B1474">
        <v>59</v>
      </c>
      <c r="C1474" t="s">
        <v>1499</v>
      </c>
      <c r="D1474" t="s">
        <v>55</v>
      </c>
      <c r="E1474" t="s">
        <v>48</v>
      </c>
      <c r="F1474">
        <v>1429</v>
      </c>
      <c r="G1474" t="s">
        <v>735</v>
      </c>
      <c r="H1474">
        <v>18</v>
      </c>
      <c r="I1474">
        <v>4</v>
      </c>
      <c r="J1474" t="s">
        <v>58</v>
      </c>
      <c r="K1474">
        <v>1283</v>
      </c>
      <c r="L1474">
        <v>4</v>
      </c>
      <c r="M1474" t="s">
        <v>51</v>
      </c>
      <c r="N1474">
        <v>3</v>
      </c>
      <c r="O1474">
        <v>3</v>
      </c>
      <c r="P1474" t="s">
        <v>120</v>
      </c>
      <c r="Q1474">
        <v>4</v>
      </c>
      <c r="R1474" t="s">
        <v>53</v>
      </c>
      <c r="S1474">
        <v>14350</v>
      </c>
      <c r="T1474" t="s">
        <v>54</v>
      </c>
      <c r="U1474">
        <v>89.69</v>
      </c>
      <c r="V1474">
        <v>6</v>
      </c>
      <c r="W1474" t="s">
        <v>55</v>
      </c>
      <c r="X1474">
        <v>12</v>
      </c>
      <c r="Y1474">
        <v>3</v>
      </c>
      <c r="Z1474">
        <v>4</v>
      </c>
      <c r="AA1474">
        <v>0</v>
      </c>
      <c r="AB1474">
        <v>25</v>
      </c>
      <c r="AC1474">
        <v>6</v>
      </c>
      <c r="AD1474">
        <v>2</v>
      </c>
      <c r="AE1474">
        <v>9</v>
      </c>
      <c r="AF1474">
        <v>7</v>
      </c>
      <c r="AG1474">
        <v>5</v>
      </c>
      <c r="AH1474">
        <v>4</v>
      </c>
      <c r="AI1474">
        <f t="shared" ref="AI1474:AI1479" si="161">IF(D1474="Yes",1,0)</f>
        <v>0</v>
      </c>
      <c r="AJ1474" t="str">
        <f t="shared" ref="AJ1474:AJ1479" si="162">IF(AE1474&lt;=1,"0-1 yr",IF(AE1474&lt;=3,"2-3 yrs",IF(AE1474&lt;=5,"4-5 yrs",IF(AE1474&lt;=10,"6-10 yrs","10+ yrs"))))</f>
        <v>6-10 yrs</v>
      </c>
      <c r="AK1474" t="str">
        <f t="shared" ref="AK1474:AK1479" si="163">IF(AG1474&gt;=3,"Overdue","Recent")</f>
        <v>Overdue</v>
      </c>
      <c r="AL1474">
        <f t="shared" ref="AL1474:AL1479" si="164">IF(W1474="Yes",1,0)+IF(AD1474&lt;=2,1,0)+IF(Q1474&lt;=2,1,0)+IF(AG1474&gt;=3,1,0)</f>
        <v>2</v>
      </c>
      <c r="AM1474" t="str">
        <f t="shared" ref="AM1474:AM1479" si="165">IF(AL1474&gt;=3,"High Risk",IF(AL1474=2,"Medium Risk",IF(AL1474=1,"Low Risk","Minimal Risk")))</f>
        <v>Medium Risk</v>
      </c>
      <c r="AN1474" s="6">
        <f t="shared" ref="AN1474:AN1479" si="166">IFERROR((S1474-AVERAGEIF(P$2:P$1479,P1474,S$2:S$1479))/AVERAGEIF(P$2:P$1479,P1474,S$2:S$1479),0)</f>
        <v>-0.67603812454974155</v>
      </c>
      <c r="AO1474" s="7">
        <f t="shared" ref="AO1474:AO1479" si="167">S1474*12</f>
        <v>172200</v>
      </c>
    </row>
    <row r="1475" spans="1:41" x14ac:dyDescent="0.3">
      <c r="A1475" t="s">
        <v>1541</v>
      </c>
      <c r="B1475">
        <v>60</v>
      </c>
      <c r="C1475" t="s">
        <v>1499</v>
      </c>
      <c r="D1475" t="s">
        <v>55</v>
      </c>
      <c r="E1475" t="s">
        <v>48</v>
      </c>
      <c r="F1475">
        <v>422</v>
      </c>
      <c r="G1475" t="s">
        <v>735</v>
      </c>
      <c r="H1475">
        <v>7</v>
      </c>
      <c r="I1475">
        <v>3</v>
      </c>
      <c r="J1475" t="s">
        <v>50</v>
      </c>
      <c r="K1475">
        <v>549</v>
      </c>
      <c r="L1475">
        <v>1</v>
      </c>
      <c r="M1475" t="s">
        <v>59</v>
      </c>
      <c r="N1475">
        <v>3</v>
      </c>
      <c r="O1475">
        <v>5</v>
      </c>
      <c r="P1475" t="s">
        <v>444</v>
      </c>
      <c r="Q1475">
        <v>1</v>
      </c>
      <c r="R1475" t="s">
        <v>113</v>
      </c>
      <c r="S1475">
        <v>25354</v>
      </c>
      <c r="T1475" t="s">
        <v>72</v>
      </c>
      <c r="U1475">
        <v>158.46</v>
      </c>
      <c r="V1475">
        <v>5</v>
      </c>
      <c r="W1475" t="s">
        <v>55</v>
      </c>
      <c r="X1475">
        <v>11</v>
      </c>
      <c r="Y1475">
        <v>3</v>
      </c>
      <c r="Z1475">
        <v>4</v>
      </c>
      <c r="AA1475">
        <v>0</v>
      </c>
      <c r="AB1475">
        <v>33</v>
      </c>
      <c r="AC1475">
        <v>5</v>
      </c>
      <c r="AD1475">
        <v>1</v>
      </c>
      <c r="AE1475">
        <v>29</v>
      </c>
      <c r="AF1475">
        <v>8</v>
      </c>
      <c r="AG1475">
        <v>11</v>
      </c>
      <c r="AH1475">
        <v>10</v>
      </c>
      <c r="AI1475">
        <f t="shared" si="161"/>
        <v>0</v>
      </c>
      <c r="AJ1475" t="str">
        <f t="shared" si="162"/>
        <v>10+ yrs</v>
      </c>
      <c r="AK1475" t="str">
        <f t="shared" si="163"/>
        <v>Overdue</v>
      </c>
      <c r="AL1475">
        <f t="shared" si="164"/>
        <v>3</v>
      </c>
      <c r="AM1475" t="str">
        <f t="shared" si="165"/>
        <v>High Risk</v>
      </c>
      <c r="AN1475" s="6">
        <f t="shared" si="166"/>
        <v>-0.51427549684198348</v>
      </c>
      <c r="AO1475" s="7">
        <f t="shared" si="167"/>
        <v>304248</v>
      </c>
    </row>
    <row r="1476" spans="1:41" x14ac:dyDescent="0.3">
      <c r="A1476" t="s">
        <v>1542</v>
      </c>
      <c r="B1476">
        <v>60</v>
      </c>
      <c r="C1476" t="s">
        <v>1499</v>
      </c>
      <c r="D1476" t="s">
        <v>55</v>
      </c>
      <c r="E1476" t="s">
        <v>62</v>
      </c>
      <c r="F1476">
        <v>1499</v>
      </c>
      <c r="G1476" t="s">
        <v>57</v>
      </c>
      <c r="H1476">
        <v>28</v>
      </c>
      <c r="I1476">
        <v>3</v>
      </c>
      <c r="J1476" t="s">
        <v>63</v>
      </c>
      <c r="K1476">
        <v>573</v>
      </c>
      <c r="L1476">
        <v>3</v>
      </c>
      <c r="M1476" t="s">
        <v>59</v>
      </c>
      <c r="N1476">
        <v>2</v>
      </c>
      <c r="O1476">
        <v>3</v>
      </c>
      <c r="P1476" t="s">
        <v>145</v>
      </c>
      <c r="Q1476">
        <v>1</v>
      </c>
      <c r="R1476" t="s">
        <v>113</v>
      </c>
      <c r="S1476">
        <v>46186</v>
      </c>
      <c r="T1476" t="s">
        <v>72</v>
      </c>
      <c r="U1476">
        <v>288.66000000000003</v>
      </c>
      <c r="V1476">
        <v>4</v>
      </c>
      <c r="W1476" t="s">
        <v>55</v>
      </c>
      <c r="X1476">
        <v>19</v>
      </c>
      <c r="Y1476">
        <v>3</v>
      </c>
      <c r="Z1476">
        <v>4</v>
      </c>
      <c r="AA1476">
        <v>0</v>
      </c>
      <c r="AB1476">
        <v>22</v>
      </c>
      <c r="AC1476">
        <v>5</v>
      </c>
      <c r="AD1476">
        <v>4</v>
      </c>
      <c r="AE1476">
        <v>18</v>
      </c>
      <c r="AF1476">
        <v>13</v>
      </c>
      <c r="AG1476">
        <v>13</v>
      </c>
      <c r="AH1476">
        <v>11</v>
      </c>
      <c r="AI1476">
        <f t="shared" si="161"/>
        <v>0</v>
      </c>
      <c r="AJ1476" t="str">
        <f t="shared" si="162"/>
        <v>10+ yrs</v>
      </c>
      <c r="AK1476" t="str">
        <f t="shared" si="163"/>
        <v>Overdue</v>
      </c>
      <c r="AL1476">
        <f t="shared" si="164"/>
        <v>2</v>
      </c>
      <c r="AM1476" t="str">
        <f t="shared" si="165"/>
        <v>Medium Risk</v>
      </c>
      <c r="AN1476" s="6">
        <f t="shared" si="166"/>
        <v>-5.8542365858095365E-2</v>
      </c>
      <c r="AO1476" s="7">
        <f t="shared" si="167"/>
        <v>554232</v>
      </c>
    </row>
    <row r="1477" spans="1:41" x14ac:dyDescent="0.3">
      <c r="A1477" t="s">
        <v>1543</v>
      </c>
      <c r="B1477">
        <v>60</v>
      </c>
      <c r="C1477" t="s">
        <v>1499</v>
      </c>
      <c r="D1477" t="s">
        <v>55</v>
      </c>
      <c r="E1477" t="s">
        <v>48</v>
      </c>
      <c r="F1477">
        <v>1179</v>
      </c>
      <c r="G1477" t="s">
        <v>57</v>
      </c>
      <c r="H1477">
        <v>16</v>
      </c>
      <c r="I1477">
        <v>4</v>
      </c>
      <c r="J1477" t="s">
        <v>63</v>
      </c>
      <c r="K1477">
        <v>732</v>
      </c>
      <c r="L1477">
        <v>1</v>
      </c>
      <c r="M1477" t="s">
        <v>51</v>
      </c>
      <c r="N1477">
        <v>3</v>
      </c>
      <c r="O1477">
        <v>2</v>
      </c>
      <c r="P1477" t="s">
        <v>145</v>
      </c>
      <c r="Q1477">
        <v>1</v>
      </c>
      <c r="R1477" t="s">
        <v>53</v>
      </c>
      <c r="S1477">
        <v>29145</v>
      </c>
      <c r="T1477" t="s">
        <v>72</v>
      </c>
      <c r="U1477">
        <v>182.16</v>
      </c>
      <c r="V1477">
        <v>8</v>
      </c>
      <c r="W1477" t="s">
        <v>55</v>
      </c>
      <c r="X1477">
        <v>14</v>
      </c>
      <c r="Y1477">
        <v>3</v>
      </c>
      <c r="Z1477">
        <v>4</v>
      </c>
      <c r="AA1477">
        <v>0</v>
      </c>
      <c r="AB1477">
        <v>10</v>
      </c>
      <c r="AC1477">
        <v>1</v>
      </c>
      <c r="AD1477">
        <v>3</v>
      </c>
      <c r="AE1477">
        <v>2</v>
      </c>
      <c r="AF1477">
        <v>2</v>
      </c>
      <c r="AG1477">
        <v>2</v>
      </c>
      <c r="AH1477">
        <v>2</v>
      </c>
      <c r="AI1477">
        <f t="shared" si="161"/>
        <v>0</v>
      </c>
      <c r="AJ1477" t="str">
        <f t="shared" si="162"/>
        <v>2-3 yrs</v>
      </c>
      <c r="AK1477" t="str">
        <f t="shared" si="163"/>
        <v>Recent</v>
      </c>
      <c r="AL1477">
        <f t="shared" si="164"/>
        <v>1</v>
      </c>
      <c r="AM1477" t="str">
        <f t="shared" si="165"/>
        <v>Low Risk</v>
      </c>
      <c r="AN1477" s="6">
        <f t="shared" si="166"/>
        <v>-0.40590692532226624</v>
      </c>
      <c r="AO1477" s="7">
        <f t="shared" si="167"/>
        <v>349740</v>
      </c>
    </row>
    <row r="1478" spans="1:41" x14ac:dyDescent="0.3">
      <c r="A1478" t="s">
        <v>1544</v>
      </c>
      <c r="B1478">
        <v>60</v>
      </c>
      <c r="C1478" t="s">
        <v>1499</v>
      </c>
      <c r="D1478" t="s">
        <v>55</v>
      </c>
      <c r="E1478" t="s">
        <v>48</v>
      </c>
      <c r="F1478">
        <v>696</v>
      </c>
      <c r="G1478" t="s">
        <v>57</v>
      </c>
      <c r="H1478">
        <v>7</v>
      </c>
      <c r="I1478">
        <v>4</v>
      </c>
      <c r="J1478" t="s">
        <v>63</v>
      </c>
      <c r="K1478">
        <v>1233</v>
      </c>
      <c r="L1478">
        <v>2</v>
      </c>
      <c r="M1478" t="s">
        <v>51</v>
      </c>
      <c r="N1478">
        <v>4</v>
      </c>
      <c r="O1478">
        <v>2</v>
      </c>
      <c r="P1478" t="s">
        <v>145</v>
      </c>
      <c r="Q1478">
        <v>4</v>
      </c>
      <c r="R1478" t="s">
        <v>53</v>
      </c>
      <c r="S1478">
        <v>35020</v>
      </c>
      <c r="T1478" t="s">
        <v>72</v>
      </c>
      <c r="U1478">
        <v>218.88</v>
      </c>
      <c r="V1478">
        <v>0</v>
      </c>
      <c r="W1478" t="s">
        <v>47</v>
      </c>
      <c r="X1478">
        <v>18</v>
      </c>
      <c r="Y1478">
        <v>3</v>
      </c>
      <c r="Z1478">
        <v>2</v>
      </c>
      <c r="AA1478">
        <v>1</v>
      </c>
      <c r="AB1478">
        <v>12</v>
      </c>
      <c r="AC1478">
        <v>3</v>
      </c>
      <c r="AD1478">
        <v>3</v>
      </c>
      <c r="AE1478">
        <v>11</v>
      </c>
      <c r="AF1478">
        <v>7</v>
      </c>
      <c r="AG1478">
        <v>1</v>
      </c>
      <c r="AH1478">
        <v>9</v>
      </c>
      <c r="AI1478">
        <f t="shared" si="161"/>
        <v>0</v>
      </c>
      <c r="AJ1478" t="str">
        <f t="shared" si="162"/>
        <v>10+ yrs</v>
      </c>
      <c r="AK1478" t="str">
        <f t="shared" si="163"/>
        <v>Recent</v>
      </c>
      <c r="AL1478">
        <f t="shared" si="164"/>
        <v>1</v>
      </c>
      <c r="AM1478" t="str">
        <f t="shared" si="165"/>
        <v>Low Risk</v>
      </c>
      <c r="AN1478" s="6">
        <f t="shared" si="166"/>
        <v>-0.28615064418547825</v>
      </c>
      <c r="AO1478" s="7">
        <f t="shared" si="167"/>
        <v>420240</v>
      </c>
    </row>
    <row r="1479" spans="1:41" x14ac:dyDescent="0.3">
      <c r="A1479" t="s">
        <v>1545</v>
      </c>
      <c r="B1479">
        <v>60</v>
      </c>
      <c r="C1479" t="s">
        <v>1499</v>
      </c>
      <c r="D1479" t="s">
        <v>55</v>
      </c>
      <c r="E1479" t="s">
        <v>48</v>
      </c>
      <c r="F1479">
        <v>370</v>
      </c>
      <c r="G1479" t="s">
        <v>735</v>
      </c>
      <c r="H1479">
        <v>1</v>
      </c>
      <c r="I1479">
        <v>4</v>
      </c>
      <c r="J1479" t="s">
        <v>58</v>
      </c>
      <c r="K1479">
        <v>1697</v>
      </c>
      <c r="L1479">
        <v>3</v>
      </c>
      <c r="M1479" t="s">
        <v>51</v>
      </c>
      <c r="N1479">
        <v>1</v>
      </c>
      <c r="O1479">
        <v>3</v>
      </c>
      <c r="P1479" t="s">
        <v>168</v>
      </c>
      <c r="Q1479">
        <v>4</v>
      </c>
      <c r="R1479" t="s">
        <v>53</v>
      </c>
      <c r="S1479">
        <v>87123</v>
      </c>
      <c r="T1479" t="s">
        <v>70</v>
      </c>
      <c r="U1479">
        <v>544.52</v>
      </c>
      <c r="V1479">
        <v>3</v>
      </c>
      <c r="W1479" t="s">
        <v>55</v>
      </c>
      <c r="X1479">
        <v>20</v>
      </c>
      <c r="Y1479">
        <v>4</v>
      </c>
      <c r="Z1479">
        <v>3</v>
      </c>
      <c r="AA1479">
        <v>1</v>
      </c>
      <c r="AB1479">
        <v>19</v>
      </c>
      <c r="AC1479">
        <v>2</v>
      </c>
      <c r="AD1479">
        <v>4</v>
      </c>
      <c r="AE1479">
        <v>1</v>
      </c>
      <c r="AF1479">
        <v>0</v>
      </c>
      <c r="AG1479">
        <v>0</v>
      </c>
      <c r="AH1479">
        <v>0</v>
      </c>
      <c r="AI1479">
        <f t="shared" si="161"/>
        <v>0</v>
      </c>
      <c r="AJ1479" t="str">
        <f t="shared" si="162"/>
        <v>0-1 yr</v>
      </c>
      <c r="AK1479" t="str">
        <f t="shared" si="163"/>
        <v>Recent</v>
      </c>
      <c r="AL1479">
        <f t="shared" si="164"/>
        <v>0</v>
      </c>
      <c r="AM1479" t="str">
        <f t="shared" si="165"/>
        <v>Minimal Risk</v>
      </c>
      <c r="AN1479" s="6">
        <f t="shared" si="166"/>
        <v>0.80793836193096258</v>
      </c>
      <c r="AO1479" s="7">
        <f t="shared" si="167"/>
        <v>1045476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9"/>
  <sheetViews>
    <sheetView showGridLines="0" zoomScaleNormal="100" workbookViewId="0">
      <selection activeCell="E26" sqref="E26"/>
    </sheetView>
  </sheetViews>
  <sheetFormatPr defaultColWidth="8.6640625" defaultRowHeight="14.4" x14ac:dyDescent="0.3"/>
  <cols>
    <col min="1" max="20" width="15" customWidth="1"/>
  </cols>
  <sheetData>
    <row r="1" spans="1:18" ht="15.6" x14ac:dyDescent="0.3">
      <c r="A1" s="8" t="s">
        <v>1546</v>
      </c>
      <c r="E1" s="8" t="s">
        <v>1547</v>
      </c>
      <c r="J1" s="8" t="s">
        <v>1548</v>
      </c>
      <c r="O1" s="8" t="s">
        <v>1549</v>
      </c>
    </row>
    <row r="2" spans="1:18" x14ac:dyDescent="0.3">
      <c r="A2" s="9" t="s">
        <v>0</v>
      </c>
      <c r="B2" s="10">
        <f>COUNTA(Data!$G$2:$G$1479)</f>
        <v>1478</v>
      </c>
      <c r="E2" s="11" t="s">
        <v>1550</v>
      </c>
      <c r="F2" s="11" t="s">
        <v>1551</v>
      </c>
      <c r="G2" s="11" t="s">
        <v>1552</v>
      </c>
      <c r="H2" s="11" t="s">
        <v>1</v>
      </c>
      <c r="J2" s="11" t="s">
        <v>1550</v>
      </c>
      <c r="K2" s="11" t="s">
        <v>1551</v>
      </c>
      <c r="L2" s="11" t="s">
        <v>1552</v>
      </c>
      <c r="M2" s="11" t="s">
        <v>1</v>
      </c>
      <c r="O2" s="11" t="s">
        <v>1550</v>
      </c>
      <c r="P2" s="11" t="s">
        <v>1551</v>
      </c>
      <c r="Q2" s="11" t="s">
        <v>1552</v>
      </c>
      <c r="R2" s="11" t="s">
        <v>1</v>
      </c>
    </row>
    <row r="3" spans="1:18" x14ac:dyDescent="0.3">
      <c r="A3" s="9" t="s">
        <v>1553</v>
      </c>
      <c r="B3" s="10">
        <f>COUNTIF(Data!$D$2:$D$1479,"Yes")</f>
        <v>239</v>
      </c>
      <c r="E3" t="s">
        <v>49</v>
      </c>
      <c r="F3">
        <f>COUNTIF(Data!$G$2:$G$1479,E3)</f>
        <v>425</v>
      </c>
      <c r="G3">
        <f>COUNTIFS(Data!$G$2:$G$1479,E3,Data!$D$2:$D$1479,"Yes")</f>
        <v>88</v>
      </c>
      <c r="H3" s="6">
        <f t="shared" ref="H3:H9" si="0">IFERROR(G3/F3,0)</f>
        <v>0.20705882352941177</v>
      </c>
      <c r="J3" t="s">
        <v>55</v>
      </c>
      <c r="K3">
        <f>COUNTIF(Data!$W$2:$W$1479,J3)</f>
        <v>1059</v>
      </c>
      <c r="L3">
        <f>COUNTIFS(Data!$W$2:$W$1479,J3,Data!$D$2:$D$1479,"Yes")</f>
        <v>109</v>
      </c>
      <c r="M3" s="6">
        <f>IFERROR(L3/K3,0)</f>
        <v>0.10292728989612843</v>
      </c>
      <c r="O3" t="s">
        <v>46</v>
      </c>
      <c r="P3">
        <f>COUNTIF(Data!$C$2:$C$1479,O3)</f>
        <v>123</v>
      </c>
      <c r="Q3">
        <f>COUNTIFS(Data!$C$2:$C$1479,O3,Data!$D$2:$D$1479,"Yes")</f>
        <v>45</v>
      </c>
      <c r="R3" s="6">
        <f>IFERROR(Q3/P3,0)</f>
        <v>0.36585365853658536</v>
      </c>
    </row>
    <row r="4" spans="1:18" x14ac:dyDescent="0.3">
      <c r="A4" s="9" t="s">
        <v>1</v>
      </c>
      <c r="B4" s="12">
        <f>COUNTIF(Data!$D$2:$D$1479,"Yes")/COUNTA(Data!$G$2:$G$1479)</f>
        <v>0.16170500676589986</v>
      </c>
      <c r="E4" t="s">
        <v>406</v>
      </c>
      <c r="F4">
        <f>COUNTIF(Data!$G$2:$G$1479,E4)</f>
        <v>24</v>
      </c>
      <c r="G4">
        <f>COUNTIFS(Data!$G$2:$G$1479,E4,Data!$D$2:$D$1479,"Yes")</f>
        <v>3</v>
      </c>
      <c r="H4" s="6">
        <f t="shared" si="0"/>
        <v>0.125</v>
      </c>
      <c r="J4" t="s">
        <v>47</v>
      </c>
      <c r="K4">
        <f>COUNTIF(Data!$W$2:$W$1479,J4)</f>
        <v>419</v>
      </c>
      <c r="L4">
        <f>COUNTIFS(Data!$W$2:$W$1479,J4,Data!$D$2:$D$1479,"Yes")</f>
        <v>130</v>
      </c>
      <c r="M4" s="6">
        <f>IFERROR(L4/K4,0)</f>
        <v>0.31026252983293556</v>
      </c>
      <c r="O4" t="s">
        <v>196</v>
      </c>
      <c r="P4">
        <f>COUNTIF(Data!$C$2:$C$1479,O4)</f>
        <v>609</v>
      </c>
      <c r="Q4">
        <f>COUNTIFS(Data!$C$2:$C$1479,O4,Data!$D$2:$D$1479,"Yes")</f>
        <v>116</v>
      </c>
      <c r="R4" s="6">
        <f>IFERROR(Q4/P4,0)</f>
        <v>0.19047619047619047</v>
      </c>
    </row>
    <row r="5" spans="1:18" x14ac:dyDescent="0.3">
      <c r="A5" s="9" t="s">
        <v>2</v>
      </c>
      <c r="B5" s="10">
        <f>AVERAGE(Data!$S$2:$S$1479)</f>
        <v>49514.320027063601</v>
      </c>
      <c r="E5" t="s">
        <v>80</v>
      </c>
      <c r="F5">
        <f>COUNTIF(Data!$G$2:$G$1479,E5)</f>
        <v>39</v>
      </c>
      <c r="G5">
        <f>COUNTIFS(Data!$G$2:$G$1479,E5,Data!$D$2:$D$1479,"Yes")</f>
        <v>9</v>
      </c>
      <c r="H5" s="6">
        <f t="shared" si="0"/>
        <v>0.23076923076923078</v>
      </c>
      <c r="O5" t="s">
        <v>802</v>
      </c>
      <c r="P5">
        <f>COUNTIF(Data!$C$2:$C$1479,O5)</f>
        <v>471</v>
      </c>
      <c r="Q5">
        <f>COUNTIFS(Data!$C$2:$C$1479,O5,Data!$D$2:$D$1479,"Yes")</f>
        <v>43</v>
      </c>
      <c r="R5" s="6">
        <f>IFERROR(Q5/P5,0)</f>
        <v>9.1295116772823773E-2</v>
      </c>
    </row>
    <row r="6" spans="1:18" x14ac:dyDescent="0.3">
      <c r="A6" s="9" t="s">
        <v>3</v>
      </c>
      <c r="B6" s="13">
        <f>AVERAGE(Data!$AE$2:$AE$1479)</f>
        <v>7.014208389715832</v>
      </c>
      <c r="E6" t="s">
        <v>932</v>
      </c>
      <c r="F6">
        <f>COUNTIF(Data!$G$2:$G$1479,E6)</f>
        <v>169</v>
      </c>
      <c r="G6">
        <f>COUNTIFS(Data!$G$2:$G$1479,E6,Data!$D$2:$D$1479,"Yes")</f>
        <v>30</v>
      </c>
      <c r="H6" s="6">
        <f t="shared" si="0"/>
        <v>0.17751479289940827</v>
      </c>
      <c r="O6" t="s">
        <v>1272</v>
      </c>
      <c r="P6">
        <f>COUNTIF(Data!$C$2:$C$1479,O6)</f>
        <v>228</v>
      </c>
      <c r="Q6">
        <f>COUNTIFS(Data!$C$2:$C$1479,O6,Data!$D$2:$D$1479,"Yes")</f>
        <v>27</v>
      </c>
      <c r="R6" s="6">
        <f>IFERROR(Q6/P6,0)</f>
        <v>0.11842105263157894</v>
      </c>
    </row>
    <row r="7" spans="1:18" x14ac:dyDescent="0.3">
      <c r="A7" s="9" t="s">
        <v>1554</v>
      </c>
      <c r="B7" s="13">
        <f>AVERAGEIF(Data!$D$2:$D$1479,"Yes",Data!$AE$2:$AE$1479)</f>
        <v>5.1255230125523017</v>
      </c>
      <c r="E7" t="s">
        <v>63</v>
      </c>
      <c r="F7">
        <f>COUNTIF(Data!$G$2:$G$1479,E7)</f>
        <v>67</v>
      </c>
      <c r="G7">
        <f>COUNTIFS(Data!$G$2:$G$1479,E7,Data!$D$2:$D$1479,"Yes")</f>
        <v>10</v>
      </c>
      <c r="H7" s="6">
        <f t="shared" si="0"/>
        <v>0.14925373134328357</v>
      </c>
      <c r="O7" t="s">
        <v>1499</v>
      </c>
      <c r="P7">
        <f>COUNTIF(Data!$C$2:$C$1479,O7)</f>
        <v>47</v>
      </c>
      <c r="Q7">
        <f>COUNTIFS(Data!$C$2:$C$1479,O7,Data!$D$2:$D$1479,"Yes")</f>
        <v>8</v>
      </c>
      <c r="R7" s="6">
        <f>IFERROR(Q7/P7,0)</f>
        <v>0.1702127659574468</v>
      </c>
    </row>
    <row r="8" spans="1:18" x14ac:dyDescent="0.3">
      <c r="A8" s="9" t="s">
        <v>1555</v>
      </c>
      <c r="B8" s="13">
        <f>AVERAGEIF(Data!$D$2:$D$1479,"No",Data!$AE$2:$AE$1479)</f>
        <v>7.3785310734463279</v>
      </c>
      <c r="E8" t="s">
        <v>735</v>
      </c>
      <c r="F8">
        <f>COUNTIF(Data!$G$2:$G$1479,E8)</f>
        <v>540</v>
      </c>
      <c r="G8">
        <f>COUNTIFS(Data!$G$2:$G$1479,E8,Data!$D$2:$D$1479,"Yes")</f>
        <v>45</v>
      </c>
      <c r="H8" s="6">
        <f t="shared" si="0"/>
        <v>8.3333333333333329E-2</v>
      </c>
    </row>
    <row r="9" spans="1:18" x14ac:dyDescent="0.3">
      <c r="E9" t="s">
        <v>57</v>
      </c>
      <c r="F9">
        <f>COUNTIF(Data!$G$2:$G$1479,E9)</f>
        <v>214</v>
      </c>
      <c r="G9">
        <f>COUNTIFS(Data!$G$2:$G$1479,E9,Data!$D$2:$D$1479,"Yes")</f>
        <v>54</v>
      </c>
      <c r="H9" s="6">
        <f t="shared" si="0"/>
        <v>0.25233644859813081</v>
      </c>
    </row>
    <row r="12" spans="1:18" ht="15.6" x14ac:dyDescent="0.3">
      <c r="E12" s="8" t="s">
        <v>1556</v>
      </c>
      <c r="J12" s="8" t="s">
        <v>1557</v>
      </c>
      <c r="O12" s="8" t="s">
        <v>1558</v>
      </c>
    </row>
    <row r="13" spans="1:18" x14ac:dyDescent="0.3">
      <c r="E13" s="11" t="s">
        <v>1550</v>
      </c>
      <c r="F13" s="11" t="s">
        <v>1551</v>
      </c>
      <c r="G13" s="11" t="s">
        <v>1552</v>
      </c>
      <c r="H13" s="11" t="s">
        <v>1</v>
      </c>
      <c r="J13" s="11" t="s">
        <v>1550</v>
      </c>
      <c r="K13" s="11" t="s">
        <v>1551</v>
      </c>
      <c r="L13" s="11" t="s">
        <v>1552</v>
      </c>
      <c r="M13" s="11" t="s">
        <v>1</v>
      </c>
      <c r="O13" s="11" t="s">
        <v>1550</v>
      </c>
      <c r="P13" s="11" t="s">
        <v>1551</v>
      </c>
      <c r="Q13" s="11" t="s">
        <v>1552</v>
      </c>
      <c r="R13" s="11" t="s">
        <v>1</v>
      </c>
    </row>
    <row r="14" spans="1:18" x14ac:dyDescent="0.3">
      <c r="E14" t="s">
        <v>168</v>
      </c>
      <c r="F14">
        <f>COUNTIF(Data!$P$2:$P$1479,E14)</f>
        <v>133</v>
      </c>
      <c r="G14">
        <f>COUNTIFS(Data!$P$2:$P$1479,E14,Data!$D$2:$D$1479,"Yes")</f>
        <v>9</v>
      </c>
      <c r="H14" s="6">
        <f t="shared" ref="H14:H22" si="1">IFERROR(G14/F14,0)</f>
        <v>6.7669172932330823E-2</v>
      </c>
      <c r="J14">
        <v>1</v>
      </c>
      <c r="K14">
        <f>COUNTIF(Data!$AD$2:$AD$1479,J14)</f>
        <v>81</v>
      </c>
      <c r="L14">
        <f>COUNTIFS(Data!$AD$2:$AD$1479,J14,Data!$D$2:$D$1479,"Yes")</f>
        <v>25</v>
      </c>
      <c r="M14" s="6">
        <f>IFERROR(L14/K14,0)</f>
        <v>0.30864197530864196</v>
      </c>
      <c r="O14" t="s">
        <v>113</v>
      </c>
      <c r="P14">
        <f>COUNTIF(Data!$R$2:$R$1479,O14)</f>
        <v>787</v>
      </c>
      <c r="Q14">
        <f>COUNTIFS(Data!$R$2:$R$1479,O14,Data!$D$2:$D$1479,"Yes")</f>
        <v>90</v>
      </c>
      <c r="R14" s="6">
        <f>IFERROR(Q14/P14,0)</f>
        <v>0.11435832274459974</v>
      </c>
    </row>
    <row r="15" spans="1:18" x14ac:dyDescent="0.3">
      <c r="E15" t="s">
        <v>80</v>
      </c>
      <c r="F15">
        <f>COUNTIF(Data!$P$2:$P$1479,E15)</f>
        <v>52</v>
      </c>
      <c r="G15">
        <f>COUNTIFS(Data!$P$2:$P$1479,E15,Data!$D$2:$D$1479,"Yes")</f>
        <v>12</v>
      </c>
      <c r="H15" s="6">
        <f t="shared" si="1"/>
        <v>0.23076923076923078</v>
      </c>
      <c r="J15">
        <v>2</v>
      </c>
      <c r="K15">
        <f>COUNTIF(Data!$AD$2:$AD$1479,J15)</f>
        <v>348</v>
      </c>
      <c r="L15">
        <f>COUNTIFS(Data!$AD$2:$AD$1479,J15,Data!$D$2:$D$1479,"Yes")</f>
        <v>59</v>
      </c>
      <c r="M15" s="6">
        <f>IFERROR(L15/K15,0)</f>
        <v>0.16954022988505746</v>
      </c>
      <c r="O15" t="s">
        <v>53</v>
      </c>
      <c r="P15">
        <f>COUNTIF(Data!$R$2:$R$1479,O15)</f>
        <v>691</v>
      </c>
      <c r="Q15">
        <f>COUNTIFS(Data!$R$2:$R$1479,O15,Data!$D$2:$D$1479,"Yes")</f>
        <v>149</v>
      </c>
      <c r="R15" s="6">
        <f>IFERROR(Q15/P15,0)</f>
        <v>0.21562952243125905</v>
      </c>
    </row>
    <row r="16" spans="1:18" x14ac:dyDescent="0.3">
      <c r="E16" t="s">
        <v>52</v>
      </c>
      <c r="F16">
        <f>COUNTIF(Data!$P$2:$P$1479,E16)</f>
        <v>259</v>
      </c>
      <c r="G16">
        <f>COUNTIFS(Data!$P$2:$P$1479,E16,Data!$D$2:$D$1479,"Yes")</f>
        <v>61</v>
      </c>
      <c r="H16" s="6">
        <f t="shared" si="1"/>
        <v>0.23552123552123552</v>
      </c>
      <c r="J16">
        <v>3</v>
      </c>
      <c r="K16">
        <f>COUNTIF(Data!$AD$2:$AD$1479,J16)</f>
        <v>895</v>
      </c>
      <c r="L16">
        <f>COUNTIFS(Data!$AD$2:$AD$1479,J16,Data!$D$2:$D$1479,"Yes")</f>
        <v>128</v>
      </c>
      <c r="M16" s="6">
        <f>IFERROR(L16/K16,0)</f>
        <v>0.1430167597765363</v>
      </c>
    </row>
    <row r="17" spans="5:13" x14ac:dyDescent="0.3">
      <c r="E17" t="s">
        <v>444</v>
      </c>
      <c r="F17">
        <f>COUNTIF(Data!$P$2:$P$1479,E17)</f>
        <v>102</v>
      </c>
      <c r="G17">
        <f>COUNTIFS(Data!$P$2:$P$1479,E17,Data!$D$2:$D$1479,"Yes")</f>
        <v>5</v>
      </c>
      <c r="H17" s="6">
        <f t="shared" si="1"/>
        <v>4.9019607843137254E-2</v>
      </c>
      <c r="J17">
        <v>4</v>
      </c>
      <c r="K17">
        <f>COUNTIF(Data!$AD$2:$AD$1479,J17)</f>
        <v>154</v>
      </c>
      <c r="L17">
        <f>COUNTIFS(Data!$AD$2:$AD$1479,J17,Data!$D$2:$D$1479,"Yes")</f>
        <v>27</v>
      </c>
      <c r="M17" s="6">
        <f>IFERROR(L17/K17,0)</f>
        <v>0.17532467532467533</v>
      </c>
    </row>
    <row r="18" spans="5:13" x14ac:dyDescent="0.3">
      <c r="E18" t="s">
        <v>120</v>
      </c>
      <c r="F18">
        <f>COUNTIF(Data!$P$2:$P$1479,E18)</f>
        <v>146</v>
      </c>
      <c r="G18">
        <f>COUNTIFS(Data!$P$2:$P$1479,E18,Data!$D$2:$D$1479,"Yes")</f>
        <v>10</v>
      </c>
      <c r="H18" s="6">
        <f t="shared" si="1"/>
        <v>6.8493150684931503E-2</v>
      </c>
    </row>
    <row r="19" spans="5:13" x14ac:dyDescent="0.3">
      <c r="E19" t="s">
        <v>257</v>
      </c>
      <c r="F19">
        <f>COUNTIF(Data!$P$2:$P$1479,E19)</f>
        <v>80</v>
      </c>
      <c r="G19">
        <f>COUNTIFS(Data!$P$2:$P$1479,E19,Data!$D$2:$D$1479,"Yes")</f>
        <v>2</v>
      </c>
      <c r="H19" s="6">
        <f t="shared" si="1"/>
        <v>2.5000000000000001E-2</v>
      </c>
    </row>
    <row r="20" spans="5:13" x14ac:dyDescent="0.3">
      <c r="E20" t="s">
        <v>67</v>
      </c>
      <c r="F20">
        <f>COUNTIF(Data!$P$2:$P$1479,E20)</f>
        <v>293</v>
      </c>
      <c r="G20">
        <f>COUNTIFS(Data!$P$2:$P$1479,E20,Data!$D$2:$D$1479,"Yes")</f>
        <v>48</v>
      </c>
      <c r="H20" s="6">
        <f t="shared" si="1"/>
        <v>0.16382252559726962</v>
      </c>
    </row>
    <row r="21" spans="5:13" x14ac:dyDescent="0.3">
      <c r="E21" t="s">
        <v>145</v>
      </c>
      <c r="F21">
        <f>COUNTIF(Data!$P$2:$P$1479,E21)</f>
        <v>329</v>
      </c>
      <c r="G21">
        <f>COUNTIFS(Data!$P$2:$P$1479,E21,Data!$D$2:$D$1479,"Yes")</f>
        <v>58</v>
      </c>
      <c r="H21" s="6">
        <f t="shared" si="1"/>
        <v>0.17629179331306991</v>
      </c>
    </row>
    <row r="22" spans="5:13" x14ac:dyDescent="0.3">
      <c r="E22" t="s">
        <v>60</v>
      </c>
      <c r="F22">
        <f>COUNTIF(Data!$P$2:$P$1479,E22)</f>
        <v>84</v>
      </c>
      <c r="G22">
        <f>COUNTIFS(Data!$P$2:$P$1479,E22,Data!$D$2:$D$1479,"Yes")</f>
        <v>34</v>
      </c>
      <c r="H22" s="6">
        <f t="shared" si="1"/>
        <v>0.40476190476190477</v>
      </c>
    </row>
    <row r="24" spans="5:13" ht="15.6" x14ac:dyDescent="0.3">
      <c r="E24" s="8" t="s">
        <v>1559</v>
      </c>
    </row>
    <row r="25" spans="5:13" x14ac:dyDescent="0.3">
      <c r="E25" s="11" t="s">
        <v>1550</v>
      </c>
      <c r="F25" s="11" t="s">
        <v>1551</v>
      </c>
      <c r="G25" s="11" t="s">
        <v>1552</v>
      </c>
      <c r="H25" s="11" t="s">
        <v>1</v>
      </c>
    </row>
    <row r="26" spans="5:13" x14ac:dyDescent="0.3">
      <c r="E26" t="s">
        <v>54</v>
      </c>
      <c r="F26">
        <f>COUNTIF(Data!$T$2:$T$1479,E26)</f>
        <v>389</v>
      </c>
      <c r="G26">
        <f>COUNTIFS(Data!$T$2:$T$1479,E26,Data!$D$2:$D$1479,"Yes")</f>
        <v>65</v>
      </c>
      <c r="H26" s="6">
        <f>IFERROR(G26/F26,0)</f>
        <v>0.16709511568123395</v>
      </c>
    </row>
    <row r="27" spans="5:13" x14ac:dyDescent="0.3">
      <c r="E27" t="s">
        <v>72</v>
      </c>
      <c r="F27">
        <f>COUNTIF(Data!$T$2:$T$1479,E27)</f>
        <v>355</v>
      </c>
      <c r="G27">
        <f>COUNTIFS(Data!$T$2:$T$1479,E27,Data!$D$2:$D$1479,"Yes")</f>
        <v>51</v>
      </c>
      <c r="H27" s="6">
        <f>IFERROR(G27/F27,0)</f>
        <v>0.14366197183098592</v>
      </c>
    </row>
    <row r="28" spans="5:13" x14ac:dyDescent="0.3">
      <c r="E28" t="s">
        <v>64</v>
      </c>
      <c r="F28">
        <f>COUNTIF(Data!$T$2:$T$1479,E28)</f>
        <v>484</v>
      </c>
      <c r="G28">
        <f>COUNTIFS(Data!$T$2:$T$1479,E28,Data!$D$2:$D$1479,"Yes")</f>
        <v>75</v>
      </c>
      <c r="H28" s="6">
        <f>IFERROR(G28/F28,0)</f>
        <v>0.15495867768595042</v>
      </c>
    </row>
    <row r="29" spans="5:13" x14ac:dyDescent="0.3">
      <c r="E29" t="s">
        <v>70</v>
      </c>
      <c r="F29">
        <f>COUNTIF(Data!$T$2:$T$1479,E29)</f>
        <v>250</v>
      </c>
      <c r="G29">
        <f>COUNTIFS(Data!$T$2:$T$1479,E29,Data!$D$2:$D$1479,"Yes")</f>
        <v>48</v>
      </c>
      <c r="H29" s="6">
        <f>IFERROR(G29/F29,0)</f>
        <v>0.192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7E9689-C702-4B69-983B-99552B1567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HRData</vt:lpstr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Anusha Haridas</cp:lastModifiedBy>
  <cp:revision>1</cp:revision>
  <dcterms:created xsi:type="dcterms:W3CDTF">2026-08-07T06:45:42Z</dcterms:created>
  <dcterms:modified xsi:type="dcterms:W3CDTF">2026-08-11T06:16:34Z</dcterms:modified>
  <dc:language>en-US</dc:language>
</cp:coreProperties>
</file>